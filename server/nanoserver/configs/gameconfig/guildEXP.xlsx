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35" windowHeight="17415"/>
  </bookViews>
  <sheets>
    <sheet name="Sheet1" sheetId="1" r:id="rId1"/>
    <sheet name="属性配置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MC</author>
  </authors>
  <commentList>
    <comment ref="C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配置行会当前等级所增加的属性值，配置的为当前增加的总量，配置方式：
属性ID：数值；属性ID：数值</t>
        </r>
      </text>
    </comment>
    <comment ref="D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多个描述采用英文的冒号:隔开</t>
        </r>
      </text>
    </comment>
  </commentList>
</comments>
</file>

<file path=xl/sharedStrings.xml><?xml version="1.0" encoding="utf-8"?>
<sst xmlns="http://schemas.openxmlformats.org/spreadsheetml/2006/main" count="1146" uniqueCount="47">
  <si>
    <t>行会等级</t>
  </si>
  <si>
    <t>需要经验</t>
  </si>
  <si>
    <t>属性增加</t>
  </si>
  <si>
    <t>特权描述</t>
  </si>
  <si>
    <t>解锁商品数量</t>
  </si>
  <si>
    <t>人数上限</t>
  </si>
  <si>
    <t>Uint32</t>
  </si>
  <si>
    <t>Json</t>
  </si>
  <si>
    <t>String</t>
  </si>
  <si>
    <t>GuildLevel</t>
  </si>
  <si>
    <t>NeedEXP</t>
  </si>
  <si>
    <t>AttributeAdd</t>
  </si>
  <si>
    <t>PrivilegeDes</t>
  </si>
  <si>
    <t>WarehouseAdd</t>
  </si>
  <si>
    <t>MemberNum</t>
  </si>
  <si>
    <t>人数上限+1</t>
  </si>
  <si>
    <t>人数上限+2</t>
  </si>
  <si>
    <t>人数上限+3</t>
  </si>
  <si>
    <t>人数上限+4</t>
  </si>
  <si>
    <t>人数上限+5</t>
  </si>
  <si>
    <t>等级</t>
  </si>
  <si>
    <t>前缀1</t>
  </si>
  <si>
    <t>属性1id</t>
  </si>
  <si>
    <t>中段1</t>
  </si>
  <si>
    <t>属性1数值</t>
  </si>
  <si>
    <t>前缀2</t>
  </si>
  <si>
    <t>属性2id</t>
  </si>
  <si>
    <t>中段2</t>
  </si>
  <si>
    <t>属性2数值</t>
  </si>
  <si>
    <t>前缀3</t>
  </si>
  <si>
    <t>属性3id</t>
  </si>
  <si>
    <t>中段3</t>
  </si>
  <si>
    <t>属性3数值</t>
  </si>
  <si>
    <t>前缀4</t>
  </si>
  <si>
    <t>属性4id</t>
  </si>
  <si>
    <t>中段4</t>
  </si>
  <si>
    <t>属性4数值</t>
  </si>
  <si>
    <t>前缀5</t>
  </si>
  <si>
    <t>属性5id</t>
  </si>
  <si>
    <t>中段5</t>
  </si>
  <si>
    <t>属性5数值</t>
  </si>
  <si>
    <t>后缀</t>
  </si>
  <si>
    <t>合成</t>
  </si>
  <si>
    <t>[{ "key":</t>
  </si>
  <si>
    <t>,"value":</t>
  </si>
  <si>
    <t>},{ "key":</t>
  </si>
  <si>
    <t>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</si>
</sst>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tabSelected="1" topLeftCell="A8" workbookViewId="0">
      <selection activeCell="D41" sqref="D41"/>
    </sheetView>
  </sheetViews>
  <sheetFormatPr defaultColWidth="9" defaultRowHeight="13.5" outlineLevelCol="7"/>
  <cols>
    <col min="1" max="1" width="11.8166666666667" customWidth="1"/>
    <col min="2" max="2" width="10.9083333333333" customWidth="1"/>
    <col min="3" max="3" width="43.4583333333333" customWidth="1"/>
    <col min="4" max="4" width="43" customWidth="1"/>
    <col min="5" max="5" width="18.375" customWidth="1"/>
    <col min="6" max="6" width="14" customWidth="1"/>
    <col min="7" max="7" width="12.625"/>
    <col min="8" max="8" width="9.375"/>
  </cols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1" t="s">
        <v>6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6</v>
      </c>
    </row>
    <row r="3" ht="16.5" spans="1:6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4" ht="16.5" spans="1:8">
      <c r="A4" s="1">
        <v>1</v>
      </c>
      <c r="B4" s="1">
        <v>1000</v>
      </c>
      <c r="C4" s="1" t="str">
        <f>VLOOKUP(A4,属性配置!$A$1:$W$103,23,0)</f>
        <v>[{ "key":1,"value":0},{ "key":2,"value":0},{ "key":4,"value":0},{ "key":5,"value":0},{ "key":12,"value":0}]</v>
      </c>
      <c r="D4" s="1"/>
      <c r="E4" s="1">
        <v>3</v>
      </c>
      <c r="F4" s="1">
        <v>15</v>
      </c>
      <c r="G4">
        <f>ROUND(B4/15/150,3)</f>
        <v>0.444</v>
      </c>
      <c r="H4">
        <f>G4*3</f>
        <v>1.332</v>
      </c>
    </row>
    <row r="5" ht="16.5" spans="1:8">
      <c r="A5" s="1">
        <v>2</v>
      </c>
      <c r="B5" s="1">
        <v>2000</v>
      </c>
      <c r="C5" s="1" t="str">
        <f>VLOOKUP(A5,属性配置!$A$1:$W$103,23,0)</f>
        <v>[{ "key":1,"value":5},{ "key":2,"value":4},{ "key":4,"value":3},{ "key":5,"value":3},{ "key":12,"value":45}]</v>
      </c>
      <c r="D5" s="1"/>
      <c r="E5" s="1">
        <v>3</v>
      </c>
      <c r="F5" s="1">
        <v>15</v>
      </c>
      <c r="G5">
        <f t="shared" ref="G5:G36" si="0">ROUND(B5/15/150,3)</f>
        <v>0.889</v>
      </c>
      <c r="H5">
        <f t="shared" ref="H5:H36" si="1">G5*3</f>
        <v>2.667</v>
      </c>
    </row>
    <row r="6" ht="16.5" spans="1:8">
      <c r="A6" s="1">
        <v>3</v>
      </c>
      <c r="B6" s="1">
        <v>3000</v>
      </c>
      <c r="C6" s="1" t="str">
        <f>VLOOKUP(A6,属性配置!$A$1:$W$103,23,0)</f>
        <v>[{ "key":1,"value":6},{ "key":2,"value":4},{ "key":4,"value":4},{ "key":5,"value":4},{ "key":12,"value":60}]</v>
      </c>
      <c r="D6" s="1"/>
      <c r="E6" s="1">
        <v>3</v>
      </c>
      <c r="F6" s="1">
        <v>15</v>
      </c>
      <c r="G6">
        <f t="shared" si="0"/>
        <v>1.333</v>
      </c>
      <c r="H6">
        <f t="shared" si="1"/>
        <v>3.999</v>
      </c>
    </row>
    <row r="7" ht="16.5" spans="1:8">
      <c r="A7" s="1">
        <v>4</v>
      </c>
      <c r="B7" s="1">
        <v>4000</v>
      </c>
      <c r="C7" s="1" t="str">
        <f>VLOOKUP(A7,属性配置!$A$1:$W$103,23,0)</f>
        <v>[{ "key":1,"value":7},{ "key":2,"value":5},{ "key":4,"value":4},{ "key":5,"value":4},{ "key":12,"value":60}]</v>
      </c>
      <c r="D7" s="1"/>
      <c r="E7" s="1">
        <v>3</v>
      </c>
      <c r="F7" s="1">
        <v>15</v>
      </c>
      <c r="G7">
        <f t="shared" si="0"/>
        <v>1.778</v>
      </c>
      <c r="H7">
        <f t="shared" si="1"/>
        <v>5.334</v>
      </c>
    </row>
    <row r="8" ht="16.5" spans="1:8">
      <c r="A8" s="1">
        <v>5</v>
      </c>
      <c r="B8" s="1">
        <v>5000</v>
      </c>
      <c r="C8" s="1" t="str">
        <f>VLOOKUP(A8,属性配置!$A$1:$W$103,23,0)</f>
        <v>[{ "key":1,"value":8},{ "key":2,"value":6},{ "key":4,"value":5},{ "key":5,"value":5},{ "key":12,"value":75}]</v>
      </c>
      <c r="D8" s="1"/>
      <c r="E8" s="1">
        <v>4</v>
      </c>
      <c r="F8" s="1">
        <v>15</v>
      </c>
      <c r="G8">
        <f t="shared" si="0"/>
        <v>2.222</v>
      </c>
      <c r="H8">
        <f t="shared" si="1"/>
        <v>6.666</v>
      </c>
    </row>
    <row r="9" ht="16.5" spans="1:8">
      <c r="A9" s="1">
        <v>6</v>
      </c>
      <c r="B9" s="1">
        <v>6000</v>
      </c>
      <c r="C9" s="1" t="str">
        <f>VLOOKUP(A9,属性配置!$A$1:$W$103,23,0)</f>
        <v>[{ "key":1,"value":9},{ "key":2,"value":7},{ "key":4,"value":6},{ "key":5,"value":6},{ "key":12,"value":90}]</v>
      </c>
      <c r="D9" s="1"/>
      <c r="E9" s="1">
        <v>4</v>
      </c>
      <c r="F9" s="1">
        <v>15</v>
      </c>
      <c r="G9">
        <f t="shared" si="0"/>
        <v>2.667</v>
      </c>
      <c r="H9">
        <f t="shared" si="1"/>
        <v>8.001</v>
      </c>
    </row>
    <row r="10" ht="16.5" spans="1:8">
      <c r="A10" s="1">
        <v>7</v>
      </c>
      <c r="B10" s="1">
        <v>8000</v>
      </c>
      <c r="C10" s="1" t="str">
        <f>VLOOKUP(A10,属性配置!$A$1:$W$103,23,0)</f>
        <v>[{ "key":1,"value":10},{ "key":2,"value":8},{ "key":4,"value":6},{ "key":5,"value":6},{ "key":12,"value":90}]</v>
      </c>
      <c r="D10" s="1"/>
      <c r="E10" s="1">
        <v>4</v>
      </c>
      <c r="F10" s="1">
        <v>15</v>
      </c>
      <c r="G10">
        <f t="shared" si="0"/>
        <v>3.556</v>
      </c>
      <c r="H10">
        <f t="shared" si="1"/>
        <v>10.668</v>
      </c>
    </row>
    <row r="11" ht="16.5" spans="1:8">
      <c r="A11" s="1">
        <v>8</v>
      </c>
      <c r="B11" s="1">
        <v>10000</v>
      </c>
      <c r="C11" s="1" t="str">
        <f>VLOOKUP(A11,属性配置!$A$1:$W$103,23,0)</f>
        <v>[{ "key":1,"value":11},{ "key":2,"value":9},{ "key":4,"value":7},{ "key":5,"value":7},{ "key":12,"value":105}]</v>
      </c>
      <c r="D11" s="1"/>
      <c r="E11" s="1">
        <v>4</v>
      </c>
      <c r="F11" s="1">
        <v>15</v>
      </c>
      <c r="G11">
        <f t="shared" si="0"/>
        <v>4.444</v>
      </c>
      <c r="H11">
        <f t="shared" si="1"/>
        <v>13.332</v>
      </c>
    </row>
    <row r="12" ht="16.5" spans="1:8">
      <c r="A12" s="1">
        <v>9</v>
      </c>
      <c r="B12" s="1">
        <v>12000</v>
      </c>
      <c r="C12" s="1" t="str">
        <f>VLOOKUP(A12,属性配置!$A$1:$W$103,23,0)</f>
        <v>[{ "key":1,"value":12},{ "key":2,"value":9},{ "key":4,"value":8},{ "key":5,"value":8},{ "key":12,"value":120}]</v>
      </c>
      <c r="D12" s="1"/>
      <c r="E12" s="1">
        <v>4</v>
      </c>
      <c r="F12" s="1">
        <v>15</v>
      </c>
      <c r="G12">
        <f t="shared" si="0"/>
        <v>5.333</v>
      </c>
      <c r="H12">
        <f t="shared" si="1"/>
        <v>15.999</v>
      </c>
    </row>
    <row r="13" ht="16.5" spans="1:8">
      <c r="A13" s="1">
        <v>10</v>
      </c>
      <c r="B13" s="1">
        <v>14000</v>
      </c>
      <c r="C13" s="1" t="str">
        <f>VLOOKUP(A13,属性配置!$A$1:$W$103,23,0)</f>
        <v>[{ "key":1,"value":13},{ "key":2,"value":10},{ "key":4,"value":8},{ "key":5,"value":8},{ "key":12,"value":120}]</v>
      </c>
      <c r="D13" s="1" t="s">
        <v>15</v>
      </c>
      <c r="E13" s="1">
        <v>5</v>
      </c>
      <c r="F13" s="1">
        <v>16</v>
      </c>
      <c r="G13">
        <f t="shared" si="0"/>
        <v>6.222</v>
      </c>
      <c r="H13">
        <f t="shared" si="1"/>
        <v>18.666</v>
      </c>
    </row>
    <row r="14" ht="16.5" spans="1:8">
      <c r="A14" s="1">
        <v>11</v>
      </c>
      <c r="B14" s="1">
        <v>16000</v>
      </c>
      <c r="C14" s="1" t="str">
        <f>VLOOKUP(A14,属性配置!$A$1:$W$103,23,0)</f>
        <v>[{ "key":1,"value":14},{ "key":2,"value":11},{ "key":4,"value":9},{ "key":5,"value":9},{ "key":12,"value":135}]</v>
      </c>
      <c r="D14" s="1"/>
      <c r="E14" s="1">
        <v>5</v>
      </c>
      <c r="F14" s="1">
        <v>16</v>
      </c>
      <c r="G14">
        <f t="shared" si="0"/>
        <v>7.111</v>
      </c>
      <c r="H14">
        <f t="shared" si="1"/>
        <v>21.333</v>
      </c>
    </row>
    <row r="15" ht="16.5" spans="1:8">
      <c r="A15" s="1">
        <v>12</v>
      </c>
      <c r="B15" s="1">
        <v>19000</v>
      </c>
      <c r="C15" s="1" t="str">
        <f>VLOOKUP(A15,属性配置!$A$1:$W$103,23,0)</f>
        <v>[{ "key":1,"value":15},{ "key":2,"value":12},{ "key":4,"value":10},{ "key":5,"value":10},{ "key":12,"value":150}]</v>
      </c>
      <c r="D15" s="1"/>
      <c r="E15" s="1">
        <v>5</v>
      </c>
      <c r="F15" s="1">
        <v>16</v>
      </c>
      <c r="G15">
        <f t="shared" si="0"/>
        <v>8.444</v>
      </c>
      <c r="H15">
        <f t="shared" si="1"/>
        <v>25.332</v>
      </c>
    </row>
    <row r="16" ht="16.5" spans="1:8">
      <c r="A16" s="1">
        <v>13</v>
      </c>
      <c r="B16" s="1">
        <v>22000</v>
      </c>
      <c r="C16" s="1" t="str">
        <f>VLOOKUP(A16,属性配置!$A$1:$W$103,23,0)</f>
        <v>[{ "key":1,"value":16},{ "key":2,"value":13},{ "key":4,"value":10},{ "key":5,"value":10},{ "key":12,"value":150}]</v>
      </c>
      <c r="D16" s="1"/>
      <c r="E16" s="1">
        <v>5</v>
      </c>
      <c r="F16" s="1">
        <v>16</v>
      </c>
      <c r="G16">
        <f t="shared" si="0"/>
        <v>9.778</v>
      </c>
      <c r="H16">
        <f t="shared" si="1"/>
        <v>29.334</v>
      </c>
    </row>
    <row r="17" ht="16.5" spans="1:8">
      <c r="A17" s="1">
        <v>14</v>
      </c>
      <c r="B17" s="1">
        <v>25000</v>
      </c>
      <c r="C17" s="1" t="str">
        <f>VLOOKUP(A17,属性配置!$A$1:$W$103,23,0)</f>
        <v>[{ "key":1,"value":17},{ "key":2,"value":13},{ "key":4,"value":11},{ "key":5,"value":11},{ "key":12,"value":165}]</v>
      </c>
      <c r="D17" s="1"/>
      <c r="E17" s="1">
        <v>5</v>
      </c>
      <c r="F17" s="1">
        <v>16</v>
      </c>
      <c r="G17">
        <f t="shared" si="0"/>
        <v>11.111</v>
      </c>
      <c r="H17">
        <f t="shared" si="1"/>
        <v>33.333</v>
      </c>
    </row>
    <row r="18" ht="16.5" spans="1:8">
      <c r="A18" s="1">
        <v>15</v>
      </c>
      <c r="B18" s="1">
        <v>28000</v>
      </c>
      <c r="C18" s="1" t="str">
        <f>VLOOKUP(A18,属性配置!$A$1:$W$103,23,0)</f>
        <v>[{ "key":1,"value":18},{ "key":2,"value":14},{ "key":4,"value":12},{ "key":5,"value":12},{ "key":12,"value":180}]</v>
      </c>
      <c r="D18" s="1"/>
      <c r="E18" s="1">
        <v>6</v>
      </c>
      <c r="F18" s="1">
        <v>16</v>
      </c>
      <c r="G18">
        <f t="shared" si="0"/>
        <v>12.444</v>
      </c>
      <c r="H18">
        <f t="shared" si="1"/>
        <v>37.332</v>
      </c>
    </row>
    <row r="19" ht="16.5" spans="1:8">
      <c r="A19" s="1">
        <v>16</v>
      </c>
      <c r="B19" s="1">
        <v>31000</v>
      </c>
      <c r="C19" s="1" t="str">
        <f>VLOOKUP(A19,属性配置!$A$1:$W$103,23,0)</f>
        <v>[{ "key":1,"value":19},{ "key":2,"value":15},{ "key":4,"value":12},{ "key":5,"value":12},{ "key":12,"value":180}]</v>
      </c>
      <c r="D19" s="1"/>
      <c r="E19" s="1">
        <v>6</v>
      </c>
      <c r="F19" s="1">
        <v>16</v>
      </c>
      <c r="G19">
        <f t="shared" si="0"/>
        <v>13.778</v>
      </c>
      <c r="H19">
        <f t="shared" si="1"/>
        <v>41.334</v>
      </c>
    </row>
    <row r="20" ht="16.5" spans="1:8">
      <c r="A20" s="1">
        <v>17</v>
      </c>
      <c r="B20" s="1">
        <v>36000</v>
      </c>
      <c r="C20" s="1" t="str">
        <f>VLOOKUP(A20,属性配置!$A$1:$W$103,23,0)</f>
        <v>[{ "key":1,"value":20},{ "key":2,"value":16},{ "key":4,"value":13},{ "key":5,"value":13},{ "key":12,"value":195}]</v>
      </c>
      <c r="D20" s="1"/>
      <c r="E20" s="1">
        <v>6</v>
      </c>
      <c r="F20" s="1">
        <v>16</v>
      </c>
      <c r="G20">
        <f t="shared" si="0"/>
        <v>16</v>
      </c>
      <c r="H20">
        <f t="shared" si="1"/>
        <v>48</v>
      </c>
    </row>
    <row r="21" ht="16.5" spans="1:8">
      <c r="A21" s="1">
        <v>18</v>
      </c>
      <c r="B21" s="1">
        <v>41000</v>
      </c>
      <c r="C21" s="1" t="str">
        <f>VLOOKUP(A21,属性配置!$A$1:$W$103,23,0)</f>
        <v>[{ "key":1,"value":21},{ "key":2,"value":17},{ "key":4,"value":14},{ "key":5,"value":14},{ "key":12,"value":210}]</v>
      </c>
      <c r="D21" s="1"/>
      <c r="E21" s="1">
        <v>6</v>
      </c>
      <c r="F21" s="1">
        <v>16</v>
      </c>
      <c r="G21">
        <f t="shared" si="0"/>
        <v>18.222</v>
      </c>
      <c r="H21">
        <f t="shared" si="1"/>
        <v>54.666</v>
      </c>
    </row>
    <row r="22" ht="16.5" spans="1:8">
      <c r="A22" s="1">
        <v>19</v>
      </c>
      <c r="B22" s="1">
        <v>46000</v>
      </c>
      <c r="C22" s="1" t="str">
        <f>VLOOKUP(A22,属性配置!$A$1:$W$103,23,0)</f>
        <v>[{ "key":1,"value":22},{ "key":2,"value":18},{ "key":4,"value":14},{ "key":5,"value":14},{ "key":12,"value":210}]</v>
      </c>
      <c r="D22" s="1"/>
      <c r="E22" s="1">
        <v>6</v>
      </c>
      <c r="F22" s="1">
        <v>16</v>
      </c>
      <c r="G22">
        <f t="shared" si="0"/>
        <v>20.444</v>
      </c>
      <c r="H22">
        <f t="shared" si="1"/>
        <v>61.332</v>
      </c>
    </row>
    <row r="23" ht="16.5" spans="1:8">
      <c r="A23" s="1">
        <v>20</v>
      </c>
      <c r="B23" s="1">
        <v>51000</v>
      </c>
      <c r="C23" s="1" t="str">
        <f>VLOOKUP(A23,属性配置!$A$1:$W$103,23,0)</f>
        <v>[{ "key":1,"value":23},{ "key":2,"value":18},{ "key":4,"value":15},{ "key":5,"value":15},{ "key":12,"value":225}]</v>
      </c>
      <c r="D23" s="1" t="s">
        <v>16</v>
      </c>
      <c r="E23" s="1">
        <v>7</v>
      </c>
      <c r="F23" s="1">
        <v>17</v>
      </c>
      <c r="G23">
        <f t="shared" si="0"/>
        <v>22.667</v>
      </c>
      <c r="H23">
        <f t="shared" si="1"/>
        <v>68.001</v>
      </c>
    </row>
    <row r="24" ht="16.5" spans="1:8">
      <c r="A24" s="1">
        <v>21</v>
      </c>
      <c r="B24" s="1">
        <v>56000</v>
      </c>
      <c r="C24" s="1" t="str">
        <f>VLOOKUP(A24,属性配置!$A$1:$W$103,23,0)</f>
        <v>[{ "key":1,"value":24},{ "key":2,"value":19},{ "key":4,"value":16},{ "key":5,"value":16},{ "key":12,"value":240}]</v>
      </c>
      <c r="D24" s="1"/>
      <c r="E24" s="1">
        <v>7</v>
      </c>
      <c r="F24" s="1">
        <v>17</v>
      </c>
      <c r="G24">
        <f t="shared" si="0"/>
        <v>24.889</v>
      </c>
      <c r="H24">
        <f t="shared" si="1"/>
        <v>74.667</v>
      </c>
    </row>
    <row r="25" ht="16.5" spans="1:8">
      <c r="A25" s="1">
        <v>22</v>
      </c>
      <c r="B25" s="1">
        <v>66000</v>
      </c>
      <c r="C25" s="1" t="str">
        <f>VLOOKUP(A25,属性配置!$A$1:$W$103,23,0)</f>
        <v>[{ "key":1,"value":25},{ "key":2,"value":20},{ "key":4,"value":16},{ "key":5,"value":16},{ "key":12,"value":240}]</v>
      </c>
      <c r="D25" s="1"/>
      <c r="E25" s="1">
        <v>7</v>
      </c>
      <c r="F25" s="1">
        <v>17</v>
      </c>
      <c r="G25">
        <f t="shared" si="0"/>
        <v>29.333</v>
      </c>
      <c r="H25">
        <f t="shared" si="1"/>
        <v>87.999</v>
      </c>
    </row>
    <row r="26" ht="16.5" spans="1:8">
      <c r="A26" s="1">
        <v>23</v>
      </c>
      <c r="B26" s="1">
        <v>76000</v>
      </c>
      <c r="C26" s="1" t="str">
        <f>VLOOKUP(A26,属性配置!$A$1:$W$103,23,0)</f>
        <v>[{ "key":1,"value":26},{ "key":2,"value":21},{ "key":4,"value":17},{ "key":5,"value":17},{ "key":12,"value":255}]</v>
      </c>
      <c r="D26" s="1"/>
      <c r="E26" s="1">
        <v>7</v>
      </c>
      <c r="F26" s="1">
        <v>17</v>
      </c>
      <c r="G26">
        <f t="shared" si="0"/>
        <v>33.778</v>
      </c>
      <c r="H26">
        <f t="shared" si="1"/>
        <v>101.334</v>
      </c>
    </row>
    <row r="27" ht="16.5" spans="1:8">
      <c r="A27" s="1">
        <v>24</v>
      </c>
      <c r="B27" s="1">
        <v>86000</v>
      </c>
      <c r="C27" s="1" t="str">
        <f>VLOOKUP(A27,属性配置!$A$1:$W$103,23,0)</f>
        <v>[{ "key":1,"value":27},{ "key":2,"value":22},{ "key":4,"value":18},{ "key":5,"value":18},{ "key":12,"value":270}]</v>
      </c>
      <c r="D27" s="1"/>
      <c r="E27" s="1">
        <v>7</v>
      </c>
      <c r="F27" s="1">
        <v>17</v>
      </c>
      <c r="G27">
        <f t="shared" si="0"/>
        <v>38.222</v>
      </c>
      <c r="H27">
        <f t="shared" si="1"/>
        <v>114.666</v>
      </c>
    </row>
    <row r="28" ht="16.5" spans="1:8">
      <c r="A28" s="1">
        <v>25</v>
      </c>
      <c r="B28" s="1">
        <v>96000</v>
      </c>
      <c r="C28" s="1" t="str">
        <f>VLOOKUP(A28,属性配置!$A$1:$W$103,23,0)</f>
        <v>[{ "key":1,"value":28},{ "key":2,"value":22},{ "key":4,"value":18},{ "key":5,"value":18},{ "key":12,"value":270}]</v>
      </c>
      <c r="D28" s="1"/>
      <c r="E28" s="1">
        <v>8</v>
      </c>
      <c r="F28" s="1">
        <v>17</v>
      </c>
      <c r="G28">
        <f t="shared" si="0"/>
        <v>42.667</v>
      </c>
      <c r="H28">
        <f t="shared" si="1"/>
        <v>128.001</v>
      </c>
    </row>
    <row r="29" ht="16.5" spans="1:8">
      <c r="A29" s="1">
        <v>26</v>
      </c>
      <c r="B29" s="1">
        <v>106000</v>
      </c>
      <c r="C29" s="1" t="str">
        <f>VLOOKUP(A29,属性配置!$A$1:$W$103,23,0)</f>
        <v>[{ "key":1,"value":29},{ "key":2,"value":23},{ "key":4,"value":19},{ "key":5,"value":19},{ "key":12,"value":285}]</v>
      </c>
      <c r="D29" s="1"/>
      <c r="E29" s="1">
        <v>8</v>
      </c>
      <c r="F29" s="1">
        <v>17</v>
      </c>
      <c r="G29">
        <f t="shared" si="0"/>
        <v>47.111</v>
      </c>
      <c r="H29">
        <f t="shared" si="1"/>
        <v>141.333</v>
      </c>
    </row>
    <row r="30" ht="16.5" spans="1:8">
      <c r="A30" s="1">
        <v>27</v>
      </c>
      <c r="B30" s="1">
        <v>121000</v>
      </c>
      <c r="C30" s="1" t="str">
        <f>VLOOKUP(A30,属性配置!$A$1:$W$103,23,0)</f>
        <v>[{ "key":1,"value":30},{ "key":2,"value":24},{ "key":4,"value":20},{ "key":5,"value":20},{ "key":12,"value":300}]</v>
      </c>
      <c r="D30" s="1"/>
      <c r="E30" s="1">
        <v>8</v>
      </c>
      <c r="F30" s="1">
        <v>17</v>
      </c>
      <c r="G30">
        <f t="shared" si="0"/>
        <v>53.778</v>
      </c>
      <c r="H30">
        <f t="shared" si="1"/>
        <v>161.334</v>
      </c>
    </row>
    <row r="31" ht="16.5" spans="1:8">
      <c r="A31" s="1">
        <v>28</v>
      </c>
      <c r="B31" s="1">
        <v>136000</v>
      </c>
      <c r="C31" s="1" t="str">
        <f>VLOOKUP(A31,属性配置!$A$1:$W$103,23,0)</f>
        <v>[{ "key":1,"value":31},{ "key":2,"value":25},{ "key":4,"value":20},{ "key":5,"value":20},{ "key":12,"value":300}]</v>
      </c>
      <c r="D31" s="1"/>
      <c r="E31" s="1">
        <v>8</v>
      </c>
      <c r="F31" s="1">
        <v>17</v>
      </c>
      <c r="G31">
        <f t="shared" si="0"/>
        <v>60.444</v>
      </c>
      <c r="H31">
        <f t="shared" si="1"/>
        <v>181.332</v>
      </c>
    </row>
    <row r="32" ht="16.5" spans="1:8">
      <c r="A32" s="1">
        <v>29</v>
      </c>
      <c r="B32" s="1">
        <v>151000</v>
      </c>
      <c r="C32" s="1" t="str">
        <f>VLOOKUP(A32,属性配置!$A$1:$W$103,23,0)</f>
        <v>[{ "key":1,"value":32},{ "key":2,"value":26},{ "key":4,"value":21},{ "key":5,"value":21},{ "key":12,"value":315}]</v>
      </c>
      <c r="D32" s="1"/>
      <c r="E32" s="1">
        <v>8</v>
      </c>
      <c r="F32" s="1">
        <v>17</v>
      </c>
      <c r="G32">
        <f t="shared" si="0"/>
        <v>67.111</v>
      </c>
      <c r="H32">
        <f t="shared" si="1"/>
        <v>201.333</v>
      </c>
    </row>
    <row r="33" ht="16.5" spans="1:8">
      <c r="A33" s="1">
        <v>30</v>
      </c>
      <c r="B33" s="1">
        <v>166000</v>
      </c>
      <c r="C33" s="1" t="str">
        <f>VLOOKUP(A33,属性配置!$A$1:$W$103,23,0)</f>
        <v>[{ "key":1,"value":33},{ "key":2,"value":27},{ "key":4,"value":22},{ "key":5,"value":22},{ "key":12,"value":330}]</v>
      </c>
      <c r="D33" s="1" t="s">
        <v>17</v>
      </c>
      <c r="E33" s="1">
        <v>9</v>
      </c>
      <c r="F33" s="1">
        <v>18</v>
      </c>
      <c r="G33">
        <f t="shared" si="0"/>
        <v>73.778</v>
      </c>
      <c r="H33">
        <f t="shared" si="1"/>
        <v>221.334</v>
      </c>
    </row>
    <row r="34" ht="16.5" spans="1:8">
      <c r="A34" s="1">
        <v>31</v>
      </c>
      <c r="B34" s="1">
        <v>181000</v>
      </c>
      <c r="C34" s="1" t="str">
        <f>VLOOKUP(A34,属性配置!$A$1:$W$103,23,0)</f>
        <v>[{ "key":1,"value":34},{ "key":2,"value":27},{ "key":4,"value":22},{ "key":5,"value":22},{ "key":12,"value":330}]</v>
      </c>
      <c r="D34" s="1"/>
      <c r="E34" s="1">
        <v>9</v>
      </c>
      <c r="F34" s="1">
        <v>18</v>
      </c>
      <c r="G34">
        <f t="shared" si="0"/>
        <v>80.444</v>
      </c>
      <c r="H34">
        <f t="shared" si="1"/>
        <v>241.332</v>
      </c>
    </row>
    <row r="35" ht="16.5" spans="1:8">
      <c r="A35" s="1">
        <v>32</v>
      </c>
      <c r="B35" s="1">
        <v>201000</v>
      </c>
      <c r="C35" s="1" t="str">
        <f>VLOOKUP(A35,属性配置!$A$1:$W$103,23,0)</f>
        <v>[{ "key":1,"value":35},{ "key":2,"value":28},{ "key":4,"value":23},{ "key":5,"value":23},{ "key":12,"value":345}]</v>
      </c>
      <c r="D35" s="1"/>
      <c r="E35" s="1">
        <v>9</v>
      </c>
      <c r="F35" s="1">
        <v>18</v>
      </c>
      <c r="G35">
        <f t="shared" si="0"/>
        <v>89.333</v>
      </c>
      <c r="H35">
        <f t="shared" si="1"/>
        <v>267.999</v>
      </c>
    </row>
    <row r="36" ht="16.5" spans="1:8">
      <c r="A36" s="1">
        <v>33</v>
      </c>
      <c r="B36" s="1">
        <v>221000</v>
      </c>
      <c r="C36" s="1" t="str">
        <f>VLOOKUP(A36,属性配置!$A$1:$W$103,23,0)</f>
        <v>[{ "key":1,"value":36},{ "key":2,"value":29},{ "key":4,"value":24},{ "key":5,"value":24},{ "key":12,"value":360}]</v>
      </c>
      <c r="D36" s="1"/>
      <c r="E36" s="1">
        <v>9</v>
      </c>
      <c r="F36" s="1">
        <v>18</v>
      </c>
      <c r="G36">
        <f t="shared" si="0"/>
        <v>98.222</v>
      </c>
      <c r="H36">
        <f t="shared" si="1"/>
        <v>294.666</v>
      </c>
    </row>
    <row r="37" ht="16.5" spans="1:8">
      <c r="A37" s="1">
        <v>34</v>
      </c>
      <c r="B37" s="1">
        <v>241000</v>
      </c>
      <c r="C37" s="1" t="str">
        <f>VLOOKUP(A37,属性配置!$A$1:$W$103,23,0)</f>
        <v>[{ "key":1,"value":37},{ "key":2,"value":30},{ "key":4,"value":24},{ "key":5,"value":24},{ "key":12,"value":360}]</v>
      </c>
      <c r="D37" s="1"/>
      <c r="E37" s="1">
        <v>9</v>
      </c>
      <c r="F37" s="1">
        <v>18</v>
      </c>
      <c r="G37">
        <f t="shared" ref="G37:G53" si="2">ROUND(B37/15/150,3)</f>
        <v>107.111</v>
      </c>
      <c r="H37">
        <f t="shared" ref="H37:H53" si="3">G37*3</f>
        <v>321.333</v>
      </c>
    </row>
    <row r="38" ht="16.5" spans="1:8">
      <c r="A38" s="1">
        <v>35</v>
      </c>
      <c r="B38" s="1">
        <v>261000</v>
      </c>
      <c r="C38" s="1" t="str">
        <f>VLOOKUP(A38,属性配置!$A$1:$W$103,23,0)</f>
        <v>[{ "key":1,"value":38},{ "key":2,"value":31},{ "key":4,"value":25},{ "key":5,"value":25},{ "key":12,"value":375}]</v>
      </c>
      <c r="D38" s="1"/>
      <c r="E38" s="1">
        <v>10</v>
      </c>
      <c r="F38" s="1">
        <v>18</v>
      </c>
      <c r="G38">
        <f t="shared" si="2"/>
        <v>116</v>
      </c>
      <c r="H38">
        <f t="shared" si="3"/>
        <v>348</v>
      </c>
    </row>
    <row r="39" ht="16.5" spans="1:8">
      <c r="A39" s="1">
        <v>36</v>
      </c>
      <c r="B39" s="1">
        <v>281000</v>
      </c>
      <c r="C39" s="1" t="str">
        <f>VLOOKUP(A39,属性配置!$A$1:$W$103,23,0)</f>
        <v>[{ "key":1,"value":39},{ "key":2,"value":31},{ "key":4,"value":26},{ "key":5,"value":26},{ "key":12,"value":390}]</v>
      </c>
      <c r="D39" s="1"/>
      <c r="E39" s="1">
        <v>10</v>
      </c>
      <c r="F39" s="1">
        <v>18</v>
      </c>
      <c r="G39">
        <f t="shared" si="2"/>
        <v>124.889</v>
      </c>
      <c r="H39">
        <f t="shared" si="3"/>
        <v>374.667</v>
      </c>
    </row>
    <row r="40" ht="16.5" spans="1:8">
      <c r="A40" s="1">
        <v>37</v>
      </c>
      <c r="B40" s="1">
        <v>311000</v>
      </c>
      <c r="C40" s="1" t="str">
        <f>VLOOKUP(A40,属性配置!$A$1:$W$103,23,0)</f>
        <v>[{ "key":1,"value":40},{ "key":2,"value":32},{ "key":4,"value":26},{ "key":5,"value":26},{ "key":12,"value":390}]</v>
      </c>
      <c r="D40" s="1"/>
      <c r="E40" s="1">
        <v>10</v>
      </c>
      <c r="F40" s="1">
        <v>18</v>
      </c>
      <c r="G40">
        <f t="shared" si="2"/>
        <v>138.222</v>
      </c>
      <c r="H40">
        <f t="shared" si="3"/>
        <v>414.666</v>
      </c>
    </row>
    <row r="41" ht="16.5" spans="1:8">
      <c r="A41" s="1">
        <v>38</v>
      </c>
      <c r="B41" s="1">
        <v>341000</v>
      </c>
      <c r="C41" s="1" t="str">
        <f>VLOOKUP(A41,属性配置!$A$1:$W$103,23,0)</f>
        <v>[{ "key":1,"value":41},{ "key":2,"value":33},{ "key":4,"value":27},{ "key":5,"value":27},{ "key":12,"value":405}]</v>
      </c>
      <c r="D41" s="1"/>
      <c r="E41" s="1">
        <v>10</v>
      </c>
      <c r="F41" s="1">
        <v>18</v>
      </c>
      <c r="G41">
        <f t="shared" si="2"/>
        <v>151.556</v>
      </c>
      <c r="H41">
        <f t="shared" si="3"/>
        <v>454.668</v>
      </c>
    </row>
    <row r="42" ht="16.5" spans="1:8">
      <c r="A42" s="1">
        <v>39</v>
      </c>
      <c r="B42" s="1">
        <v>371000</v>
      </c>
      <c r="C42" s="1" t="str">
        <f>VLOOKUP(A42,属性配置!$A$1:$W$103,23,0)</f>
        <v>[{ "key":1,"value":42},{ "key":2,"value":34},{ "key":4,"value":28},{ "key":5,"value":28},{ "key":12,"value":420}]</v>
      </c>
      <c r="D42" s="1"/>
      <c r="E42" s="1">
        <v>10</v>
      </c>
      <c r="F42" s="1">
        <v>18</v>
      </c>
      <c r="G42">
        <f t="shared" si="2"/>
        <v>164.889</v>
      </c>
      <c r="H42">
        <f t="shared" si="3"/>
        <v>494.667</v>
      </c>
    </row>
    <row r="43" ht="16.5" spans="1:8">
      <c r="A43" s="1">
        <v>40</v>
      </c>
      <c r="B43" s="1">
        <v>401000</v>
      </c>
      <c r="C43" s="1" t="str">
        <f>VLOOKUP(A43,属性配置!$A$1:$W$103,23,0)</f>
        <v>[{ "key":1,"value":43},{ "key":2,"value":35},{ "key":4,"value":28},{ "key":5,"value":28},{ "key":12,"value":420}]</v>
      </c>
      <c r="D43" s="1" t="s">
        <v>18</v>
      </c>
      <c r="E43" s="1">
        <v>11</v>
      </c>
      <c r="F43" s="1">
        <v>19</v>
      </c>
      <c r="G43">
        <f t="shared" si="2"/>
        <v>178.222</v>
      </c>
      <c r="H43">
        <f t="shared" si="3"/>
        <v>534.666</v>
      </c>
    </row>
    <row r="44" ht="16.5" spans="1:8">
      <c r="A44" s="1">
        <v>41</v>
      </c>
      <c r="B44" s="1">
        <v>431000</v>
      </c>
      <c r="C44" s="1" t="str">
        <f>VLOOKUP(A44,属性配置!$A$1:$W$103,23,0)</f>
        <v>[{ "key":1,"value":44},{ "key":2,"value":36},{ "key":4,"value":29},{ "key":5,"value":29},{ "key":12,"value":435}]</v>
      </c>
      <c r="D44" s="1"/>
      <c r="E44" s="1">
        <v>11</v>
      </c>
      <c r="F44" s="1">
        <v>19</v>
      </c>
      <c r="G44">
        <f t="shared" si="2"/>
        <v>191.556</v>
      </c>
      <c r="H44">
        <f t="shared" si="3"/>
        <v>574.668</v>
      </c>
    </row>
    <row r="45" ht="16.5" spans="1:8">
      <c r="A45" s="1">
        <v>42</v>
      </c>
      <c r="B45" s="1">
        <v>481000</v>
      </c>
      <c r="C45" s="1" t="str">
        <f>VLOOKUP(A45,属性配置!$A$1:$W$103,23,0)</f>
        <v>[{ "key":1,"value":45},{ "key":2,"value":36},{ "key":4,"value":30},{ "key":5,"value":30},{ "key":12,"value":450}]</v>
      </c>
      <c r="D45" s="1"/>
      <c r="E45" s="1">
        <v>11</v>
      </c>
      <c r="F45" s="1">
        <v>19</v>
      </c>
      <c r="G45">
        <f t="shared" si="2"/>
        <v>213.778</v>
      </c>
      <c r="H45">
        <f t="shared" si="3"/>
        <v>641.334</v>
      </c>
    </row>
    <row r="46" ht="16.5" spans="1:8">
      <c r="A46" s="1">
        <v>43</v>
      </c>
      <c r="B46" s="1">
        <v>531000</v>
      </c>
      <c r="C46" s="1" t="str">
        <f>VLOOKUP(A46,属性配置!$A$1:$W$103,23,0)</f>
        <v>[{ "key":1,"value":46},{ "key":2,"value":37},{ "key":4,"value":30},{ "key":5,"value":30},{ "key":12,"value":450}]</v>
      </c>
      <c r="D46" s="1"/>
      <c r="E46" s="1">
        <v>11</v>
      </c>
      <c r="F46" s="1">
        <v>19</v>
      </c>
      <c r="G46">
        <f t="shared" si="2"/>
        <v>236</v>
      </c>
      <c r="H46">
        <f t="shared" si="3"/>
        <v>708</v>
      </c>
    </row>
    <row r="47" ht="16.5" spans="1:8">
      <c r="A47" s="1">
        <v>44</v>
      </c>
      <c r="B47" s="1">
        <v>581000</v>
      </c>
      <c r="C47" s="1" t="str">
        <f>VLOOKUP(A47,属性配置!$A$1:$W$103,23,0)</f>
        <v>[{ "key":1,"value":47},{ "key":2,"value":38},{ "key":4,"value":31},{ "key":5,"value":31},{ "key":12,"value":465}]</v>
      </c>
      <c r="D47" s="1"/>
      <c r="E47" s="1">
        <v>11</v>
      </c>
      <c r="F47" s="1">
        <v>19</v>
      </c>
      <c r="G47">
        <f t="shared" si="2"/>
        <v>258.222</v>
      </c>
      <c r="H47">
        <f t="shared" si="3"/>
        <v>774.666</v>
      </c>
    </row>
    <row r="48" ht="16.5" spans="1:8">
      <c r="A48" s="1">
        <v>45</v>
      </c>
      <c r="B48" s="1">
        <v>631000</v>
      </c>
      <c r="C48" s="1" t="str">
        <f>VLOOKUP(A48,属性配置!$A$1:$W$103,23,0)</f>
        <v>[{ "key":1,"value":48},{ "key":2,"value":39},{ "key":4,"value":32},{ "key":5,"value":32},{ "key":12,"value":480}]</v>
      </c>
      <c r="D48" s="1"/>
      <c r="E48" s="1">
        <v>12</v>
      </c>
      <c r="F48" s="1">
        <v>19</v>
      </c>
      <c r="G48">
        <f t="shared" si="2"/>
        <v>280.444</v>
      </c>
      <c r="H48">
        <f t="shared" si="3"/>
        <v>841.332</v>
      </c>
    </row>
    <row r="49" ht="16.5" spans="1:8">
      <c r="A49" s="1">
        <v>46</v>
      </c>
      <c r="B49" s="1">
        <v>681000</v>
      </c>
      <c r="C49" s="1" t="str">
        <f>VLOOKUP(A49,属性配置!$A$1:$W$103,23,0)</f>
        <v>[{ "key":1,"value":49},{ "key":2,"value":40},{ "key":4,"value":32},{ "key":5,"value":32},{ "key":12,"value":480}]</v>
      </c>
      <c r="D49" s="1"/>
      <c r="E49" s="1">
        <v>12</v>
      </c>
      <c r="F49" s="1">
        <v>19</v>
      </c>
      <c r="G49">
        <f t="shared" si="2"/>
        <v>302.667</v>
      </c>
      <c r="H49">
        <f t="shared" si="3"/>
        <v>908.001</v>
      </c>
    </row>
    <row r="50" ht="16.5" spans="1:8">
      <c r="A50" s="1">
        <v>47</v>
      </c>
      <c r="B50" s="1">
        <v>781000</v>
      </c>
      <c r="C50" s="1" t="str">
        <f>VLOOKUP(A50,属性配置!$A$1:$W$103,23,0)</f>
        <v>[{ "key":1,"value":50},{ "key":2,"value":41},{ "key":4,"value":33},{ "key":5,"value":33},{ "key":12,"value":495}]</v>
      </c>
      <c r="D50" s="1"/>
      <c r="E50" s="1">
        <v>12</v>
      </c>
      <c r="F50" s="1">
        <v>19</v>
      </c>
      <c r="G50">
        <f t="shared" si="2"/>
        <v>347.111</v>
      </c>
      <c r="H50">
        <f t="shared" si="3"/>
        <v>1041.333</v>
      </c>
    </row>
    <row r="51" ht="16.5" spans="1:8">
      <c r="A51" s="1">
        <v>48</v>
      </c>
      <c r="B51" s="1">
        <v>881000</v>
      </c>
      <c r="C51" s="1" t="str">
        <f>VLOOKUP(A51,属性配置!$A$1:$W$103,23,0)</f>
        <v>[{ "key":1,"value":51},{ "key":2,"value":41},{ "key":4,"value":34},{ "key":5,"value":34},{ "key":12,"value":510}]</v>
      </c>
      <c r="D51" s="1"/>
      <c r="E51" s="1">
        <v>12</v>
      </c>
      <c r="F51" s="1">
        <v>19</v>
      </c>
      <c r="G51">
        <f t="shared" si="2"/>
        <v>391.556</v>
      </c>
      <c r="H51">
        <f t="shared" si="3"/>
        <v>1174.668</v>
      </c>
    </row>
    <row r="52" ht="16.5" spans="1:8">
      <c r="A52" s="1">
        <v>49</v>
      </c>
      <c r="B52" s="1">
        <v>981000</v>
      </c>
      <c r="C52" s="1" t="str">
        <f>VLOOKUP(A52,属性配置!$A$1:$W$103,23,0)</f>
        <v>[{ "key":1,"value":52},{ "key":2,"value":42},{ "key":4,"value":34},{ "key":5,"value":34},{ "key":12,"value":510}]</v>
      </c>
      <c r="D52" s="1"/>
      <c r="E52" s="1">
        <v>12</v>
      </c>
      <c r="F52" s="1">
        <v>19</v>
      </c>
      <c r="G52">
        <f t="shared" si="2"/>
        <v>436</v>
      </c>
      <c r="H52">
        <f t="shared" si="3"/>
        <v>1308</v>
      </c>
    </row>
    <row r="53" ht="16.5" spans="1:8">
      <c r="A53" s="1">
        <v>50</v>
      </c>
      <c r="B53" s="1">
        <v>1081000</v>
      </c>
      <c r="C53" s="1" t="str">
        <f>VLOOKUP(A53,属性配置!$A$1:$W$103,23,0)</f>
        <v>[{ "key":1,"value":53},{ "key":2,"value":43},{ "key":4,"value":35},{ "key":5,"value":35},{ "key":12,"value":525}]</v>
      </c>
      <c r="D53" s="1" t="s">
        <v>19</v>
      </c>
      <c r="E53" s="1">
        <v>13</v>
      </c>
      <c r="F53" s="1">
        <v>20</v>
      </c>
      <c r="G53">
        <f t="shared" si="2"/>
        <v>480.444</v>
      </c>
      <c r="H53">
        <f t="shared" si="3"/>
        <v>1441.332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1"/>
  <sheetViews>
    <sheetView topLeftCell="C85" workbookViewId="0">
      <selection activeCell="W2" sqref="W2:W101"/>
    </sheetView>
  </sheetViews>
  <sheetFormatPr defaultColWidth="9" defaultRowHeight="13.5"/>
  <sheetData>
    <row r="1" spans="1:2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</row>
    <row r="2" spans="1:23">
      <c r="A2">
        <v>1</v>
      </c>
      <c r="B2" t="s">
        <v>43</v>
      </c>
      <c r="C2">
        <v>1</v>
      </c>
      <c r="D2" t="s">
        <v>44</v>
      </c>
      <c r="E2">
        <v>0</v>
      </c>
      <c r="F2" t="s">
        <v>45</v>
      </c>
      <c r="G2">
        <v>2</v>
      </c>
      <c r="H2" t="s">
        <v>44</v>
      </c>
      <c r="I2">
        <v>0</v>
      </c>
      <c r="J2" t="s">
        <v>45</v>
      </c>
      <c r="K2">
        <v>4</v>
      </c>
      <c r="L2" t="s">
        <v>44</v>
      </c>
      <c r="M2">
        <v>0</v>
      </c>
      <c r="N2" t="s">
        <v>45</v>
      </c>
      <c r="O2">
        <v>5</v>
      </c>
      <c r="P2" t="s">
        <v>44</v>
      </c>
      <c r="Q2">
        <v>0</v>
      </c>
      <c r="R2" t="s">
        <v>45</v>
      </c>
      <c r="S2">
        <v>12</v>
      </c>
      <c r="T2" t="s">
        <v>44</v>
      </c>
      <c r="U2">
        <v>0</v>
      </c>
      <c r="V2" t="s">
        <v>46</v>
      </c>
      <c r="W2" t="str">
        <f>B2&amp;C2&amp;D2&amp;E2&amp;F2&amp;G2&amp;H2&amp;I2&amp;J2&amp;K2&amp;L2&amp;M2&amp;N2&amp;O2&amp;P2&amp;Q2&amp;R2&amp;S2&amp;T2&amp;U2&amp;V2</f>
        <v>[{ "key":1,"value":0},{ "key":2,"value":0},{ "key":4,"value":0},{ "key":5,"value":0},{ "key":12,"value":0}]</v>
      </c>
    </row>
    <row r="3" spans="1:23">
      <c r="A3">
        <v>2</v>
      </c>
      <c r="B3" t="s">
        <v>43</v>
      </c>
      <c r="C3">
        <v>1</v>
      </c>
      <c r="D3" t="s">
        <v>44</v>
      </c>
      <c r="E3">
        <v>5</v>
      </c>
      <c r="F3" t="s">
        <v>45</v>
      </c>
      <c r="G3">
        <v>2</v>
      </c>
      <c r="H3" t="s">
        <v>44</v>
      </c>
      <c r="I3">
        <f>INT(E3*0.82)</f>
        <v>4</v>
      </c>
      <c r="J3" t="s">
        <v>45</v>
      </c>
      <c r="K3">
        <v>4</v>
      </c>
      <c r="L3" t="s">
        <v>44</v>
      </c>
      <c r="M3">
        <f>INT(E3/1.5)</f>
        <v>3</v>
      </c>
      <c r="N3" t="s">
        <v>45</v>
      </c>
      <c r="O3">
        <v>5</v>
      </c>
      <c r="P3" t="s">
        <v>44</v>
      </c>
      <c r="Q3">
        <f>M3</f>
        <v>3</v>
      </c>
      <c r="R3" t="s">
        <v>45</v>
      </c>
      <c r="S3">
        <v>12</v>
      </c>
      <c r="T3" t="s">
        <v>44</v>
      </c>
      <c r="U3">
        <f>M3*15</f>
        <v>45</v>
      </c>
      <c r="V3" t="s">
        <v>46</v>
      </c>
      <c r="W3" t="str">
        <f t="shared" ref="W3:W34" si="0">B3&amp;C3&amp;D3&amp;E3&amp;F3&amp;G3&amp;H3&amp;I3&amp;J3&amp;K3&amp;L3&amp;M3&amp;N3&amp;O3&amp;P3&amp;Q3&amp;R3&amp;S3&amp;T3&amp;U3&amp;V3</f>
        <v>[{ "key":1,"value":5},{ "key":2,"value":4},{ "key":4,"value":3},{ "key":5,"value":3},{ "key":12,"value":45}]</v>
      </c>
    </row>
    <row r="4" spans="1:23">
      <c r="A4">
        <v>3</v>
      </c>
      <c r="B4" t="s">
        <v>43</v>
      </c>
      <c r="C4">
        <v>1</v>
      </c>
      <c r="D4" t="s">
        <v>44</v>
      </c>
      <c r="E4">
        <v>6</v>
      </c>
      <c r="F4" t="s">
        <v>45</v>
      </c>
      <c r="G4">
        <v>2</v>
      </c>
      <c r="H4" t="s">
        <v>44</v>
      </c>
      <c r="I4">
        <f t="shared" ref="I4:I35" si="1">INT(E4*0.82)</f>
        <v>4</v>
      </c>
      <c r="J4" t="s">
        <v>45</v>
      </c>
      <c r="K4">
        <v>4</v>
      </c>
      <c r="L4" t="s">
        <v>44</v>
      </c>
      <c r="M4">
        <f t="shared" ref="M4:M35" si="2">INT(E4/1.5)</f>
        <v>4</v>
      </c>
      <c r="N4" t="s">
        <v>45</v>
      </c>
      <c r="O4">
        <v>5</v>
      </c>
      <c r="P4" t="s">
        <v>44</v>
      </c>
      <c r="Q4">
        <f t="shared" ref="Q4:Q35" si="3">M4</f>
        <v>4</v>
      </c>
      <c r="R4" t="s">
        <v>45</v>
      </c>
      <c r="S4">
        <v>12</v>
      </c>
      <c r="T4" t="s">
        <v>44</v>
      </c>
      <c r="U4">
        <f t="shared" ref="U4:U35" si="4">M4*15</f>
        <v>60</v>
      </c>
      <c r="V4" t="s">
        <v>46</v>
      </c>
      <c r="W4" t="str">
        <f t="shared" si="0"/>
        <v>[{ "key":1,"value":6},{ "key":2,"value":4},{ "key":4,"value":4},{ "key":5,"value":4},{ "key":12,"value":60}]</v>
      </c>
    </row>
    <row r="5" spans="1:23">
      <c r="A5">
        <v>4</v>
      </c>
      <c r="B5" t="s">
        <v>43</v>
      </c>
      <c r="C5">
        <v>1</v>
      </c>
      <c r="D5" t="s">
        <v>44</v>
      </c>
      <c r="E5">
        <v>7</v>
      </c>
      <c r="F5" t="s">
        <v>45</v>
      </c>
      <c r="G5">
        <v>2</v>
      </c>
      <c r="H5" t="s">
        <v>44</v>
      </c>
      <c r="I5">
        <f t="shared" si="1"/>
        <v>5</v>
      </c>
      <c r="J5" t="s">
        <v>45</v>
      </c>
      <c r="K5">
        <v>4</v>
      </c>
      <c r="L5" t="s">
        <v>44</v>
      </c>
      <c r="M5">
        <f t="shared" si="2"/>
        <v>4</v>
      </c>
      <c r="N5" t="s">
        <v>45</v>
      </c>
      <c r="O5">
        <v>5</v>
      </c>
      <c r="P5" t="s">
        <v>44</v>
      </c>
      <c r="Q5">
        <f t="shared" si="3"/>
        <v>4</v>
      </c>
      <c r="R5" t="s">
        <v>45</v>
      </c>
      <c r="S5">
        <v>12</v>
      </c>
      <c r="T5" t="s">
        <v>44</v>
      </c>
      <c r="U5">
        <f t="shared" si="4"/>
        <v>60</v>
      </c>
      <c r="V5" t="s">
        <v>46</v>
      </c>
      <c r="W5" t="str">
        <f t="shared" si="0"/>
        <v>[{ "key":1,"value":7},{ "key":2,"value":5},{ "key":4,"value":4},{ "key":5,"value":4},{ "key":12,"value":60}]</v>
      </c>
    </row>
    <row r="6" spans="1:23">
      <c r="A6">
        <v>5</v>
      </c>
      <c r="B6" t="s">
        <v>43</v>
      </c>
      <c r="C6">
        <v>1</v>
      </c>
      <c r="D6" t="s">
        <v>44</v>
      </c>
      <c r="E6">
        <v>8</v>
      </c>
      <c r="F6" t="s">
        <v>45</v>
      </c>
      <c r="G6">
        <v>2</v>
      </c>
      <c r="H6" t="s">
        <v>44</v>
      </c>
      <c r="I6">
        <f t="shared" si="1"/>
        <v>6</v>
      </c>
      <c r="J6" t="s">
        <v>45</v>
      </c>
      <c r="K6">
        <v>4</v>
      </c>
      <c r="L6" t="s">
        <v>44</v>
      </c>
      <c r="M6">
        <f t="shared" si="2"/>
        <v>5</v>
      </c>
      <c r="N6" t="s">
        <v>45</v>
      </c>
      <c r="O6">
        <v>5</v>
      </c>
      <c r="P6" t="s">
        <v>44</v>
      </c>
      <c r="Q6">
        <f t="shared" si="3"/>
        <v>5</v>
      </c>
      <c r="R6" t="s">
        <v>45</v>
      </c>
      <c r="S6">
        <v>12</v>
      </c>
      <c r="T6" t="s">
        <v>44</v>
      </c>
      <c r="U6">
        <f t="shared" si="4"/>
        <v>75</v>
      </c>
      <c r="V6" t="s">
        <v>46</v>
      </c>
      <c r="W6" t="str">
        <f t="shared" si="0"/>
        <v>[{ "key":1,"value":8},{ "key":2,"value":6},{ "key":4,"value":5},{ "key":5,"value":5},{ "key":12,"value":75}]</v>
      </c>
    </row>
    <row r="7" spans="1:23">
      <c r="A7">
        <v>6</v>
      </c>
      <c r="B7" t="s">
        <v>43</v>
      </c>
      <c r="C7">
        <v>1</v>
      </c>
      <c r="D7" t="s">
        <v>44</v>
      </c>
      <c r="E7">
        <v>9</v>
      </c>
      <c r="F7" t="s">
        <v>45</v>
      </c>
      <c r="G7">
        <v>2</v>
      </c>
      <c r="H7" t="s">
        <v>44</v>
      </c>
      <c r="I7">
        <f t="shared" si="1"/>
        <v>7</v>
      </c>
      <c r="J7" t="s">
        <v>45</v>
      </c>
      <c r="K7">
        <v>4</v>
      </c>
      <c r="L7" t="s">
        <v>44</v>
      </c>
      <c r="M7">
        <f t="shared" si="2"/>
        <v>6</v>
      </c>
      <c r="N7" t="s">
        <v>45</v>
      </c>
      <c r="O7">
        <v>5</v>
      </c>
      <c r="P7" t="s">
        <v>44</v>
      </c>
      <c r="Q7">
        <f t="shared" si="3"/>
        <v>6</v>
      </c>
      <c r="R7" t="s">
        <v>45</v>
      </c>
      <c r="S7">
        <v>12</v>
      </c>
      <c r="T7" t="s">
        <v>44</v>
      </c>
      <c r="U7">
        <f t="shared" si="4"/>
        <v>90</v>
      </c>
      <c r="V7" t="s">
        <v>46</v>
      </c>
      <c r="W7" t="str">
        <f t="shared" si="0"/>
        <v>[{ "key":1,"value":9},{ "key":2,"value":7},{ "key":4,"value":6},{ "key":5,"value":6},{ "key":12,"value":90}]</v>
      </c>
    </row>
    <row r="8" spans="1:23">
      <c r="A8">
        <v>7</v>
      </c>
      <c r="B8" t="s">
        <v>43</v>
      </c>
      <c r="C8">
        <v>1</v>
      </c>
      <c r="D8" t="s">
        <v>44</v>
      </c>
      <c r="E8">
        <v>10</v>
      </c>
      <c r="F8" t="s">
        <v>45</v>
      </c>
      <c r="G8">
        <v>2</v>
      </c>
      <c r="H8" t="s">
        <v>44</v>
      </c>
      <c r="I8">
        <f t="shared" si="1"/>
        <v>8</v>
      </c>
      <c r="J8" t="s">
        <v>45</v>
      </c>
      <c r="K8">
        <v>4</v>
      </c>
      <c r="L8" t="s">
        <v>44</v>
      </c>
      <c r="M8">
        <f t="shared" si="2"/>
        <v>6</v>
      </c>
      <c r="N8" t="s">
        <v>45</v>
      </c>
      <c r="O8">
        <v>5</v>
      </c>
      <c r="P8" t="s">
        <v>44</v>
      </c>
      <c r="Q8">
        <f t="shared" si="3"/>
        <v>6</v>
      </c>
      <c r="R8" t="s">
        <v>45</v>
      </c>
      <c r="S8">
        <v>12</v>
      </c>
      <c r="T8" t="s">
        <v>44</v>
      </c>
      <c r="U8">
        <f t="shared" si="4"/>
        <v>90</v>
      </c>
      <c r="V8" t="s">
        <v>46</v>
      </c>
      <c r="W8" t="str">
        <f t="shared" si="0"/>
        <v>[{ "key":1,"value":10},{ "key":2,"value":8},{ "key":4,"value":6},{ "key":5,"value":6},{ "key":12,"value":90}]</v>
      </c>
    </row>
    <row r="9" spans="1:23">
      <c r="A9">
        <v>8</v>
      </c>
      <c r="B9" t="s">
        <v>43</v>
      </c>
      <c r="C9">
        <v>1</v>
      </c>
      <c r="D9" t="s">
        <v>44</v>
      </c>
      <c r="E9">
        <v>11</v>
      </c>
      <c r="F9" t="s">
        <v>45</v>
      </c>
      <c r="G9">
        <v>2</v>
      </c>
      <c r="H9" t="s">
        <v>44</v>
      </c>
      <c r="I9">
        <f t="shared" si="1"/>
        <v>9</v>
      </c>
      <c r="J9" t="s">
        <v>45</v>
      </c>
      <c r="K9">
        <v>4</v>
      </c>
      <c r="L9" t="s">
        <v>44</v>
      </c>
      <c r="M9">
        <f t="shared" si="2"/>
        <v>7</v>
      </c>
      <c r="N9" t="s">
        <v>45</v>
      </c>
      <c r="O9">
        <v>5</v>
      </c>
      <c r="P9" t="s">
        <v>44</v>
      </c>
      <c r="Q9">
        <f t="shared" si="3"/>
        <v>7</v>
      </c>
      <c r="R9" t="s">
        <v>45</v>
      </c>
      <c r="S9">
        <v>12</v>
      </c>
      <c r="T9" t="s">
        <v>44</v>
      </c>
      <c r="U9">
        <f t="shared" si="4"/>
        <v>105</v>
      </c>
      <c r="V9" t="s">
        <v>46</v>
      </c>
      <c r="W9" t="str">
        <f t="shared" si="0"/>
        <v>[{ "key":1,"value":11},{ "key":2,"value":9},{ "key":4,"value":7},{ "key":5,"value":7},{ "key":12,"value":105}]</v>
      </c>
    </row>
    <row r="10" spans="1:23">
      <c r="A10">
        <v>9</v>
      </c>
      <c r="B10" t="s">
        <v>43</v>
      </c>
      <c r="C10">
        <v>1</v>
      </c>
      <c r="D10" t="s">
        <v>44</v>
      </c>
      <c r="E10">
        <v>12</v>
      </c>
      <c r="F10" t="s">
        <v>45</v>
      </c>
      <c r="G10">
        <v>2</v>
      </c>
      <c r="H10" t="s">
        <v>44</v>
      </c>
      <c r="I10">
        <f t="shared" si="1"/>
        <v>9</v>
      </c>
      <c r="J10" t="s">
        <v>45</v>
      </c>
      <c r="K10">
        <v>4</v>
      </c>
      <c r="L10" t="s">
        <v>44</v>
      </c>
      <c r="M10">
        <f t="shared" si="2"/>
        <v>8</v>
      </c>
      <c r="N10" t="s">
        <v>45</v>
      </c>
      <c r="O10">
        <v>5</v>
      </c>
      <c r="P10" t="s">
        <v>44</v>
      </c>
      <c r="Q10">
        <f t="shared" si="3"/>
        <v>8</v>
      </c>
      <c r="R10" t="s">
        <v>45</v>
      </c>
      <c r="S10">
        <v>12</v>
      </c>
      <c r="T10" t="s">
        <v>44</v>
      </c>
      <c r="U10">
        <f t="shared" si="4"/>
        <v>120</v>
      </c>
      <c r="V10" t="s">
        <v>46</v>
      </c>
      <c r="W10" t="str">
        <f t="shared" si="0"/>
        <v>[{ "key":1,"value":12},{ "key":2,"value":9},{ "key":4,"value":8},{ "key":5,"value":8},{ "key":12,"value":120}]</v>
      </c>
    </row>
    <row r="11" spans="1:23">
      <c r="A11">
        <v>10</v>
      </c>
      <c r="B11" t="s">
        <v>43</v>
      </c>
      <c r="C11">
        <v>1</v>
      </c>
      <c r="D11" t="s">
        <v>44</v>
      </c>
      <c r="E11">
        <v>13</v>
      </c>
      <c r="F11" t="s">
        <v>45</v>
      </c>
      <c r="G11">
        <v>2</v>
      </c>
      <c r="H11" t="s">
        <v>44</v>
      </c>
      <c r="I11">
        <f t="shared" si="1"/>
        <v>10</v>
      </c>
      <c r="J11" t="s">
        <v>45</v>
      </c>
      <c r="K11">
        <v>4</v>
      </c>
      <c r="L11" t="s">
        <v>44</v>
      </c>
      <c r="M11">
        <f t="shared" si="2"/>
        <v>8</v>
      </c>
      <c r="N11" t="s">
        <v>45</v>
      </c>
      <c r="O11">
        <v>5</v>
      </c>
      <c r="P11" t="s">
        <v>44</v>
      </c>
      <c r="Q11">
        <f t="shared" si="3"/>
        <v>8</v>
      </c>
      <c r="R11" t="s">
        <v>45</v>
      </c>
      <c r="S11">
        <v>12</v>
      </c>
      <c r="T11" t="s">
        <v>44</v>
      </c>
      <c r="U11">
        <f t="shared" si="4"/>
        <v>120</v>
      </c>
      <c r="V11" t="s">
        <v>46</v>
      </c>
      <c r="W11" t="str">
        <f t="shared" si="0"/>
        <v>[{ "key":1,"value":13},{ "key":2,"value":10},{ "key":4,"value":8},{ "key":5,"value":8},{ "key":12,"value":120}]</v>
      </c>
    </row>
    <row r="12" spans="1:23">
      <c r="A12">
        <v>11</v>
      </c>
      <c r="B12" t="s">
        <v>43</v>
      </c>
      <c r="C12">
        <v>1</v>
      </c>
      <c r="D12" t="s">
        <v>44</v>
      </c>
      <c r="E12">
        <v>14</v>
      </c>
      <c r="F12" t="s">
        <v>45</v>
      </c>
      <c r="G12">
        <v>2</v>
      </c>
      <c r="H12" t="s">
        <v>44</v>
      </c>
      <c r="I12">
        <f t="shared" si="1"/>
        <v>11</v>
      </c>
      <c r="J12" t="s">
        <v>45</v>
      </c>
      <c r="K12">
        <v>4</v>
      </c>
      <c r="L12" t="s">
        <v>44</v>
      </c>
      <c r="M12">
        <f t="shared" si="2"/>
        <v>9</v>
      </c>
      <c r="N12" t="s">
        <v>45</v>
      </c>
      <c r="O12">
        <v>5</v>
      </c>
      <c r="P12" t="s">
        <v>44</v>
      </c>
      <c r="Q12">
        <f t="shared" si="3"/>
        <v>9</v>
      </c>
      <c r="R12" t="s">
        <v>45</v>
      </c>
      <c r="S12">
        <v>12</v>
      </c>
      <c r="T12" t="s">
        <v>44</v>
      </c>
      <c r="U12">
        <f t="shared" si="4"/>
        <v>135</v>
      </c>
      <c r="V12" t="s">
        <v>46</v>
      </c>
      <c r="W12" t="str">
        <f t="shared" si="0"/>
        <v>[{ "key":1,"value":14},{ "key":2,"value":11},{ "key":4,"value":9},{ "key":5,"value":9},{ "key":12,"value":135}]</v>
      </c>
    </row>
    <row r="13" spans="1:23">
      <c r="A13">
        <v>12</v>
      </c>
      <c r="B13" t="s">
        <v>43</v>
      </c>
      <c r="C13">
        <v>1</v>
      </c>
      <c r="D13" t="s">
        <v>44</v>
      </c>
      <c r="E13">
        <v>15</v>
      </c>
      <c r="F13" t="s">
        <v>45</v>
      </c>
      <c r="G13">
        <v>2</v>
      </c>
      <c r="H13" t="s">
        <v>44</v>
      </c>
      <c r="I13">
        <f t="shared" si="1"/>
        <v>12</v>
      </c>
      <c r="J13" t="s">
        <v>45</v>
      </c>
      <c r="K13">
        <v>4</v>
      </c>
      <c r="L13" t="s">
        <v>44</v>
      </c>
      <c r="M13">
        <f t="shared" si="2"/>
        <v>10</v>
      </c>
      <c r="N13" t="s">
        <v>45</v>
      </c>
      <c r="O13">
        <v>5</v>
      </c>
      <c r="P13" t="s">
        <v>44</v>
      </c>
      <c r="Q13">
        <f t="shared" si="3"/>
        <v>10</v>
      </c>
      <c r="R13" t="s">
        <v>45</v>
      </c>
      <c r="S13">
        <v>12</v>
      </c>
      <c r="T13" t="s">
        <v>44</v>
      </c>
      <c r="U13">
        <f t="shared" si="4"/>
        <v>150</v>
      </c>
      <c r="V13" t="s">
        <v>46</v>
      </c>
      <c r="W13" t="str">
        <f t="shared" si="0"/>
        <v>[{ "key":1,"value":15},{ "key":2,"value":12},{ "key":4,"value":10},{ "key":5,"value":10},{ "key":12,"value":150}]</v>
      </c>
    </row>
    <row r="14" spans="1:23">
      <c r="A14">
        <v>13</v>
      </c>
      <c r="B14" t="s">
        <v>43</v>
      </c>
      <c r="C14">
        <v>1</v>
      </c>
      <c r="D14" t="s">
        <v>44</v>
      </c>
      <c r="E14">
        <v>16</v>
      </c>
      <c r="F14" t="s">
        <v>45</v>
      </c>
      <c r="G14">
        <v>2</v>
      </c>
      <c r="H14" t="s">
        <v>44</v>
      </c>
      <c r="I14">
        <f t="shared" si="1"/>
        <v>13</v>
      </c>
      <c r="J14" t="s">
        <v>45</v>
      </c>
      <c r="K14">
        <v>4</v>
      </c>
      <c r="L14" t="s">
        <v>44</v>
      </c>
      <c r="M14">
        <f t="shared" si="2"/>
        <v>10</v>
      </c>
      <c r="N14" t="s">
        <v>45</v>
      </c>
      <c r="O14">
        <v>5</v>
      </c>
      <c r="P14" t="s">
        <v>44</v>
      </c>
      <c r="Q14">
        <f t="shared" si="3"/>
        <v>10</v>
      </c>
      <c r="R14" t="s">
        <v>45</v>
      </c>
      <c r="S14">
        <v>12</v>
      </c>
      <c r="T14" t="s">
        <v>44</v>
      </c>
      <c r="U14">
        <f t="shared" si="4"/>
        <v>150</v>
      </c>
      <c r="V14" t="s">
        <v>46</v>
      </c>
      <c r="W14" t="str">
        <f t="shared" si="0"/>
        <v>[{ "key":1,"value":16},{ "key":2,"value":13},{ "key":4,"value":10},{ "key":5,"value":10},{ "key":12,"value":150}]</v>
      </c>
    </row>
    <row r="15" spans="1:23">
      <c r="A15">
        <v>14</v>
      </c>
      <c r="B15" t="s">
        <v>43</v>
      </c>
      <c r="C15">
        <v>1</v>
      </c>
      <c r="D15" t="s">
        <v>44</v>
      </c>
      <c r="E15">
        <v>17</v>
      </c>
      <c r="F15" t="s">
        <v>45</v>
      </c>
      <c r="G15">
        <v>2</v>
      </c>
      <c r="H15" t="s">
        <v>44</v>
      </c>
      <c r="I15">
        <f t="shared" si="1"/>
        <v>13</v>
      </c>
      <c r="J15" t="s">
        <v>45</v>
      </c>
      <c r="K15">
        <v>4</v>
      </c>
      <c r="L15" t="s">
        <v>44</v>
      </c>
      <c r="M15">
        <f t="shared" si="2"/>
        <v>11</v>
      </c>
      <c r="N15" t="s">
        <v>45</v>
      </c>
      <c r="O15">
        <v>5</v>
      </c>
      <c r="P15" t="s">
        <v>44</v>
      </c>
      <c r="Q15">
        <f t="shared" si="3"/>
        <v>11</v>
      </c>
      <c r="R15" t="s">
        <v>45</v>
      </c>
      <c r="S15">
        <v>12</v>
      </c>
      <c r="T15" t="s">
        <v>44</v>
      </c>
      <c r="U15">
        <f t="shared" si="4"/>
        <v>165</v>
      </c>
      <c r="V15" t="s">
        <v>46</v>
      </c>
      <c r="W15" t="str">
        <f t="shared" si="0"/>
        <v>[{ "key":1,"value":17},{ "key":2,"value":13},{ "key":4,"value":11},{ "key":5,"value":11},{ "key":12,"value":165}]</v>
      </c>
    </row>
    <row r="16" spans="1:23">
      <c r="A16">
        <v>15</v>
      </c>
      <c r="B16" t="s">
        <v>43</v>
      </c>
      <c r="C16">
        <v>1</v>
      </c>
      <c r="D16" t="s">
        <v>44</v>
      </c>
      <c r="E16">
        <v>18</v>
      </c>
      <c r="F16" t="s">
        <v>45</v>
      </c>
      <c r="G16">
        <v>2</v>
      </c>
      <c r="H16" t="s">
        <v>44</v>
      </c>
      <c r="I16">
        <f t="shared" si="1"/>
        <v>14</v>
      </c>
      <c r="J16" t="s">
        <v>45</v>
      </c>
      <c r="K16">
        <v>4</v>
      </c>
      <c r="L16" t="s">
        <v>44</v>
      </c>
      <c r="M16">
        <f t="shared" si="2"/>
        <v>12</v>
      </c>
      <c r="N16" t="s">
        <v>45</v>
      </c>
      <c r="O16">
        <v>5</v>
      </c>
      <c r="P16" t="s">
        <v>44</v>
      </c>
      <c r="Q16">
        <f t="shared" si="3"/>
        <v>12</v>
      </c>
      <c r="R16" t="s">
        <v>45</v>
      </c>
      <c r="S16">
        <v>12</v>
      </c>
      <c r="T16" t="s">
        <v>44</v>
      </c>
      <c r="U16">
        <f t="shared" si="4"/>
        <v>180</v>
      </c>
      <c r="V16" t="s">
        <v>46</v>
      </c>
      <c r="W16" t="str">
        <f t="shared" si="0"/>
        <v>[{ "key":1,"value":18},{ "key":2,"value":14},{ "key":4,"value":12},{ "key":5,"value":12},{ "key":12,"value":180}]</v>
      </c>
    </row>
    <row r="17" spans="1:23">
      <c r="A17">
        <v>16</v>
      </c>
      <c r="B17" t="s">
        <v>43</v>
      </c>
      <c r="C17">
        <v>1</v>
      </c>
      <c r="D17" t="s">
        <v>44</v>
      </c>
      <c r="E17">
        <v>19</v>
      </c>
      <c r="F17" t="s">
        <v>45</v>
      </c>
      <c r="G17">
        <v>2</v>
      </c>
      <c r="H17" t="s">
        <v>44</v>
      </c>
      <c r="I17">
        <f t="shared" si="1"/>
        <v>15</v>
      </c>
      <c r="J17" t="s">
        <v>45</v>
      </c>
      <c r="K17">
        <v>4</v>
      </c>
      <c r="L17" t="s">
        <v>44</v>
      </c>
      <c r="M17">
        <f t="shared" si="2"/>
        <v>12</v>
      </c>
      <c r="N17" t="s">
        <v>45</v>
      </c>
      <c r="O17">
        <v>5</v>
      </c>
      <c r="P17" t="s">
        <v>44</v>
      </c>
      <c r="Q17">
        <f t="shared" si="3"/>
        <v>12</v>
      </c>
      <c r="R17" t="s">
        <v>45</v>
      </c>
      <c r="S17">
        <v>12</v>
      </c>
      <c r="T17" t="s">
        <v>44</v>
      </c>
      <c r="U17">
        <f t="shared" si="4"/>
        <v>180</v>
      </c>
      <c r="V17" t="s">
        <v>46</v>
      </c>
      <c r="W17" t="str">
        <f t="shared" si="0"/>
        <v>[{ "key":1,"value":19},{ "key":2,"value":15},{ "key":4,"value":12},{ "key":5,"value":12},{ "key":12,"value":180}]</v>
      </c>
    </row>
    <row r="18" spans="1:23">
      <c r="A18">
        <v>17</v>
      </c>
      <c r="B18" t="s">
        <v>43</v>
      </c>
      <c r="C18">
        <v>1</v>
      </c>
      <c r="D18" t="s">
        <v>44</v>
      </c>
      <c r="E18">
        <v>20</v>
      </c>
      <c r="F18" t="s">
        <v>45</v>
      </c>
      <c r="G18">
        <v>2</v>
      </c>
      <c r="H18" t="s">
        <v>44</v>
      </c>
      <c r="I18">
        <f t="shared" si="1"/>
        <v>16</v>
      </c>
      <c r="J18" t="s">
        <v>45</v>
      </c>
      <c r="K18">
        <v>4</v>
      </c>
      <c r="L18" t="s">
        <v>44</v>
      </c>
      <c r="M18">
        <f t="shared" si="2"/>
        <v>13</v>
      </c>
      <c r="N18" t="s">
        <v>45</v>
      </c>
      <c r="O18">
        <v>5</v>
      </c>
      <c r="P18" t="s">
        <v>44</v>
      </c>
      <c r="Q18">
        <f t="shared" si="3"/>
        <v>13</v>
      </c>
      <c r="R18" t="s">
        <v>45</v>
      </c>
      <c r="S18">
        <v>12</v>
      </c>
      <c r="T18" t="s">
        <v>44</v>
      </c>
      <c r="U18">
        <f t="shared" si="4"/>
        <v>195</v>
      </c>
      <c r="V18" t="s">
        <v>46</v>
      </c>
      <c r="W18" t="str">
        <f t="shared" si="0"/>
        <v>[{ "key":1,"value":20},{ "key":2,"value":16},{ "key":4,"value":13},{ "key":5,"value":13},{ "key":12,"value":195}]</v>
      </c>
    </row>
    <row r="19" spans="1:23">
      <c r="A19">
        <v>18</v>
      </c>
      <c r="B19" t="s">
        <v>43</v>
      </c>
      <c r="C19">
        <v>1</v>
      </c>
      <c r="D19" t="s">
        <v>44</v>
      </c>
      <c r="E19">
        <v>21</v>
      </c>
      <c r="F19" t="s">
        <v>45</v>
      </c>
      <c r="G19">
        <v>2</v>
      </c>
      <c r="H19" t="s">
        <v>44</v>
      </c>
      <c r="I19">
        <f t="shared" si="1"/>
        <v>17</v>
      </c>
      <c r="J19" t="s">
        <v>45</v>
      </c>
      <c r="K19">
        <v>4</v>
      </c>
      <c r="L19" t="s">
        <v>44</v>
      </c>
      <c r="M19">
        <f t="shared" si="2"/>
        <v>14</v>
      </c>
      <c r="N19" t="s">
        <v>45</v>
      </c>
      <c r="O19">
        <v>5</v>
      </c>
      <c r="P19" t="s">
        <v>44</v>
      </c>
      <c r="Q19">
        <f t="shared" si="3"/>
        <v>14</v>
      </c>
      <c r="R19" t="s">
        <v>45</v>
      </c>
      <c r="S19">
        <v>12</v>
      </c>
      <c r="T19" t="s">
        <v>44</v>
      </c>
      <c r="U19">
        <f t="shared" si="4"/>
        <v>210</v>
      </c>
      <c r="V19" t="s">
        <v>46</v>
      </c>
      <c r="W19" t="str">
        <f t="shared" si="0"/>
        <v>[{ "key":1,"value":21},{ "key":2,"value":17},{ "key":4,"value":14},{ "key":5,"value":14},{ "key":12,"value":210}]</v>
      </c>
    </row>
    <row r="20" spans="1:23">
      <c r="A20">
        <v>19</v>
      </c>
      <c r="B20" t="s">
        <v>43</v>
      </c>
      <c r="C20">
        <v>1</v>
      </c>
      <c r="D20" t="s">
        <v>44</v>
      </c>
      <c r="E20">
        <v>22</v>
      </c>
      <c r="F20" t="s">
        <v>45</v>
      </c>
      <c r="G20">
        <v>2</v>
      </c>
      <c r="H20" t="s">
        <v>44</v>
      </c>
      <c r="I20">
        <f t="shared" si="1"/>
        <v>18</v>
      </c>
      <c r="J20" t="s">
        <v>45</v>
      </c>
      <c r="K20">
        <v>4</v>
      </c>
      <c r="L20" t="s">
        <v>44</v>
      </c>
      <c r="M20">
        <f t="shared" si="2"/>
        <v>14</v>
      </c>
      <c r="N20" t="s">
        <v>45</v>
      </c>
      <c r="O20">
        <v>5</v>
      </c>
      <c r="P20" t="s">
        <v>44</v>
      </c>
      <c r="Q20">
        <f t="shared" si="3"/>
        <v>14</v>
      </c>
      <c r="R20" t="s">
        <v>45</v>
      </c>
      <c r="S20">
        <v>12</v>
      </c>
      <c r="T20" t="s">
        <v>44</v>
      </c>
      <c r="U20">
        <f t="shared" si="4"/>
        <v>210</v>
      </c>
      <c r="V20" t="s">
        <v>46</v>
      </c>
      <c r="W20" t="str">
        <f t="shared" si="0"/>
        <v>[{ "key":1,"value":22},{ "key":2,"value":18},{ "key":4,"value":14},{ "key":5,"value":14},{ "key":12,"value":210}]</v>
      </c>
    </row>
    <row r="21" spans="1:23">
      <c r="A21">
        <v>20</v>
      </c>
      <c r="B21" t="s">
        <v>43</v>
      </c>
      <c r="C21">
        <v>1</v>
      </c>
      <c r="D21" t="s">
        <v>44</v>
      </c>
      <c r="E21">
        <v>23</v>
      </c>
      <c r="F21" t="s">
        <v>45</v>
      </c>
      <c r="G21">
        <v>2</v>
      </c>
      <c r="H21" t="s">
        <v>44</v>
      </c>
      <c r="I21">
        <f t="shared" si="1"/>
        <v>18</v>
      </c>
      <c r="J21" t="s">
        <v>45</v>
      </c>
      <c r="K21">
        <v>4</v>
      </c>
      <c r="L21" t="s">
        <v>44</v>
      </c>
      <c r="M21">
        <f t="shared" si="2"/>
        <v>15</v>
      </c>
      <c r="N21" t="s">
        <v>45</v>
      </c>
      <c r="O21">
        <v>5</v>
      </c>
      <c r="P21" t="s">
        <v>44</v>
      </c>
      <c r="Q21">
        <f t="shared" si="3"/>
        <v>15</v>
      </c>
      <c r="R21" t="s">
        <v>45</v>
      </c>
      <c r="S21">
        <v>12</v>
      </c>
      <c r="T21" t="s">
        <v>44</v>
      </c>
      <c r="U21">
        <f t="shared" si="4"/>
        <v>225</v>
      </c>
      <c r="V21" t="s">
        <v>46</v>
      </c>
      <c r="W21" t="str">
        <f t="shared" si="0"/>
        <v>[{ "key":1,"value":23},{ "key":2,"value":18},{ "key":4,"value":15},{ "key":5,"value":15},{ "key":12,"value":225}]</v>
      </c>
    </row>
    <row r="22" spans="1:23">
      <c r="A22">
        <v>21</v>
      </c>
      <c r="B22" t="s">
        <v>43</v>
      </c>
      <c r="C22">
        <v>1</v>
      </c>
      <c r="D22" t="s">
        <v>44</v>
      </c>
      <c r="E22">
        <v>24</v>
      </c>
      <c r="F22" t="s">
        <v>45</v>
      </c>
      <c r="G22">
        <v>2</v>
      </c>
      <c r="H22" t="s">
        <v>44</v>
      </c>
      <c r="I22">
        <f t="shared" si="1"/>
        <v>19</v>
      </c>
      <c r="J22" t="s">
        <v>45</v>
      </c>
      <c r="K22">
        <v>4</v>
      </c>
      <c r="L22" t="s">
        <v>44</v>
      </c>
      <c r="M22">
        <f t="shared" si="2"/>
        <v>16</v>
      </c>
      <c r="N22" t="s">
        <v>45</v>
      </c>
      <c r="O22">
        <v>5</v>
      </c>
      <c r="P22" t="s">
        <v>44</v>
      </c>
      <c r="Q22">
        <f t="shared" si="3"/>
        <v>16</v>
      </c>
      <c r="R22" t="s">
        <v>45</v>
      </c>
      <c r="S22">
        <v>12</v>
      </c>
      <c r="T22" t="s">
        <v>44</v>
      </c>
      <c r="U22">
        <f t="shared" si="4"/>
        <v>240</v>
      </c>
      <c r="V22" t="s">
        <v>46</v>
      </c>
      <c r="W22" t="str">
        <f t="shared" si="0"/>
        <v>[{ "key":1,"value":24},{ "key":2,"value":19},{ "key":4,"value":16},{ "key":5,"value":16},{ "key":12,"value":240}]</v>
      </c>
    </row>
    <row r="23" spans="1:23">
      <c r="A23">
        <v>22</v>
      </c>
      <c r="B23" t="s">
        <v>43</v>
      </c>
      <c r="C23">
        <v>1</v>
      </c>
      <c r="D23" t="s">
        <v>44</v>
      </c>
      <c r="E23">
        <v>25</v>
      </c>
      <c r="F23" t="s">
        <v>45</v>
      </c>
      <c r="G23">
        <v>2</v>
      </c>
      <c r="H23" t="s">
        <v>44</v>
      </c>
      <c r="I23">
        <f t="shared" si="1"/>
        <v>20</v>
      </c>
      <c r="J23" t="s">
        <v>45</v>
      </c>
      <c r="K23">
        <v>4</v>
      </c>
      <c r="L23" t="s">
        <v>44</v>
      </c>
      <c r="M23">
        <f t="shared" si="2"/>
        <v>16</v>
      </c>
      <c r="N23" t="s">
        <v>45</v>
      </c>
      <c r="O23">
        <v>5</v>
      </c>
      <c r="P23" t="s">
        <v>44</v>
      </c>
      <c r="Q23">
        <f t="shared" si="3"/>
        <v>16</v>
      </c>
      <c r="R23" t="s">
        <v>45</v>
      </c>
      <c r="S23">
        <v>12</v>
      </c>
      <c r="T23" t="s">
        <v>44</v>
      </c>
      <c r="U23">
        <f t="shared" si="4"/>
        <v>240</v>
      </c>
      <c r="V23" t="s">
        <v>46</v>
      </c>
      <c r="W23" t="str">
        <f t="shared" si="0"/>
        <v>[{ "key":1,"value":25},{ "key":2,"value":20},{ "key":4,"value":16},{ "key":5,"value":16},{ "key":12,"value":240}]</v>
      </c>
    </row>
    <row r="24" spans="1:23">
      <c r="A24">
        <v>23</v>
      </c>
      <c r="B24" t="s">
        <v>43</v>
      </c>
      <c r="C24">
        <v>1</v>
      </c>
      <c r="D24" t="s">
        <v>44</v>
      </c>
      <c r="E24">
        <v>26</v>
      </c>
      <c r="F24" t="s">
        <v>45</v>
      </c>
      <c r="G24">
        <v>2</v>
      </c>
      <c r="H24" t="s">
        <v>44</v>
      </c>
      <c r="I24">
        <f t="shared" si="1"/>
        <v>21</v>
      </c>
      <c r="J24" t="s">
        <v>45</v>
      </c>
      <c r="K24">
        <v>4</v>
      </c>
      <c r="L24" t="s">
        <v>44</v>
      </c>
      <c r="M24">
        <f t="shared" si="2"/>
        <v>17</v>
      </c>
      <c r="N24" t="s">
        <v>45</v>
      </c>
      <c r="O24">
        <v>5</v>
      </c>
      <c r="P24" t="s">
        <v>44</v>
      </c>
      <c r="Q24">
        <f t="shared" si="3"/>
        <v>17</v>
      </c>
      <c r="R24" t="s">
        <v>45</v>
      </c>
      <c r="S24">
        <v>12</v>
      </c>
      <c r="T24" t="s">
        <v>44</v>
      </c>
      <c r="U24">
        <f t="shared" si="4"/>
        <v>255</v>
      </c>
      <c r="V24" t="s">
        <v>46</v>
      </c>
      <c r="W24" t="str">
        <f t="shared" si="0"/>
        <v>[{ "key":1,"value":26},{ "key":2,"value":21},{ "key":4,"value":17},{ "key":5,"value":17},{ "key":12,"value":255}]</v>
      </c>
    </row>
    <row r="25" spans="1:23">
      <c r="A25">
        <v>24</v>
      </c>
      <c r="B25" t="s">
        <v>43</v>
      </c>
      <c r="C25">
        <v>1</v>
      </c>
      <c r="D25" t="s">
        <v>44</v>
      </c>
      <c r="E25">
        <v>27</v>
      </c>
      <c r="F25" t="s">
        <v>45</v>
      </c>
      <c r="G25">
        <v>2</v>
      </c>
      <c r="H25" t="s">
        <v>44</v>
      </c>
      <c r="I25">
        <f t="shared" si="1"/>
        <v>22</v>
      </c>
      <c r="J25" t="s">
        <v>45</v>
      </c>
      <c r="K25">
        <v>4</v>
      </c>
      <c r="L25" t="s">
        <v>44</v>
      </c>
      <c r="M25">
        <f t="shared" si="2"/>
        <v>18</v>
      </c>
      <c r="N25" t="s">
        <v>45</v>
      </c>
      <c r="O25">
        <v>5</v>
      </c>
      <c r="P25" t="s">
        <v>44</v>
      </c>
      <c r="Q25">
        <f t="shared" si="3"/>
        <v>18</v>
      </c>
      <c r="R25" t="s">
        <v>45</v>
      </c>
      <c r="S25">
        <v>12</v>
      </c>
      <c r="T25" t="s">
        <v>44</v>
      </c>
      <c r="U25">
        <f t="shared" si="4"/>
        <v>270</v>
      </c>
      <c r="V25" t="s">
        <v>46</v>
      </c>
      <c r="W25" t="str">
        <f t="shared" si="0"/>
        <v>[{ "key":1,"value":27},{ "key":2,"value":22},{ "key":4,"value":18},{ "key":5,"value":18},{ "key":12,"value":270}]</v>
      </c>
    </row>
    <row r="26" spans="1:23">
      <c r="A26">
        <v>25</v>
      </c>
      <c r="B26" t="s">
        <v>43</v>
      </c>
      <c r="C26">
        <v>1</v>
      </c>
      <c r="D26" t="s">
        <v>44</v>
      </c>
      <c r="E26">
        <v>28</v>
      </c>
      <c r="F26" t="s">
        <v>45</v>
      </c>
      <c r="G26">
        <v>2</v>
      </c>
      <c r="H26" t="s">
        <v>44</v>
      </c>
      <c r="I26">
        <f t="shared" si="1"/>
        <v>22</v>
      </c>
      <c r="J26" t="s">
        <v>45</v>
      </c>
      <c r="K26">
        <v>4</v>
      </c>
      <c r="L26" t="s">
        <v>44</v>
      </c>
      <c r="M26">
        <f t="shared" si="2"/>
        <v>18</v>
      </c>
      <c r="N26" t="s">
        <v>45</v>
      </c>
      <c r="O26">
        <v>5</v>
      </c>
      <c r="P26" t="s">
        <v>44</v>
      </c>
      <c r="Q26">
        <f t="shared" si="3"/>
        <v>18</v>
      </c>
      <c r="R26" t="s">
        <v>45</v>
      </c>
      <c r="S26">
        <v>12</v>
      </c>
      <c r="T26" t="s">
        <v>44</v>
      </c>
      <c r="U26">
        <f t="shared" si="4"/>
        <v>270</v>
      </c>
      <c r="V26" t="s">
        <v>46</v>
      </c>
      <c r="W26" t="str">
        <f t="shared" si="0"/>
        <v>[{ "key":1,"value":28},{ "key":2,"value":22},{ "key":4,"value":18},{ "key":5,"value":18},{ "key":12,"value":270}]</v>
      </c>
    </row>
    <row r="27" spans="1:23">
      <c r="A27">
        <v>26</v>
      </c>
      <c r="B27" t="s">
        <v>43</v>
      </c>
      <c r="C27">
        <v>1</v>
      </c>
      <c r="D27" t="s">
        <v>44</v>
      </c>
      <c r="E27">
        <v>29</v>
      </c>
      <c r="F27" t="s">
        <v>45</v>
      </c>
      <c r="G27">
        <v>2</v>
      </c>
      <c r="H27" t="s">
        <v>44</v>
      </c>
      <c r="I27">
        <f t="shared" si="1"/>
        <v>23</v>
      </c>
      <c r="J27" t="s">
        <v>45</v>
      </c>
      <c r="K27">
        <v>4</v>
      </c>
      <c r="L27" t="s">
        <v>44</v>
      </c>
      <c r="M27">
        <f t="shared" si="2"/>
        <v>19</v>
      </c>
      <c r="N27" t="s">
        <v>45</v>
      </c>
      <c r="O27">
        <v>5</v>
      </c>
      <c r="P27" t="s">
        <v>44</v>
      </c>
      <c r="Q27">
        <f t="shared" si="3"/>
        <v>19</v>
      </c>
      <c r="R27" t="s">
        <v>45</v>
      </c>
      <c r="S27">
        <v>12</v>
      </c>
      <c r="T27" t="s">
        <v>44</v>
      </c>
      <c r="U27">
        <f t="shared" si="4"/>
        <v>285</v>
      </c>
      <c r="V27" t="s">
        <v>46</v>
      </c>
      <c r="W27" t="str">
        <f t="shared" si="0"/>
        <v>[{ "key":1,"value":29},{ "key":2,"value":23},{ "key":4,"value":19},{ "key":5,"value":19},{ "key":12,"value":285}]</v>
      </c>
    </row>
    <row r="28" spans="1:23">
      <c r="A28">
        <v>27</v>
      </c>
      <c r="B28" t="s">
        <v>43</v>
      </c>
      <c r="C28">
        <v>1</v>
      </c>
      <c r="D28" t="s">
        <v>44</v>
      </c>
      <c r="E28">
        <v>30</v>
      </c>
      <c r="F28" t="s">
        <v>45</v>
      </c>
      <c r="G28">
        <v>2</v>
      </c>
      <c r="H28" t="s">
        <v>44</v>
      </c>
      <c r="I28">
        <f t="shared" si="1"/>
        <v>24</v>
      </c>
      <c r="J28" t="s">
        <v>45</v>
      </c>
      <c r="K28">
        <v>4</v>
      </c>
      <c r="L28" t="s">
        <v>44</v>
      </c>
      <c r="M28">
        <f t="shared" si="2"/>
        <v>20</v>
      </c>
      <c r="N28" t="s">
        <v>45</v>
      </c>
      <c r="O28">
        <v>5</v>
      </c>
      <c r="P28" t="s">
        <v>44</v>
      </c>
      <c r="Q28">
        <f t="shared" si="3"/>
        <v>20</v>
      </c>
      <c r="R28" t="s">
        <v>45</v>
      </c>
      <c r="S28">
        <v>12</v>
      </c>
      <c r="T28" t="s">
        <v>44</v>
      </c>
      <c r="U28">
        <f t="shared" si="4"/>
        <v>300</v>
      </c>
      <c r="V28" t="s">
        <v>46</v>
      </c>
      <c r="W28" t="str">
        <f t="shared" si="0"/>
        <v>[{ "key":1,"value":30},{ "key":2,"value":24},{ "key":4,"value":20},{ "key":5,"value":20},{ "key":12,"value":300}]</v>
      </c>
    </row>
    <row r="29" spans="1:23">
      <c r="A29">
        <v>28</v>
      </c>
      <c r="B29" t="s">
        <v>43</v>
      </c>
      <c r="C29">
        <v>1</v>
      </c>
      <c r="D29" t="s">
        <v>44</v>
      </c>
      <c r="E29">
        <v>31</v>
      </c>
      <c r="F29" t="s">
        <v>45</v>
      </c>
      <c r="G29">
        <v>2</v>
      </c>
      <c r="H29" t="s">
        <v>44</v>
      </c>
      <c r="I29">
        <f t="shared" si="1"/>
        <v>25</v>
      </c>
      <c r="J29" t="s">
        <v>45</v>
      </c>
      <c r="K29">
        <v>4</v>
      </c>
      <c r="L29" t="s">
        <v>44</v>
      </c>
      <c r="M29">
        <f t="shared" si="2"/>
        <v>20</v>
      </c>
      <c r="N29" t="s">
        <v>45</v>
      </c>
      <c r="O29">
        <v>5</v>
      </c>
      <c r="P29" t="s">
        <v>44</v>
      </c>
      <c r="Q29">
        <f t="shared" si="3"/>
        <v>20</v>
      </c>
      <c r="R29" t="s">
        <v>45</v>
      </c>
      <c r="S29">
        <v>12</v>
      </c>
      <c r="T29" t="s">
        <v>44</v>
      </c>
      <c r="U29">
        <f t="shared" si="4"/>
        <v>300</v>
      </c>
      <c r="V29" t="s">
        <v>46</v>
      </c>
      <c r="W29" t="str">
        <f t="shared" si="0"/>
        <v>[{ "key":1,"value":31},{ "key":2,"value":25},{ "key":4,"value":20},{ "key":5,"value":20},{ "key":12,"value":300}]</v>
      </c>
    </row>
    <row r="30" spans="1:23">
      <c r="A30">
        <v>29</v>
      </c>
      <c r="B30" t="s">
        <v>43</v>
      </c>
      <c r="C30">
        <v>1</v>
      </c>
      <c r="D30" t="s">
        <v>44</v>
      </c>
      <c r="E30">
        <v>32</v>
      </c>
      <c r="F30" t="s">
        <v>45</v>
      </c>
      <c r="G30">
        <v>2</v>
      </c>
      <c r="H30" t="s">
        <v>44</v>
      </c>
      <c r="I30">
        <f t="shared" si="1"/>
        <v>26</v>
      </c>
      <c r="J30" t="s">
        <v>45</v>
      </c>
      <c r="K30">
        <v>4</v>
      </c>
      <c r="L30" t="s">
        <v>44</v>
      </c>
      <c r="M30">
        <f t="shared" si="2"/>
        <v>21</v>
      </c>
      <c r="N30" t="s">
        <v>45</v>
      </c>
      <c r="O30">
        <v>5</v>
      </c>
      <c r="P30" t="s">
        <v>44</v>
      </c>
      <c r="Q30">
        <f t="shared" si="3"/>
        <v>21</v>
      </c>
      <c r="R30" t="s">
        <v>45</v>
      </c>
      <c r="S30">
        <v>12</v>
      </c>
      <c r="T30" t="s">
        <v>44</v>
      </c>
      <c r="U30">
        <f t="shared" si="4"/>
        <v>315</v>
      </c>
      <c r="V30" t="s">
        <v>46</v>
      </c>
      <c r="W30" t="str">
        <f t="shared" si="0"/>
        <v>[{ "key":1,"value":32},{ "key":2,"value":26},{ "key":4,"value":21},{ "key":5,"value":21},{ "key":12,"value":315}]</v>
      </c>
    </row>
    <row r="31" spans="1:23">
      <c r="A31">
        <v>30</v>
      </c>
      <c r="B31" t="s">
        <v>43</v>
      </c>
      <c r="C31">
        <v>1</v>
      </c>
      <c r="D31" t="s">
        <v>44</v>
      </c>
      <c r="E31">
        <v>33</v>
      </c>
      <c r="F31" t="s">
        <v>45</v>
      </c>
      <c r="G31">
        <v>2</v>
      </c>
      <c r="H31" t="s">
        <v>44</v>
      </c>
      <c r="I31">
        <f t="shared" si="1"/>
        <v>27</v>
      </c>
      <c r="J31" t="s">
        <v>45</v>
      </c>
      <c r="K31">
        <v>4</v>
      </c>
      <c r="L31" t="s">
        <v>44</v>
      </c>
      <c r="M31">
        <f t="shared" si="2"/>
        <v>22</v>
      </c>
      <c r="N31" t="s">
        <v>45</v>
      </c>
      <c r="O31">
        <v>5</v>
      </c>
      <c r="P31" t="s">
        <v>44</v>
      </c>
      <c r="Q31">
        <f t="shared" si="3"/>
        <v>22</v>
      </c>
      <c r="R31" t="s">
        <v>45</v>
      </c>
      <c r="S31">
        <v>12</v>
      </c>
      <c r="T31" t="s">
        <v>44</v>
      </c>
      <c r="U31">
        <f t="shared" si="4"/>
        <v>330</v>
      </c>
      <c r="V31" t="s">
        <v>46</v>
      </c>
      <c r="W31" t="str">
        <f t="shared" si="0"/>
        <v>[{ "key":1,"value":33},{ "key":2,"value":27},{ "key":4,"value":22},{ "key":5,"value":22},{ "key":12,"value":330}]</v>
      </c>
    </row>
    <row r="32" spans="1:23">
      <c r="A32">
        <v>31</v>
      </c>
      <c r="B32" t="s">
        <v>43</v>
      </c>
      <c r="C32">
        <v>1</v>
      </c>
      <c r="D32" t="s">
        <v>44</v>
      </c>
      <c r="E32">
        <v>34</v>
      </c>
      <c r="F32" t="s">
        <v>45</v>
      </c>
      <c r="G32">
        <v>2</v>
      </c>
      <c r="H32" t="s">
        <v>44</v>
      </c>
      <c r="I32">
        <f t="shared" si="1"/>
        <v>27</v>
      </c>
      <c r="J32" t="s">
        <v>45</v>
      </c>
      <c r="K32">
        <v>4</v>
      </c>
      <c r="L32" t="s">
        <v>44</v>
      </c>
      <c r="M32">
        <f t="shared" si="2"/>
        <v>22</v>
      </c>
      <c r="N32" t="s">
        <v>45</v>
      </c>
      <c r="O32">
        <v>5</v>
      </c>
      <c r="P32" t="s">
        <v>44</v>
      </c>
      <c r="Q32">
        <f t="shared" si="3"/>
        <v>22</v>
      </c>
      <c r="R32" t="s">
        <v>45</v>
      </c>
      <c r="S32">
        <v>12</v>
      </c>
      <c r="T32" t="s">
        <v>44</v>
      </c>
      <c r="U32">
        <f t="shared" si="4"/>
        <v>330</v>
      </c>
      <c r="V32" t="s">
        <v>46</v>
      </c>
      <c r="W32" t="str">
        <f t="shared" si="0"/>
        <v>[{ "key":1,"value":34},{ "key":2,"value":27},{ "key":4,"value":22},{ "key":5,"value":22},{ "key":12,"value":330}]</v>
      </c>
    </row>
    <row r="33" spans="1:23">
      <c r="A33">
        <v>32</v>
      </c>
      <c r="B33" t="s">
        <v>43</v>
      </c>
      <c r="C33">
        <v>1</v>
      </c>
      <c r="D33" t="s">
        <v>44</v>
      </c>
      <c r="E33">
        <v>35</v>
      </c>
      <c r="F33" t="s">
        <v>45</v>
      </c>
      <c r="G33">
        <v>2</v>
      </c>
      <c r="H33" t="s">
        <v>44</v>
      </c>
      <c r="I33">
        <f t="shared" si="1"/>
        <v>28</v>
      </c>
      <c r="J33" t="s">
        <v>45</v>
      </c>
      <c r="K33">
        <v>4</v>
      </c>
      <c r="L33" t="s">
        <v>44</v>
      </c>
      <c r="M33">
        <f t="shared" si="2"/>
        <v>23</v>
      </c>
      <c r="N33" t="s">
        <v>45</v>
      </c>
      <c r="O33">
        <v>5</v>
      </c>
      <c r="P33" t="s">
        <v>44</v>
      </c>
      <c r="Q33">
        <f t="shared" si="3"/>
        <v>23</v>
      </c>
      <c r="R33" t="s">
        <v>45</v>
      </c>
      <c r="S33">
        <v>12</v>
      </c>
      <c r="T33" t="s">
        <v>44</v>
      </c>
      <c r="U33">
        <f t="shared" si="4"/>
        <v>345</v>
      </c>
      <c r="V33" t="s">
        <v>46</v>
      </c>
      <c r="W33" t="str">
        <f t="shared" si="0"/>
        <v>[{ "key":1,"value":35},{ "key":2,"value":28},{ "key":4,"value":23},{ "key":5,"value":23},{ "key":12,"value":345}]</v>
      </c>
    </row>
    <row r="34" spans="1:23">
      <c r="A34">
        <v>33</v>
      </c>
      <c r="B34" t="s">
        <v>43</v>
      </c>
      <c r="C34">
        <v>1</v>
      </c>
      <c r="D34" t="s">
        <v>44</v>
      </c>
      <c r="E34">
        <v>36</v>
      </c>
      <c r="F34" t="s">
        <v>45</v>
      </c>
      <c r="G34">
        <v>2</v>
      </c>
      <c r="H34" t="s">
        <v>44</v>
      </c>
      <c r="I34">
        <f t="shared" si="1"/>
        <v>29</v>
      </c>
      <c r="J34" t="s">
        <v>45</v>
      </c>
      <c r="K34">
        <v>4</v>
      </c>
      <c r="L34" t="s">
        <v>44</v>
      </c>
      <c r="M34">
        <f t="shared" si="2"/>
        <v>24</v>
      </c>
      <c r="N34" t="s">
        <v>45</v>
      </c>
      <c r="O34">
        <v>5</v>
      </c>
      <c r="P34" t="s">
        <v>44</v>
      </c>
      <c r="Q34">
        <f t="shared" si="3"/>
        <v>24</v>
      </c>
      <c r="R34" t="s">
        <v>45</v>
      </c>
      <c r="S34">
        <v>12</v>
      </c>
      <c r="T34" t="s">
        <v>44</v>
      </c>
      <c r="U34">
        <f t="shared" si="4"/>
        <v>360</v>
      </c>
      <c r="V34" t="s">
        <v>46</v>
      </c>
      <c r="W34" t="str">
        <f t="shared" si="0"/>
        <v>[{ "key":1,"value":36},{ "key":2,"value":29},{ "key":4,"value":24},{ "key":5,"value":24},{ "key":12,"value":360}]</v>
      </c>
    </row>
    <row r="35" spans="1:23">
      <c r="A35">
        <v>34</v>
      </c>
      <c r="B35" t="s">
        <v>43</v>
      </c>
      <c r="C35">
        <v>1</v>
      </c>
      <c r="D35" t="s">
        <v>44</v>
      </c>
      <c r="E35">
        <v>37</v>
      </c>
      <c r="F35" t="s">
        <v>45</v>
      </c>
      <c r="G35">
        <v>2</v>
      </c>
      <c r="H35" t="s">
        <v>44</v>
      </c>
      <c r="I35">
        <f t="shared" si="1"/>
        <v>30</v>
      </c>
      <c r="J35" t="s">
        <v>45</v>
      </c>
      <c r="K35">
        <v>4</v>
      </c>
      <c r="L35" t="s">
        <v>44</v>
      </c>
      <c r="M35">
        <f t="shared" si="2"/>
        <v>24</v>
      </c>
      <c r="N35" t="s">
        <v>45</v>
      </c>
      <c r="O35">
        <v>5</v>
      </c>
      <c r="P35" t="s">
        <v>44</v>
      </c>
      <c r="Q35">
        <f t="shared" si="3"/>
        <v>24</v>
      </c>
      <c r="R35" t="s">
        <v>45</v>
      </c>
      <c r="S35">
        <v>12</v>
      </c>
      <c r="T35" t="s">
        <v>44</v>
      </c>
      <c r="U35">
        <f t="shared" si="4"/>
        <v>360</v>
      </c>
      <c r="V35" t="s">
        <v>46</v>
      </c>
      <c r="W35" t="str">
        <f t="shared" ref="W35:W66" si="5">B35&amp;C35&amp;D35&amp;E35&amp;F35&amp;G35&amp;H35&amp;I35&amp;J35&amp;K35&amp;L35&amp;M35&amp;N35&amp;O35&amp;P35&amp;Q35&amp;R35&amp;S35&amp;T35&amp;U35&amp;V35</f>
        <v>[{ "key":1,"value":37},{ "key":2,"value":30},{ "key":4,"value":24},{ "key":5,"value":24},{ "key":12,"value":360}]</v>
      </c>
    </row>
    <row r="36" spans="1:23">
      <c r="A36">
        <v>35</v>
      </c>
      <c r="B36" t="s">
        <v>43</v>
      </c>
      <c r="C36">
        <v>1</v>
      </c>
      <c r="D36" t="s">
        <v>44</v>
      </c>
      <c r="E36">
        <v>38</v>
      </c>
      <c r="F36" t="s">
        <v>45</v>
      </c>
      <c r="G36">
        <v>2</v>
      </c>
      <c r="H36" t="s">
        <v>44</v>
      </c>
      <c r="I36">
        <f t="shared" ref="I36:I67" si="6">INT(E36*0.82)</f>
        <v>31</v>
      </c>
      <c r="J36" t="s">
        <v>45</v>
      </c>
      <c r="K36">
        <v>4</v>
      </c>
      <c r="L36" t="s">
        <v>44</v>
      </c>
      <c r="M36">
        <f t="shared" ref="M36:M67" si="7">INT(E36/1.5)</f>
        <v>25</v>
      </c>
      <c r="N36" t="s">
        <v>45</v>
      </c>
      <c r="O36">
        <v>5</v>
      </c>
      <c r="P36" t="s">
        <v>44</v>
      </c>
      <c r="Q36">
        <f t="shared" ref="Q36:Q67" si="8">M36</f>
        <v>25</v>
      </c>
      <c r="R36" t="s">
        <v>45</v>
      </c>
      <c r="S36">
        <v>12</v>
      </c>
      <c r="T36" t="s">
        <v>44</v>
      </c>
      <c r="U36">
        <f t="shared" ref="U36:U67" si="9">M36*15</f>
        <v>375</v>
      </c>
      <c r="V36" t="s">
        <v>46</v>
      </c>
      <c r="W36" t="str">
        <f t="shared" si="5"/>
        <v>[{ "key":1,"value":38},{ "key":2,"value":31},{ "key":4,"value":25},{ "key":5,"value":25},{ "key":12,"value":375}]</v>
      </c>
    </row>
    <row r="37" spans="1:23">
      <c r="A37">
        <v>36</v>
      </c>
      <c r="B37" t="s">
        <v>43</v>
      </c>
      <c r="C37">
        <v>1</v>
      </c>
      <c r="D37" t="s">
        <v>44</v>
      </c>
      <c r="E37">
        <v>39</v>
      </c>
      <c r="F37" t="s">
        <v>45</v>
      </c>
      <c r="G37">
        <v>2</v>
      </c>
      <c r="H37" t="s">
        <v>44</v>
      </c>
      <c r="I37">
        <f t="shared" si="6"/>
        <v>31</v>
      </c>
      <c r="J37" t="s">
        <v>45</v>
      </c>
      <c r="K37">
        <v>4</v>
      </c>
      <c r="L37" t="s">
        <v>44</v>
      </c>
      <c r="M37">
        <f t="shared" si="7"/>
        <v>26</v>
      </c>
      <c r="N37" t="s">
        <v>45</v>
      </c>
      <c r="O37">
        <v>5</v>
      </c>
      <c r="P37" t="s">
        <v>44</v>
      </c>
      <c r="Q37">
        <f t="shared" si="8"/>
        <v>26</v>
      </c>
      <c r="R37" t="s">
        <v>45</v>
      </c>
      <c r="S37">
        <v>12</v>
      </c>
      <c r="T37" t="s">
        <v>44</v>
      </c>
      <c r="U37">
        <f t="shared" si="9"/>
        <v>390</v>
      </c>
      <c r="V37" t="s">
        <v>46</v>
      </c>
      <c r="W37" t="str">
        <f t="shared" si="5"/>
        <v>[{ "key":1,"value":39},{ "key":2,"value":31},{ "key":4,"value":26},{ "key":5,"value":26},{ "key":12,"value":390}]</v>
      </c>
    </row>
    <row r="38" spans="1:23">
      <c r="A38">
        <v>37</v>
      </c>
      <c r="B38" t="s">
        <v>43</v>
      </c>
      <c r="C38">
        <v>1</v>
      </c>
      <c r="D38" t="s">
        <v>44</v>
      </c>
      <c r="E38">
        <v>40</v>
      </c>
      <c r="F38" t="s">
        <v>45</v>
      </c>
      <c r="G38">
        <v>2</v>
      </c>
      <c r="H38" t="s">
        <v>44</v>
      </c>
      <c r="I38">
        <f t="shared" si="6"/>
        <v>32</v>
      </c>
      <c r="J38" t="s">
        <v>45</v>
      </c>
      <c r="K38">
        <v>4</v>
      </c>
      <c r="L38" t="s">
        <v>44</v>
      </c>
      <c r="M38">
        <f t="shared" si="7"/>
        <v>26</v>
      </c>
      <c r="N38" t="s">
        <v>45</v>
      </c>
      <c r="O38">
        <v>5</v>
      </c>
      <c r="P38" t="s">
        <v>44</v>
      </c>
      <c r="Q38">
        <f t="shared" si="8"/>
        <v>26</v>
      </c>
      <c r="R38" t="s">
        <v>45</v>
      </c>
      <c r="S38">
        <v>12</v>
      </c>
      <c r="T38" t="s">
        <v>44</v>
      </c>
      <c r="U38">
        <f t="shared" si="9"/>
        <v>390</v>
      </c>
      <c r="V38" t="s">
        <v>46</v>
      </c>
      <c r="W38" t="str">
        <f t="shared" si="5"/>
        <v>[{ "key":1,"value":40},{ "key":2,"value":32},{ "key":4,"value":26},{ "key":5,"value":26},{ "key":12,"value":390}]</v>
      </c>
    </row>
    <row r="39" spans="1:23">
      <c r="A39">
        <v>38</v>
      </c>
      <c r="B39" t="s">
        <v>43</v>
      </c>
      <c r="C39">
        <v>1</v>
      </c>
      <c r="D39" t="s">
        <v>44</v>
      </c>
      <c r="E39">
        <v>41</v>
      </c>
      <c r="F39" t="s">
        <v>45</v>
      </c>
      <c r="G39">
        <v>2</v>
      </c>
      <c r="H39" t="s">
        <v>44</v>
      </c>
      <c r="I39">
        <f t="shared" si="6"/>
        <v>33</v>
      </c>
      <c r="J39" t="s">
        <v>45</v>
      </c>
      <c r="K39">
        <v>4</v>
      </c>
      <c r="L39" t="s">
        <v>44</v>
      </c>
      <c r="M39">
        <f t="shared" si="7"/>
        <v>27</v>
      </c>
      <c r="N39" t="s">
        <v>45</v>
      </c>
      <c r="O39">
        <v>5</v>
      </c>
      <c r="P39" t="s">
        <v>44</v>
      </c>
      <c r="Q39">
        <f t="shared" si="8"/>
        <v>27</v>
      </c>
      <c r="R39" t="s">
        <v>45</v>
      </c>
      <c r="S39">
        <v>12</v>
      </c>
      <c r="T39" t="s">
        <v>44</v>
      </c>
      <c r="U39">
        <f t="shared" si="9"/>
        <v>405</v>
      </c>
      <c r="V39" t="s">
        <v>46</v>
      </c>
      <c r="W39" t="str">
        <f t="shared" si="5"/>
        <v>[{ "key":1,"value":41},{ "key":2,"value":33},{ "key":4,"value":27},{ "key":5,"value":27},{ "key":12,"value":405}]</v>
      </c>
    </row>
    <row r="40" spans="1:23">
      <c r="A40">
        <v>39</v>
      </c>
      <c r="B40" t="s">
        <v>43</v>
      </c>
      <c r="C40">
        <v>1</v>
      </c>
      <c r="D40" t="s">
        <v>44</v>
      </c>
      <c r="E40">
        <v>42</v>
      </c>
      <c r="F40" t="s">
        <v>45</v>
      </c>
      <c r="G40">
        <v>2</v>
      </c>
      <c r="H40" t="s">
        <v>44</v>
      </c>
      <c r="I40">
        <f t="shared" si="6"/>
        <v>34</v>
      </c>
      <c r="J40" t="s">
        <v>45</v>
      </c>
      <c r="K40">
        <v>4</v>
      </c>
      <c r="L40" t="s">
        <v>44</v>
      </c>
      <c r="M40">
        <f t="shared" si="7"/>
        <v>28</v>
      </c>
      <c r="N40" t="s">
        <v>45</v>
      </c>
      <c r="O40">
        <v>5</v>
      </c>
      <c r="P40" t="s">
        <v>44</v>
      </c>
      <c r="Q40">
        <f t="shared" si="8"/>
        <v>28</v>
      </c>
      <c r="R40" t="s">
        <v>45</v>
      </c>
      <c r="S40">
        <v>12</v>
      </c>
      <c r="T40" t="s">
        <v>44</v>
      </c>
      <c r="U40">
        <f t="shared" si="9"/>
        <v>420</v>
      </c>
      <c r="V40" t="s">
        <v>46</v>
      </c>
      <c r="W40" t="str">
        <f t="shared" si="5"/>
        <v>[{ "key":1,"value":42},{ "key":2,"value":34},{ "key":4,"value":28},{ "key":5,"value":28},{ "key":12,"value":420}]</v>
      </c>
    </row>
    <row r="41" spans="1:23">
      <c r="A41">
        <v>40</v>
      </c>
      <c r="B41" t="s">
        <v>43</v>
      </c>
      <c r="C41">
        <v>1</v>
      </c>
      <c r="D41" t="s">
        <v>44</v>
      </c>
      <c r="E41">
        <v>43</v>
      </c>
      <c r="F41" t="s">
        <v>45</v>
      </c>
      <c r="G41">
        <v>2</v>
      </c>
      <c r="H41" t="s">
        <v>44</v>
      </c>
      <c r="I41">
        <f t="shared" si="6"/>
        <v>35</v>
      </c>
      <c r="J41" t="s">
        <v>45</v>
      </c>
      <c r="K41">
        <v>4</v>
      </c>
      <c r="L41" t="s">
        <v>44</v>
      </c>
      <c r="M41">
        <f t="shared" si="7"/>
        <v>28</v>
      </c>
      <c r="N41" t="s">
        <v>45</v>
      </c>
      <c r="O41">
        <v>5</v>
      </c>
      <c r="P41" t="s">
        <v>44</v>
      </c>
      <c r="Q41">
        <f t="shared" si="8"/>
        <v>28</v>
      </c>
      <c r="R41" t="s">
        <v>45</v>
      </c>
      <c r="S41">
        <v>12</v>
      </c>
      <c r="T41" t="s">
        <v>44</v>
      </c>
      <c r="U41">
        <f t="shared" si="9"/>
        <v>420</v>
      </c>
      <c r="V41" t="s">
        <v>46</v>
      </c>
      <c r="W41" t="str">
        <f t="shared" si="5"/>
        <v>[{ "key":1,"value":43},{ "key":2,"value":35},{ "key":4,"value":28},{ "key":5,"value":28},{ "key":12,"value":420}]</v>
      </c>
    </row>
    <row r="42" spans="1:23">
      <c r="A42">
        <v>41</v>
      </c>
      <c r="B42" t="s">
        <v>43</v>
      </c>
      <c r="C42">
        <v>1</v>
      </c>
      <c r="D42" t="s">
        <v>44</v>
      </c>
      <c r="E42">
        <v>44</v>
      </c>
      <c r="F42" t="s">
        <v>45</v>
      </c>
      <c r="G42">
        <v>2</v>
      </c>
      <c r="H42" t="s">
        <v>44</v>
      </c>
      <c r="I42">
        <f t="shared" si="6"/>
        <v>36</v>
      </c>
      <c r="J42" t="s">
        <v>45</v>
      </c>
      <c r="K42">
        <v>4</v>
      </c>
      <c r="L42" t="s">
        <v>44</v>
      </c>
      <c r="M42">
        <f t="shared" si="7"/>
        <v>29</v>
      </c>
      <c r="N42" t="s">
        <v>45</v>
      </c>
      <c r="O42">
        <v>5</v>
      </c>
      <c r="P42" t="s">
        <v>44</v>
      </c>
      <c r="Q42">
        <f t="shared" si="8"/>
        <v>29</v>
      </c>
      <c r="R42" t="s">
        <v>45</v>
      </c>
      <c r="S42">
        <v>12</v>
      </c>
      <c r="T42" t="s">
        <v>44</v>
      </c>
      <c r="U42">
        <f t="shared" si="9"/>
        <v>435</v>
      </c>
      <c r="V42" t="s">
        <v>46</v>
      </c>
      <c r="W42" t="str">
        <f t="shared" si="5"/>
        <v>[{ "key":1,"value":44},{ "key":2,"value":36},{ "key":4,"value":29},{ "key":5,"value":29},{ "key":12,"value":435}]</v>
      </c>
    </row>
    <row r="43" spans="1:23">
      <c r="A43">
        <v>42</v>
      </c>
      <c r="B43" t="s">
        <v>43</v>
      </c>
      <c r="C43">
        <v>1</v>
      </c>
      <c r="D43" t="s">
        <v>44</v>
      </c>
      <c r="E43">
        <v>45</v>
      </c>
      <c r="F43" t="s">
        <v>45</v>
      </c>
      <c r="G43">
        <v>2</v>
      </c>
      <c r="H43" t="s">
        <v>44</v>
      </c>
      <c r="I43">
        <f t="shared" si="6"/>
        <v>36</v>
      </c>
      <c r="J43" t="s">
        <v>45</v>
      </c>
      <c r="K43">
        <v>4</v>
      </c>
      <c r="L43" t="s">
        <v>44</v>
      </c>
      <c r="M43">
        <f t="shared" si="7"/>
        <v>30</v>
      </c>
      <c r="N43" t="s">
        <v>45</v>
      </c>
      <c r="O43">
        <v>5</v>
      </c>
      <c r="P43" t="s">
        <v>44</v>
      </c>
      <c r="Q43">
        <f t="shared" si="8"/>
        <v>30</v>
      </c>
      <c r="R43" t="s">
        <v>45</v>
      </c>
      <c r="S43">
        <v>12</v>
      </c>
      <c r="T43" t="s">
        <v>44</v>
      </c>
      <c r="U43">
        <f t="shared" si="9"/>
        <v>450</v>
      </c>
      <c r="V43" t="s">
        <v>46</v>
      </c>
      <c r="W43" t="str">
        <f t="shared" si="5"/>
        <v>[{ "key":1,"value":45},{ "key":2,"value":36},{ "key":4,"value":30},{ "key":5,"value":30},{ "key":12,"value":450}]</v>
      </c>
    </row>
    <row r="44" spans="1:23">
      <c r="A44">
        <v>43</v>
      </c>
      <c r="B44" t="s">
        <v>43</v>
      </c>
      <c r="C44">
        <v>1</v>
      </c>
      <c r="D44" t="s">
        <v>44</v>
      </c>
      <c r="E44">
        <v>46</v>
      </c>
      <c r="F44" t="s">
        <v>45</v>
      </c>
      <c r="G44">
        <v>2</v>
      </c>
      <c r="H44" t="s">
        <v>44</v>
      </c>
      <c r="I44">
        <f t="shared" si="6"/>
        <v>37</v>
      </c>
      <c r="J44" t="s">
        <v>45</v>
      </c>
      <c r="K44">
        <v>4</v>
      </c>
      <c r="L44" t="s">
        <v>44</v>
      </c>
      <c r="M44">
        <f t="shared" si="7"/>
        <v>30</v>
      </c>
      <c r="N44" t="s">
        <v>45</v>
      </c>
      <c r="O44">
        <v>5</v>
      </c>
      <c r="P44" t="s">
        <v>44</v>
      </c>
      <c r="Q44">
        <f t="shared" si="8"/>
        <v>30</v>
      </c>
      <c r="R44" t="s">
        <v>45</v>
      </c>
      <c r="S44">
        <v>12</v>
      </c>
      <c r="T44" t="s">
        <v>44</v>
      </c>
      <c r="U44">
        <f t="shared" si="9"/>
        <v>450</v>
      </c>
      <c r="V44" t="s">
        <v>46</v>
      </c>
      <c r="W44" t="str">
        <f t="shared" si="5"/>
        <v>[{ "key":1,"value":46},{ "key":2,"value":37},{ "key":4,"value":30},{ "key":5,"value":30},{ "key":12,"value":450}]</v>
      </c>
    </row>
    <row r="45" spans="1:23">
      <c r="A45">
        <v>44</v>
      </c>
      <c r="B45" t="s">
        <v>43</v>
      </c>
      <c r="C45">
        <v>1</v>
      </c>
      <c r="D45" t="s">
        <v>44</v>
      </c>
      <c r="E45">
        <v>47</v>
      </c>
      <c r="F45" t="s">
        <v>45</v>
      </c>
      <c r="G45">
        <v>2</v>
      </c>
      <c r="H45" t="s">
        <v>44</v>
      </c>
      <c r="I45">
        <f t="shared" si="6"/>
        <v>38</v>
      </c>
      <c r="J45" t="s">
        <v>45</v>
      </c>
      <c r="K45">
        <v>4</v>
      </c>
      <c r="L45" t="s">
        <v>44</v>
      </c>
      <c r="M45">
        <f t="shared" si="7"/>
        <v>31</v>
      </c>
      <c r="N45" t="s">
        <v>45</v>
      </c>
      <c r="O45">
        <v>5</v>
      </c>
      <c r="P45" t="s">
        <v>44</v>
      </c>
      <c r="Q45">
        <f t="shared" si="8"/>
        <v>31</v>
      </c>
      <c r="R45" t="s">
        <v>45</v>
      </c>
      <c r="S45">
        <v>12</v>
      </c>
      <c r="T45" t="s">
        <v>44</v>
      </c>
      <c r="U45">
        <f t="shared" si="9"/>
        <v>465</v>
      </c>
      <c r="V45" t="s">
        <v>46</v>
      </c>
      <c r="W45" t="str">
        <f t="shared" si="5"/>
        <v>[{ "key":1,"value":47},{ "key":2,"value":38},{ "key":4,"value":31},{ "key":5,"value":31},{ "key":12,"value":465}]</v>
      </c>
    </row>
    <row r="46" spans="1:23">
      <c r="A46">
        <v>45</v>
      </c>
      <c r="B46" t="s">
        <v>43</v>
      </c>
      <c r="C46">
        <v>1</v>
      </c>
      <c r="D46" t="s">
        <v>44</v>
      </c>
      <c r="E46">
        <v>48</v>
      </c>
      <c r="F46" t="s">
        <v>45</v>
      </c>
      <c r="G46">
        <v>2</v>
      </c>
      <c r="H46" t="s">
        <v>44</v>
      </c>
      <c r="I46">
        <f t="shared" si="6"/>
        <v>39</v>
      </c>
      <c r="J46" t="s">
        <v>45</v>
      </c>
      <c r="K46">
        <v>4</v>
      </c>
      <c r="L46" t="s">
        <v>44</v>
      </c>
      <c r="M46">
        <f t="shared" si="7"/>
        <v>32</v>
      </c>
      <c r="N46" t="s">
        <v>45</v>
      </c>
      <c r="O46">
        <v>5</v>
      </c>
      <c r="P46" t="s">
        <v>44</v>
      </c>
      <c r="Q46">
        <f t="shared" si="8"/>
        <v>32</v>
      </c>
      <c r="R46" t="s">
        <v>45</v>
      </c>
      <c r="S46">
        <v>12</v>
      </c>
      <c r="T46" t="s">
        <v>44</v>
      </c>
      <c r="U46">
        <f t="shared" si="9"/>
        <v>480</v>
      </c>
      <c r="V46" t="s">
        <v>46</v>
      </c>
      <c r="W46" t="str">
        <f t="shared" si="5"/>
        <v>[{ "key":1,"value":48},{ "key":2,"value":39},{ "key":4,"value":32},{ "key":5,"value":32},{ "key":12,"value":480}]</v>
      </c>
    </row>
    <row r="47" spans="1:23">
      <c r="A47">
        <v>46</v>
      </c>
      <c r="B47" t="s">
        <v>43</v>
      </c>
      <c r="C47">
        <v>1</v>
      </c>
      <c r="D47" t="s">
        <v>44</v>
      </c>
      <c r="E47">
        <v>49</v>
      </c>
      <c r="F47" t="s">
        <v>45</v>
      </c>
      <c r="G47">
        <v>2</v>
      </c>
      <c r="H47" t="s">
        <v>44</v>
      </c>
      <c r="I47">
        <f t="shared" si="6"/>
        <v>40</v>
      </c>
      <c r="J47" t="s">
        <v>45</v>
      </c>
      <c r="K47">
        <v>4</v>
      </c>
      <c r="L47" t="s">
        <v>44</v>
      </c>
      <c r="M47">
        <f t="shared" si="7"/>
        <v>32</v>
      </c>
      <c r="N47" t="s">
        <v>45</v>
      </c>
      <c r="O47">
        <v>5</v>
      </c>
      <c r="P47" t="s">
        <v>44</v>
      </c>
      <c r="Q47">
        <f t="shared" si="8"/>
        <v>32</v>
      </c>
      <c r="R47" t="s">
        <v>45</v>
      </c>
      <c r="S47">
        <v>12</v>
      </c>
      <c r="T47" t="s">
        <v>44</v>
      </c>
      <c r="U47">
        <f t="shared" si="9"/>
        <v>480</v>
      </c>
      <c r="V47" t="s">
        <v>46</v>
      </c>
      <c r="W47" t="str">
        <f t="shared" si="5"/>
        <v>[{ "key":1,"value":49},{ "key":2,"value":40},{ "key":4,"value":32},{ "key":5,"value":32},{ "key":12,"value":480}]</v>
      </c>
    </row>
    <row r="48" spans="1:23">
      <c r="A48">
        <v>47</v>
      </c>
      <c r="B48" t="s">
        <v>43</v>
      </c>
      <c r="C48">
        <v>1</v>
      </c>
      <c r="D48" t="s">
        <v>44</v>
      </c>
      <c r="E48">
        <v>50</v>
      </c>
      <c r="F48" t="s">
        <v>45</v>
      </c>
      <c r="G48">
        <v>2</v>
      </c>
      <c r="H48" t="s">
        <v>44</v>
      </c>
      <c r="I48">
        <f t="shared" si="6"/>
        <v>41</v>
      </c>
      <c r="J48" t="s">
        <v>45</v>
      </c>
      <c r="K48">
        <v>4</v>
      </c>
      <c r="L48" t="s">
        <v>44</v>
      </c>
      <c r="M48">
        <f t="shared" si="7"/>
        <v>33</v>
      </c>
      <c r="N48" t="s">
        <v>45</v>
      </c>
      <c r="O48">
        <v>5</v>
      </c>
      <c r="P48" t="s">
        <v>44</v>
      </c>
      <c r="Q48">
        <f t="shared" si="8"/>
        <v>33</v>
      </c>
      <c r="R48" t="s">
        <v>45</v>
      </c>
      <c r="S48">
        <v>12</v>
      </c>
      <c r="T48" t="s">
        <v>44</v>
      </c>
      <c r="U48">
        <f t="shared" si="9"/>
        <v>495</v>
      </c>
      <c r="V48" t="s">
        <v>46</v>
      </c>
      <c r="W48" t="str">
        <f t="shared" si="5"/>
        <v>[{ "key":1,"value":50},{ "key":2,"value":41},{ "key":4,"value":33},{ "key":5,"value":33},{ "key":12,"value":495}]</v>
      </c>
    </row>
    <row r="49" spans="1:23">
      <c r="A49">
        <v>48</v>
      </c>
      <c r="B49" t="s">
        <v>43</v>
      </c>
      <c r="C49">
        <v>1</v>
      </c>
      <c r="D49" t="s">
        <v>44</v>
      </c>
      <c r="E49">
        <v>51</v>
      </c>
      <c r="F49" t="s">
        <v>45</v>
      </c>
      <c r="G49">
        <v>2</v>
      </c>
      <c r="H49" t="s">
        <v>44</v>
      </c>
      <c r="I49">
        <f t="shared" si="6"/>
        <v>41</v>
      </c>
      <c r="J49" t="s">
        <v>45</v>
      </c>
      <c r="K49">
        <v>4</v>
      </c>
      <c r="L49" t="s">
        <v>44</v>
      </c>
      <c r="M49">
        <f t="shared" si="7"/>
        <v>34</v>
      </c>
      <c r="N49" t="s">
        <v>45</v>
      </c>
      <c r="O49">
        <v>5</v>
      </c>
      <c r="P49" t="s">
        <v>44</v>
      </c>
      <c r="Q49">
        <f t="shared" si="8"/>
        <v>34</v>
      </c>
      <c r="R49" t="s">
        <v>45</v>
      </c>
      <c r="S49">
        <v>12</v>
      </c>
      <c r="T49" t="s">
        <v>44</v>
      </c>
      <c r="U49">
        <f t="shared" si="9"/>
        <v>510</v>
      </c>
      <c r="V49" t="s">
        <v>46</v>
      </c>
      <c r="W49" t="str">
        <f t="shared" si="5"/>
        <v>[{ "key":1,"value":51},{ "key":2,"value":41},{ "key":4,"value":34},{ "key":5,"value":34},{ "key":12,"value":510}]</v>
      </c>
    </row>
    <row r="50" spans="1:23">
      <c r="A50">
        <v>49</v>
      </c>
      <c r="B50" t="s">
        <v>43</v>
      </c>
      <c r="C50">
        <v>1</v>
      </c>
      <c r="D50" t="s">
        <v>44</v>
      </c>
      <c r="E50">
        <v>52</v>
      </c>
      <c r="F50" t="s">
        <v>45</v>
      </c>
      <c r="G50">
        <v>2</v>
      </c>
      <c r="H50" t="s">
        <v>44</v>
      </c>
      <c r="I50">
        <f t="shared" si="6"/>
        <v>42</v>
      </c>
      <c r="J50" t="s">
        <v>45</v>
      </c>
      <c r="K50">
        <v>4</v>
      </c>
      <c r="L50" t="s">
        <v>44</v>
      </c>
      <c r="M50">
        <f t="shared" si="7"/>
        <v>34</v>
      </c>
      <c r="N50" t="s">
        <v>45</v>
      </c>
      <c r="O50">
        <v>5</v>
      </c>
      <c r="P50" t="s">
        <v>44</v>
      </c>
      <c r="Q50">
        <f t="shared" si="8"/>
        <v>34</v>
      </c>
      <c r="R50" t="s">
        <v>45</v>
      </c>
      <c r="S50">
        <v>12</v>
      </c>
      <c r="T50" t="s">
        <v>44</v>
      </c>
      <c r="U50">
        <f t="shared" si="9"/>
        <v>510</v>
      </c>
      <c r="V50" t="s">
        <v>46</v>
      </c>
      <c r="W50" t="str">
        <f t="shared" si="5"/>
        <v>[{ "key":1,"value":52},{ "key":2,"value":42},{ "key":4,"value":34},{ "key":5,"value":34},{ "key":12,"value":510}]</v>
      </c>
    </row>
    <row r="51" spans="1:23">
      <c r="A51">
        <v>50</v>
      </c>
      <c r="B51" t="s">
        <v>43</v>
      </c>
      <c r="C51">
        <v>1</v>
      </c>
      <c r="D51" t="s">
        <v>44</v>
      </c>
      <c r="E51">
        <v>53</v>
      </c>
      <c r="F51" t="s">
        <v>45</v>
      </c>
      <c r="G51">
        <v>2</v>
      </c>
      <c r="H51" t="s">
        <v>44</v>
      </c>
      <c r="I51">
        <f t="shared" si="6"/>
        <v>43</v>
      </c>
      <c r="J51" t="s">
        <v>45</v>
      </c>
      <c r="K51">
        <v>4</v>
      </c>
      <c r="L51" t="s">
        <v>44</v>
      </c>
      <c r="M51">
        <f t="shared" si="7"/>
        <v>35</v>
      </c>
      <c r="N51" t="s">
        <v>45</v>
      </c>
      <c r="O51">
        <v>5</v>
      </c>
      <c r="P51" t="s">
        <v>44</v>
      </c>
      <c r="Q51">
        <f t="shared" si="8"/>
        <v>35</v>
      </c>
      <c r="R51" t="s">
        <v>45</v>
      </c>
      <c r="S51">
        <v>12</v>
      </c>
      <c r="T51" t="s">
        <v>44</v>
      </c>
      <c r="U51">
        <f t="shared" si="9"/>
        <v>525</v>
      </c>
      <c r="V51" t="s">
        <v>46</v>
      </c>
      <c r="W51" t="str">
        <f t="shared" si="5"/>
        <v>[{ "key":1,"value":53},{ "key":2,"value":43},{ "key":4,"value":35},{ "key":5,"value":35},{ "key":12,"value":525}]</v>
      </c>
    </row>
    <row r="52" spans="1:23">
      <c r="A52">
        <v>51</v>
      </c>
      <c r="B52" t="s">
        <v>43</v>
      </c>
      <c r="C52">
        <v>1</v>
      </c>
      <c r="D52" t="s">
        <v>44</v>
      </c>
      <c r="E52">
        <v>54</v>
      </c>
      <c r="F52" t="s">
        <v>45</v>
      </c>
      <c r="G52">
        <v>2</v>
      </c>
      <c r="H52" t="s">
        <v>44</v>
      </c>
      <c r="I52">
        <f t="shared" si="6"/>
        <v>44</v>
      </c>
      <c r="J52" t="s">
        <v>45</v>
      </c>
      <c r="K52">
        <v>4</v>
      </c>
      <c r="L52" t="s">
        <v>44</v>
      </c>
      <c r="M52">
        <f t="shared" si="7"/>
        <v>36</v>
      </c>
      <c r="N52" t="s">
        <v>45</v>
      </c>
      <c r="O52">
        <v>5</v>
      </c>
      <c r="P52" t="s">
        <v>44</v>
      </c>
      <c r="Q52">
        <f t="shared" si="8"/>
        <v>36</v>
      </c>
      <c r="R52" t="s">
        <v>45</v>
      </c>
      <c r="S52">
        <v>12</v>
      </c>
      <c r="T52" t="s">
        <v>44</v>
      </c>
      <c r="U52">
        <f t="shared" si="9"/>
        <v>540</v>
      </c>
      <c r="V52" t="s">
        <v>46</v>
      </c>
      <c r="W52" t="str">
        <f t="shared" si="5"/>
        <v>[{ "key":1,"value":54},{ "key":2,"value":44},{ "key":4,"value":36},{ "key":5,"value":36},{ "key":12,"value":540}]</v>
      </c>
    </row>
    <row r="53" spans="1:23">
      <c r="A53">
        <v>52</v>
      </c>
      <c r="B53" t="s">
        <v>43</v>
      </c>
      <c r="C53">
        <v>1</v>
      </c>
      <c r="D53" t="s">
        <v>44</v>
      </c>
      <c r="E53">
        <v>55</v>
      </c>
      <c r="F53" t="s">
        <v>45</v>
      </c>
      <c r="G53">
        <v>2</v>
      </c>
      <c r="H53" t="s">
        <v>44</v>
      </c>
      <c r="I53">
        <f t="shared" si="6"/>
        <v>45</v>
      </c>
      <c r="J53" t="s">
        <v>45</v>
      </c>
      <c r="K53">
        <v>4</v>
      </c>
      <c r="L53" t="s">
        <v>44</v>
      </c>
      <c r="M53">
        <f t="shared" si="7"/>
        <v>36</v>
      </c>
      <c r="N53" t="s">
        <v>45</v>
      </c>
      <c r="O53">
        <v>5</v>
      </c>
      <c r="P53" t="s">
        <v>44</v>
      </c>
      <c r="Q53">
        <f t="shared" si="8"/>
        <v>36</v>
      </c>
      <c r="R53" t="s">
        <v>45</v>
      </c>
      <c r="S53">
        <v>12</v>
      </c>
      <c r="T53" t="s">
        <v>44</v>
      </c>
      <c r="U53">
        <f t="shared" si="9"/>
        <v>540</v>
      </c>
      <c r="V53" t="s">
        <v>46</v>
      </c>
      <c r="W53" t="str">
        <f t="shared" si="5"/>
        <v>[{ "key":1,"value":55},{ "key":2,"value":45},{ "key":4,"value":36},{ "key":5,"value":36},{ "key":12,"value":540}]</v>
      </c>
    </row>
    <row r="54" spans="1:23">
      <c r="A54">
        <v>53</v>
      </c>
      <c r="B54" t="s">
        <v>43</v>
      </c>
      <c r="C54">
        <v>1</v>
      </c>
      <c r="D54" t="s">
        <v>44</v>
      </c>
      <c r="E54">
        <v>56</v>
      </c>
      <c r="F54" t="s">
        <v>45</v>
      </c>
      <c r="G54">
        <v>2</v>
      </c>
      <c r="H54" t="s">
        <v>44</v>
      </c>
      <c r="I54">
        <f t="shared" si="6"/>
        <v>45</v>
      </c>
      <c r="J54" t="s">
        <v>45</v>
      </c>
      <c r="K54">
        <v>4</v>
      </c>
      <c r="L54" t="s">
        <v>44</v>
      </c>
      <c r="M54">
        <f t="shared" si="7"/>
        <v>37</v>
      </c>
      <c r="N54" t="s">
        <v>45</v>
      </c>
      <c r="O54">
        <v>5</v>
      </c>
      <c r="P54" t="s">
        <v>44</v>
      </c>
      <c r="Q54">
        <f t="shared" si="8"/>
        <v>37</v>
      </c>
      <c r="R54" t="s">
        <v>45</v>
      </c>
      <c r="S54">
        <v>12</v>
      </c>
      <c r="T54" t="s">
        <v>44</v>
      </c>
      <c r="U54">
        <f t="shared" si="9"/>
        <v>555</v>
      </c>
      <c r="V54" t="s">
        <v>46</v>
      </c>
      <c r="W54" t="str">
        <f t="shared" si="5"/>
        <v>[{ "key":1,"value":56},{ "key":2,"value":45},{ "key":4,"value":37},{ "key":5,"value":37},{ "key":12,"value":555}]</v>
      </c>
    </row>
    <row r="55" spans="1:23">
      <c r="A55">
        <v>54</v>
      </c>
      <c r="B55" t="s">
        <v>43</v>
      </c>
      <c r="C55">
        <v>1</v>
      </c>
      <c r="D55" t="s">
        <v>44</v>
      </c>
      <c r="E55">
        <v>57</v>
      </c>
      <c r="F55" t="s">
        <v>45</v>
      </c>
      <c r="G55">
        <v>2</v>
      </c>
      <c r="H55" t="s">
        <v>44</v>
      </c>
      <c r="I55">
        <f t="shared" si="6"/>
        <v>46</v>
      </c>
      <c r="J55" t="s">
        <v>45</v>
      </c>
      <c r="K55">
        <v>4</v>
      </c>
      <c r="L55" t="s">
        <v>44</v>
      </c>
      <c r="M55">
        <f t="shared" si="7"/>
        <v>38</v>
      </c>
      <c r="N55" t="s">
        <v>45</v>
      </c>
      <c r="O55">
        <v>5</v>
      </c>
      <c r="P55" t="s">
        <v>44</v>
      </c>
      <c r="Q55">
        <f t="shared" si="8"/>
        <v>38</v>
      </c>
      <c r="R55" t="s">
        <v>45</v>
      </c>
      <c r="S55">
        <v>12</v>
      </c>
      <c r="T55" t="s">
        <v>44</v>
      </c>
      <c r="U55">
        <f t="shared" si="9"/>
        <v>570</v>
      </c>
      <c r="V55" t="s">
        <v>46</v>
      </c>
      <c r="W55" t="str">
        <f t="shared" si="5"/>
        <v>[{ "key":1,"value":57},{ "key":2,"value":46},{ "key":4,"value":38},{ "key":5,"value":38},{ "key":12,"value":570}]</v>
      </c>
    </row>
    <row r="56" spans="1:23">
      <c r="A56">
        <v>55</v>
      </c>
      <c r="B56" t="s">
        <v>43</v>
      </c>
      <c r="C56">
        <v>1</v>
      </c>
      <c r="D56" t="s">
        <v>44</v>
      </c>
      <c r="E56">
        <v>58</v>
      </c>
      <c r="F56" t="s">
        <v>45</v>
      </c>
      <c r="G56">
        <v>2</v>
      </c>
      <c r="H56" t="s">
        <v>44</v>
      </c>
      <c r="I56">
        <f t="shared" si="6"/>
        <v>47</v>
      </c>
      <c r="J56" t="s">
        <v>45</v>
      </c>
      <c r="K56">
        <v>4</v>
      </c>
      <c r="L56" t="s">
        <v>44</v>
      </c>
      <c r="M56">
        <f t="shared" si="7"/>
        <v>38</v>
      </c>
      <c r="N56" t="s">
        <v>45</v>
      </c>
      <c r="O56">
        <v>5</v>
      </c>
      <c r="P56" t="s">
        <v>44</v>
      </c>
      <c r="Q56">
        <f t="shared" si="8"/>
        <v>38</v>
      </c>
      <c r="R56" t="s">
        <v>45</v>
      </c>
      <c r="S56">
        <v>12</v>
      </c>
      <c r="T56" t="s">
        <v>44</v>
      </c>
      <c r="U56">
        <f t="shared" si="9"/>
        <v>570</v>
      </c>
      <c r="V56" t="s">
        <v>46</v>
      </c>
      <c r="W56" t="str">
        <f t="shared" si="5"/>
        <v>[{ "key":1,"value":58},{ "key":2,"value":47},{ "key":4,"value":38},{ "key":5,"value":38},{ "key":12,"value":570}]</v>
      </c>
    </row>
    <row r="57" spans="1:23">
      <c r="A57">
        <v>56</v>
      </c>
      <c r="B57" t="s">
        <v>43</v>
      </c>
      <c r="C57">
        <v>1</v>
      </c>
      <c r="D57" t="s">
        <v>44</v>
      </c>
      <c r="E57">
        <v>59</v>
      </c>
      <c r="F57" t="s">
        <v>45</v>
      </c>
      <c r="G57">
        <v>2</v>
      </c>
      <c r="H57" t="s">
        <v>44</v>
      </c>
      <c r="I57">
        <f t="shared" si="6"/>
        <v>48</v>
      </c>
      <c r="J57" t="s">
        <v>45</v>
      </c>
      <c r="K57">
        <v>4</v>
      </c>
      <c r="L57" t="s">
        <v>44</v>
      </c>
      <c r="M57">
        <f t="shared" si="7"/>
        <v>39</v>
      </c>
      <c r="N57" t="s">
        <v>45</v>
      </c>
      <c r="O57">
        <v>5</v>
      </c>
      <c r="P57" t="s">
        <v>44</v>
      </c>
      <c r="Q57">
        <f t="shared" si="8"/>
        <v>39</v>
      </c>
      <c r="R57" t="s">
        <v>45</v>
      </c>
      <c r="S57">
        <v>12</v>
      </c>
      <c r="T57" t="s">
        <v>44</v>
      </c>
      <c r="U57">
        <f t="shared" si="9"/>
        <v>585</v>
      </c>
      <c r="V57" t="s">
        <v>46</v>
      </c>
      <c r="W57" t="str">
        <f t="shared" si="5"/>
        <v>[{ "key":1,"value":59},{ "key":2,"value":48},{ "key":4,"value":39},{ "key":5,"value":39},{ "key":12,"value":585}]</v>
      </c>
    </row>
    <row r="58" spans="1:23">
      <c r="A58">
        <v>57</v>
      </c>
      <c r="B58" t="s">
        <v>43</v>
      </c>
      <c r="C58">
        <v>1</v>
      </c>
      <c r="D58" t="s">
        <v>44</v>
      </c>
      <c r="E58">
        <v>60</v>
      </c>
      <c r="F58" t="s">
        <v>45</v>
      </c>
      <c r="G58">
        <v>2</v>
      </c>
      <c r="H58" t="s">
        <v>44</v>
      </c>
      <c r="I58">
        <f t="shared" si="6"/>
        <v>49</v>
      </c>
      <c r="J58" t="s">
        <v>45</v>
      </c>
      <c r="K58">
        <v>4</v>
      </c>
      <c r="L58" t="s">
        <v>44</v>
      </c>
      <c r="M58">
        <f t="shared" si="7"/>
        <v>40</v>
      </c>
      <c r="N58" t="s">
        <v>45</v>
      </c>
      <c r="O58">
        <v>5</v>
      </c>
      <c r="P58" t="s">
        <v>44</v>
      </c>
      <c r="Q58">
        <f t="shared" si="8"/>
        <v>40</v>
      </c>
      <c r="R58" t="s">
        <v>45</v>
      </c>
      <c r="S58">
        <v>12</v>
      </c>
      <c r="T58" t="s">
        <v>44</v>
      </c>
      <c r="U58">
        <f t="shared" si="9"/>
        <v>600</v>
      </c>
      <c r="V58" t="s">
        <v>46</v>
      </c>
      <c r="W58" t="str">
        <f t="shared" si="5"/>
        <v>[{ "key":1,"value":60},{ "key":2,"value":49},{ "key":4,"value":40},{ "key":5,"value":40},{ "key":12,"value":600}]</v>
      </c>
    </row>
    <row r="59" spans="1:23">
      <c r="A59">
        <v>58</v>
      </c>
      <c r="B59" t="s">
        <v>43</v>
      </c>
      <c r="C59">
        <v>1</v>
      </c>
      <c r="D59" t="s">
        <v>44</v>
      </c>
      <c r="E59">
        <v>61</v>
      </c>
      <c r="F59" t="s">
        <v>45</v>
      </c>
      <c r="G59">
        <v>2</v>
      </c>
      <c r="H59" t="s">
        <v>44</v>
      </c>
      <c r="I59">
        <f t="shared" si="6"/>
        <v>50</v>
      </c>
      <c r="J59" t="s">
        <v>45</v>
      </c>
      <c r="K59">
        <v>4</v>
      </c>
      <c r="L59" t="s">
        <v>44</v>
      </c>
      <c r="M59">
        <f t="shared" si="7"/>
        <v>40</v>
      </c>
      <c r="N59" t="s">
        <v>45</v>
      </c>
      <c r="O59">
        <v>5</v>
      </c>
      <c r="P59" t="s">
        <v>44</v>
      </c>
      <c r="Q59">
        <f t="shared" si="8"/>
        <v>40</v>
      </c>
      <c r="R59" t="s">
        <v>45</v>
      </c>
      <c r="S59">
        <v>12</v>
      </c>
      <c r="T59" t="s">
        <v>44</v>
      </c>
      <c r="U59">
        <f t="shared" si="9"/>
        <v>600</v>
      </c>
      <c r="V59" t="s">
        <v>46</v>
      </c>
      <c r="W59" t="str">
        <f t="shared" si="5"/>
        <v>[{ "key":1,"value":61},{ "key":2,"value":50},{ "key":4,"value":40},{ "key":5,"value":40},{ "key":12,"value":600}]</v>
      </c>
    </row>
    <row r="60" spans="1:23">
      <c r="A60">
        <v>59</v>
      </c>
      <c r="B60" t="s">
        <v>43</v>
      </c>
      <c r="C60">
        <v>1</v>
      </c>
      <c r="D60" t="s">
        <v>44</v>
      </c>
      <c r="E60">
        <v>62</v>
      </c>
      <c r="F60" t="s">
        <v>45</v>
      </c>
      <c r="G60">
        <v>2</v>
      </c>
      <c r="H60" t="s">
        <v>44</v>
      </c>
      <c r="I60">
        <f t="shared" si="6"/>
        <v>50</v>
      </c>
      <c r="J60" t="s">
        <v>45</v>
      </c>
      <c r="K60">
        <v>4</v>
      </c>
      <c r="L60" t="s">
        <v>44</v>
      </c>
      <c r="M60">
        <f t="shared" si="7"/>
        <v>41</v>
      </c>
      <c r="N60" t="s">
        <v>45</v>
      </c>
      <c r="O60">
        <v>5</v>
      </c>
      <c r="P60" t="s">
        <v>44</v>
      </c>
      <c r="Q60">
        <f t="shared" si="8"/>
        <v>41</v>
      </c>
      <c r="R60" t="s">
        <v>45</v>
      </c>
      <c r="S60">
        <v>12</v>
      </c>
      <c r="T60" t="s">
        <v>44</v>
      </c>
      <c r="U60">
        <f t="shared" si="9"/>
        <v>615</v>
      </c>
      <c r="V60" t="s">
        <v>46</v>
      </c>
      <c r="W60" t="str">
        <f t="shared" si="5"/>
        <v>[{ "key":1,"value":62},{ "key":2,"value":50},{ "key":4,"value":41},{ "key":5,"value":41},{ "key":12,"value":615}]</v>
      </c>
    </row>
    <row r="61" spans="1:23">
      <c r="A61">
        <v>60</v>
      </c>
      <c r="B61" t="s">
        <v>43</v>
      </c>
      <c r="C61">
        <v>1</v>
      </c>
      <c r="D61" t="s">
        <v>44</v>
      </c>
      <c r="E61">
        <v>63</v>
      </c>
      <c r="F61" t="s">
        <v>45</v>
      </c>
      <c r="G61">
        <v>2</v>
      </c>
      <c r="H61" t="s">
        <v>44</v>
      </c>
      <c r="I61">
        <f t="shared" si="6"/>
        <v>51</v>
      </c>
      <c r="J61" t="s">
        <v>45</v>
      </c>
      <c r="K61">
        <v>4</v>
      </c>
      <c r="L61" t="s">
        <v>44</v>
      </c>
      <c r="M61">
        <f t="shared" si="7"/>
        <v>42</v>
      </c>
      <c r="N61" t="s">
        <v>45</v>
      </c>
      <c r="O61">
        <v>5</v>
      </c>
      <c r="P61" t="s">
        <v>44</v>
      </c>
      <c r="Q61">
        <f t="shared" si="8"/>
        <v>42</v>
      </c>
      <c r="R61" t="s">
        <v>45</v>
      </c>
      <c r="S61">
        <v>12</v>
      </c>
      <c r="T61" t="s">
        <v>44</v>
      </c>
      <c r="U61">
        <f t="shared" si="9"/>
        <v>630</v>
      </c>
      <c r="V61" t="s">
        <v>46</v>
      </c>
      <c r="W61" t="str">
        <f t="shared" si="5"/>
        <v>[{ "key":1,"value":63},{ "key":2,"value":51},{ "key":4,"value":42},{ "key":5,"value":42},{ "key":12,"value":630}]</v>
      </c>
    </row>
    <row r="62" spans="1:23">
      <c r="A62">
        <v>61</v>
      </c>
      <c r="B62" t="s">
        <v>43</v>
      </c>
      <c r="C62">
        <v>1</v>
      </c>
      <c r="D62" t="s">
        <v>44</v>
      </c>
      <c r="E62">
        <v>64</v>
      </c>
      <c r="F62" t="s">
        <v>45</v>
      </c>
      <c r="G62">
        <v>2</v>
      </c>
      <c r="H62" t="s">
        <v>44</v>
      </c>
      <c r="I62">
        <f t="shared" si="6"/>
        <v>52</v>
      </c>
      <c r="J62" t="s">
        <v>45</v>
      </c>
      <c r="K62">
        <v>4</v>
      </c>
      <c r="L62" t="s">
        <v>44</v>
      </c>
      <c r="M62">
        <f t="shared" si="7"/>
        <v>42</v>
      </c>
      <c r="N62" t="s">
        <v>45</v>
      </c>
      <c r="O62">
        <v>5</v>
      </c>
      <c r="P62" t="s">
        <v>44</v>
      </c>
      <c r="Q62">
        <f t="shared" si="8"/>
        <v>42</v>
      </c>
      <c r="R62" t="s">
        <v>45</v>
      </c>
      <c r="S62">
        <v>12</v>
      </c>
      <c r="T62" t="s">
        <v>44</v>
      </c>
      <c r="U62">
        <f t="shared" si="9"/>
        <v>630</v>
      </c>
      <c r="V62" t="s">
        <v>46</v>
      </c>
      <c r="W62" t="str">
        <f t="shared" si="5"/>
        <v>[{ "key":1,"value":64},{ "key":2,"value":52},{ "key":4,"value":42},{ "key":5,"value":42},{ "key":12,"value":630}]</v>
      </c>
    </row>
    <row r="63" spans="1:23">
      <c r="A63">
        <v>62</v>
      </c>
      <c r="B63" t="s">
        <v>43</v>
      </c>
      <c r="C63">
        <v>1</v>
      </c>
      <c r="D63" t="s">
        <v>44</v>
      </c>
      <c r="E63">
        <v>65</v>
      </c>
      <c r="F63" t="s">
        <v>45</v>
      </c>
      <c r="G63">
        <v>2</v>
      </c>
      <c r="H63" t="s">
        <v>44</v>
      </c>
      <c r="I63">
        <f t="shared" si="6"/>
        <v>53</v>
      </c>
      <c r="J63" t="s">
        <v>45</v>
      </c>
      <c r="K63">
        <v>4</v>
      </c>
      <c r="L63" t="s">
        <v>44</v>
      </c>
      <c r="M63">
        <f t="shared" si="7"/>
        <v>43</v>
      </c>
      <c r="N63" t="s">
        <v>45</v>
      </c>
      <c r="O63">
        <v>5</v>
      </c>
      <c r="P63" t="s">
        <v>44</v>
      </c>
      <c r="Q63">
        <f t="shared" si="8"/>
        <v>43</v>
      </c>
      <c r="R63" t="s">
        <v>45</v>
      </c>
      <c r="S63">
        <v>12</v>
      </c>
      <c r="T63" t="s">
        <v>44</v>
      </c>
      <c r="U63">
        <f t="shared" si="9"/>
        <v>645</v>
      </c>
      <c r="V63" t="s">
        <v>46</v>
      </c>
      <c r="W63" t="str">
        <f t="shared" si="5"/>
        <v>[{ "key":1,"value":65},{ "key":2,"value":53},{ "key":4,"value":43},{ "key":5,"value":43},{ "key":12,"value":645}]</v>
      </c>
    </row>
    <row r="64" spans="1:23">
      <c r="A64">
        <v>63</v>
      </c>
      <c r="B64" t="s">
        <v>43</v>
      </c>
      <c r="C64">
        <v>1</v>
      </c>
      <c r="D64" t="s">
        <v>44</v>
      </c>
      <c r="E64">
        <v>66</v>
      </c>
      <c r="F64" t="s">
        <v>45</v>
      </c>
      <c r="G64">
        <v>2</v>
      </c>
      <c r="H64" t="s">
        <v>44</v>
      </c>
      <c r="I64">
        <f t="shared" si="6"/>
        <v>54</v>
      </c>
      <c r="J64" t="s">
        <v>45</v>
      </c>
      <c r="K64">
        <v>4</v>
      </c>
      <c r="L64" t="s">
        <v>44</v>
      </c>
      <c r="M64">
        <f t="shared" si="7"/>
        <v>44</v>
      </c>
      <c r="N64" t="s">
        <v>45</v>
      </c>
      <c r="O64">
        <v>5</v>
      </c>
      <c r="P64" t="s">
        <v>44</v>
      </c>
      <c r="Q64">
        <f t="shared" si="8"/>
        <v>44</v>
      </c>
      <c r="R64" t="s">
        <v>45</v>
      </c>
      <c r="S64">
        <v>12</v>
      </c>
      <c r="T64" t="s">
        <v>44</v>
      </c>
      <c r="U64">
        <f t="shared" si="9"/>
        <v>660</v>
      </c>
      <c r="V64" t="s">
        <v>46</v>
      </c>
      <c r="W64" t="str">
        <f t="shared" si="5"/>
        <v>[{ "key":1,"value":66},{ "key":2,"value":54},{ "key":4,"value":44},{ "key":5,"value":44},{ "key":12,"value":660}]</v>
      </c>
    </row>
    <row r="65" spans="1:23">
      <c r="A65">
        <v>64</v>
      </c>
      <c r="B65" t="s">
        <v>43</v>
      </c>
      <c r="C65">
        <v>1</v>
      </c>
      <c r="D65" t="s">
        <v>44</v>
      </c>
      <c r="E65">
        <v>67</v>
      </c>
      <c r="F65" t="s">
        <v>45</v>
      </c>
      <c r="G65">
        <v>2</v>
      </c>
      <c r="H65" t="s">
        <v>44</v>
      </c>
      <c r="I65">
        <f t="shared" si="6"/>
        <v>54</v>
      </c>
      <c r="J65" t="s">
        <v>45</v>
      </c>
      <c r="K65">
        <v>4</v>
      </c>
      <c r="L65" t="s">
        <v>44</v>
      </c>
      <c r="M65">
        <f t="shared" si="7"/>
        <v>44</v>
      </c>
      <c r="N65" t="s">
        <v>45</v>
      </c>
      <c r="O65">
        <v>5</v>
      </c>
      <c r="P65" t="s">
        <v>44</v>
      </c>
      <c r="Q65">
        <f t="shared" si="8"/>
        <v>44</v>
      </c>
      <c r="R65" t="s">
        <v>45</v>
      </c>
      <c r="S65">
        <v>12</v>
      </c>
      <c r="T65" t="s">
        <v>44</v>
      </c>
      <c r="U65">
        <f t="shared" si="9"/>
        <v>660</v>
      </c>
      <c r="V65" t="s">
        <v>46</v>
      </c>
      <c r="W65" t="str">
        <f t="shared" si="5"/>
        <v>[{ "key":1,"value":67},{ "key":2,"value":54},{ "key":4,"value":44},{ "key":5,"value":44},{ "key":12,"value":660}]</v>
      </c>
    </row>
    <row r="66" spans="1:23">
      <c r="A66">
        <v>65</v>
      </c>
      <c r="B66" t="s">
        <v>43</v>
      </c>
      <c r="C66">
        <v>1</v>
      </c>
      <c r="D66" t="s">
        <v>44</v>
      </c>
      <c r="E66">
        <v>68</v>
      </c>
      <c r="F66" t="s">
        <v>45</v>
      </c>
      <c r="G66">
        <v>2</v>
      </c>
      <c r="H66" t="s">
        <v>44</v>
      </c>
      <c r="I66">
        <f t="shared" si="6"/>
        <v>55</v>
      </c>
      <c r="J66" t="s">
        <v>45</v>
      </c>
      <c r="K66">
        <v>4</v>
      </c>
      <c r="L66" t="s">
        <v>44</v>
      </c>
      <c r="M66">
        <f t="shared" si="7"/>
        <v>45</v>
      </c>
      <c r="N66" t="s">
        <v>45</v>
      </c>
      <c r="O66">
        <v>5</v>
      </c>
      <c r="P66" t="s">
        <v>44</v>
      </c>
      <c r="Q66">
        <f t="shared" si="8"/>
        <v>45</v>
      </c>
      <c r="R66" t="s">
        <v>45</v>
      </c>
      <c r="S66">
        <v>12</v>
      </c>
      <c r="T66" t="s">
        <v>44</v>
      </c>
      <c r="U66">
        <f t="shared" si="9"/>
        <v>675</v>
      </c>
      <c r="V66" t="s">
        <v>46</v>
      </c>
      <c r="W66" t="str">
        <f t="shared" si="5"/>
        <v>[{ "key":1,"value":68},{ "key":2,"value":55},{ "key":4,"value":45},{ "key":5,"value":45},{ "key":12,"value":675}]</v>
      </c>
    </row>
    <row r="67" spans="1:23">
      <c r="A67">
        <v>66</v>
      </c>
      <c r="B67" t="s">
        <v>43</v>
      </c>
      <c r="C67">
        <v>1</v>
      </c>
      <c r="D67" t="s">
        <v>44</v>
      </c>
      <c r="E67">
        <v>69</v>
      </c>
      <c r="F67" t="s">
        <v>45</v>
      </c>
      <c r="G67">
        <v>2</v>
      </c>
      <c r="H67" t="s">
        <v>44</v>
      </c>
      <c r="I67">
        <f t="shared" si="6"/>
        <v>56</v>
      </c>
      <c r="J67" t="s">
        <v>45</v>
      </c>
      <c r="K67">
        <v>4</v>
      </c>
      <c r="L67" t="s">
        <v>44</v>
      </c>
      <c r="M67">
        <f t="shared" si="7"/>
        <v>46</v>
      </c>
      <c r="N67" t="s">
        <v>45</v>
      </c>
      <c r="O67">
        <v>5</v>
      </c>
      <c r="P67" t="s">
        <v>44</v>
      </c>
      <c r="Q67">
        <f t="shared" si="8"/>
        <v>46</v>
      </c>
      <c r="R67" t="s">
        <v>45</v>
      </c>
      <c r="S67">
        <v>12</v>
      </c>
      <c r="T67" t="s">
        <v>44</v>
      </c>
      <c r="U67">
        <f t="shared" si="9"/>
        <v>690</v>
      </c>
      <c r="V67" t="s">
        <v>46</v>
      </c>
      <c r="W67" t="str">
        <f t="shared" ref="W67:W101" si="10">B67&amp;C67&amp;D67&amp;E67&amp;F67&amp;G67&amp;H67&amp;I67&amp;J67&amp;K67&amp;L67&amp;M67&amp;N67&amp;O67&amp;P67&amp;Q67&amp;R67&amp;S67&amp;T67&amp;U67&amp;V67</f>
        <v>[{ "key":1,"value":69},{ "key":2,"value":56},{ "key":4,"value":46},{ "key":5,"value":46},{ "key":12,"value":690}]</v>
      </c>
    </row>
    <row r="68" spans="1:23">
      <c r="A68">
        <v>67</v>
      </c>
      <c r="B68" t="s">
        <v>43</v>
      </c>
      <c r="C68">
        <v>1</v>
      </c>
      <c r="D68" t="s">
        <v>44</v>
      </c>
      <c r="E68">
        <v>70</v>
      </c>
      <c r="F68" t="s">
        <v>45</v>
      </c>
      <c r="G68">
        <v>2</v>
      </c>
      <c r="H68" t="s">
        <v>44</v>
      </c>
      <c r="I68">
        <f t="shared" ref="I68:I101" si="11">INT(E68*0.82)</f>
        <v>57</v>
      </c>
      <c r="J68" t="s">
        <v>45</v>
      </c>
      <c r="K68">
        <v>4</v>
      </c>
      <c r="L68" t="s">
        <v>44</v>
      </c>
      <c r="M68">
        <f t="shared" ref="M68:M101" si="12">INT(E68/1.5)</f>
        <v>46</v>
      </c>
      <c r="N68" t="s">
        <v>45</v>
      </c>
      <c r="O68">
        <v>5</v>
      </c>
      <c r="P68" t="s">
        <v>44</v>
      </c>
      <c r="Q68">
        <f t="shared" ref="Q68:Q101" si="13">M68</f>
        <v>46</v>
      </c>
      <c r="R68" t="s">
        <v>45</v>
      </c>
      <c r="S68">
        <v>12</v>
      </c>
      <c r="T68" t="s">
        <v>44</v>
      </c>
      <c r="U68">
        <f t="shared" ref="U68:U101" si="14">M68*15</f>
        <v>690</v>
      </c>
      <c r="V68" t="s">
        <v>46</v>
      </c>
      <c r="W68" t="str">
        <f t="shared" si="10"/>
        <v>[{ "key":1,"value":70},{ "key":2,"value":57},{ "key":4,"value":46},{ "key":5,"value":46},{ "key":12,"value":690}]</v>
      </c>
    </row>
    <row r="69" spans="1:23">
      <c r="A69">
        <v>68</v>
      </c>
      <c r="B69" t="s">
        <v>43</v>
      </c>
      <c r="C69">
        <v>1</v>
      </c>
      <c r="D69" t="s">
        <v>44</v>
      </c>
      <c r="E69">
        <v>71</v>
      </c>
      <c r="F69" t="s">
        <v>45</v>
      </c>
      <c r="G69">
        <v>2</v>
      </c>
      <c r="H69" t="s">
        <v>44</v>
      </c>
      <c r="I69">
        <f t="shared" si="11"/>
        <v>58</v>
      </c>
      <c r="J69" t="s">
        <v>45</v>
      </c>
      <c r="K69">
        <v>4</v>
      </c>
      <c r="L69" t="s">
        <v>44</v>
      </c>
      <c r="M69">
        <f t="shared" si="12"/>
        <v>47</v>
      </c>
      <c r="N69" t="s">
        <v>45</v>
      </c>
      <c r="O69">
        <v>5</v>
      </c>
      <c r="P69" t="s">
        <v>44</v>
      </c>
      <c r="Q69">
        <f t="shared" si="13"/>
        <v>47</v>
      </c>
      <c r="R69" t="s">
        <v>45</v>
      </c>
      <c r="S69">
        <v>12</v>
      </c>
      <c r="T69" t="s">
        <v>44</v>
      </c>
      <c r="U69">
        <f t="shared" si="14"/>
        <v>705</v>
      </c>
      <c r="V69" t="s">
        <v>46</v>
      </c>
      <c r="W69" t="str">
        <f t="shared" si="10"/>
        <v>[{ "key":1,"value":71},{ "key":2,"value":58},{ "key":4,"value":47},{ "key":5,"value":47},{ "key":12,"value":705}]</v>
      </c>
    </row>
    <row r="70" spans="1:23">
      <c r="A70">
        <v>69</v>
      </c>
      <c r="B70" t="s">
        <v>43</v>
      </c>
      <c r="C70">
        <v>1</v>
      </c>
      <c r="D70" t="s">
        <v>44</v>
      </c>
      <c r="E70">
        <v>72</v>
      </c>
      <c r="F70" t="s">
        <v>45</v>
      </c>
      <c r="G70">
        <v>2</v>
      </c>
      <c r="H70" t="s">
        <v>44</v>
      </c>
      <c r="I70">
        <f t="shared" si="11"/>
        <v>59</v>
      </c>
      <c r="J70" t="s">
        <v>45</v>
      </c>
      <c r="K70">
        <v>4</v>
      </c>
      <c r="L70" t="s">
        <v>44</v>
      </c>
      <c r="M70">
        <f t="shared" si="12"/>
        <v>48</v>
      </c>
      <c r="N70" t="s">
        <v>45</v>
      </c>
      <c r="O70">
        <v>5</v>
      </c>
      <c r="P70" t="s">
        <v>44</v>
      </c>
      <c r="Q70">
        <f t="shared" si="13"/>
        <v>48</v>
      </c>
      <c r="R70" t="s">
        <v>45</v>
      </c>
      <c r="S70">
        <v>12</v>
      </c>
      <c r="T70" t="s">
        <v>44</v>
      </c>
      <c r="U70">
        <f t="shared" si="14"/>
        <v>720</v>
      </c>
      <c r="V70" t="s">
        <v>46</v>
      </c>
      <c r="W70" t="str">
        <f t="shared" si="10"/>
        <v>[{ "key":1,"value":72},{ "key":2,"value":59},{ "key":4,"value":48},{ "key":5,"value":48},{ "key":12,"value":720}]</v>
      </c>
    </row>
    <row r="71" spans="1:23">
      <c r="A71">
        <v>70</v>
      </c>
      <c r="B71" t="s">
        <v>43</v>
      </c>
      <c r="C71">
        <v>1</v>
      </c>
      <c r="D71" t="s">
        <v>44</v>
      </c>
      <c r="E71">
        <v>73</v>
      </c>
      <c r="F71" t="s">
        <v>45</v>
      </c>
      <c r="G71">
        <v>2</v>
      </c>
      <c r="H71" t="s">
        <v>44</v>
      </c>
      <c r="I71">
        <f t="shared" si="11"/>
        <v>59</v>
      </c>
      <c r="J71" t="s">
        <v>45</v>
      </c>
      <c r="K71">
        <v>4</v>
      </c>
      <c r="L71" t="s">
        <v>44</v>
      </c>
      <c r="M71">
        <f t="shared" si="12"/>
        <v>48</v>
      </c>
      <c r="N71" t="s">
        <v>45</v>
      </c>
      <c r="O71">
        <v>5</v>
      </c>
      <c r="P71" t="s">
        <v>44</v>
      </c>
      <c r="Q71">
        <f t="shared" si="13"/>
        <v>48</v>
      </c>
      <c r="R71" t="s">
        <v>45</v>
      </c>
      <c r="S71">
        <v>12</v>
      </c>
      <c r="T71" t="s">
        <v>44</v>
      </c>
      <c r="U71">
        <f t="shared" si="14"/>
        <v>720</v>
      </c>
      <c r="V71" t="s">
        <v>46</v>
      </c>
      <c r="W71" t="str">
        <f t="shared" si="10"/>
        <v>[{ "key":1,"value":73},{ "key":2,"value":59},{ "key":4,"value":48},{ "key":5,"value":48},{ "key":12,"value":720}]</v>
      </c>
    </row>
    <row r="72" spans="1:23">
      <c r="A72">
        <v>71</v>
      </c>
      <c r="B72" t="s">
        <v>43</v>
      </c>
      <c r="C72">
        <v>1</v>
      </c>
      <c r="D72" t="s">
        <v>44</v>
      </c>
      <c r="E72">
        <v>74</v>
      </c>
      <c r="F72" t="s">
        <v>45</v>
      </c>
      <c r="G72">
        <v>2</v>
      </c>
      <c r="H72" t="s">
        <v>44</v>
      </c>
      <c r="I72">
        <f t="shared" si="11"/>
        <v>60</v>
      </c>
      <c r="J72" t="s">
        <v>45</v>
      </c>
      <c r="K72">
        <v>4</v>
      </c>
      <c r="L72" t="s">
        <v>44</v>
      </c>
      <c r="M72">
        <f t="shared" si="12"/>
        <v>49</v>
      </c>
      <c r="N72" t="s">
        <v>45</v>
      </c>
      <c r="O72">
        <v>5</v>
      </c>
      <c r="P72" t="s">
        <v>44</v>
      </c>
      <c r="Q72">
        <f t="shared" si="13"/>
        <v>49</v>
      </c>
      <c r="R72" t="s">
        <v>45</v>
      </c>
      <c r="S72">
        <v>12</v>
      </c>
      <c r="T72" t="s">
        <v>44</v>
      </c>
      <c r="U72">
        <f t="shared" si="14"/>
        <v>735</v>
      </c>
      <c r="V72" t="s">
        <v>46</v>
      </c>
      <c r="W72" t="str">
        <f t="shared" si="10"/>
        <v>[{ "key":1,"value":74},{ "key":2,"value":60},{ "key":4,"value":49},{ "key":5,"value":49},{ "key":12,"value":735}]</v>
      </c>
    </row>
    <row r="73" spans="1:23">
      <c r="A73">
        <v>72</v>
      </c>
      <c r="B73" t="s">
        <v>43</v>
      </c>
      <c r="C73">
        <v>1</v>
      </c>
      <c r="D73" t="s">
        <v>44</v>
      </c>
      <c r="E73">
        <v>75</v>
      </c>
      <c r="F73" t="s">
        <v>45</v>
      </c>
      <c r="G73">
        <v>2</v>
      </c>
      <c r="H73" t="s">
        <v>44</v>
      </c>
      <c r="I73">
        <f t="shared" si="11"/>
        <v>61</v>
      </c>
      <c r="J73" t="s">
        <v>45</v>
      </c>
      <c r="K73">
        <v>4</v>
      </c>
      <c r="L73" t="s">
        <v>44</v>
      </c>
      <c r="M73">
        <f t="shared" si="12"/>
        <v>50</v>
      </c>
      <c r="N73" t="s">
        <v>45</v>
      </c>
      <c r="O73">
        <v>5</v>
      </c>
      <c r="P73" t="s">
        <v>44</v>
      </c>
      <c r="Q73">
        <f t="shared" si="13"/>
        <v>50</v>
      </c>
      <c r="R73" t="s">
        <v>45</v>
      </c>
      <c r="S73">
        <v>12</v>
      </c>
      <c r="T73" t="s">
        <v>44</v>
      </c>
      <c r="U73">
        <f t="shared" si="14"/>
        <v>750</v>
      </c>
      <c r="V73" t="s">
        <v>46</v>
      </c>
      <c r="W73" t="str">
        <f t="shared" si="10"/>
        <v>[{ "key":1,"value":75},{ "key":2,"value":61},{ "key":4,"value":50},{ "key":5,"value":50},{ "key":12,"value":750}]</v>
      </c>
    </row>
    <row r="74" spans="1:23">
      <c r="A74">
        <v>73</v>
      </c>
      <c r="B74" t="s">
        <v>43</v>
      </c>
      <c r="C74">
        <v>1</v>
      </c>
      <c r="D74" t="s">
        <v>44</v>
      </c>
      <c r="E74">
        <v>76</v>
      </c>
      <c r="F74" t="s">
        <v>45</v>
      </c>
      <c r="G74">
        <v>2</v>
      </c>
      <c r="H74" t="s">
        <v>44</v>
      </c>
      <c r="I74">
        <f t="shared" si="11"/>
        <v>62</v>
      </c>
      <c r="J74" t="s">
        <v>45</v>
      </c>
      <c r="K74">
        <v>4</v>
      </c>
      <c r="L74" t="s">
        <v>44</v>
      </c>
      <c r="M74">
        <f t="shared" si="12"/>
        <v>50</v>
      </c>
      <c r="N74" t="s">
        <v>45</v>
      </c>
      <c r="O74">
        <v>5</v>
      </c>
      <c r="P74" t="s">
        <v>44</v>
      </c>
      <c r="Q74">
        <f t="shared" si="13"/>
        <v>50</v>
      </c>
      <c r="R74" t="s">
        <v>45</v>
      </c>
      <c r="S74">
        <v>12</v>
      </c>
      <c r="T74" t="s">
        <v>44</v>
      </c>
      <c r="U74">
        <f t="shared" si="14"/>
        <v>750</v>
      </c>
      <c r="V74" t="s">
        <v>46</v>
      </c>
      <c r="W74" t="str">
        <f t="shared" si="10"/>
        <v>[{ "key":1,"value":76},{ "key":2,"value":62},{ "key":4,"value":50},{ "key":5,"value":50},{ "key":12,"value":750}]</v>
      </c>
    </row>
    <row r="75" spans="1:23">
      <c r="A75">
        <v>74</v>
      </c>
      <c r="B75" t="s">
        <v>43</v>
      </c>
      <c r="C75">
        <v>1</v>
      </c>
      <c r="D75" t="s">
        <v>44</v>
      </c>
      <c r="E75">
        <v>77</v>
      </c>
      <c r="F75" t="s">
        <v>45</v>
      </c>
      <c r="G75">
        <v>2</v>
      </c>
      <c r="H75" t="s">
        <v>44</v>
      </c>
      <c r="I75">
        <f t="shared" si="11"/>
        <v>63</v>
      </c>
      <c r="J75" t="s">
        <v>45</v>
      </c>
      <c r="K75">
        <v>4</v>
      </c>
      <c r="L75" t="s">
        <v>44</v>
      </c>
      <c r="M75">
        <f t="shared" si="12"/>
        <v>51</v>
      </c>
      <c r="N75" t="s">
        <v>45</v>
      </c>
      <c r="O75">
        <v>5</v>
      </c>
      <c r="P75" t="s">
        <v>44</v>
      </c>
      <c r="Q75">
        <f t="shared" si="13"/>
        <v>51</v>
      </c>
      <c r="R75" t="s">
        <v>45</v>
      </c>
      <c r="S75">
        <v>12</v>
      </c>
      <c r="T75" t="s">
        <v>44</v>
      </c>
      <c r="U75">
        <f t="shared" si="14"/>
        <v>765</v>
      </c>
      <c r="V75" t="s">
        <v>46</v>
      </c>
      <c r="W75" t="str">
        <f t="shared" si="10"/>
        <v>[{ "key":1,"value":77},{ "key":2,"value":63},{ "key":4,"value":51},{ "key":5,"value":51},{ "key":12,"value":765}]</v>
      </c>
    </row>
    <row r="76" spans="1:23">
      <c r="A76">
        <v>75</v>
      </c>
      <c r="B76" t="s">
        <v>43</v>
      </c>
      <c r="C76">
        <v>1</v>
      </c>
      <c r="D76" t="s">
        <v>44</v>
      </c>
      <c r="E76">
        <v>78</v>
      </c>
      <c r="F76" t="s">
        <v>45</v>
      </c>
      <c r="G76">
        <v>2</v>
      </c>
      <c r="H76" t="s">
        <v>44</v>
      </c>
      <c r="I76">
        <f t="shared" si="11"/>
        <v>63</v>
      </c>
      <c r="J76" t="s">
        <v>45</v>
      </c>
      <c r="K76">
        <v>4</v>
      </c>
      <c r="L76" t="s">
        <v>44</v>
      </c>
      <c r="M76">
        <f t="shared" si="12"/>
        <v>52</v>
      </c>
      <c r="N76" t="s">
        <v>45</v>
      </c>
      <c r="O76">
        <v>5</v>
      </c>
      <c r="P76" t="s">
        <v>44</v>
      </c>
      <c r="Q76">
        <f t="shared" si="13"/>
        <v>52</v>
      </c>
      <c r="R76" t="s">
        <v>45</v>
      </c>
      <c r="S76">
        <v>12</v>
      </c>
      <c r="T76" t="s">
        <v>44</v>
      </c>
      <c r="U76">
        <f t="shared" si="14"/>
        <v>780</v>
      </c>
      <c r="V76" t="s">
        <v>46</v>
      </c>
      <c r="W76" t="str">
        <f t="shared" si="10"/>
        <v>[{ "key":1,"value":78},{ "key":2,"value":63},{ "key":4,"value":52},{ "key":5,"value":52},{ "key":12,"value":780}]</v>
      </c>
    </row>
    <row r="77" spans="1:23">
      <c r="A77">
        <v>76</v>
      </c>
      <c r="B77" t="s">
        <v>43</v>
      </c>
      <c r="C77">
        <v>1</v>
      </c>
      <c r="D77" t="s">
        <v>44</v>
      </c>
      <c r="E77">
        <v>79</v>
      </c>
      <c r="F77" t="s">
        <v>45</v>
      </c>
      <c r="G77">
        <v>2</v>
      </c>
      <c r="H77" t="s">
        <v>44</v>
      </c>
      <c r="I77">
        <f t="shared" si="11"/>
        <v>64</v>
      </c>
      <c r="J77" t="s">
        <v>45</v>
      </c>
      <c r="K77">
        <v>4</v>
      </c>
      <c r="L77" t="s">
        <v>44</v>
      </c>
      <c r="M77">
        <f t="shared" si="12"/>
        <v>52</v>
      </c>
      <c r="N77" t="s">
        <v>45</v>
      </c>
      <c r="O77">
        <v>5</v>
      </c>
      <c r="P77" t="s">
        <v>44</v>
      </c>
      <c r="Q77">
        <f t="shared" si="13"/>
        <v>52</v>
      </c>
      <c r="R77" t="s">
        <v>45</v>
      </c>
      <c r="S77">
        <v>12</v>
      </c>
      <c r="T77" t="s">
        <v>44</v>
      </c>
      <c r="U77">
        <f t="shared" si="14"/>
        <v>780</v>
      </c>
      <c r="V77" t="s">
        <v>46</v>
      </c>
      <c r="W77" t="str">
        <f t="shared" si="10"/>
        <v>[{ "key":1,"value":79},{ "key":2,"value":64},{ "key":4,"value":52},{ "key":5,"value":52},{ "key":12,"value":780}]</v>
      </c>
    </row>
    <row r="78" spans="1:23">
      <c r="A78">
        <v>77</v>
      </c>
      <c r="B78" t="s">
        <v>43</v>
      </c>
      <c r="C78">
        <v>1</v>
      </c>
      <c r="D78" t="s">
        <v>44</v>
      </c>
      <c r="E78">
        <v>80</v>
      </c>
      <c r="F78" t="s">
        <v>45</v>
      </c>
      <c r="G78">
        <v>2</v>
      </c>
      <c r="H78" t="s">
        <v>44</v>
      </c>
      <c r="I78">
        <f t="shared" si="11"/>
        <v>65</v>
      </c>
      <c r="J78" t="s">
        <v>45</v>
      </c>
      <c r="K78">
        <v>4</v>
      </c>
      <c r="L78" t="s">
        <v>44</v>
      </c>
      <c r="M78">
        <f t="shared" si="12"/>
        <v>53</v>
      </c>
      <c r="N78" t="s">
        <v>45</v>
      </c>
      <c r="O78">
        <v>5</v>
      </c>
      <c r="P78" t="s">
        <v>44</v>
      </c>
      <c r="Q78">
        <f t="shared" si="13"/>
        <v>53</v>
      </c>
      <c r="R78" t="s">
        <v>45</v>
      </c>
      <c r="S78">
        <v>12</v>
      </c>
      <c r="T78" t="s">
        <v>44</v>
      </c>
      <c r="U78">
        <f t="shared" si="14"/>
        <v>795</v>
      </c>
      <c r="V78" t="s">
        <v>46</v>
      </c>
      <c r="W78" t="str">
        <f t="shared" si="10"/>
        <v>[{ "key":1,"value":80},{ "key":2,"value":65},{ "key":4,"value":53},{ "key":5,"value":53},{ "key":12,"value":795}]</v>
      </c>
    </row>
    <row r="79" spans="1:23">
      <c r="A79">
        <v>78</v>
      </c>
      <c r="B79" t="s">
        <v>43</v>
      </c>
      <c r="C79">
        <v>1</v>
      </c>
      <c r="D79" t="s">
        <v>44</v>
      </c>
      <c r="E79">
        <v>81</v>
      </c>
      <c r="F79" t="s">
        <v>45</v>
      </c>
      <c r="G79">
        <v>2</v>
      </c>
      <c r="H79" t="s">
        <v>44</v>
      </c>
      <c r="I79">
        <f t="shared" si="11"/>
        <v>66</v>
      </c>
      <c r="J79" t="s">
        <v>45</v>
      </c>
      <c r="K79">
        <v>4</v>
      </c>
      <c r="L79" t="s">
        <v>44</v>
      </c>
      <c r="M79">
        <f t="shared" si="12"/>
        <v>54</v>
      </c>
      <c r="N79" t="s">
        <v>45</v>
      </c>
      <c r="O79">
        <v>5</v>
      </c>
      <c r="P79" t="s">
        <v>44</v>
      </c>
      <c r="Q79">
        <f t="shared" si="13"/>
        <v>54</v>
      </c>
      <c r="R79" t="s">
        <v>45</v>
      </c>
      <c r="S79">
        <v>12</v>
      </c>
      <c r="T79" t="s">
        <v>44</v>
      </c>
      <c r="U79">
        <f t="shared" si="14"/>
        <v>810</v>
      </c>
      <c r="V79" t="s">
        <v>46</v>
      </c>
      <c r="W79" t="str">
        <f t="shared" si="10"/>
        <v>[{ "key":1,"value":81},{ "key":2,"value":66},{ "key":4,"value":54},{ "key":5,"value":54},{ "key":12,"value":810}]</v>
      </c>
    </row>
    <row r="80" spans="1:23">
      <c r="A80">
        <v>79</v>
      </c>
      <c r="B80" t="s">
        <v>43</v>
      </c>
      <c r="C80">
        <v>1</v>
      </c>
      <c r="D80" t="s">
        <v>44</v>
      </c>
      <c r="E80">
        <v>82</v>
      </c>
      <c r="F80" t="s">
        <v>45</v>
      </c>
      <c r="G80">
        <v>2</v>
      </c>
      <c r="H80" t="s">
        <v>44</v>
      </c>
      <c r="I80">
        <f t="shared" si="11"/>
        <v>67</v>
      </c>
      <c r="J80" t="s">
        <v>45</v>
      </c>
      <c r="K80">
        <v>4</v>
      </c>
      <c r="L80" t="s">
        <v>44</v>
      </c>
      <c r="M80">
        <f t="shared" si="12"/>
        <v>54</v>
      </c>
      <c r="N80" t="s">
        <v>45</v>
      </c>
      <c r="O80">
        <v>5</v>
      </c>
      <c r="P80" t="s">
        <v>44</v>
      </c>
      <c r="Q80">
        <f t="shared" si="13"/>
        <v>54</v>
      </c>
      <c r="R80" t="s">
        <v>45</v>
      </c>
      <c r="S80">
        <v>12</v>
      </c>
      <c r="T80" t="s">
        <v>44</v>
      </c>
      <c r="U80">
        <f t="shared" si="14"/>
        <v>810</v>
      </c>
      <c r="V80" t="s">
        <v>46</v>
      </c>
      <c r="W80" t="str">
        <f t="shared" si="10"/>
        <v>[{ "key":1,"value":82},{ "key":2,"value":67},{ "key":4,"value":54},{ "key":5,"value":54},{ "key":12,"value":810}]</v>
      </c>
    </row>
    <row r="81" spans="1:23">
      <c r="A81">
        <v>80</v>
      </c>
      <c r="B81" t="s">
        <v>43</v>
      </c>
      <c r="C81">
        <v>1</v>
      </c>
      <c r="D81" t="s">
        <v>44</v>
      </c>
      <c r="E81">
        <v>83</v>
      </c>
      <c r="F81" t="s">
        <v>45</v>
      </c>
      <c r="G81">
        <v>2</v>
      </c>
      <c r="H81" t="s">
        <v>44</v>
      </c>
      <c r="I81">
        <f t="shared" si="11"/>
        <v>68</v>
      </c>
      <c r="J81" t="s">
        <v>45</v>
      </c>
      <c r="K81">
        <v>4</v>
      </c>
      <c r="L81" t="s">
        <v>44</v>
      </c>
      <c r="M81">
        <f t="shared" si="12"/>
        <v>55</v>
      </c>
      <c r="N81" t="s">
        <v>45</v>
      </c>
      <c r="O81">
        <v>5</v>
      </c>
      <c r="P81" t="s">
        <v>44</v>
      </c>
      <c r="Q81">
        <f t="shared" si="13"/>
        <v>55</v>
      </c>
      <c r="R81" t="s">
        <v>45</v>
      </c>
      <c r="S81">
        <v>12</v>
      </c>
      <c r="T81" t="s">
        <v>44</v>
      </c>
      <c r="U81">
        <f t="shared" si="14"/>
        <v>825</v>
      </c>
      <c r="V81" t="s">
        <v>46</v>
      </c>
      <c r="W81" t="str">
        <f t="shared" si="10"/>
        <v>[{ "key":1,"value":83},{ "key":2,"value":68},{ "key":4,"value":55},{ "key":5,"value":55},{ "key":12,"value":825}]</v>
      </c>
    </row>
    <row r="82" spans="1:23">
      <c r="A82">
        <v>81</v>
      </c>
      <c r="B82" t="s">
        <v>43</v>
      </c>
      <c r="C82">
        <v>1</v>
      </c>
      <c r="D82" t="s">
        <v>44</v>
      </c>
      <c r="E82">
        <v>84</v>
      </c>
      <c r="F82" t="s">
        <v>45</v>
      </c>
      <c r="G82">
        <v>2</v>
      </c>
      <c r="H82" t="s">
        <v>44</v>
      </c>
      <c r="I82">
        <f t="shared" si="11"/>
        <v>68</v>
      </c>
      <c r="J82" t="s">
        <v>45</v>
      </c>
      <c r="K82">
        <v>4</v>
      </c>
      <c r="L82" t="s">
        <v>44</v>
      </c>
      <c r="M82">
        <f t="shared" si="12"/>
        <v>56</v>
      </c>
      <c r="N82" t="s">
        <v>45</v>
      </c>
      <c r="O82">
        <v>5</v>
      </c>
      <c r="P82" t="s">
        <v>44</v>
      </c>
      <c r="Q82">
        <f t="shared" si="13"/>
        <v>56</v>
      </c>
      <c r="R82" t="s">
        <v>45</v>
      </c>
      <c r="S82">
        <v>12</v>
      </c>
      <c r="T82" t="s">
        <v>44</v>
      </c>
      <c r="U82">
        <f t="shared" si="14"/>
        <v>840</v>
      </c>
      <c r="V82" t="s">
        <v>46</v>
      </c>
      <c r="W82" t="str">
        <f t="shared" si="10"/>
        <v>[{ "key":1,"value":84},{ "key":2,"value":68},{ "key":4,"value":56},{ "key":5,"value":56},{ "key":12,"value":840}]</v>
      </c>
    </row>
    <row r="83" spans="1:23">
      <c r="A83">
        <v>82</v>
      </c>
      <c r="B83" t="s">
        <v>43</v>
      </c>
      <c r="C83">
        <v>1</v>
      </c>
      <c r="D83" t="s">
        <v>44</v>
      </c>
      <c r="E83">
        <v>85</v>
      </c>
      <c r="F83" t="s">
        <v>45</v>
      </c>
      <c r="G83">
        <v>2</v>
      </c>
      <c r="H83" t="s">
        <v>44</v>
      </c>
      <c r="I83">
        <f t="shared" si="11"/>
        <v>69</v>
      </c>
      <c r="J83" t="s">
        <v>45</v>
      </c>
      <c r="K83">
        <v>4</v>
      </c>
      <c r="L83" t="s">
        <v>44</v>
      </c>
      <c r="M83">
        <f t="shared" si="12"/>
        <v>56</v>
      </c>
      <c r="N83" t="s">
        <v>45</v>
      </c>
      <c r="O83">
        <v>5</v>
      </c>
      <c r="P83" t="s">
        <v>44</v>
      </c>
      <c r="Q83">
        <f t="shared" si="13"/>
        <v>56</v>
      </c>
      <c r="R83" t="s">
        <v>45</v>
      </c>
      <c r="S83">
        <v>12</v>
      </c>
      <c r="T83" t="s">
        <v>44</v>
      </c>
      <c r="U83">
        <f t="shared" si="14"/>
        <v>840</v>
      </c>
      <c r="V83" t="s">
        <v>46</v>
      </c>
      <c r="W83" t="str">
        <f t="shared" si="10"/>
        <v>[{ "key":1,"value":85},{ "key":2,"value":69},{ "key":4,"value":56},{ "key":5,"value":56},{ "key":12,"value":840}]</v>
      </c>
    </row>
    <row r="84" spans="1:23">
      <c r="A84">
        <v>83</v>
      </c>
      <c r="B84" t="s">
        <v>43</v>
      </c>
      <c r="C84">
        <v>1</v>
      </c>
      <c r="D84" t="s">
        <v>44</v>
      </c>
      <c r="E84">
        <v>86</v>
      </c>
      <c r="F84" t="s">
        <v>45</v>
      </c>
      <c r="G84">
        <v>2</v>
      </c>
      <c r="H84" t="s">
        <v>44</v>
      </c>
      <c r="I84">
        <f t="shared" si="11"/>
        <v>70</v>
      </c>
      <c r="J84" t="s">
        <v>45</v>
      </c>
      <c r="K84">
        <v>4</v>
      </c>
      <c r="L84" t="s">
        <v>44</v>
      </c>
      <c r="M84">
        <f t="shared" si="12"/>
        <v>57</v>
      </c>
      <c r="N84" t="s">
        <v>45</v>
      </c>
      <c r="O84">
        <v>5</v>
      </c>
      <c r="P84" t="s">
        <v>44</v>
      </c>
      <c r="Q84">
        <f t="shared" si="13"/>
        <v>57</v>
      </c>
      <c r="R84" t="s">
        <v>45</v>
      </c>
      <c r="S84">
        <v>12</v>
      </c>
      <c r="T84" t="s">
        <v>44</v>
      </c>
      <c r="U84">
        <f t="shared" si="14"/>
        <v>855</v>
      </c>
      <c r="V84" t="s">
        <v>46</v>
      </c>
      <c r="W84" t="str">
        <f t="shared" si="10"/>
        <v>[{ "key":1,"value":86},{ "key":2,"value":70},{ "key":4,"value":57},{ "key":5,"value":57},{ "key":12,"value":855}]</v>
      </c>
    </row>
    <row r="85" spans="1:23">
      <c r="A85">
        <v>84</v>
      </c>
      <c r="B85" t="s">
        <v>43</v>
      </c>
      <c r="C85">
        <v>1</v>
      </c>
      <c r="D85" t="s">
        <v>44</v>
      </c>
      <c r="E85">
        <v>87</v>
      </c>
      <c r="F85" t="s">
        <v>45</v>
      </c>
      <c r="G85">
        <v>2</v>
      </c>
      <c r="H85" t="s">
        <v>44</v>
      </c>
      <c r="I85">
        <f t="shared" si="11"/>
        <v>71</v>
      </c>
      <c r="J85" t="s">
        <v>45</v>
      </c>
      <c r="K85">
        <v>4</v>
      </c>
      <c r="L85" t="s">
        <v>44</v>
      </c>
      <c r="M85">
        <f t="shared" si="12"/>
        <v>58</v>
      </c>
      <c r="N85" t="s">
        <v>45</v>
      </c>
      <c r="O85">
        <v>5</v>
      </c>
      <c r="P85" t="s">
        <v>44</v>
      </c>
      <c r="Q85">
        <f t="shared" si="13"/>
        <v>58</v>
      </c>
      <c r="R85" t="s">
        <v>45</v>
      </c>
      <c r="S85">
        <v>12</v>
      </c>
      <c r="T85" t="s">
        <v>44</v>
      </c>
      <c r="U85">
        <f t="shared" si="14"/>
        <v>870</v>
      </c>
      <c r="V85" t="s">
        <v>46</v>
      </c>
      <c r="W85" t="str">
        <f t="shared" si="10"/>
        <v>[{ "key":1,"value":87},{ "key":2,"value":71},{ "key":4,"value":58},{ "key":5,"value":58},{ "key":12,"value":870}]</v>
      </c>
    </row>
    <row r="86" spans="1:23">
      <c r="A86">
        <v>85</v>
      </c>
      <c r="B86" t="s">
        <v>43</v>
      </c>
      <c r="C86">
        <v>1</v>
      </c>
      <c r="D86" t="s">
        <v>44</v>
      </c>
      <c r="E86">
        <v>88</v>
      </c>
      <c r="F86" t="s">
        <v>45</v>
      </c>
      <c r="G86">
        <v>2</v>
      </c>
      <c r="H86" t="s">
        <v>44</v>
      </c>
      <c r="I86">
        <f t="shared" si="11"/>
        <v>72</v>
      </c>
      <c r="J86" t="s">
        <v>45</v>
      </c>
      <c r="K86">
        <v>4</v>
      </c>
      <c r="L86" t="s">
        <v>44</v>
      </c>
      <c r="M86">
        <f t="shared" si="12"/>
        <v>58</v>
      </c>
      <c r="N86" t="s">
        <v>45</v>
      </c>
      <c r="O86">
        <v>5</v>
      </c>
      <c r="P86" t="s">
        <v>44</v>
      </c>
      <c r="Q86">
        <f t="shared" si="13"/>
        <v>58</v>
      </c>
      <c r="R86" t="s">
        <v>45</v>
      </c>
      <c r="S86">
        <v>12</v>
      </c>
      <c r="T86" t="s">
        <v>44</v>
      </c>
      <c r="U86">
        <f t="shared" si="14"/>
        <v>870</v>
      </c>
      <c r="V86" t="s">
        <v>46</v>
      </c>
      <c r="W86" t="str">
        <f t="shared" si="10"/>
        <v>[{ "key":1,"value":88},{ "key":2,"value":72},{ "key":4,"value":58},{ "key":5,"value":58},{ "key":12,"value":870}]</v>
      </c>
    </row>
    <row r="87" spans="1:23">
      <c r="A87">
        <v>86</v>
      </c>
      <c r="B87" t="s">
        <v>43</v>
      </c>
      <c r="C87">
        <v>1</v>
      </c>
      <c r="D87" t="s">
        <v>44</v>
      </c>
      <c r="E87">
        <v>89</v>
      </c>
      <c r="F87" t="s">
        <v>45</v>
      </c>
      <c r="G87">
        <v>2</v>
      </c>
      <c r="H87" t="s">
        <v>44</v>
      </c>
      <c r="I87">
        <f t="shared" si="11"/>
        <v>72</v>
      </c>
      <c r="J87" t="s">
        <v>45</v>
      </c>
      <c r="K87">
        <v>4</v>
      </c>
      <c r="L87" t="s">
        <v>44</v>
      </c>
      <c r="M87">
        <f t="shared" si="12"/>
        <v>59</v>
      </c>
      <c r="N87" t="s">
        <v>45</v>
      </c>
      <c r="O87">
        <v>5</v>
      </c>
      <c r="P87" t="s">
        <v>44</v>
      </c>
      <c r="Q87">
        <f t="shared" si="13"/>
        <v>59</v>
      </c>
      <c r="R87" t="s">
        <v>45</v>
      </c>
      <c r="S87">
        <v>12</v>
      </c>
      <c r="T87" t="s">
        <v>44</v>
      </c>
      <c r="U87">
        <f t="shared" si="14"/>
        <v>885</v>
      </c>
      <c r="V87" t="s">
        <v>46</v>
      </c>
      <c r="W87" t="str">
        <f t="shared" si="10"/>
        <v>[{ "key":1,"value":89},{ "key":2,"value":72},{ "key":4,"value":59},{ "key":5,"value":59},{ "key":12,"value":885}]</v>
      </c>
    </row>
    <row r="88" spans="1:23">
      <c r="A88">
        <v>87</v>
      </c>
      <c r="B88" t="s">
        <v>43</v>
      </c>
      <c r="C88">
        <v>1</v>
      </c>
      <c r="D88" t="s">
        <v>44</v>
      </c>
      <c r="E88">
        <v>90</v>
      </c>
      <c r="F88" t="s">
        <v>45</v>
      </c>
      <c r="G88">
        <v>2</v>
      </c>
      <c r="H88" t="s">
        <v>44</v>
      </c>
      <c r="I88">
        <f t="shared" si="11"/>
        <v>73</v>
      </c>
      <c r="J88" t="s">
        <v>45</v>
      </c>
      <c r="K88">
        <v>4</v>
      </c>
      <c r="L88" t="s">
        <v>44</v>
      </c>
      <c r="M88">
        <f t="shared" si="12"/>
        <v>60</v>
      </c>
      <c r="N88" t="s">
        <v>45</v>
      </c>
      <c r="O88">
        <v>5</v>
      </c>
      <c r="P88" t="s">
        <v>44</v>
      </c>
      <c r="Q88">
        <f t="shared" si="13"/>
        <v>60</v>
      </c>
      <c r="R88" t="s">
        <v>45</v>
      </c>
      <c r="S88">
        <v>12</v>
      </c>
      <c r="T88" t="s">
        <v>44</v>
      </c>
      <c r="U88">
        <f t="shared" si="14"/>
        <v>900</v>
      </c>
      <c r="V88" t="s">
        <v>46</v>
      </c>
      <c r="W88" t="str">
        <f t="shared" si="10"/>
        <v>[{ "key":1,"value":90},{ "key":2,"value":73},{ "key":4,"value":60},{ "key":5,"value":60},{ "key":12,"value":900}]</v>
      </c>
    </row>
    <row r="89" spans="1:23">
      <c r="A89">
        <v>88</v>
      </c>
      <c r="B89" t="s">
        <v>43</v>
      </c>
      <c r="C89">
        <v>1</v>
      </c>
      <c r="D89" t="s">
        <v>44</v>
      </c>
      <c r="E89">
        <v>91</v>
      </c>
      <c r="F89" t="s">
        <v>45</v>
      </c>
      <c r="G89">
        <v>2</v>
      </c>
      <c r="H89" t="s">
        <v>44</v>
      </c>
      <c r="I89">
        <f t="shared" si="11"/>
        <v>74</v>
      </c>
      <c r="J89" t="s">
        <v>45</v>
      </c>
      <c r="K89">
        <v>4</v>
      </c>
      <c r="L89" t="s">
        <v>44</v>
      </c>
      <c r="M89">
        <f t="shared" si="12"/>
        <v>60</v>
      </c>
      <c r="N89" t="s">
        <v>45</v>
      </c>
      <c r="O89">
        <v>5</v>
      </c>
      <c r="P89" t="s">
        <v>44</v>
      </c>
      <c r="Q89">
        <f t="shared" si="13"/>
        <v>60</v>
      </c>
      <c r="R89" t="s">
        <v>45</v>
      </c>
      <c r="S89">
        <v>12</v>
      </c>
      <c r="T89" t="s">
        <v>44</v>
      </c>
      <c r="U89">
        <f t="shared" si="14"/>
        <v>900</v>
      </c>
      <c r="V89" t="s">
        <v>46</v>
      </c>
      <c r="W89" t="str">
        <f t="shared" si="10"/>
        <v>[{ "key":1,"value":91},{ "key":2,"value":74},{ "key":4,"value":60},{ "key":5,"value":60},{ "key":12,"value":900}]</v>
      </c>
    </row>
    <row r="90" spans="1:23">
      <c r="A90">
        <v>89</v>
      </c>
      <c r="B90" t="s">
        <v>43</v>
      </c>
      <c r="C90">
        <v>1</v>
      </c>
      <c r="D90" t="s">
        <v>44</v>
      </c>
      <c r="E90">
        <v>92</v>
      </c>
      <c r="F90" t="s">
        <v>45</v>
      </c>
      <c r="G90">
        <v>2</v>
      </c>
      <c r="H90" t="s">
        <v>44</v>
      </c>
      <c r="I90">
        <f t="shared" si="11"/>
        <v>75</v>
      </c>
      <c r="J90" t="s">
        <v>45</v>
      </c>
      <c r="K90">
        <v>4</v>
      </c>
      <c r="L90" t="s">
        <v>44</v>
      </c>
      <c r="M90">
        <f t="shared" si="12"/>
        <v>61</v>
      </c>
      <c r="N90" t="s">
        <v>45</v>
      </c>
      <c r="O90">
        <v>5</v>
      </c>
      <c r="P90" t="s">
        <v>44</v>
      </c>
      <c r="Q90">
        <f t="shared" si="13"/>
        <v>61</v>
      </c>
      <c r="R90" t="s">
        <v>45</v>
      </c>
      <c r="S90">
        <v>12</v>
      </c>
      <c r="T90" t="s">
        <v>44</v>
      </c>
      <c r="U90">
        <f t="shared" si="14"/>
        <v>915</v>
      </c>
      <c r="V90" t="s">
        <v>46</v>
      </c>
      <c r="W90" t="str">
        <f t="shared" si="10"/>
        <v>[{ "key":1,"value":92},{ "key":2,"value":75},{ "key":4,"value":61},{ "key":5,"value":61},{ "key":12,"value":915}]</v>
      </c>
    </row>
    <row r="91" spans="1:23">
      <c r="A91">
        <v>90</v>
      </c>
      <c r="B91" t="s">
        <v>43</v>
      </c>
      <c r="C91">
        <v>1</v>
      </c>
      <c r="D91" t="s">
        <v>44</v>
      </c>
      <c r="E91">
        <v>93</v>
      </c>
      <c r="F91" t="s">
        <v>45</v>
      </c>
      <c r="G91">
        <v>2</v>
      </c>
      <c r="H91" t="s">
        <v>44</v>
      </c>
      <c r="I91">
        <f t="shared" si="11"/>
        <v>76</v>
      </c>
      <c r="J91" t="s">
        <v>45</v>
      </c>
      <c r="K91">
        <v>4</v>
      </c>
      <c r="L91" t="s">
        <v>44</v>
      </c>
      <c r="M91">
        <f t="shared" si="12"/>
        <v>62</v>
      </c>
      <c r="N91" t="s">
        <v>45</v>
      </c>
      <c r="O91">
        <v>5</v>
      </c>
      <c r="P91" t="s">
        <v>44</v>
      </c>
      <c r="Q91">
        <f t="shared" si="13"/>
        <v>62</v>
      </c>
      <c r="R91" t="s">
        <v>45</v>
      </c>
      <c r="S91">
        <v>12</v>
      </c>
      <c r="T91" t="s">
        <v>44</v>
      </c>
      <c r="U91">
        <f t="shared" si="14"/>
        <v>930</v>
      </c>
      <c r="V91" t="s">
        <v>46</v>
      </c>
      <c r="W91" t="str">
        <f t="shared" si="10"/>
        <v>[{ "key":1,"value":93},{ "key":2,"value":76},{ "key":4,"value":62},{ "key":5,"value":62},{ "key":12,"value":930}]</v>
      </c>
    </row>
    <row r="92" spans="1:23">
      <c r="A92">
        <v>91</v>
      </c>
      <c r="B92" t="s">
        <v>43</v>
      </c>
      <c r="C92">
        <v>1</v>
      </c>
      <c r="D92" t="s">
        <v>44</v>
      </c>
      <c r="E92">
        <v>94</v>
      </c>
      <c r="F92" t="s">
        <v>45</v>
      </c>
      <c r="G92">
        <v>2</v>
      </c>
      <c r="H92" t="s">
        <v>44</v>
      </c>
      <c r="I92">
        <f t="shared" si="11"/>
        <v>77</v>
      </c>
      <c r="J92" t="s">
        <v>45</v>
      </c>
      <c r="K92">
        <v>4</v>
      </c>
      <c r="L92" t="s">
        <v>44</v>
      </c>
      <c r="M92">
        <f t="shared" si="12"/>
        <v>62</v>
      </c>
      <c r="N92" t="s">
        <v>45</v>
      </c>
      <c r="O92">
        <v>5</v>
      </c>
      <c r="P92" t="s">
        <v>44</v>
      </c>
      <c r="Q92">
        <f t="shared" si="13"/>
        <v>62</v>
      </c>
      <c r="R92" t="s">
        <v>45</v>
      </c>
      <c r="S92">
        <v>12</v>
      </c>
      <c r="T92" t="s">
        <v>44</v>
      </c>
      <c r="U92">
        <f t="shared" si="14"/>
        <v>930</v>
      </c>
      <c r="V92" t="s">
        <v>46</v>
      </c>
      <c r="W92" t="str">
        <f t="shared" si="10"/>
        <v>[{ "key":1,"value":94},{ "key":2,"value":77},{ "key":4,"value":62},{ "key":5,"value":62},{ "key":12,"value":930}]</v>
      </c>
    </row>
    <row r="93" spans="1:23">
      <c r="A93">
        <v>92</v>
      </c>
      <c r="B93" t="s">
        <v>43</v>
      </c>
      <c r="C93">
        <v>1</v>
      </c>
      <c r="D93" t="s">
        <v>44</v>
      </c>
      <c r="E93">
        <v>95</v>
      </c>
      <c r="F93" t="s">
        <v>45</v>
      </c>
      <c r="G93">
        <v>2</v>
      </c>
      <c r="H93" t="s">
        <v>44</v>
      </c>
      <c r="I93">
        <f t="shared" si="11"/>
        <v>77</v>
      </c>
      <c r="J93" t="s">
        <v>45</v>
      </c>
      <c r="K93">
        <v>4</v>
      </c>
      <c r="L93" t="s">
        <v>44</v>
      </c>
      <c r="M93">
        <f t="shared" si="12"/>
        <v>63</v>
      </c>
      <c r="N93" t="s">
        <v>45</v>
      </c>
      <c r="O93">
        <v>5</v>
      </c>
      <c r="P93" t="s">
        <v>44</v>
      </c>
      <c r="Q93">
        <f t="shared" si="13"/>
        <v>63</v>
      </c>
      <c r="R93" t="s">
        <v>45</v>
      </c>
      <c r="S93">
        <v>12</v>
      </c>
      <c r="T93" t="s">
        <v>44</v>
      </c>
      <c r="U93">
        <f t="shared" si="14"/>
        <v>945</v>
      </c>
      <c r="V93" t="s">
        <v>46</v>
      </c>
      <c r="W93" t="str">
        <f t="shared" si="10"/>
        <v>[{ "key":1,"value":95},{ "key":2,"value":77},{ "key":4,"value":63},{ "key":5,"value":63},{ "key":12,"value":945}]</v>
      </c>
    </row>
    <row r="94" spans="1:23">
      <c r="A94">
        <v>93</v>
      </c>
      <c r="B94" t="s">
        <v>43</v>
      </c>
      <c r="C94">
        <v>1</v>
      </c>
      <c r="D94" t="s">
        <v>44</v>
      </c>
      <c r="E94">
        <v>96</v>
      </c>
      <c r="F94" t="s">
        <v>45</v>
      </c>
      <c r="G94">
        <v>2</v>
      </c>
      <c r="H94" t="s">
        <v>44</v>
      </c>
      <c r="I94">
        <f t="shared" si="11"/>
        <v>78</v>
      </c>
      <c r="J94" t="s">
        <v>45</v>
      </c>
      <c r="K94">
        <v>4</v>
      </c>
      <c r="L94" t="s">
        <v>44</v>
      </c>
      <c r="M94">
        <f t="shared" si="12"/>
        <v>64</v>
      </c>
      <c r="N94" t="s">
        <v>45</v>
      </c>
      <c r="O94">
        <v>5</v>
      </c>
      <c r="P94" t="s">
        <v>44</v>
      </c>
      <c r="Q94">
        <f t="shared" si="13"/>
        <v>64</v>
      </c>
      <c r="R94" t="s">
        <v>45</v>
      </c>
      <c r="S94">
        <v>12</v>
      </c>
      <c r="T94" t="s">
        <v>44</v>
      </c>
      <c r="U94">
        <f t="shared" si="14"/>
        <v>960</v>
      </c>
      <c r="V94" t="s">
        <v>46</v>
      </c>
      <c r="W94" t="str">
        <f t="shared" si="10"/>
        <v>[{ "key":1,"value":96},{ "key":2,"value":78},{ "key":4,"value":64},{ "key":5,"value":64},{ "key":12,"value":960}]</v>
      </c>
    </row>
    <row r="95" spans="1:23">
      <c r="A95">
        <v>94</v>
      </c>
      <c r="B95" t="s">
        <v>43</v>
      </c>
      <c r="C95">
        <v>1</v>
      </c>
      <c r="D95" t="s">
        <v>44</v>
      </c>
      <c r="E95">
        <v>97</v>
      </c>
      <c r="F95" t="s">
        <v>45</v>
      </c>
      <c r="G95">
        <v>2</v>
      </c>
      <c r="H95" t="s">
        <v>44</v>
      </c>
      <c r="I95">
        <f t="shared" si="11"/>
        <v>79</v>
      </c>
      <c r="J95" t="s">
        <v>45</v>
      </c>
      <c r="K95">
        <v>4</v>
      </c>
      <c r="L95" t="s">
        <v>44</v>
      </c>
      <c r="M95">
        <f t="shared" si="12"/>
        <v>64</v>
      </c>
      <c r="N95" t="s">
        <v>45</v>
      </c>
      <c r="O95">
        <v>5</v>
      </c>
      <c r="P95" t="s">
        <v>44</v>
      </c>
      <c r="Q95">
        <f t="shared" si="13"/>
        <v>64</v>
      </c>
      <c r="R95" t="s">
        <v>45</v>
      </c>
      <c r="S95">
        <v>12</v>
      </c>
      <c r="T95" t="s">
        <v>44</v>
      </c>
      <c r="U95">
        <f t="shared" si="14"/>
        <v>960</v>
      </c>
      <c r="V95" t="s">
        <v>46</v>
      </c>
      <c r="W95" t="str">
        <f t="shared" si="10"/>
        <v>[{ "key":1,"value":97},{ "key":2,"value":79},{ "key":4,"value":64},{ "key":5,"value":64},{ "key":12,"value":960}]</v>
      </c>
    </row>
    <row r="96" spans="1:23">
      <c r="A96">
        <v>95</v>
      </c>
      <c r="B96" t="s">
        <v>43</v>
      </c>
      <c r="C96">
        <v>1</v>
      </c>
      <c r="D96" t="s">
        <v>44</v>
      </c>
      <c r="E96">
        <v>98</v>
      </c>
      <c r="F96" t="s">
        <v>45</v>
      </c>
      <c r="G96">
        <v>2</v>
      </c>
      <c r="H96" t="s">
        <v>44</v>
      </c>
      <c r="I96">
        <f t="shared" si="11"/>
        <v>80</v>
      </c>
      <c r="J96" t="s">
        <v>45</v>
      </c>
      <c r="K96">
        <v>4</v>
      </c>
      <c r="L96" t="s">
        <v>44</v>
      </c>
      <c r="M96">
        <f t="shared" si="12"/>
        <v>65</v>
      </c>
      <c r="N96" t="s">
        <v>45</v>
      </c>
      <c r="O96">
        <v>5</v>
      </c>
      <c r="P96" t="s">
        <v>44</v>
      </c>
      <c r="Q96">
        <f t="shared" si="13"/>
        <v>65</v>
      </c>
      <c r="R96" t="s">
        <v>45</v>
      </c>
      <c r="S96">
        <v>12</v>
      </c>
      <c r="T96" t="s">
        <v>44</v>
      </c>
      <c r="U96">
        <f t="shared" si="14"/>
        <v>975</v>
      </c>
      <c r="V96" t="s">
        <v>46</v>
      </c>
      <c r="W96" t="str">
        <f t="shared" si="10"/>
        <v>[{ "key":1,"value":98},{ "key":2,"value":80},{ "key":4,"value":65},{ "key":5,"value":65},{ "key":12,"value":975}]</v>
      </c>
    </row>
    <row r="97" spans="1:23">
      <c r="A97">
        <v>96</v>
      </c>
      <c r="B97" t="s">
        <v>43</v>
      </c>
      <c r="C97">
        <v>1</v>
      </c>
      <c r="D97" t="s">
        <v>44</v>
      </c>
      <c r="E97">
        <v>99</v>
      </c>
      <c r="F97" t="s">
        <v>45</v>
      </c>
      <c r="G97">
        <v>2</v>
      </c>
      <c r="H97" t="s">
        <v>44</v>
      </c>
      <c r="I97">
        <f t="shared" si="11"/>
        <v>81</v>
      </c>
      <c r="J97" t="s">
        <v>45</v>
      </c>
      <c r="K97">
        <v>4</v>
      </c>
      <c r="L97" t="s">
        <v>44</v>
      </c>
      <c r="M97">
        <f t="shared" si="12"/>
        <v>66</v>
      </c>
      <c r="N97" t="s">
        <v>45</v>
      </c>
      <c r="O97">
        <v>5</v>
      </c>
      <c r="P97" t="s">
        <v>44</v>
      </c>
      <c r="Q97">
        <f t="shared" si="13"/>
        <v>66</v>
      </c>
      <c r="R97" t="s">
        <v>45</v>
      </c>
      <c r="S97">
        <v>12</v>
      </c>
      <c r="T97" t="s">
        <v>44</v>
      </c>
      <c r="U97">
        <f t="shared" si="14"/>
        <v>990</v>
      </c>
      <c r="V97" t="s">
        <v>46</v>
      </c>
      <c r="W97" t="str">
        <f t="shared" si="10"/>
        <v>[{ "key":1,"value":99},{ "key":2,"value":81},{ "key":4,"value":66},{ "key":5,"value":66},{ "key":12,"value":990}]</v>
      </c>
    </row>
    <row r="98" spans="1:23">
      <c r="A98">
        <v>97</v>
      </c>
      <c r="B98" t="s">
        <v>43</v>
      </c>
      <c r="C98">
        <v>1</v>
      </c>
      <c r="D98" t="s">
        <v>44</v>
      </c>
      <c r="E98">
        <v>100</v>
      </c>
      <c r="F98" t="s">
        <v>45</v>
      </c>
      <c r="G98">
        <v>2</v>
      </c>
      <c r="H98" t="s">
        <v>44</v>
      </c>
      <c r="I98">
        <f t="shared" si="11"/>
        <v>82</v>
      </c>
      <c r="J98" t="s">
        <v>45</v>
      </c>
      <c r="K98">
        <v>4</v>
      </c>
      <c r="L98" t="s">
        <v>44</v>
      </c>
      <c r="M98">
        <f t="shared" si="12"/>
        <v>66</v>
      </c>
      <c r="N98" t="s">
        <v>45</v>
      </c>
      <c r="O98">
        <v>5</v>
      </c>
      <c r="P98" t="s">
        <v>44</v>
      </c>
      <c r="Q98">
        <f t="shared" si="13"/>
        <v>66</v>
      </c>
      <c r="R98" t="s">
        <v>45</v>
      </c>
      <c r="S98">
        <v>12</v>
      </c>
      <c r="T98" t="s">
        <v>44</v>
      </c>
      <c r="U98">
        <f t="shared" si="14"/>
        <v>990</v>
      </c>
      <c r="V98" t="s">
        <v>46</v>
      </c>
      <c r="W98" t="str">
        <f t="shared" si="10"/>
        <v>[{ "key":1,"value":100},{ "key":2,"value":82},{ "key":4,"value":66},{ "key":5,"value":66},{ "key":12,"value":990}]</v>
      </c>
    </row>
    <row r="99" spans="1:23">
      <c r="A99">
        <v>98</v>
      </c>
      <c r="B99" t="s">
        <v>43</v>
      </c>
      <c r="C99">
        <v>1</v>
      </c>
      <c r="D99" t="s">
        <v>44</v>
      </c>
      <c r="E99">
        <v>101</v>
      </c>
      <c r="F99" t="s">
        <v>45</v>
      </c>
      <c r="G99">
        <v>2</v>
      </c>
      <c r="H99" t="s">
        <v>44</v>
      </c>
      <c r="I99">
        <f t="shared" si="11"/>
        <v>82</v>
      </c>
      <c r="J99" t="s">
        <v>45</v>
      </c>
      <c r="K99">
        <v>4</v>
      </c>
      <c r="L99" t="s">
        <v>44</v>
      </c>
      <c r="M99">
        <f t="shared" si="12"/>
        <v>67</v>
      </c>
      <c r="N99" t="s">
        <v>45</v>
      </c>
      <c r="O99">
        <v>5</v>
      </c>
      <c r="P99" t="s">
        <v>44</v>
      </c>
      <c r="Q99">
        <f t="shared" si="13"/>
        <v>67</v>
      </c>
      <c r="R99" t="s">
        <v>45</v>
      </c>
      <c r="S99">
        <v>12</v>
      </c>
      <c r="T99" t="s">
        <v>44</v>
      </c>
      <c r="U99">
        <f t="shared" si="14"/>
        <v>1005</v>
      </c>
      <c r="V99" t="s">
        <v>46</v>
      </c>
      <c r="W99" t="str">
        <f t="shared" si="10"/>
        <v>[{ "key":1,"value":101},{ "key":2,"value":82},{ "key":4,"value":67},{ "key":5,"value":67},{ "key":12,"value":1005}]</v>
      </c>
    </row>
    <row r="100" spans="1:23">
      <c r="A100">
        <v>99</v>
      </c>
      <c r="B100" t="s">
        <v>43</v>
      </c>
      <c r="C100">
        <v>1</v>
      </c>
      <c r="D100" t="s">
        <v>44</v>
      </c>
      <c r="E100">
        <v>102</v>
      </c>
      <c r="F100" t="s">
        <v>45</v>
      </c>
      <c r="G100">
        <v>2</v>
      </c>
      <c r="H100" t="s">
        <v>44</v>
      </c>
      <c r="I100">
        <f t="shared" si="11"/>
        <v>83</v>
      </c>
      <c r="J100" t="s">
        <v>45</v>
      </c>
      <c r="K100">
        <v>4</v>
      </c>
      <c r="L100" t="s">
        <v>44</v>
      </c>
      <c r="M100">
        <f t="shared" si="12"/>
        <v>68</v>
      </c>
      <c r="N100" t="s">
        <v>45</v>
      </c>
      <c r="O100">
        <v>5</v>
      </c>
      <c r="P100" t="s">
        <v>44</v>
      </c>
      <c r="Q100">
        <f t="shared" si="13"/>
        <v>68</v>
      </c>
      <c r="R100" t="s">
        <v>45</v>
      </c>
      <c r="S100">
        <v>12</v>
      </c>
      <c r="T100" t="s">
        <v>44</v>
      </c>
      <c r="U100">
        <f t="shared" si="14"/>
        <v>1020</v>
      </c>
      <c r="V100" t="s">
        <v>46</v>
      </c>
      <c r="W100" t="str">
        <f t="shared" si="10"/>
        <v>[{ "key":1,"value":102},{ "key":2,"value":83},{ "key":4,"value":68},{ "key":5,"value":68},{ "key":12,"value":1020}]</v>
      </c>
    </row>
    <row r="101" spans="1:23">
      <c r="A101">
        <v>100</v>
      </c>
      <c r="B101" t="s">
        <v>43</v>
      </c>
      <c r="C101">
        <v>1</v>
      </c>
      <c r="D101" t="s">
        <v>44</v>
      </c>
      <c r="E101">
        <v>103</v>
      </c>
      <c r="F101" t="s">
        <v>45</v>
      </c>
      <c r="G101">
        <v>2</v>
      </c>
      <c r="H101" t="s">
        <v>44</v>
      </c>
      <c r="I101">
        <f t="shared" si="11"/>
        <v>84</v>
      </c>
      <c r="J101" t="s">
        <v>45</v>
      </c>
      <c r="K101">
        <v>4</v>
      </c>
      <c r="L101" t="s">
        <v>44</v>
      </c>
      <c r="M101">
        <f t="shared" si="12"/>
        <v>68</v>
      </c>
      <c r="N101" t="s">
        <v>45</v>
      </c>
      <c r="O101">
        <v>5</v>
      </c>
      <c r="P101" t="s">
        <v>44</v>
      </c>
      <c r="Q101">
        <f t="shared" si="13"/>
        <v>68</v>
      </c>
      <c r="R101" t="s">
        <v>45</v>
      </c>
      <c r="S101">
        <v>12</v>
      </c>
      <c r="T101" t="s">
        <v>44</v>
      </c>
      <c r="U101">
        <f t="shared" si="14"/>
        <v>1020</v>
      </c>
      <c r="V101" t="s">
        <v>46</v>
      </c>
      <c r="W101" t="str">
        <f t="shared" si="10"/>
        <v>[{ "key":1,"value":103},{ "key":2,"value":84},{ "key":4,"value":68},{ "key":5,"value":68},{ "key":12,"value":1020}]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属性配置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</dc:creator>
  <cp:lastModifiedBy>企业用户_255442825</cp:lastModifiedBy>
  <dcterms:created xsi:type="dcterms:W3CDTF">2022-12-14T02:13:00Z</dcterms:created>
  <dcterms:modified xsi:type="dcterms:W3CDTF">2025-06-25T07:10:21Z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CF048A6593BB4651BB3B10A48FE87D02</vt:lpwstr>
  </property>
  <property fmtid="{D5CDD505-2E9C-101B-9397-08002B2CF9AE}" pid="3" name="KSOProductBuildVer">
    <vt:lpwstr>2052-12.1.0.21541</vt:lpwstr>
  </property>
</Properties>
</file>