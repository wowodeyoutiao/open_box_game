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数值配置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MC</author>
  </authors>
  <commentList>
    <comment ref="A1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计算方式：
技能id*1000+技能等级</t>
        </r>
      </text>
    </comment>
  </commentList>
</comments>
</file>

<file path=xl/sharedStrings.xml><?xml version="1.0" encoding="utf-8"?>
<sst xmlns="http://schemas.openxmlformats.org/spreadsheetml/2006/main" count="345" uniqueCount="33">
  <si>
    <t>唯一ID</t>
  </si>
  <si>
    <t>技能ID</t>
  </si>
  <si>
    <t>技能名称</t>
  </si>
  <si>
    <t>技能等级</t>
  </si>
  <si>
    <t>升级需要经验</t>
  </si>
  <si>
    <t>增加属性</t>
  </si>
  <si>
    <t>Uint32</t>
  </si>
  <si>
    <t>String</t>
  </si>
  <si>
    <t>json</t>
  </si>
  <si>
    <t>UUID</t>
  </si>
  <si>
    <t>SkillID</t>
  </si>
  <si>
    <t>SkillName</t>
  </si>
  <si>
    <t>SkillLevel</t>
  </si>
  <si>
    <t>EXP</t>
  </si>
  <si>
    <t>ValueAdd</t>
  </si>
  <si>
    <t>物攻强化</t>
  </si>
  <si>
    <t>魔攻强化</t>
  </si>
  <si>
    <t>物防强化</t>
  </si>
  <si>
    <t>魔防强化</t>
  </si>
  <si>
    <t>生命强化</t>
  </si>
  <si>
    <t>经验强化</t>
  </si>
  <si>
    <t>除魔强化</t>
  </si>
  <si>
    <t>对抗强化</t>
  </si>
  <si>
    <t>ID</t>
  </si>
  <si>
    <t>前缀</t>
  </si>
  <si>
    <t>属性id</t>
  </si>
  <si>
    <t>中段</t>
  </si>
  <si>
    <t>属性数值</t>
  </si>
  <si>
    <t>后缀</t>
  </si>
  <si>
    <t>合并</t>
  </si>
  <si>
    <t>[{ "key":</t>
  </si>
  <si>
    <t>,"value":</t>
  </si>
  <si>
    <t>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</si>
</sst>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3"/>
  <sheetViews>
    <sheetView tabSelected="1" topLeftCell="A38" workbookViewId="0">
      <selection activeCell="E74" sqref="E74:E83"/>
    </sheetView>
  </sheetViews>
  <sheetFormatPr defaultColWidth="9" defaultRowHeight="16.5" outlineLevelCol="5"/>
  <cols>
    <col min="1" max="2" width="9" style="2"/>
    <col min="3" max="3" width="10.0916666666667" style="2" customWidth="1"/>
    <col min="4" max="4" width="11.8166666666667" style="2" customWidth="1"/>
    <col min="5" max="5" width="13.6333333333333" style="2" customWidth="1"/>
    <col min="6" max="6" width="29.375" style="2" customWidth="1"/>
    <col min="7" max="7" width="10.875" style="2" customWidth="1"/>
    <col min="8" max="16384" width="9" style="2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3" t="s">
        <v>6</v>
      </c>
      <c r="B2" s="3" t="s">
        <v>6</v>
      </c>
      <c r="C2" s="3" t="s">
        <v>7</v>
      </c>
      <c r="D2" s="3" t="s">
        <v>6</v>
      </c>
      <c r="E2" s="3" t="s">
        <v>6</v>
      </c>
      <c r="F2" s="3" t="s">
        <v>8</v>
      </c>
    </row>
    <row r="3" spans="1:6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</row>
    <row r="4" spans="1:6">
      <c r="A4" s="3">
        <f>B4*1000+D4</f>
        <v>1001</v>
      </c>
      <c r="B4" s="3">
        <v>1</v>
      </c>
      <c r="C4" s="3" t="s">
        <v>15</v>
      </c>
      <c r="D4" s="3">
        <v>1</v>
      </c>
      <c r="E4" s="3">
        <v>3000</v>
      </c>
      <c r="F4" s="3" t="str">
        <f>VLOOKUP(A4,数值配置!$A$1:$G$83,7,0)</f>
        <v>[{ "key":13,"value":100}]</v>
      </c>
    </row>
    <row r="5" spans="1:6">
      <c r="A5" s="3">
        <f t="shared" ref="A5:A36" si="0">B5*1000+D5</f>
        <v>1002</v>
      </c>
      <c r="B5" s="3">
        <v>1</v>
      </c>
      <c r="C5" s="3" t="s">
        <v>15</v>
      </c>
      <c r="D5" s="3">
        <v>2</v>
      </c>
      <c r="E5" s="3">
        <v>5000</v>
      </c>
      <c r="F5" s="3" t="str">
        <f>VLOOKUP(A5,数值配置!$A$1:$G$83,7,0)</f>
        <v>[{ "key":13,"value":110}]</v>
      </c>
    </row>
    <row r="6" spans="1:6">
      <c r="A6" s="3">
        <f t="shared" si="0"/>
        <v>1003</v>
      </c>
      <c r="B6" s="3">
        <v>1</v>
      </c>
      <c r="C6" s="3" t="s">
        <v>15</v>
      </c>
      <c r="D6" s="3">
        <v>3</v>
      </c>
      <c r="E6" s="3">
        <v>10000</v>
      </c>
      <c r="F6" s="3" t="str">
        <f>VLOOKUP(A6,数值配置!$A$1:$G$83,7,0)</f>
        <v>[{ "key":13,"value":120}]</v>
      </c>
    </row>
    <row r="7" spans="1:6">
      <c r="A7" s="3">
        <f t="shared" si="0"/>
        <v>1004</v>
      </c>
      <c r="B7" s="3">
        <v>1</v>
      </c>
      <c r="C7" s="3" t="s">
        <v>15</v>
      </c>
      <c r="D7" s="3">
        <v>4</v>
      </c>
      <c r="E7" s="3">
        <v>20000</v>
      </c>
      <c r="F7" s="3" t="str">
        <f>VLOOKUP(A7,数值配置!$A$1:$G$83,7,0)</f>
        <v>[{ "key":13,"value":130}]</v>
      </c>
    </row>
    <row r="8" spans="1:6">
      <c r="A8" s="3">
        <f t="shared" si="0"/>
        <v>1005</v>
      </c>
      <c r="B8" s="3">
        <v>1</v>
      </c>
      <c r="C8" s="3" t="s">
        <v>15</v>
      </c>
      <c r="D8" s="3">
        <v>5</v>
      </c>
      <c r="E8" s="3">
        <v>40000</v>
      </c>
      <c r="F8" s="3" t="str">
        <f>VLOOKUP(A8,数值配置!$A$1:$G$83,7,0)</f>
        <v>[{ "key":13,"value":140}]</v>
      </c>
    </row>
    <row r="9" spans="1:6">
      <c r="A9" s="3">
        <f t="shared" si="0"/>
        <v>1006</v>
      </c>
      <c r="B9" s="3">
        <v>1</v>
      </c>
      <c r="C9" s="3" t="s">
        <v>15</v>
      </c>
      <c r="D9" s="3">
        <v>6</v>
      </c>
      <c r="E9" s="3">
        <v>60000</v>
      </c>
      <c r="F9" s="3" t="str">
        <f>VLOOKUP(A9,数值配置!$A$1:$G$83,7,0)</f>
        <v>[{ "key":13,"value":150}]</v>
      </c>
    </row>
    <row r="10" spans="1:6">
      <c r="A10" s="3">
        <f t="shared" si="0"/>
        <v>1007</v>
      </c>
      <c r="B10" s="3">
        <v>1</v>
      </c>
      <c r="C10" s="3" t="s">
        <v>15</v>
      </c>
      <c r="D10" s="3">
        <v>7</v>
      </c>
      <c r="E10" s="3">
        <v>70000</v>
      </c>
      <c r="F10" s="3" t="str">
        <f>VLOOKUP(A10,数值配置!$A$1:$G$83,7,0)</f>
        <v>[{ "key":13,"value":160}]</v>
      </c>
    </row>
    <row r="11" spans="1:6">
      <c r="A11" s="3">
        <f t="shared" si="0"/>
        <v>1008</v>
      </c>
      <c r="B11" s="3">
        <v>1</v>
      </c>
      <c r="C11" s="3" t="s">
        <v>15</v>
      </c>
      <c r="D11" s="3">
        <v>8</v>
      </c>
      <c r="E11" s="3">
        <v>80000</v>
      </c>
      <c r="F11" s="3" t="str">
        <f>VLOOKUP(A11,数值配置!$A$1:$G$83,7,0)</f>
        <v>[{ "key":13,"value":170}]</v>
      </c>
    </row>
    <row r="12" spans="1:6">
      <c r="A12" s="3">
        <f t="shared" si="0"/>
        <v>1009</v>
      </c>
      <c r="B12" s="3">
        <v>1</v>
      </c>
      <c r="C12" s="3" t="s">
        <v>15</v>
      </c>
      <c r="D12" s="3">
        <v>9</v>
      </c>
      <c r="E12" s="3">
        <v>90000</v>
      </c>
      <c r="F12" s="3" t="str">
        <f>VLOOKUP(A12,数值配置!$A$1:$G$83,7,0)</f>
        <v>[{ "key":13,"value":180}]</v>
      </c>
    </row>
    <row r="13" spans="1:6">
      <c r="A13" s="3">
        <f t="shared" si="0"/>
        <v>1010</v>
      </c>
      <c r="B13" s="3">
        <v>1</v>
      </c>
      <c r="C13" s="3" t="s">
        <v>15</v>
      </c>
      <c r="D13" s="3">
        <v>10</v>
      </c>
      <c r="E13" s="3">
        <v>100000</v>
      </c>
      <c r="F13" s="3" t="str">
        <f>VLOOKUP(A13,数值配置!$A$1:$G$83,7,0)</f>
        <v>[{ "key":13,"value":190}]</v>
      </c>
    </row>
    <row r="14" spans="1:6">
      <c r="A14" s="3">
        <f t="shared" si="0"/>
        <v>2001</v>
      </c>
      <c r="B14" s="3">
        <v>2</v>
      </c>
      <c r="C14" s="3" t="s">
        <v>16</v>
      </c>
      <c r="D14" s="3">
        <v>1</v>
      </c>
      <c r="E14" s="3">
        <v>3000</v>
      </c>
      <c r="F14" s="3" t="str">
        <f>VLOOKUP(A14,数值配置!$A$1:$G$83,7,0)</f>
        <v>[{ "key":14,"value":100}]</v>
      </c>
    </row>
    <row r="15" spans="1:6">
      <c r="A15" s="3">
        <f t="shared" si="0"/>
        <v>2002</v>
      </c>
      <c r="B15" s="3">
        <v>2</v>
      </c>
      <c r="C15" s="3" t="s">
        <v>16</v>
      </c>
      <c r="D15" s="3">
        <v>2</v>
      </c>
      <c r="E15" s="3">
        <v>5000</v>
      </c>
      <c r="F15" s="3" t="str">
        <f>VLOOKUP(A15,数值配置!$A$1:$G$83,7,0)</f>
        <v>[{ "key":14,"value":110}]</v>
      </c>
    </row>
    <row r="16" spans="1:6">
      <c r="A16" s="3">
        <f t="shared" si="0"/>
        <v>2003</v>
      </c>
      <c r="B16" s="3">
        <v>2</v>
      </c>
      <c r="C16" s="3" t="s">
        <v>16</v>
      </c>
      <c r="D16" s="3">
        <v>3</v>
      </c>
      <c r="E16" s="3">
        <v>10000</v>
      </c>
      <c r="F16" s="3" t="str">
        <f>VLOOKUP(A16,数值配置!$A$1:$G$83,7,0)</f>
        <v>[{ "key":14,"value":120}]</v>
      </c>
    </row>
    <row r="17" spans="1:6">
      <c r="A17" s="3">
        <f t="shared" si="0"/>
        <v>2004</v>
      </c>
      <c r="B17" s="3">
        <v>2</v>
      </c>
      <c r="C17" s="3" t="s">
        <v>16</v>
      </c>
      <c r="D17" s="3">
        <v>4</v>
      </c>
      <c r="E17" s="3">
        <v>20000</v>
      </c>
      <c r="F17" s="3" t="str">
        <f>VLOOKUP(A17,数值配置!$A$1:$G$83,7,0)</f>
        <v>[{ "key":14,"value":130}]</v>
      </c>
    </row>
    <row r="18" spans="1:6">
      <c r="A18" s="3">
        <f t="shared" si="0"/>
        <v>2005</v>
      </c>
      <c r="B18" s="3">
        <v>2</v>
      </c>
      <c r="C18" s="3" t="s">
        <v>16</v>
      </c>
      <c r="D18" s="3">
        <v>5</v>
      </c>
      <c r="E18" s="3">
        <v>40000</v>
      </c>
      <c r="F18" s="3" t="str">
        <f>VLOOKUP(A18,数值配置!$A$1:$G$83,7,0)</f>
        <v>[{ "key":14,"value":140}]</v>
      </c>
    </row>
    <row r="19" spans="1:6">
      <c r="A19" s="3">
        <f t="shared" si="0"/>
        <v>2006</v>
      </c>
      <c r="B19" s="3">
        <v>2</v>
      </c>
      <c r="C19" s="3" t="s">
        <v>16</v>
      </c>
      <c r="D19" s="3">
        <v>6</v>
      </c>
      <c r="E19" s="3">
        <v>60000</v>
      </c>
      <c r="F19" s="3" t="str">
        <f>VLOOKUP(A19,数值配置!$A$1:$G$83,7,0)</f>
        <v>[{ "key":14,"value":150}]</v>
      </c>
    </row>
    <row r="20" spans="1:6">
      <c r="A20" s="3">
        <f t="shared" si="0"/>
        <v>2007</v>
      </c>
      <c r="B20" s="3">
        <v>2</v>
      </c>
      <c r="C20" s="3" t="s">
        <v>16</v>
      </c>
      <c r="D20" s="3">
        <v>7</v>
      </c>
      <c r="E20" s="3">
        <v>70000</v>
      </c>
      <c r="F20" s="3" t="str">
        <f>VLOOKUP(A20,数值配置!$A$1:$G$83,7,0)</f>
        <v>[{ "key":14,"value":160}]</v>
      </c>
    </row>
    <row r="21" spans="1:6">
      <c r="A21" s="3">
        <f t="shared" si="0"/>
        <v>2008</v>
      </c>
      <c r="B21" s="3">
        <v>2</v>
      </c>
      <c r="C21" s="3" t="s">
        <v>16</v>
      </c>
      <c r="D21" s="3">
        <v>8</v>
      </c>
      <c r="E21" s="3">
        <v>80000</v>
      </c>
      <c r="F21" s="3" t="str">
        <f>VLOOKUP(A21,数值配置!$A$1:$G$83,7,0)</f>
        <v>[{ "key":14,"value":170}]</v>
      </c>
    </row>
    <row r="22" spans="1:6">
      <c r="A22" s="3">
        <f t="shared" si="0"/>
        <v>2009</v>
      </c>
      <c r="B22" s="3">
        <v>2</v>
      </c>
      <c r="C22" s="3" t="s">
        <v>16</v>
      </c>
      <c r="D22" s="3">
        <v>9</v>
      </c>
      <c r="E22" s="3">
        <v>90000</v>
      </c>
      <c r="F22" s="3" t="str">
        <f>VLOOKUP(A22,数值配置!$A$1:$G$83,7,0)</f>
        <v>[{ "key":14,"value":180}]</v>
      </c>
    </row>
    <row r="23" spans="1:6">
      <c r="A23" s="3">
        <f t="shared" si="0"/>
        <v>2010</v>
      </c>
      <c r="B23" s="3">
        <v>2</v>
      </c>
      <c r="C23" s="3" t="s">
        <v>16</v>
      </c>
      <c r="D23" s="3">
        <v>10</v>
      </c>
      <c r="E23" s="3">
        <v>100000</v>
      </c>
      <c r="F23" s="3" t="str">
        <f>VLOOKUP(A23,数值配置!$A$1:$G$83,7,0)</f>
        <v>[{ "key":14,"value":190}]</v>
      </c>
    </row>
    <row r="24" spans="1:6">
      <c r="A24" s="3">
        <f t="shared" si="0"/>
        <v>3001</v>
      </c>
      <c r="B24" s="3">
        <v>3</v>
      </c>
      <c r="C24" s="3" t="s">
        <v>17</v>
      </c>
      <c r="D24" s="3">
        <v>1</v>
      </c>
      <c r="E24" s="3">
        <v>3000</v>
      </c>
      <c r="F24" s="3" t="str">
        <f>VLOOKUP(A24,数值配置!$A$1:$G$83,7,0)</f>
        <v>[{ "key":16,"value":100}]</v>
      </c>
    </row>
    <row r="25" spans="1:6">
      <c r="A25" s="3">
        <f t="shared" si="0"/>
        <v>3002</v>
      </c>
      <c r="B25" s="3">
        <v>3</v>
      </c>
      <c r="C25" s="3" t="s">
        <v>17</v>
      </c>
      <c r="D25" s="3">
        <v>2</v>
      </c>
      <c r="E25" s="3">
        <v>5000</v>
      </c>
      <c r="F25" s="3" t="str">
        <f>VLOOKUP(A25,数值配置!$A$1:$G$83,7,0)</f>
        <v>[{ "key":16,"value":110}]</v>
      </c>
    </row>
    <row r="26" spans="1:6">
      <c r="A26" s="3">
        <f t="shared" si="0"/>
        <v>3003</v>
      </c>
      <c r="B26" s="3">
        <v>3</v>
      </c>
      <c r="C26" s="3" t="s">
        <v>17</v>
      </c>
      <c r="D26" s="3">
        <v>3</v>
      </c>
      <c r="E26" s="3">
        <v>10000</v>
      </c>
      <c r="F26" s="3" t="str">
        <f>VLOOKUP(A26,数值配置!$A$1:$G$83,7,0)</f>
        <v>[{ "key":16,"value":120}]</v>
      </c>
    </row>
    <row r="27" spans="1:6">
      <c r="A27" s="3">
        <f t="shared" si="0"/>
        <v>3004</v>
      </c>
      <c r="B27" s="3">
        <v>3</v>
      </c>
      <c r="C27" s="3" t="s">
        <v>17</v>
      </c>
      <c r="D27" s="3">
        <v>4</v>
      </c>
      <c r="E27" s="3">
        <v>20000</v>
      </c>
      <c r="F27" s="3" t="str">
        <f>VLOOKUP(A27,数值配置!$A$1:$G$83,7,0)</f>
        <v>[{ "key":16,"value":130}]</v>
      </c>
    </row>
    <row r="28" spans="1:6">
      <c r="A28" s="3">
        <f t="shared" si="0"/>
        <v>3005</v>
      </c>
      <c r="B28" s="3">
        <v>3</v>
      </c>
      <c r="C28" s="3" t="s">
        <v>17</v>
      </c>
      <c r="D28" s="3">
        <v>5</v>
      </c>
      <c r="E28" s="3">
        <v>40000</v>
      </c>
      <c r="F28" s="3" t="str">
        <f>VLOOKUP(A28,数值配置!$A$1:$G$83,7,0)</f>
        <v>[{ "key":16,"value":140}]</v>
      </c>
    </row>
    <row r="29" spans="1:6">
      <c r="A29" s="3">
        <f t="shared" si="0"/>
        <v>3006</v>
      </c>
      <c r="B29" s="3">
        <v>3</v>
      </c>
      <c r="C29" s="3" t="s">
        <v>17</v>
      </c>
      <c r="D29" s="3">
        <v>6</v>
      </c>
      <c r="E29" s="3">
        <v>60000</v>
      </c>
      <c r="F29" s="3" t="str">
        <f>VLOOKUP(A29,数值配置!$A$1:$G$83,7,0)</f>
        <v>[{ "key":16,"value":150}]</v>
      </c>
    </row>
    <row r="30" spans="1:6">
      <c r="A30" s="3">
        <f t="shared" si="0"/>
        <v>3007</v>
      </c>
      <c r="B30" s="3">
        <v>3</v>
      </c>
      <c r="C30" s="3" t="s">
        <v>17</v>
      </c>
      <c r="D30" s="3">
        <v>7</v>
      </c>
      <c r="E30" s="3">
        <v>70000</v>
      </c>
      <c r="F30" s="3" t="str">
        <f>VLOOKUP(A30,数值配置!$A$1:$G$83,7,0)</f>
        <v>[{ "key":16,"value":160}]</v>
      </c>
    </row>
    <row r="31" spans="1:6">
      <c r="A31" s="3">
        <f t="shared" si="0"/>
        <v>3008</v>
      </c>
      <c r="B31" s="3">
        <v>3</v>
      </c>
      <c r="C31" s="3" t="s">
        <v>17</v>
      </c>
      <c r="D31" s="3">
        <v>8</v>
      </c>
      <c r="E31" s="3">
        <v>80000</v>
      </c>
      <c r="F31" s="3" t="str">
        <f>VLOOKUP(A31,数值配置!$A$1:$G$83,7,0)</f>
        <v>[{ "key":16,"value":170}]</v>
      </c>
    </row>
    <row r="32" spans="1:6">
      <c r="A32" s="3">
        <f t="shared" si="0"/>
        <v>3009</v>
      </c>
      <c r="B32" s="3">
        <v>3</v>
      </c>
      <c r="C32" s="3" t="s">
        <v>17</v>
      </c>
      <c r="D32" s="3">
        <v>9</v>
      </c>
      <c r="E32" s="3">
        <v>90000</v>
      </c>
      <c r="F32" s="3" t="str">
        <f>VLOOKUP(A32,数值配置!$A$1:$G$83,7,0)</f>
        <v>[{ "key":16,"value":180}]</v>
      </c>
    </row>
    <row r="33" spans="1:6">
      <c r="A33" s="3">
        <f t="shared" si="0"/>
        <v>3010</v>
      </c>
      <c r="B33" s="3">
        <v>3</v>
      </c>
      <c r="C33" s="3" t="s">
        <v>17</v>
      </c>
      <c r="D33" s="3">
        <v>10</v>
      </c>
      <c r="E33" s="3">
        <v>100000</v>
      </c>
      <c r="F33" s="3" t="str">
        <f>VLOOKUP(A33,数值配置!$A$1:$G$83,7,0)</f>
        <v>[{ "key":16,"value":190}]</v>
      </c>
    </row>
    <row r="34" spans="1:6">
      <c r="A34" s="3">
        <f t="shared" si="0"/>
        <v>4001</v>
      </c>
      <c r="B34" s="3">
        <v>4</v>
      </c>
      <c r="C34" s="3" t="s">
        <v>18</v>
      </c>
      <c r="D34" s="3">
        <v>1</v>
      </c>
      <c r="E34" s="3">
        <v>3000</v>
      </c>
      <c r="F34" s="3" t="str">
        <f>VLOOKUP(A34,数值配置!$A$1:$G$83,7,0)</f>
        <v>[{ "key":17,"value":100}]</v>
      </c>
    </row>
    <row r="35" spans="1:6">
      <c r="A35" s="3">
        <f t="shared" si="0"/>
        <v>4002</v>
      </c>
      <c r="B35" s="3">
        <v>4</v>
      </c>
      <c r="C35" s="3" t="s">
        <v>18</v>
      </c>
      <c r="D35" s="3">
        <v>2</v>
      </c>
      <c r="E35" s="3">
        <v>5000</v>
      </c>
      <c r="F35" s="3" t="str">
        <f>VLOOKUP(A35,数值配置!$A$1:$G$83,7,0)</f>
        <v>[{ "key":17,"value":110}]</v>
      </c>
    </row>
    <row r="36" spans="1:6">
      <c r="A36" s="3">
        <f t="shared" si="0"/>
        <v>4003</v>
      </c>
      <c r="B36" s="3">
        <v>4</v>
      </c>
      <c r="C36" s="3" t="s">
        <v>18</v>
      </c>
      <c r="D36" s="3">
        <v>3</v>
      </c>
      <c r="E36" s="3">
        <v>10000</v>
      </c>
      <c r="F36" s="3" t="str">
        <f>VLOOKUP(A36,数值配置!$A$1:$G$83,7,0)</f>
        <v>[{ "key":17,"value":120}]</v>
      </c>
    </row>
    <row r="37" spans="1:6">
      <c r="A37" s="3">
        <f t="shared" ref="A37:A73" si="1">B37*1000+D37</f>
        <v>4004</v>
      </c>
      <c r="B37" s="3">
        <v>4</v>
      </c>
      <c r="C37" s="3" t="s">
        <v>18</v>
      </c>
      <c r="D37" s="3">
        <v>4</v>
      </c>
      <c r="E37" s="3">
        <v>20000</v>
      </c>
      <c r="F37" s="3" t="str">
        <f>VLOOKUP(A37,数值配置!$A$1:$G$83,7,0)</f>
        <v>[{ "key":17,"value":130}]</v>
      </c>
    </row>
    <row r="38" spans="1:6">
      <c r="A38" s="3">
        <f t="shared" si="1"/>
        <v>4005</v>
      </c>
      <c r="B38" s="3">
        <v>4</v>
      </c>
      <c r="C38" s="3" t="s">
        <v>18</v>
      </c>
      <c r="D38" s="3">
        <v>5</v>
      </c>
      <c r="E38" s="3">
        <v>40000</v>
      </c>
      <c r="F38" s="3" t="str">
        <f>VLOOKUP(A38,数值配置!$A$1:$G$83,7,0)</f>
        <v>[{ "key":17,"value":140}]</v>
      </c>
    </row>
    <row r="39" spans="1:6">
      <c r="A39" s="3">
        <f t="shared" si="1"/>
        <v>4006</v>
      </c>
      <c r="B39" s="3">
        <v>4</v>
      </c>
      <c r="C39" s="3" t="s">
        <v>18</v>
      </c>
      <c r="D39" s="3">
        <v>6</v>
      </c>
      <c r="E39" s="3">
        <v>60000</v>
      </c>
      <c r="F39" s="3" t="str">
        <f>VLOOKUP(A39,数值配置!$A$1:$G$83,7,0)</f>
        <v>[{ "key":17,"value":150}]</v>
      </c>
    </row>
    <row r="40" spans="1:6">
      <c r="A40" s="3">
        <f t="shared" si="1"/>
        <v>4007</v>
      </c>
      <c r="B40" s="3">
        <v>4</v>
      </c>
      <c r="C40" s="3" t="s">
        <v>18</v>
      </c>
      <c r="D40" s="3">
        <v>7</v>
      </c>
      <c r="E40" s="3">
        <v>70000</v>
      </c>
      <c r="F40" s="3" t="str">
        <f>VLOOKUP(A40,数值配置!$A$1:$G$83,7,0)</f>
        <v>[{ "key":17,"value":160}]</v>
      </c>
    </row>
    <row r="41" spans="1:6">
      <c r="A41" s="3">
        <f t="shared" si="1"/>
        <v>4008</v>
      </c>
      <c r="B41" s="3">
        <v>4</v>
      </c>
      <c r="C41" s="3" t="s">
        <v>18</v>
      </c>
      <c r="D41" s="3">
        <v>8</v>
      </c>
      <c r="E41" s="3">
        <v>80000</v>
      </c>
      <c r="F41" s="3" t="str">
        <f>VLOOKUP(A41,数值配置!$A$1:$G$83,7,0)</f>
        <v>[{ "key":17,"value":170}]</v>
      </c>
    </row>
    <row r="42" spans="1:6">
      <c r="A42" s="3">
        <f t="shared" si="1"/>
        <v>4009</v>
      </c>
      <c r="B42" s="3">
        <v>4</v>
      </c>
      <c r="C42" s="3" t="s">
        <v>18</v>
      </c>
      <c r="D42" s="3">
        <v>9</v>
      </c>
      <c r="E42" s="3">
        <v>90000</v>
      </c>
      <c r="F42" s="3" t="str">
        <f>VLOOKUP(A42,数值配置!$A$1:$G$83,7,0)</f>
        <v>[{ "key":17,"value":180}]</v>
      </c>
    </row>
    <row r="43" spans="1:6">
      <c r="A43" s="3">
        <f t="shared" si="1"/>
        <v>4010</v>
      </c>
      <c r="B43" s="3">
        <v>4</v>
      </c>
      <c r="C43" s="3" t="s">
        <v>18</v>
      </c>
      <c r="D43" s="3">
        <v>10</v>
      </c>
      <c r="E43" s="3">
        <v>100000</v>
      </c>
      <c r="F43" s="3" t="str">
        <f>VLOOKUP(A43,数值配置!$A$1:$G$83,7,0)</f>
        <v>[{ "key":17,"value":190}]</v>
      </c>
    </row>
    <row r="44" spans="1:6">
      <c r="A44" s="3">
        <f t="shared" si="1"/>
        <v>5001</v>
      </c>
      <c r="B44" s="3">
        <v>5</v>
      </c>
      <c r="C44" s="3" t="s">
        <v>19</v>
      </c>
      <c r="D44" s="3">
        <v>1</v>
      </c>
      <c r="E44" s="3">
        <v>3000</v>
      </c>
      <c r="F44" s="3" t="str">
        <f>VLOOKUP(A44,数值配置!$A$1:$G$83,7,0)</f>
        <v>[{ "key":15,"value":100}]</v>
      </c>
    </row>
    <row r="45" spans="1:6">
      <c r="A45" s="3">
        <f t="shared" si="1"/>
        <v>5002</v>
      </c>
      <c r="B45" s="3">
        <v>5</v>
      </c>
      <c r="C45" s="3" t="s">
        <v>19</v>
      </c>
      <c r="D45" s="3">
        <v>2</v>
      </c>
      <c r="E45" s="3">
        <v>5000</v>
      </c>
      <c r="F45" s="3" t="str">
        <f>VLOOKUP(A45,数值配置!$A$1:$G$83,7,0)</f>
        <v>[{ "key":15,"value":110}]</v>
      </c>
    </row>
    <row r="46" spans="1:6">
      <c r="A46" s="3">
        <f t="shared" si="1"/>
        <v>5003</v>
      </c>
      <c r="B46" s="3">
        <v>5</v>
      </c>
      <c r="C46" s="3" t="s">
        <v>19</v>
      </c>
      <c r="D46" s="3">
        <v>3</v>
      </c>
      <c r="E46" s="3">
        <v>10000</v>
      </c>
      <c r="F46" s="3" t="str">
        <f>VLOOKUP(A46,数值配置!$A$1:$G$83,7,0)</f>
        <v>[{ "key":15,"value":120}]</v>
      </c>
    </row>
    <row r="47" spans="1:6">
      <c r="A47" s="3">
        <f t="shared" si="1"/>
        <v>5004</v>
      </c>
      <c r="B47" s="3">
        <v>5</v>
      </c>
      <c r="C47" s="3" t="s">
        <v>19</v>
      </c>
      <c r="D47" s="3">
        <v>4</v>
      </c>
      <c r="E47" s="3">
        <v>20000</v>
      </c>
      <c r="F47" s="3" t="str">
        <f>VLOOKUP(A47,数值配置!$A$1:$G$83,7,0)</f>
        <v>[{ "key":15,"value":130}]</v>
      </c>
    </row>
    <row r="48" spans="1:6">
      <c r="A48" s="3">
        <f t="shared" si="1"/>
        <v>5005</v>
      </c>
      <c r="B48" s="3">
        <v>5</v>
      </c>
      <c r="C48" s="3" t="s">
        <v>19</v>
      </c>
      <c r="D48" s="3">
        <v>5</v>
      </c>
      <c r="E48" s="3">
        <v>40000</v>
      </c>
      <c r="F48" s="3" t="str">
        <f>VLOOKUP(A48,数值配置!$A$1:$G$83,7,0)</f>
        <v>[{ "key":15,"value":140}]</v>
      </c>
    </row>
    <row r="49" spans="1:6">
      <c r="A49" s="3">
        <f t="shared" si="1"/>
        <v>5006</v>
      </c>
      <c r="B49" s="3">
        <v>5</v>
      </c>
      <c r="C49" s="3" t="s">
        <v>19</v>
      </c>
      <c r="D49" s="3">
        <v>6</v>
      </c>
      <c r="E49" s="3">
        <v>60000</v>
      </c>
      <c r="F49" s="3" t="str">
        <f>VLOOKUP(A49,数值配置!$A$1:$G$83,7,0)</f>
        <v>[{ "key":15,"value":150}]</v>
      </c>
    </row>
    <row r="50" spans="1:6">
      <c r="A50" s="3">
        <f t="shared" si="1"/>
        <v>5007</v>
      </c>
      <c r="B50" s="3">
        <v>5</v>
      </c>
      <c r="C50" s="3" t="s">
        <v>19</v>
      </c>
      <c r="D50" s="3">
        <v>7</v>
      </c>
      <c r="E50" s="3">
        <v>70000</v>
      </c>
      <c r="F50" s="3" t="str">
        <f>VLOOKUP(A50,数值配置!$A$1:$G$83,7,0)</f>
        <v>[{ "key":15,"value":160}]</v>
      </c>
    </row>
    <row r="51" spans="1:6">
      <c r="A51" s="3">
        <f t="shared" si="1"/>
        <v>5008</v>
      </c>
      <c r="B51" s="3">
        <v>5</v>
      </c>
      <c r="C51" s="3" t="s">
        <v>19</v>
      </c>
      <c r="D51" s="3">
        <v>8</v>
      </c>
      <c r="E51" s="3">
        <v>80000</v>
      </c>
      <c r="F51" s="3" t="str">
        <f>VLOOKUP(A51,数值配置!$A$1:$G$83,7,0)</f>
        <v>[{ "key":15,"value":170}]</v>
      </c>
    </row>
    <row r="52" spans="1:6">
      <c r="A52" s="3">
        <f t="shared" si="1"/>
        <v>5009</v>
      </c>
      <c r="B52" s="3">
        <v>5</v>
      </c>
      <c r="C52" s="3" t="s">
        <v>19</v>
      </c>
      <c r="D52" s="3">
        <v>9</v>
      </c>
      <c r="E52" s="3">
        <v>90000</v>
      </c>
      <c r="F52" s="3" t="str">
        <f>VLOOKUP(A52,数值配置!$A$1:$G$83,7,0)</f>
        <v>[{ "key":15,"value":180}]</v>
      </c>
    </row>
    <row r="53" spans="1:6">
      <c r="A53" s="3">
        <f t="shared" si="1"/>
        <v>5010</v>
      </c>
      <c r="B53" s="3">
        <v>5</v>
      </c>
      <c r="C53" s="3" t="s">
        <v>19</v>
      </c>
      <c r="D53" s="3">
        <v>10</v>
      </c>
      <c r="E53" s="3">
        <v>100000</v>
      </c>
      <c r="F53" s="3" t="str">
        <f>VLOOKUP(A53,数值配置!$A$1:$G$83,7,0)</f>
        <v>[{ "key":15,"value":190}]</v>
      </c>
    </row>
    <row r="54" spans="1:6">
      <c r="A54" s="3">
        <f t="shared" si="1"/>
        <v>6001</v>
      </c>
      <c r="B54" s="3">
        <v>6</v>
      </c>
      <c r="C54" s="3" t="s">
        <v>20</v>
      </c>
      <c r="D54" s="3">
        <v>1</v>
      </c>
      <c r="E54" s="3">
        <v>3000</v>
      </c>
      <c r="F54" s="3" t="str">
        <f>VLOOKUP(A54,数值配置!$A$1:$G$83,7,0)</f>
        <v>[{ "key":27,"value":100}]</v>
      </c>
    </row>
    <row r="55" spans="1:6">
      <c r="A55" s="3">
        <f t="shared" si="1"/>
        <v>6002</v>
      </c>
      <c r="B55" s="3">
        <v>6</v>
      </c>
      <c r="C55" s="3" t="s">
        <v>20</v>
      </c>
      <c r="D55" s="3">
        <v>2</v>
      </c>
      <c r="E55" s="3">
        <v>5000</v>
      </c>
      <c r="F55" s="3" t="str">
        <f>VLOOKUP(A55,数值配置!$A$1:$G$83,7,0)</f>
        <v>[{ "key":27,"value":200}]</v>
      </c>
    </row>
    <row r="56" spans="1:6">
      <c r="A56" s="3">
        <f t="shared" si="1"/>
        <v>6003</v>
      </c>
      <c r="B56" s="3">
        <v>6</v>
      </c>
      <c r="C56" s="3" t="s">
        <v>20</v>
      </c>
      <c r="D56" s="3">
        <v>3</v>
      </c>
      <c r="E56" s="3">
        <v>10000</v>
      </c>
      <c r="F56" s="3" t="str">
        <f>VLOOKUP(A56,数值配置!$A$1:$G$83,7,0)</f>
        <v>[{ "key":27,"value":300}]</v>
      </c>
    </row>
    <row r="57" spans="1:6">
      <c r="A57" s="3">
        <f t="shared" si="1"/>
        <v>6004</v>
      </c>
      <c r="B57" s="3">
        <v>6</v>
      </c>
      <c r="C57" s="3" t="s">
        <v>20</v>
      </c>
      <c r="D57" s="3">
        <v>4</v>
      </c>
      <c r="E57" s="3">
        <v>20000</v>
      </c>
      <c r="F57" s="3" t="str">
        <f>VLOOKUP(A57,数值配置!$A$1:$G$83,7,0)</f>
        <v>[{ "key":27,"value":400}]</v>
      </c>
    </row>
    <row r="58" spans="1:6">
      <c r="A58" s="3">
        <f t="shared" si="1"/>
        <v>6005</v>
      </c>
      <c r="B58" s="3">
        <v>6</v>
      </c>
      <c r="C58" s="3" t="s">
        <v>20</v>
      </c>
      <c r="D58" s="3">
        <v>5</v>
      </c>
      <c r="E58" s="3">
        <v>40000</v>
      </c>
      <c r="F58" s="3" t="str">
        <f>VLOOKUP(A58,数值配置!$A$1:$G$83,7,0)</f>
        <v>[{ "key":27,"value":500}]</v>
      </c>
    </row>
    <row r="59" spans="1:6">
      <c r="A59" s="3">
        <f t="shared" si="1"/>
        <v>6006</v>
      </c>
      <c r="B59" s="3">
        <v>6</v>
      </c>
      <c r="C59" s="3" t="s">
        <v>20</v>
      </c>
      <c r="D59" s="3">
        <v>6</v>
      </c>
      <c r="E59" s="3">
        <v>60000</v>
      </c>
      <c r="F59" s="3" t="str">
        <f>VLOOKUP(A59,数值配置!$A$1:$G$83,7,0)</f>
        <v>[{ "key":27,"value":600}]</v>
      </c>
    </row>
    <row r="60" spans="1:6">
      <c r="A60" s="3">
        <f t="shared" si="1"/>
        <v>6007</v>
      </c>
      <c r="B60" s="3">
        <v>6</v>
      </c>
      <c r="C60" s="3" t="s">
        <v>20</v>
      </c>
      <c r="D60" s="3">
        <v>7</v>
      </c>
      <c r="E60" s="3">
        <v>70000</v>
      </c>
      <c r="F60" s="3" t="str">
        <f>VLOOKUP(A60,数值配置!$A$1:$G$83,7,0)</f>
        <v>[{ "key":27,"value":700}]</v>
      </c>
    </row>
    <row r="61" spans="1:6">
      <c r="A61" s="3">
        <f t="shared" si="1"/>
        <v>6008</v>
      </c>
      <c r="B61" s="3">
        <v>6</v>
      </c>
      <c r="C61" s="3" t="s">
        <v>20</v>
      </c>
      <c r="D61" s="3">
        <v>8</v>
      </c>
      <c r="E61" s="3">
        <v>80000</v>
      </c>
      <c r="F61" s="3" t="str">
        <f>VLOOKUP(A61,数值配置!$A$1:$G$83,7,0)</f>
        <v>[{ "key":27,"value":800}]</v>
      </c>
    </row>
    <row r="62" spans="1:6">
      <c r="A62" s="3">
        <f t="shared" si="1"/>
        <v>6009</v>
      </c>
      <c r="B62" s="3">
        <v>6</v>
      </c>
      <c r="C62" s="3" t="s">
        <v>20</v>
      </c>
      <c r="D62" s="3">
        <v>9</v>
      </c>
      <c r="E62" s="3">
        <v>90000</v>
      </c>
      <c r="F62" s="3" t="str">
        <f>VLOOKUP(A62,数值配置!$A$1:$G$83,7,0)</f>
        <v>[{ "key":27,"value":900}]</v>
      </c>
    </row>
    <row r="63" spans="1:6">
      <c r="A63" s="3">
        <f t="shared" si="1"/>
        <v>6010</v>
      </c>
      <c r="B63" s="3">
        <v>6</v>
      </c>
      <c r="C63" s="3" t="s">
        <v>20</v>
      </c>
      <c r="D63" s="3">
        <v>10</v>
      </c>
      <c r="E63" s="3">
        <v>100000</v>
      </c>
      <c r="F63" s="3" t="str">
        <f>VLOOKUP(A63,数值配置!$A$1:$G$83,7,0)</f>
        <v>[{ "key":27,"value":1000}]</v>
      </c>
    </row>
    <row r="64" spans="1:6">
      <c r="A64" s="3">
        <f t="shared" si="1"/>
        <v>7001</v>
      </c>
      <c r="B64" s="3">
        <f>B54+1</f>
        <v>7</v>
      </c>
      <c r="C64" s="3" t="s">
        <v>21</v>
      </c>
      <c r="D64" s="3">
        <v>1</v>
      </c>
      <c r="E64" s="3">
        <v>3000</v>
      </c>
      <c r="F64" s="3" t="str">
        <f>VLOOKUP(A64,数值配置!$A$1:$G$83,7,0)</f>
        <v>[{ "key":37,"value":10}]</v>
      </c>
    </row>
    <row r="65" spans="1:6">
      <c r="A65" s="3">
        <f t="shared" si="1"/>
        <v>7002</v>
      </c>
      <c r="B65" s="3">
        <f t="shared" ref="B65:B108" si="2">B55+1</f>
        <v>7</v>
      </c>
      <c r="C65" s="3" t="s">
        <v>21</v>
      </c>
      <c r="D65" s="3">
        <v>2</v>
      </c>
      <c r="E65" s="3">
        <v>5000</v>
      </c>
      <c r="F65" s="3" t="str">
        <f>VLOOKUP(A65,数值配置!$A$1:$G$83,7,0)</f>
        <v>[{ "key":37,"value":20}]</v>
      </c>
    </row>
    <row r="66" spans="1:6">
      <c r="A66" s="3">
        <f t="shared" si="1"/>
        <v>7003</v>
      </c>
      <c r="B66" s="3">
        <f t="shared" si="2"/>
        <v>7</v>
      </c>
      <c r="C66" s="3" t="s">
        <v>21</v>
      </c>
      <c r="D66" s="3">
        <v>3</v>
      </c>
      <c r="E66" s="3">
        <v>10000</v>
      </c>
      <c r="F66" s="3" t="str">
        <f>VLOOKUP(A66,数值配置!$A$1:$G$83,7,0)</f>
        <v>[{ "key":37,"value":30}]</v>
      </c>
    </row>
    <row r="67" spans="1:6">
      <c r="A67" s="3">
        <f t="shared" si="1"/>
        <v>7004</v>
      </c>
      <c r="B67" s="3">
        <f t="shared" si="2"/>
        <v>7</v>
      </c>
      <c r="C67" s="3" t="s">
        <v>21</v>
      </c>
      <c r="D67" s="3">
        <v>4</v>
      </c>
      <c r="E67" s="3">
        <v>20000</v>
      </c>
      <c r="F67" s="3" t="str">
        <f>VLOOKUP(A67,数值配置!$A$1:$G$83,7,0)</f>
        <v>[{ "key":37,"value":40}]</v>
      </c>
    </row>
    <row r="68" spans="1:6">
      <c r="A68" s="3">
        <f t="shared" si="1"/>
        <v>7005</v>
      </c>
      <c r="B68" s="3">
        <f t="shared" si="2"/>
        <v>7</v>
      </c>
      <c r="C68" s="3" t="s">
        <v>21</v>
      </c>
      <c r="D68" s="3">
        <v>5</v>
      </c>
      <c r="E68" s="3">
        <v>40000</v>
      </c>
      <c r="F68" s="3" t="str">
        <f>VLOOKUP(A68,数值配置!$A$1:$G$83,7,0)</f>
        <v>[{ "key":37,"value":50}]</v>
      </c>
    </row>
    <row r="69" spans="1:6">
      <c r="A69" s="3">
        <f t="shared" si="1"/>
        <v>7006</v>
      </c>
      <c r="B69" s="3">
        <f t="shared" si="2"/>
        <v>7</v>
      </c>
      <c r="C69" s="3" t="s">
        <v>21</v>
      </c>
      <c r="D69" s="3">
        <v>6</v>
      </c>
      <c r="E69" s="3">
        <v>60000</v>
      </c>
      <c r="F69" s="3" t="str">
        <f>VLOOKUP(A69,数值配置!$A$1:$G$83,7,0)</f>
        <v>[{ "key":37,"value":60}]</v>
      </c>
    </row>
    <row r="70" spans="1:6">
      <c r="A70" s="3">
        <f t="shared" si="1"/>
        <v>7007</v>
      </c>
      <c r="B70" s="3">
        <f t="shared" si="2"/>
        <v>7</v>
      </c>
      <c r="C70" s="3" t="s">
        <v>21</v>
      </c>
      <c r="D70" s="3">
        <v>7</v>
      </c>
      <c r="E70" s="3">
        <v>70000</v>
      </c>
      <c r="F70" s="3" t="str">
        <f>VLOOKUP(A70,数值配置!$A$1:$G$83,7,0)</f>
        <v>[{ "key":37,"value":70}]</v>
      </c>
    </row>
    <row r="71" spans="1:6">
      <c r="A71" s="3">
        <f t="shared" si="1"/>
        <v>7008</v>
      </c>
      <c r="B71" s="3">
        <f t="shared" si="2"/>
        <v>7</v>
      </c>
      <c r="C71" s="3" t="s">
        <v>21</v>
      </c>
      <c r="D71" s="3">
        <v>8</v>
      </c>
      <c r="E71" s="3">
        <v>80000</v>
      </c>
      <c r="F71" s="3" t="str">
        <f>VLOOKUP(A71,数值配置!$A$1:$G$83,7,0)</f>
        <v>[{ "key":37,"value":80}]</v>
      </c>
    </row>
    <row r="72" spans="1:6">
      <c r="A72" s="3">
        <f t="shared" si="1"/>
        <v>7009</v>
      </c>
      <c r="B72" s="3">
        <f t="shared" si="2"/>
        <v>7</v>
      </c>
      <c r="C72" s="3" t="s">
        <v>21</v>
      </c>
      <c r="D72" s="3">
        <v>9</v>
      </c>
      <c r="E72" s="3">
        <v>90000</v>
      </c>
      <c r="F72" s="3" t="str">
        <f>VLOOKUP(A72,数值配置!$A$1:$G$83,7,0)</f>
        <v>[{ "key":37,"value":90}]</v>
      </c>
    </row>
    <row r="73" spans="1:6">
      <c r="A73" s="3">
        <f t="shared" si="1"/>
        <v>7010</v>
      </c>
      <c r="B73" s="3">
        <f t="shared" si="2"/>
        <v>7</v>
      </c>
      <c r="C73" s="3" t="s">
        <v>21</v>
      </c>
      <c r="D73" s="3">
        <v>10</v>
      </c>
      <c r="E73" s="3">
        <v>100000</v>
      </c>
      <c r="F73" s="3" t="str">
        <f>VLOOKUP(A73,数值配置!$A$1:$G$83,7,0)</f>
        <v>[{ "key":37,"value":100}]</v>
      </c>
    </row>
    <row r="74" spans="1:6">
      <c r="A74" s="3">
        <f t="shared" ref="A74:A83" si="3">B74*1000+D74</f>
        <v>8001</v>
      </c>
      <c r="B74" s="3">
        <f t="shared" ref="B74:B83" si="4">B64+1</f>
        <v>8</v>
      </c>
      <c r="C74" s="3" t="s">
        <v>22</v>
      </c>
      <c r="D74" s="3">
        <v>1</v>
      </c>
      <c r="E74" s="3">
        <v>3000</v>
      </c>
      <c r="F74" s="3" t="str">
        <f>VLOOKUP(A74,数值配置!$A$1:$G$83,7,0)</f>
        <v>[{ "key":36,"value":10}]</v>
      </c>
    </row>
    <row r="75" spans="1:6">
      <c r="A75" s="3">
        <f t="shared" si="3"/>
        <v>8002</v>
      </c>
      <c r="B75" s="3">
        <f t="shared" si="4"/>
        <v>8</v>
      </c>
      <c r="C75" s="3" t="s">
        <v>22</v>
      </c>
      <c r="D75" s="3">
        <v>2</v>
      </c>
      <c r="E75" s="3">
        <v>5000</v>
      </c>
      <c r="F75" s="3" t="str">
        <f>VLOOKUP(A75,数值配置!$A$1:$G$83,7,0)</f>
        <v>[{ "key":36,"value":20}]</v>
      </c>
    </row>
    <row r="76" spans="1:6">
      <c r="A76" s="3">
        <f t="shared" si="3"/>
        <v>8003</v>
      </c>
      <c r="B76" s="3">
        <f t="shared" si="4"/>
        <v>8</v>
      </c>
      <c r="C76" s="3" t="s">
        <v>22</v>
      </c>
      <c r="D76" s="3">
        <v>3</v>
      </c>
      <c r="E76" s="3">
        <v>10000</v>
      </c>
      <c r="F76" s="3" t="str">
        <f>VLOOKUP(A76,数值配置!$A$1:$G$83,7,0)</f>
        <v>[{ "key":36,"value":30}]</v>
      </c>
    </row>
    <row r="77" spans="1:6">
      <c r="A77" s="3">
        <f t="shared" si="3"/>
        <v>8004</v>
      </c>
      <c r="B77" s="3">
        <f t="shared" si="4"/>
        <v>8</v>
      </c>
      <c r="C77" s="3" t="s">
        <v>22</v>
      </c>
      <c r="D77" s="3">
        <v>4</v>
      </c>
      <c r="E77" s="3">
        <v>20000</v>
      </c>
      <c r="F77" s="3" t="str">
        <f>VLOOKUP(A77,数值配置!$A$1:$G$83,7,0)</f>
        <v>[{ "key":36,"value":40}]</v>
      </c>
    </row>
    <row r="78" spans="1:6">
      <c r="A78" s="3">
        <f t="shared" si="3"/>
        <v>8005</v>
      </c>
      <c r="B78" s="3">
        <f t="shared" si="4"/>
        <v>8</v>
      </c>
      <c r="C78" s="3" t="s">
        <v>22</v>
      </c>
      <c r="D78" s="3">
        <v>5</v>
      </c>
      <c r="E78" s="3">
        <v>40000</v>
      </c>
      <c r="F78" s="3" t="str">
        <f>VLOOKUP(A78,数值配置!$A$1:$G$83,7,0)</f>
        <v>[{ "key":36,"value":50}]</v>
      </c>
    </row>
    <row r="79" spans="1:6">
      <c r="A79" s="3">
        <f t="shared" si="3"/>
        <v>8006</v>
      </c>
      <c r="B79" s="3">
        <f t="shared" si="4"/>
        <v>8</v>
      </c>
      <c r="C79" s="3" t="s">
        <v>22</v>
      </c>
      <c r="D79" s="3">
        <v>6</v>
      </c>
      <c r="E79" s="3">
        <v>60000</v>
      </c>
      <c r="F79" s="3" t="str">
        <f>VLOOKUP(A79,数值配置!$A$1:$G$83,7,0)</f>
        <v>[{ "key":36,"value":60}]</v>
      </c>
    </row>
    <row r="80" spans="1:6">
      <c r="A80" s="3">
        <f t="shared" si="3"/>
        <v>8007</v>
      </c>
      <c r="B80" s="3">
        <f t="shared" si="4"/>
        <v>8</v>
      </c>
      <c r="C80" s="3" t="s">
        <v>22</v>
      </c>
      <c r="D80" s="3">
        <v>7</v>
      </c>
      <c r="E80" s="3">
        <v>70000</v>
      </c>
      <c r="F80" s="3" t="str">
        <f>VLOOKUP(A80,数值配置!$A$1:$G$83,7,0)</f>
        <v>[{ "key":36,"value":70}]</v>
      </c>
    </row>
    <row r="81" spans="1:6">
      <c r="A81" s="3">
        <f t="shared" si="3"/>
        <v>8008</v>
      </c>
      <c r="B81" s="3">
        <f t="shared" si="4"/>
        <v>8</v>
      </c>
      <c r="C81" s="3" t="s">
        <v>22</v>
      </c>
      <c r="D81" s="3">
        <v>8</v>
      </c>
      <c r="E81" s="3">
        <v>80000</v>
      </c>
      <c r="F81" s="3" t="str">
        <f>VLOOKUP(A81,数值配置!$A$1:$G$83,7,0)</f>
        <v>[{ "key":36,"value":80}]</v>
      </c>
    </row>
    <row r="82" spans="1:6">
      <c r="A82" s="3">
        <f t="shared" si="3"/>
        <v>8009</v>
      </c>
      <c r="B82" s="3">
        <f t="shared" si="4"/>
        <v>8</v>
      </c>
      <c r="C82" s="3" t="s">
        <v>22</v>
      </c>
      <c r="D82" s="3">
        <v>9</v>
      </c>
      <c r="E82" s="3">
        <v>90000</v>
      </c>
      <c r="F82" s="3" t="str">
        <f>VLOOKUP(A82,数值配置!$A$1:$G$83,7,0)</f>
        <v>[{ "key":36,"value":90}]</v>
      </c>
    </row>
    <row r="83" spans="1:6">
      <c r="A83" s="3">
        <f t="shared" si="3"/>
        <v>8010</v>
      </c>
      <c r="B83" s="3">
        <f t="shared" si="4"/>
        <v>8</v>
      </c>
      <c r="C83" s="3" t="s">
        <v>22</v>
      </c>
      <c r="D83" s="3">
        <v>10</v>
      </c>
      <c r="E83" s="3">
        <v>100000</v>
      </c>
      <c r="F83" s="3" t="str">
        <f>VLOOKUP(A83,数值配置!$A$1:$G$83,7,0)</f>
        <v>[{ "key":36,"value":100}]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"/>
  <sheetViews>
    <sheetView topLeftCell="A55" workbookViewId="0">
      <selection activeCell="G2" sqref="G2:G81"/>
    </sheetView>
  </sheetViews>
  <sheetFormatPr defaultColWidth="9" defaultRowHeight="13.5" outlineLevelCol="6"/>
  <cols>
    <col min="7" max="7" width="29.375" customWidth="1"/>
  </cols>
  <sheetData>
    <row r="1" spans="1:7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t="s">
        <v>29</v>
      </c>
    </row>
    <row r="2" spans="1:7">
      <c r="A2" s="1">
        <f>Sheet1!A4</f>
        <v>1001</v>
      </c>
      <c r="B2" s="1" t="s">
        <v>30</v>
      </c>
      <c r="C2" s="1">
        <v>13</v>
      </c>
      <c r="D2" s="1" t="s">
        <v>31</v>
      </c>
      <c r="E2" s="1">
        <v>100</v>
      </c>
      <c r="F2" s="1" t="s">
        <v>32</v>
      </c>
      <c r="G2" t="str">
        <f>B2&amp;C2&amp;D2&amp;E2&amp;F2</f>
        <v>[{ "key":13,"value":100}]</v>
      </c>
    </row>
    <row r="3" spans="1:7">
      <c r="A3" s="1">
        <f>Sheet1!A5</f>
        <v>1002</v>
      </c>
      <c r="B3" s="1" t="s">
        <v>30</v>
      </c>
      <c r="C3" s="1">
        <v>13</v>
      </c>
      <c r="D3" s="1" t="s">
        <v>31</v>
      </c>
      <c r="E3" s="1">
        <v>110</v>
      </c>
      <c r="F3" s="1" t="s">
        <v>32</v>
      </c>
      <c r="G3" t="str">
        <f t="shared" ref="G3:G34" si="0">B3&amp;C3&amp;D3&amp;E3&amp;F3</f>
        <v>[{ "key":13,"value":110}]</v>
      </c>
    </row>
    <row r="4" spans="1:7">
      <c r="A4" s="1">
        <f>Sheet1!A6</f>
        <v>1003</v>
      </c>
      <c r="B4" s="1" t="s">
        <v>30</v>
      </c>
      <c r="C4" s="1">
        <v>13</v>
      </c>
      <c r="D4" s="1" t="s">
        <v>31</v>
      </c>
      <c r="E4" s="1">
        <v>120</v>
      </c>
      <c r="F4" s="1" t="s">
        <v>32</v>
      </c>
      <c r="G4" t="str">
        <f t="shared" si="0"/>
        <v>[{ "key":13,"value":120}]</v>
      </c>
    </row>
    <row r="5" spans="1:7">
      <c r="A5" s="1">
        <f>Sheet1!A7</f>
        <v>1004</v>
      </c>
      <c r="B5" s="1" t="s">
        <v>30</v>
      </c>
      <c r="C5" s="1">
        <v>13</v>
      </c>
      <c r="D5" s="1" t="s">
        <v>31</v>
      </c>
      <c r="E5" s="1">
        <v>130</v>
      </c>
      <c r="F5" s="1" t="s">
        <v>32</v>
      </c>
      <c r="G5" t="str">
        <f t="shared" si="0"/>
        <v>[{ "key":13,"value":130}]</v>
      </c>
    </row>
    <row r="6" spans="1:7">
      <c r="A6" s="1">
        <f>Sheet1!A8</f>
        <v>1005</v>
      </c>
      <c r="B6" s="1" t="s">
        <v>30</v>
      </c>
      <c r="C6" s="1">
        <v>13</v>
      </c>
      <c r="D6" s="1" t="s">
        <v>31</v>
      </c>
      <c r="E6" s="1">
        <v>140</v>
      </c>
      <c r="F6" s="1" t="s">
        <v>32</v>
      </c>
      <c r="G6" t="str">
        <f t="shared" si="0"/>
        <v>[{ "key":13,"value":140}]</v>
      </c>
    </row>
    <row r="7" spans="1:7">
      <c r="A7" s="1">
        <f>Sheet1!A9</f>
        <v>1006</v>
      </c>
      <c r="B7" s="1" t="s">
        <v>30</v>
      </c>
      <c r="C7" s="1">
        <v>13</v>
      </c>
      <c r="D7" s="1" t="s">
        <v>31</v>
      </c>
      <c r="E7" s="1">
        <v>150</v>
      </c>
      <c r="F7" s="1" t="s">
        <v>32</v>
      </c>
      <c r="G7" t="str">
        <f t="shared" si="0"/>
        <v>[{ "key":13,"value":150}]</v>
      </c>
    </row>
    <row r="8" spans="1:7">
      <c r="A8" s="1">
        <f>Sheet1!A10</f>
        <v>1007</v>
      </c>
      <c r="B8" s="1" t="s">
        <v>30</v>
      </c>
      <c r="C8" s="1">
        <v>13</v>
      </c>
      <c r="D8" s="1" t="s">
        <v>31</v>
      </c>
      <c r="E8" s="1">
        <v>160</v>
      </c>
      <c r="F8" s="1" t="s">
        <v>32</v>
      </c>
      <c r="G8" t="str">
        <f t="shared" si="0"/>
        <v>[{ "key":13,"value":160}]</v>
      </c>
    </row>
    <row r="9" spans="1:7">
      <c r="A9" s="1">
        <f>Sheet1!A11</f>
        <v>1008</v>
      </c>
      <c r="B9" s="1" t="s">
        <v>30</v>
      </c>
      <c r="C9" s="1">
        <v>13</v>
      </c>
      <c r="D9" s="1" t="s">
        <v>31</v>
      </c>
      <c r="E9" s="1">
        <v>170</v>
      </c>
      <c r="F9" s="1" t="s">
        <v>32</v>
      </c>
      <c r="G9" t="str">
        <f t="shared" si="0"/>
        <v>[{ "key":13,"value":170}]</v>
      </c>
    </row>
    <row r="10" spans="1:7">
      <c r="A10" s="1">
        <f>Sheet1!A12</f>
        <v>1009</v>
      </c>
      <c r="B10" s="1" t="s">
        <v>30</v>
      </c>
      <c r="C10" s="1">
        <v>13</v>
      </c>
      <c r="D10" s="1" t="s">
        <v>31</v>
      </c>
      <c r="E10" s="1">
        <v>180</v>
      </c>
      <c r="F10" s="1" t="s">
        <v>32</v>
      </c>
      <c r="G10" t="str">
        <f t="shared" si="0"/>
        <v>[{ "key":13,"value":180}]</v>
      </c>
    </row>
    <row r="11" spans="1:7">
      <c r="A11" s="1">
        <f>Sheet1!A13</f>
        <v>1010</v>
      </c>
      <c r="B11" s="1" t="s">
        <v>30</v>
      </c>
      <c r="C11" s="1">
        <v>13</v>
      </c>
      <c r="D11" s="1" t="s">
        <v>31</v>
      </c>
      <c r="E11" s="1">
        <v>190</v>
      </c>
      <c r="F11" s="1" t="s">
        <v>32</v>
      </c>
      <c r="G11" t="str">
        <f t="shared" si="0"/>
        <v>[{ "key":13,"value":190}]</v>
      </c>
    </row>
    <row r="12" spans="1:7">
      <c r="A12" s="1">
        <f>Sheet1!A14</f>
        <v>2001</v>
      </c>
      <c r="B12" s="1" t="s">
        <v>30</v>
      </c>
      <c r="C12" s="1">
        <v>14</v>
      </c>
      <c r="D12" s="1" t="s">
        <v>31</v>
      </c>
      <c r="E12" s="1">
        <v>100</v>
      </c>
      <c r="F12" s="1" t="s">
        <v>32</v>
      </c>
      <c r="G12" t="str">
        <f t="shared" si="0"/>
        <v>[{ "key":14,"value":100}]</v>
      </c>
    </row>
    <row r="13" spans="1:7">
      <c r="A13" s="1">
        <f>Sheet1!A15</f>
        <v>2002</v>
      </c>
      <c r="B13" s="1" t="s">
        <v>30</v>
      </c>
      <c r="C13" s="1">
        <v>14</v>
      </c>
      <c r="D13" s="1" t="s">
        <v>31</v>
      </c>
      <c r="E13" s="1">
        <v>110</v>
      </c>
      <c r="F13" s="1" t="s">
        <v>32</v>
      </c>
      <c r="G13" t="str">
        <f t="shared" si="0"/>
        <v>[{ "key":14,"value":110}]</v>
      </c>
    </row>
    <row r="14" spans="1:7">
      <c r="A14" s="1">
        <f>Sheet1!A16</f>
        <v>2003</v>
      </c>
      <c r="B14" s="1" t="s">
        <v>30</v>
      </c>
      <c r="C14" s="1">
        <v>14</v>
      </c>
      <c r="D14" s="1" t="s">
        <v>31</v>
      </c>
      <c r="E14" s="1">
        <v>120</v>
      </c>
      <c r="F14" s="1" t="s">
        <v>32</v>
      </c>
      <c r="G14" t="str">
        <f t="shared" si="0"/>
        <v>[{ "key":14,"value":120}]</v>
      </c>
    </row>
    <row r="15" spans="1:7">
      <c r="A15" s="1">
        <f>Sheet1!A17</f>
        <v>2004</v>
      </c>
      <c r="B15" s="1" t="s">
        <v>30</v>
      </c>
      <c r="C15" s="1">
        <v>14</v>
      </c>
      <c r="D15" s="1" t="s">
        <v>31</v>
      </c>
      <c r="E15" s="1">
        <v>130</v>
      </c>
      <c r="F15" s="1" t="s">
        <v>32</v>
      </c>
      <c r="G15" t="str">
        <f t="shared" si="0"/>
        <v>[{ "key":14,"value":130}]</v>
      </c>
    </row>
    <row r="16" spans="1:7">
      <c r="A16" s="1">
        <f>Sheet1!A18</f>
        <v>2005</v>
      </c>
      <c r="B16" s="1" t="s">
        <v>30</v>
      </c>
      <c r="C16" s="1">
        <v>14</v>
      </c>
      <c r="D16" s="1" t="s">
        <v>31</v>
      </c>
      <c r="E16" s="1">
        <v>140</v>
      </c>
      <c r="F16" s="1" t="s">
        <v>32</v>
      </c>
      <c r="G16" t="str">
        <f t="shared" si="0"/>
        <v>[{ "key":14,"value":140}]</v>
      </c>
    </row>
    <row r="17" spans="1:7">
      <c r="A17" s="1">
        <f>Sheet1!A19</f>
        <v>2006</v>
      </c>
      <c r="B17" s="1" t="s">
        <v>30</v>
      </c>
      <c r="C17" s="1">
        <v>14</v>
      </c>
      <c r="D17" s="1" t="s">
        <v>31</v>
      </c>
      <c r="E17" s="1">
        <v>150</v>
      </c>
      <c r="F17" s="1" t="s">
        <v>32</v>
      </c>
      <c r="G17" t="str">
        <f t="shared" si="0"/>
        <v>[{ "key":14,"value":150}]</v>
      </c>
    </row>
    <row r="18" spans="1:7">
      <c r="A18" s="1">
        <f>Sheet1!A20</f>
        <v>2007</v>
      </c>
      <c r="B18" s="1" t="s">
        <v>30</v>
      </c>
      <c r="C18" s="1">
        <v>14</v>
      </c>
      <c r="D18" s="1" t="s">
        <v>31</v>
      </c>
      <c r="E18" s="1">
        <v>160</v>
      </c>
      <c r="F18" s="1" t="s">
        <v>32</v>
      </c>
      <c r="G18" t="str">
        <f t="shared" si="0"/>
        <v>[{ "key":14,"value":160}]</v>
      </c>
    </row>
    <row r="19" spans="1:7">
      <c r="A19" s="1">
        <f>Sheet1!A21</f>
        <v>2008</v>
      </c>
      <c r="B19" s="1" t="s">
        <v>30</v>
      </c>
      <c r="C19" s="1">
        <v>14</v>
      </c>
      <c r="D19" s="1" t="s">
        <v>31</v>
      </c>
      <c r="E19" s="1">
        <v>170</v>
      </c>
      <c r="F19" s="1" t="s">
        <v>32</v>
      </c>
      <c r="G19" t="str">
        <f t="shared" si="0"/>
        <v>[{ "key":14,"value":170}]</v>
      </c>
    </row>
    <row r="20" spans="1:7">
      <c r="A20" s="1">
        <f>Sheet1!A22</f>
        <v>2009</v>
      </c>
      <c r="B20" s="1" t="s">
        <v>30</v>
      </c>
      <c r="C20" s="1">
        <v>14</v>
      </c>
      <c r="D20" s="1" t="s">
        <v>31</v>
      </c>
      <c r="E20" s="1">
        <v>180</v>
      </c>
      <c r="F20" s="1" t="s">
        <v>32</v>
      </c>
      <c r="G20" t="str">
        <f t="shared" si="0"/>
        <v>[{ "key":14,"value":180}]</v>
      </c>
    </row>
    <row r="21" spans="1:7">
      <c r="A21" s="1">
        <f>Sheet1!A23</f>
        <v>2010</v>
      </c>
      <c r="B21" s="1" t="s">
        <v>30</v>
      </c>
      <c r="C21" s="1">
        <v>14</v>
      </c>
      <c r="D21" s="1" t="s">
        <v>31</v>
      </c>
      <c r="E21" s="1">
        <v>190</v>
      </c>
      <c r="F21" s="1" t="s">
        <v>32</v>
      </c>
      <c r="G21" t="str">
        <f t="shared" si="0"/>
        <v>[{ "key":14,"value":190}]</v>
      </c>
    </row>
    <row r="22" spans="1:7">
      <c r="A22" s="1">
        <f>Sheet1!A24</f>
        <v>3001</v>
      </c>
      <c r="B22" s="1" t="s">
        <v>30</v>
      </c>
      <c r="C22" s="1">
        <v>16</v>
      </c>
      <c r="D22" s="1" t="s">
        <v>31</v>
      </c>
      <c r="E22" s="1">
        <v>100</v>
      </c>
      <c r="F22" s="1" t="s">
        <v>32</v>
      </c>
      <c r="G22" t="str">
        <f t="shared" si="0"/>
        <v>[{ "key":16,"value":100}]</v>
      </c>
    </row>
    <row r="23" spans="1:7">
      <c r="A23" s="1">
        <f>Sheet1!A25</f>
        <v>3002</v>
      </c>
      <c r="B23" s="1" t="s">
        <v>30</v>
      </c>
      <c r="C23" s="1">
        <v>16</v>
      </c>
      <c r="D23" s="1" t="s">
        <v>31</v>
      </c>
      <c r="E23" s="1">
        <v>110</v>
      </c>
      <c r="F23" s="1" t="s">
        <v>32</v>
      </c>
      <c r="G23" t="str">
        <f t="shared" si="0"/>
        <v>[{ "key":16,"value":110}]</v>
      </c>
    </row>
    <row r="24" spans="1:7">
      <c r="A24" s="1">
        <f>Sheet1!A26</f>
        <v>3003</v>
      </c>
      <c r="B24" s="1" t="s">
        <v>30</v>
      </c>
      <c r="C24" s="1">
        <v>16</v>
      </c>
      <c r="D24" s="1" t="s">
        <v>31</v>
      </c>
      <c r="E24" s="1">
        <v>120</v>
      </c>
      <c r="F24" s="1" t="s">
        <v>32</v>
      </c>
      <c r="G24" t="str">
        <f t="shared" si="0"/>
        <v>[{ "key":16,"value":120}]</v>
      </c>
    </row>
    <row r="25" spans="1:7">
      <c r="A25" s="1">
        <f>Sheet1!A27</f>
        <v>3004</v>
      </c>
      <c r="B25" s="1" t="s">
        <v>30</v>
      </c>
      <c r="C25" s="1">
        <v>16</v>
      </c>
      <c r="D25" s="1" t="s">
        <v>31</v>
      </c>
      <c r="E25" s="1">
        <v>130</v>
      </c>
      <c r="F25" s="1" t="s">
        <v>32</v>
      </c>
      <c r="G25" t="str">
        <f t="shared" si="0"/>
        <v>[{ "key":16,"value":130}]</v>
      </c>
    </row>
    <row r="26" spans="1:7">
      <c r="A26" s="1">
        <f>Sheet1!A28</f>
        <v>3005</v>
      </c>
      <c r="B26" s="1" t="s">
        <v>30</v>
      </c>
      <c r="C26" s="1">
        <v>16</v>
      </c>
      <c r="D26" s="1" t="s">
        <v>31</v>
      </c>
      <c r="E26" s="1">
        <v>140</v>
      </c>
      <c r="F26" s="1" t="s">
        <v>32</v>
      </c>
      <c r="G26" t="str">
        <f t="shared" si="0"/>
        <v>[{ "key":16,"value":140}]</v>
      </c>
    </row>
    <row r="27" spans="1:7">
      <c r="A27" s="1">
        <f>Sheet1!A29</f>
        <v>3006</v>
      </c>
      <c r="B27" s="1" t="s">
        <v>30</v>
      </c>
      <c r="C27" s="1">
        <v>16</v>
      </c>
      <c r="D27" s="1" t="s">
        <v>31</v>
      </c>
      <c r="E27" s="1">
        <v>150</v>
      </c>
      <c r="F27" s="1" t="s">
        <v>32</v>
      </c>
      <c r="G27" t="str">
        <f t="shared" si="0"/>
        <v>[{ "key":16,"value":150}]</v>
      </c>
    </row>
    <row r="28" spans="1:7">
      <c r="A28" s="1">
        <f>Sheet1!A30</f>
        <v>3007</v>
      </c>
      <c r="B28" s="1" t="s">
        <v>30</v>
      </c>
      <c r="C28" s="1">
        <v>16</v>
      </c>
      <c r="D28" s="1" t="s">
        <v>31</v>
      </c>
      <c r="E28" s="1">
        <v>160</v>
      </c>
      <c r="F28" s="1" t="s">
        <v>32</v>
      </c>
      <c r="G28" t="str">
        <f t="shared" si="0"/>
        <v>[{ "key":16,"value":160}]</v>
      </c>
    </row>
    <row r="29" spans="1:7">
      <c r="A29" s="1">
        <f>Sheet1!A31</f>
        <v>3008</v>
      </c>
      <c r="B29" s="1" t="s">
        <v>30</v>
      </c>
      <c r="C29" s="1">
        <v>16</v>
      </c>
      <c r="D29" s="1" t="s">
        <v>31</v>
      </c>
      <c r="E29" s="1">
        <v>170</v>
      </c>
      <c r="F29" s="1" t="s">
        <v>32</v>
      </c>
      <c r="G29" t="str">
        <f t="shared" si="0"/>
        <v>[{ "key":16,"value":170}]</v>
      </c>
    </row>
    <row r="30" spans="1:7">
      <c r="A30" s="1">
        <f>Sheet1!A32</f>
        <v>3009</v>
      </c>
      <c r="B30" s="1" t="s">
        <v>30</v>
      </c>
      <c r="C30" s="1">
        <v>16</v>
      </c>
      <c r="D30" s="1" t="s">
        <v>31</v>
      </c>
      <c r="E30" s="1">
        <v>180</v>
      </c>
      <c r="F30" s="1" t="s">
        <v>32</v>
      </c>
      <c r="G30" t="str">
        <f t="shared" si="0"/>
        <v>[{ "key":16,"value":180}]</v>
      </c>
    </row>
    <row r="31" spans="1:7">
      <c r="A31" s="1">
        <f>Sheet1!A33</f>
        <v>3010</v>
      </c>
      <c r="B31" s="1" t="s">
        <v>30</v>
      </c>
      <c r="C31" s="1">
        <v>16</v>
      </c>
      <c r="D31" s="1" t="s">
        <v>31</v>
      </c>
      <c r="E31" s="1">
        <v>190</v>
      </c>
      <c r="F31" s="1" t="s">
        <v>32</v>
      </c>
      <c r="G31" t="str">
        <f t="shared" si="0"/>
        <v>[{ "key":16,"value":190}]</v>
      </c>
    </row>
    <row r="32" spans="1:7">
      <c r="A32" s="1">
        <f>Sheet1!A34</f>
        <v>4001</v>
      </c>
      <c r="B32" s="1" t="s">
        <v>30</v>
      </c>
      <c r="C32" s="1">
        <v>17</v>
      </c>
      <c r="D32" s="1" t="s">
        <v>31</v>
      </c>
      <c r="E32" s="1">
        <v>100</v>
      </c>
      <c r="F32" s="1" t="s">
        <v>32</v>
      </c>
      <c r="G32" t="str">
        <f t="shared" si="0"/>
        <v>[{ "key":17,"value":100}]</v>
      </c>
    </row>
    <row r="33" spans="1:7">
      <c r="A33" s="1">
        <f>Sheet1!A35</f>
        <v>4002</v>
      </c>
      <c r="B33" s="1" t="s">
        <v>30</v>
      </c>
      <c r="C33" s="1">
        <v>17</v>
      </c>
      <c r="D33" s="1" t="s">
        <v>31</v>
      </c>
      <c r="E33" s="1">
        <v>110</v>
      </c>
      <c r="F33" s="1" t="s">
        <v>32</v>
      </c>
      <c r="G33" t="str">
        <f t="shared" si="0"/>
        <v>[{ "key":17,"value":110}]</v>
      </c>
    </row>
    <row r="34" spans="1:7">
      <c r="A34" s="1">
        <f>Sheet1!A36</f>
        <v>4003</v>
      </c>
      <c r="B34" s="1" t="s">
        <v>30</v>
      </c>
      <c r="C34" s="1">
        <v>17</v>
      </c>
      <c r="D34" s="1" t="s">
        <v>31</v>
      </c>
      <c r="E34" s="1">
        <v>120</v>
      </c>
      <c r="F34" s="1" t="s">
        <v>32</v>
      </c>
      <c r="G34" t="str">
        <f t="shared" si="0"/>
        <v>[{ "key":17,"value":120}]</v>
      </c>
    </row>
    <row r="35" spans="1:7">
      <c r="A35" s="1">
        <f>Sheet1!A37</f>
        <v>4004</v>
      </c>
      <c r="B35" s="1" t="s">
        <v>30</v>
      </c>
      <c r="C35" s="1">
        <v>17</v>
      </c>
      <c r="D35" s="1" t="s">
        <v>31</v>
      </c>
      <c r="E35" s="1">
        <v>130</v>
      </c>
      <c r="F35" s="1" t="s">
        <v>32</v>
      </c>
      <c r="G35" t="str">
        <f t="shared" ref="G35:G81" si="1">B35&amp;C35&amp;D35&amp;E35&amp;F35</f>
        <v>[{ "key":17,"value":130}]</v>
      </c>
    </row>
    <row r="36" spans="1:7">
      <c r="A36" s="1">
        <f>Sheet1!A38</f>
        <v>4005</v>
      </c>
      <c r="B36" s="1" t="s">
        <v>30</v>
      </c>
      <c r="C36" s="1">
        <v>17</v>
      </c>
      <c r="D36" s="1" t="s">
        <v>31</v>
      </c>
      <c r="E36" s="1">
        <v>140</v>
      </c>
      <c r="F36" s="1" t="s">
        <v>32</v>
      </c>
      <c r="G36" t="str">
        <f t="shared" si="1"/>
        <v>[{ "key":17,"value":140}]</v>
      </c>
    </row>
    <row r="37" spans="1:7">
      <c r="A37" s="1">
        <f>Sheet1!A39</f>
        <v>4006</v>
      </c>
      <c r="B37" s="1" t="s">
        <v>30</v>
      </c>
      <c r="C37" s="1">
        <v>17</v>
      </c>
      <c r="D37" s="1" t="s">
        <v>31</v>
      </c>
      <c r="E37" s="1">
        <v>150</v>
      </c>
      <c r="F37" s="1" t="s">
        <v>32</v>
      </c>
      <c r="G37" t="str">
        <f t="shared" si="1"/>
        <v>[{ "key":17,"value":150}]</v>
      </c>
    </row>
    <row r="38" spans="1:7">
      <c r="A38" s="1">
        <f>Sheet1!A40</f>
        <v>4007</v>
      </c>
      <c r="B38" s="1" t="s">
        <v>30</v>
      </c>
      <c r="C38" s="1">
        <v>17</v>
      </c>
      <c r="D38" s="1" t="s">
        <v>31</v>
      </c>
      <c r="E38" s="1">
        <v>160</v>
      </c>
      <c r="F38" s="1" t="s">
        <v>32</v>
      </c>
      <c r="G38" t="str">
        <f t="shared" si="1"/>
        <v>[{ "key":17,"value":160}]</v>
      </c>
    </row>
    <row r="39" spans="1:7">
      <c r="A39" s="1">
        <f>Sheet1!A41</f>
        <v>4008</v>
      </c>
      <c r="B39" s="1" t="s">
        <v>30</v>
      </c>
      <c r="C39" s="1">
        <v>17</v>
      </c>
      <c r="D39" s="1" t="s">
        <v>31</v>
      </c>
      <c r="E39" s="1">
        <v>170</v>
      </c>
      <c r="F39" s="1" t="s">
        <v>32</v>
      </c>
      <c r="G39" t="str">
        <f t="shared" si="1"/>
        <v>[{ "key":17,"value":170}]</v>
      </c>
    </row>
    <row r="40" spans="1:7">
      <c r="A40" s="1">
        <f>Sheet1!A42</f>
        <v>4009</v>
      </c>
      <c r="B40" s="1" t="s">
        <v>30</v>
      </c>
      <c r="C40" s="1">
        <v>17</v>
      </c>
      <c r="D40" s="1" t="s">
        <v>31</v>
      </c>
      <c r="E40" s="1">
        <v>180</v>
      </c>
      <c r="F40" s="1" t="s">
        <v>32</v>
      </c>
      <c r="G40" t="str">
        <f t="shared" si="1"/>
        <v>[{ "key":17,"value":180}]</v>
      </c>
    </row>
    <row r="41" spans="1:7">
      <c r="A41" s="1">
        <f>Sheet1!A43</f>
        <v>4010</v>
      </c>
      <c r="B41" s="1" t="s">
        <v>30</v>
      </c>
      <c r="C41" s="1">
        <v>17</v>
      </c>
      <c r="D41" s="1" t="s">
        <v>31</v>
      </c>
      <c r="E41" s="1">
        <v>190</v>
      </c>
      <c r="F41" s="1" t="s">
        <v>32</v>
      </c>
      <c r="G41" t="str">
        <f t="shared" si="1"/>
        <v>[{ "key":17,"value":190}]</v>
      </c>
    </row>
    <row r="42" spans="1:7">
      <c r="A42" s="1">
        <f>Sheet1!A44</f>
        <v>5001</v>
      </c>
      <c r="B42" s="1" t="s">
        <v>30</v>
      </c>
      <c r="C42" s="1">
        <v>15</v>
      </c>
      <c r="D42" s="1" t="s">
        <v>31</v>
      </c>
      <c r="E42" s="1">
        <v>100</v>
      </c>
      <c r="F42" s="1" t="s">
        <v>32</v>
      </c>
      <c r="G42" t="str">
        <f t="shared" si="1"/>
        <v>[{ "key":15,"value":100}]</v>
      </c>
    </row>
    <row r="43" spans="1:7">
      <c r="A43" s="1">
        <f>Sheet1!A45</f>
        <v>5002</v>
      </c>
      <c r="B43" s="1" t="s">
        <v>30</v>
      </c>
      <c r="C43" s="1">
        <v>15</v>
      </c>
      <c r="D43" s="1" t="s">
        <v>31</v>
      </c>
      <c r="E43" s="1">
        <v>110</v>
      </c>
      <c r="F43" s="1" t="s">
        <v>32</v>
      </c>
      <c r="G43" t="str">
        <f t="shared" si="1"/>
        <v>[{ "key":15,"value":110}]</v>
      </c>
    </row>
    <row r="44" spans="1:7">
      <c r="A44" s="1">
        <f>Sheet1!A46</f>
        <v>5003</v>
      </c>
      <c r="B44" s="1" t="s">
        <v>30</v>
      </c>
      <c r="C44" s="1">
        <v>15</v>
      </c>
      <c r="D44" s="1" t="s">
        <v>31</v>
      </c>
      <c r="E44" s="1">
        <v>120</v>
      </c>
      <c r="F44" s="1" t="s">
        <v>32</v>
      </c>
      <c r="G44" t="str">
        <f t="shared" si="1"/>
        <v>[{ "key":15,"value":120}]</v>
      </c>
    </row>
    <row r="45" spans="1:7">
      <c r="A45" s="1">
        <f>Sheet1!A47</f>
        <v>5004</v>
      </c>
      <c r="B45" s="1" t="s">
        <v>30</v>
      </c>
      <c r="C45" s="1">
        <v>15</v>
      </c>
      <c r="D45" s="1" t="s">
        <v>31</v>
      </c>
      <c r="E45" s="1">
        <v>130</v>
      </c>
      <c r="F45" s="1" t="s">
        <v>32</v>
      </c>
      <c r="G45" t="str">
        <f t="shared" si="1"/>
        <v>[{ "key":15,"value":130}]</v>
      </c>
    </row>
    <row r="46" spans="1:7">
      <c r="A46" s="1">
        <f>Sheet1!A48</f>
        <v>5005</v>
      </c>
      <c r="B46" s="1" t="s">
        <v>30</v>
      </c>
      <c r="C46" s="1">
        <v>15</v>
      </c>
      <c r="D46" s="1" t="s">
        <v>31</v>
      </c>
      <c r="E46" s="1">
        <v>140</v>
      </c>
      <c r="F46" s="1" t="s">
        <v>32</v>
      </c>
      <c r="G46" t="str">
        <f t="shared" si="1"/>
        <v>[{ "key":15,"value":140}]</v>
      </c>
    </row>
    <row r="47" spans="1:7">
      <c r="A47" s="1">
        <f>Sheet1!A49</f>
        <v>5006</v>
      </c>
      <c r="B47" s="1" t="s">
        <v>30</v>
      </c>
      <c r="C47" s="1">
        <v>15</v>
      </c>
      <c r="D47" s="1" t="s">
        <v>31</v>
      </c>
      <c r="E47" s="1">
        <v>150</v>
      </c>
      <c r="F47" s="1" t="s">
        <v>32</v>
      </c>
      <c r="G47" t="str">
        <f t="shared" si="1"/>
        <v>[{ "key":15,"value":150}]</v>
      </c>
    </row>
    <row r="48" spans="1:7">
      <c r="A48" s="1">
        <f>Sheet1!A50</f>
        <v>5007</v>
      </c>
      <c r="B48" s="1" t="s">
        <v>30</v>
      </c>
      <c r="C48" s="1">
        <v>15</v>
      </c>
      <c r="D48" s="1" t="s">
        <v>31</v>
      </c>
      <c r="E48" s="1">
        <v>160</v>
      </c>
      <c r="F48" s="1" t="s">
        <v>32</v>
      </c>
      <c r="G48" t="str">
        <f t="shared" si="1"/>
        <v>[{ "key":15,"value":160}]</v>
      </c>
    </row>
    <row r="49" spans="1:7">
      <c r="A49" s="1">
        <f>Sheet1!A51</f>
        <v>5008</v>
      </c>
      <c r="B49" s="1" t="s">
        <v>30</v>
      </c>
      <c r="C49" s="1">
        <v>15</v>
      </c>
      <c r="D49" s="1" t="s">
        <v>31</v>
      </c>
      <c r="E49" s="1">
        <v>170</v>
      </c>
      <c r="F49" s="1" t="s">
        <v>32</v>
      </c>
      <c r="G49" t="str">
        <f t="shared" si="1"/>
        <v>[{ "key":15,"value":170}]</v>
      </c>
    </row>
    <row r="50" spans="1:7">
      <c r="A50" s="1">
        <f>Sheet1!A52</f>
        <v>5009</v>
      </c>
      <c r="B50" s="1" t="s">
        <v>30</v>
      </c>
      <c r="C50" s="1">
        <v>15</v>
      </c>
      <c r="D50" s="1" t="s">
        <v>31</v>
      </c>
      <c r="E50" s="1">
        <v>180</v>
      </c>
      <c r="F50" s="1" t="s">
        <v>32</v>
      </c>
      <c r="G50" t="str">
        <f t="shared" si="1"/>
        <v>[{ "key":15,"value":180}]</v>
      </c>
    </row>
    <row r="51" spans="1:7">
      <c r="A51" s="1">
        <f>Sheet1!A53</f>
        <v>5010</v>
      </c>
      <c r="B51" s="1" t="s">
        <v>30</v>
      </c>
      <c r="C51" s="1">
        <v>15</v>
      </c>
      <c r="D51" s="1" t="s">
        <v>31</v>
      </c>
      <c r="E51" s="1">
        <v>190</v>
      </c>
      <c r="F51" s="1" t="s">
        <v>32</v>
      </c>
      <c r="G51" t="str">
        <f t="shared" si="1"/>
        <v>[{ "key":15,"value":190}]</v>
      </c>
    </row>
    <row r="52" spans="1:7">
      <c r="A52" s="1">
        <f>Sheet1!A54</f>
        <v>6001</v>
      </c>
      <c r="B52" s="1" t="s">
        <v>30</v>
      </c>
      <c r="C52" s="1">
        <v>27</v>
      </c>
      <c r="D52" s="1" t="s">
        <v>31</v>
      </c>
      <c r="E52" s="1">
        <v>100</v>
      </c>
      <c r="F52" s="1" t="s">
        <v>32</v>
      </c>
      <c r="G52" t="str">
        <f t="shared" si="1"/>
        <v>[{ "key":27,"value":100}]</v>
      </c>
    </row>
    <row r="53" spans="1:7">
      <c r="A53" s="1">
        <f>Sheet1!A55</f>
        <v>6002</v>
      </c>
      <c r="B53" s="1" t="s">
        <v>30</v>
      </c>
      <c r="C53" s="1">
        <v>27</v>
      </c>
      <c r="D53" s="1" t="s">
        <v>31</v>
      </c>
      <c r="E53" s="1">
        <v>200</v>
      </c>
      <c r="F53" s="1" t="s">
        <v>32</v>
      </c>
      <c r="G53" t="str">
        <f t="shared" si="1"/>
        <v>[{ "key":27,"value":200}]</v>
      </c>
    </row>
    <row r="54" spans="1:7">
      <c r="A54" s="1">
        <f>Sheet1!A56</f>
        <v>6003</v>
      </c>
      <c r="B54" s="1" t="s">
        <v>30</v>
      </c>
      <c r="C54" s="1">
        <v>27</v>
      </c>
      <c r="D54" s="1" t="s">
        <v>31</v>
      </c>
      <c r="E54" s="1">
        <v>300</v>
      </c>
      <c r="F54" s="1" t="s">
        <v>32</v>
      </c>
      <c r="G54" t="str">
        <f t="shared" si="1"/>
        <v>[{ "key":27,"value":300}]</v>
      </c>
    </row>
    <row r="55" spans="1:7">
      <c r="A55" s="1">
        <f>Sheet1!A57</f>
        <v>6004</v>
      </c>
      <c r="B55" s="1" t="s">
        <v>30</v>
      </c>
      <c r="C55" s="1">
        <v>27</v>
      </c>
      <c r="D55" s="1" t="s">
        <v>31</v>
      </c>
      <c r="E55" s="1">
        <v>400</v>
      </c>
      <c r="F55" s="1" t="s">
        <v>32</v>
      </c>
      <c r="G55" t="str">
        <f t="shared" si="1"/>
        <v>[{ "key":27,"value":400}]</v>
      </c>
    </row>
    <row r="56" spans="1:7">
      <c r="A56" s="1">
        <f>Sheet1!A58</f>
        <v>6005</v>
      </c>
      <c r="B56" s="1" t="s">
        <v>30</v>
      </c>
      <c r="C56" s="1">
        <v>27</v>
      </c>
      <c r="D56" s="1" t="s">
        <v>31</v>
      </c>
      <c r="E56" s="1">
        <v>500</v>
      </c>
      <c r="F56" s="1" t="s">
        <v>32</v>
      </c>
      <c r="G56" t="str">
        <f t="shared" si="1"/>
        <v>[{ "key":27,"value":500}]</v>
      </c>
    </row>
    <row r="57" spans="1:7">
      <c r="A57" s="1">
        <f>Sheet1!A59</f>
        <v>6006</v>
      </c>
      <c r="B57" s="1" t="s">
        <v>30</v>
      </c>
      <c r="C57" s="1">
        <v>27</v>
      </c>
      <c r="D57" s="1" t="s">
        <v>31</v>
      </c>
      <c r="E57" s="1">
        <v>600</v>
      </c>
      <c r="F57" s="1" t="s">
        <v>32</v>
      </c>
      <c r="G57" t="str">
        <f t="shared" si="1"/>
        <v>[{ "key":27,"value":600}]</v>
      </c>
    </row>
    <row r="58" spans="1:7">
      <c r="A58" s="1">
        <f>Sheet1!A60</f>
        <v>6007</v>
      </c>
      <c r="B58" s="1" t="s">
        <v>30</v>
      </c>
      <c r="C58" s="1">
        <v>27</v>
      </c>
      <c r="D58" s="1" t="s">
        <v>31</v>
      </c>
      <c r="E58" s="1">
        <v>700</v>
      </c>
      <c r="F58" s="1" t="s">
        <v>32</v>
      </c>
      <c r="G58" t="str">
        <f t="shared" si="1"/>
        <v>[{ "key":27,"value":700}]</v>
      </c>
    </row>
    <row r="59" spans="1:7">
      <c r="A59" s="1">
        <f>Sheet1!A61</f>
        <v>6008</v>
      </c>
      <c r="B59" s="1" t="s">
        <v>30</v>
      </c>
      <c r="C59" s="1">
        <v>27</v>
      </c>
      <c r="D59" s="1" t="s">
        <v>31</v>
      </c>
      <c r="E59" s="1">
        <v>800</v>
      </c>
      <c r="F59" s="1" t="s">
        <v>32</v>
      </c>
      <c r="G59" t="str">
        <f t="shared" si="1"/>
        <v>[{ "key":27,"value":800}]</v>
      </c>
    </row>
    <row r="60" spans="1:7">
      <c r="A60" s="1">
        <f>Sheet1!A62</f>
        <v>6009</v>
      </c>
      <c r="B60" s="1" t="s">
        <v>30</v>
      </c>
      <c r="C60" s="1">
        <v>27</v>
      </c>
      <c r="D60" s="1" t="s">
        <v>31</v>
      </c>
      <c r="E60" s="1">
        <v>900</v>
      </c>
      <c r="F60" s="1" t="s">
        <v>32</v>
      </c>
      <c r="G60" t="str">
        <f t="shared" si="1"/>
        <v>[{ "key":27,"value":900}]</v>
      </c>
    </row>
    <row r="61" spans="1:7">
      <c r="A61" s="1">
        <f>Sheet1!A63</f>
        <v>6010</v>
      </c>
      <c r="B61" s="1" t="s">
        <v>30</v>
      </c>
      <c r="C61" s="1">
        <v>27</v>
      </c>
      <c r="D61" s="1" t="s">
        <v>31</v>
      </c>
      <c r="E61" s="1">
        <v>1000</v>
      </c>
      <c r="F61" s="1" t="s">
        <v>32</v>
      </c>
      <c r="G61" t="str">
        <f t="shared" si="1"/>
        <v>[{ "key":27,"value":1000}]</v>
      </c>
    </row>
    <row r="62" spans="1:7">
      <c r="A62" s="1">
        <f>Sheet1!A64</f>
        <v>7001</v>
      </c>
      <c r="B62" s="1" t="s">
        <v>30</v>
      </c>
      <c r="C62" s="1">
        <v>37</v>
      </c>
      <c r="D62" s="1" t="s">
        <v>31</v>
      </c>
      <c r="E62" s="1">
        <v>10</v>
      </c>
      <c r="F62" s="1" t="s">
        <v>32</v>
      </c>
      <c r="G62" t="str">
        <f t="shared" si="1"/>
        <v>[{ "key":37,"value":10}]</v>
      </c>
    </row>
    <row r="63" spans="1:7">
      <c r="A63" s="1">
        <f>Sheet1!A65</f>
        <v>7002</v>
      </c>
      <c r="B63" s="1" t="s">
        <v>30</v>
      </c>
      <c r="C63" s="1">
        <v>37</v>
      </c>
      <c r="D63" s="1" t="s">
        <v>31</v>
      </c>
      <c r="E63" s="1">
        <v>20</v>
      </c>
      <c r="F63" s="1" t="s">
        <v>32</v>
      </c>
      <c r="G63" t="str">
        <f t="shared" si="1"/>
        <v>[{ "key":37,"value":20}]</v>
      </c>
    </row>
    <row r="64" spans="1:7">
      <c r="A64" s="1">
        <f>Sheet1!A66</f>
        <v>7003</v>
      </c>
      <c r="B64" s="1" t="s">
        <v>30</v>
      </c>
      <c r="C64" s="1">
        <v>37</v>
      </c>
      <c r="D64" s="1" t="s">
        <v>31</v>
      </c>
      <c r="E64" s="1">
        <v>30</v>
      </c>
      <c r="F64" s="1" t="s">
        <v>32</v>
      </c>
      <c r="G64" t="str">
        <f t="shared" si="1"/>
        <v>[{ "key":37,"value":30}]</v>
      </c>
    </row>
    <row r="65" spans="1:7">
      <c r="A65" s="1">
        <f>Sheet1!A67</f>
        <v>7004</v>
      </c>
      <c r="B65" s="1" t="s">
        <v>30</v>
      </c>
      <c r="C65" s="1">
        <v>37</v>
      </c>
      <c r="D65" s="1" t="s">
        <v>31</v>
      </c>
      <c r="E65" s="1">
        <v>40</v>
      </c>
      <c r="F65" s="1" t="s">
        <v>32</v>
      </c>
      <c r="G65" t="str">
        <f t="shared" si="1"/>
        <v>[{ "key":37,"value":40}]</v>
      </c>
    </row>
    <row r="66" spans="1:7">
      <c r="A66" s="1">
        <f>Sheet1!A68</f>
        <v>7005</v>
      </c>
      <c r="B66" s="1" t="s">
        <v>30</v>
      </c>
      <c r="C66" s="1">
        <v>37</v>
      </c>
      <c r="D66" s="1" t="s">
        <v>31</v>
      </c>
      <c r="E66" s="1">
        <v>50</v>
      </c>
      <c r="F66" s="1" t="s">
        <v>32</v>
      </c>
      <c r="G66" t="str">
        <f t="shared" si="1"/>
        <v>[{ "key":37,"value":50}]</v>
      </c>
    </row>
    <row r="67" spans="1:7">
      <c r="A67" s="1">
        <f>Sheet1!A69</f>
        <v>7006</v>
      </c>
      <c r="B67" s="1" t="s">
        <v>30</v>
      </c>
      <c r="C67" s="1">
        <v>37</v>
      </c>
      <c r="D67" s="1" t="s">
        <v>31</v>
      </c>
      <c r="E67" s="1">
        <v>60</v>
      </c>
      <c r="F67" s="1" t="s">
        <v>32</v>
      </c>
      <c r="G67" t="str">
        <f t="shared" si="1"/>
        <v>[{ "key":37,"value":60}]</v>
      </c>
    </row>
    <row r="68" spans="1:7">
      <c r="A68" s="1">
        <f>Sheet1!A70</f>
        <v>7007</v>
      </c>
      <c r="B68" s="1" t="s">
        <v>30</v>
      </c>
      <c r="C68" s="1">
        <v>37</v>
      </c>
      <c r="D68" s="1" t="s">
        <v>31</v>
      </c>
      <c r="E68" s="1">
        <v>70</v>
      </c>
      <c r="F68" s="1" t="s">
        <v>32</v>
      </c>
      <c r="G68" t="str">
        <f t="shared" si="1"/>
        <v>[{ "key":37,"value":70}]</v>
      </c>
    </row>
    <row r="69" spans="1:7">
      <c r="A69" s="1">
        <f>Sheet1!A71</f>
        <v>7008</v>
      </c>
      <c r="B69" s="1" t="s">
        <v>30</v>
      </c>
      <c r="C69" s="1">
        <v>37</v>
      </c>
      <c r="D69" s="1" t="s">
        <v>31</v>
      </c>
      <c r="E69" s="1">
        <v>80</v>
      </c>
      <c r="F69" s="1" t="s">
        <v>32</v>
      </c>
      <c r="G69" t="str">
        <f t="shared" si="1"/>
        <v>[{ "key":37,"value":80}]</v>
      </c>
    </row>
    <row r="70" spans="1:7">
      <c r="A70" s="1">
        <f>Sheet1!A72</f>
        <v>7009</v>
      </c>
      <c r="B70" s="1" t="s">
        <v>30</v>
      </c>
      <c r="C70" s="1">
        <v>37</v>
      </c>
      <c r="D70" s="1" t="s">
        <v>31</v>
      </c>
      <c r="E70" s="1">
        <v>90</v>
      </c>
      <c r="F70" s="1" t="s">
        <v>32</v>
      </c>
      <c r="G70" t="str">
        <f t="shared" si="1"/>
        <v>[{ "key":37,"value":90}]</v>
      </c>
    </row>
    <row r="71" spans="1:7">
      <c r="A71" s="1">
        <f>Sheet1!A73</f>
        <v>7010</v>
      </c>
      <c r="B71" s="1" t="s">
        <v>30</v>
      </c>
      <c r="C71" s="1">
        <v>37</v>
      </c>
      <c r="D71" s="1" t="s">
        <v>31</v>
      </c>
      <c r="E71" s="1">
        <v>100</v>
      </c>
      <c r="F71" s="1" t="s">
        <v>32</v>
      </c>
      <c r="G71" t="str">
        <f t="shared" si="1"/>
        <v>[{ "key":37,"value":100}]</v>
      </c>
    </row>
    <row r="72" spans="1:7">
      <c r="A72" s="1">
        <f>Sheet1!A74</f>
        <v>8001</v>
      </c>
      <c r="B72" s="1" t="s">
        <v>30</v>
      </c>
      <c r="C72" s="1">
        <v>36</v>
      </c>
      <c r="D72" s="1" t="s">
        <v>31</v>
      </c>
      <c r="E72" s="1">
        <v>10</v>
      </c>
      <c r="F72" s="1" t="s">
        <v>32</v>
      </c>
      <c r="G72" t="str">
        <f t="shared" si="1"/>
        <v>[{ "key":36,"value":10}]</v>
      </c>
    </row>
    <row r="73" spans="1:7">
      <c r="A73" s="1">
        <f>Sheet1!A75</f>
        <v>8002</v>
      </c>
      <c r="B73" s="1" t="s">
        <v>30</v>
      </c>
      <c r="C73" s="1">
        <v>36</v>
      </c>
      <c r="D73" s="1" t="s">
        <v>31</v>
      </c>
      <c r="E73" s="1">
        <v>20</v>
      </c>
      <c r="F73" s="1" t="s">
        <v>32</v>
      </c>
      <c r="G73" t="str">
        <f t="shared" si="1"/>
        <v>[{ "key":36,"value":20}]</v>
      </c>
    </row>
    <row r="74" spans="1:7">
      <c r="A74" s="1">
        <f>Sheet1!A76</f>
        <v>8003</v>
      </c>
      <c r="B74" s="1" t="s">
        <v>30</v>
      </c>
      <c r="C74" s="1">
        <v>36</v>
      </c>
      <c r="D74" s="1" t="s">
        <v>31</v>
      </c>
      <c r="E74" s="1">
        <v>30</v>
      </c>
      <c r="F74" s="1" t="s">
        <v>32</v>
      </c>
      <c r="G74" t="str">
        <f t="shared" si="1"/>
        <v>[{ "key":36,"value":30}]</v>
      </c>
    </row>
    <row r="75" spans="1:7">
      <c r="A75" s="1">
        <f>Sheet1!A77</f>
        <v>8004</v>
      </c>
      <c r="B75" s="1" t="s">
        <v>30</v>
      </c>
      <c r="C75" s="1">
        <v>36</v>
      </c>
      <c r="D75" s="1" t="s">
        <v>31</v>
      </c>
      <c r="E75" s="1">
        <v>40</v>
      </c>
      <c r="F75" s="1" t="s">
        <v>32</v>
      </c>
      <c r="G75" t="str">
        <f t="shared" si="1"/>
        <v>[{ "key":36,"value":40}]</v>
      </c>
    </row>
    <row r="76" spans="1:7">
      <c r="A76" s="1">
        <f>Sheet1!A78</f>
        <v>8005</v>
      </c>
      <c r="B76" s="1" t="s">
        <v>30</v>
      </c>
      <c r="C76" s="1">
        <v>36</v>
      </c>
      <c r="D76" s="1" t="s">
        <v>31</v>
      </c>
      <c r="E76" s="1">
        <v>50</v>
      </c>
      <c r="F76" s="1" t="s">
        <v>32</v>
      </c>
      <c r="G76" t="str">
        <f t="shared" si="1"/>
        <v>[{ "key":36,"value":50}]</v>
      </c>
    </row>
    <row r="77" spans="1:7">
      <c r="A77" s="1">
        <f>Sheet1!A79</f>
        <v>8006</v>
      </c>
      <c r="B77" s="1" t="s">
        <v>30</v>
      </c>
      <c r="C77" s="1">
        <v>36</v>
      </c>
      <c r="D77" s="1" t="s">
        <v>31</v>
      </c>
      <c r="E77" s="1">
        <v>60</v>
      </c>
      <c r="F77" s="1" t="s">
        <v>32</v>
      </c>
      <c r="G77" t="str">
        <f t="shared" si="1"/>
        <v>[{ "key":36,"value":60}]</v>
      </c>
    </row>
    <row r="78" spans="1:7">
      <c r="A78" s="1">
        <f>Sheet1!A80</f>
        <v>8007</v>
      </c>
      <c r="B78" s="1" t="s">
        <v>30</v>
      </c>
      <c r="C78" s="1">
        <v>36</v>
      </c>
      <c r="D78" s="1" t="s">
        <v>31</v>
      </c>
      <c r="E78" s="1">
        <v>70</v>
      </c>
      <c r="F78" s="1" t="s">
        <v>32</v>
      </c>
      <c r="G78" t="str">
        <f t="shared" si="1"/>
        <v>[{ "key":36,"value":70}]</v>
      </c>
    </row>
    <row r="79" spans="1:7">
      <c r="A79" s="1">
        <f>Sheet1!A81</f>
        <v>8008</v>
      </c>
      <c r="B79" s="1" t="s">
        <v>30</v>
      </c>
      <c r="C79" s="1">
        <v>36</v>
      </c>
      <c r="D79" s="1" t="s">
        <v>31</v>
      </c>
      <c r="E79" s="1">
        <v>80</v>
      </c>
      <c r="F79" s="1" t="s">
        <v>32</v>
      </c>
      <c r="G79" t="str">
        <f t="shared" si="1"/>
        <v>[{ "key":36,"value":80}]</v>
      </c>
    </row>
    <row r="80" spans="1:7">
      <c r="A80" s="1">
        <f>Sheet1!A82</f>
        <v>8009</v>
      </c>
      <c r="B80" s="1" t="s">
        <v>30</v>
      </c>
      <c r="C80" s="1">
        <v>36</v>
      </c>
      <c r="D80" s="1" t="s">
        <v>31</v>
      </c>
      <c r="E80" s="1">
        <v>90</v>
      </c>
      <c r="F80" s="1" t="s">
        <v>32</v>
      </c>
      <c r="G80" t="str">
        <f t="shared" si="1"/>
        <v>[{ "key":36,"value":90}]</v>
      </c>
    </row>
    <row r="81" spans="1:7">
      <c r="A81" s="1">
        <f>Sheet1!A83</f>
        <v>8010</v>
      </c>
      <c r="B81" s="1" t="s">
        <v>30</v>
      </c>
      <c r="C81" s="1">
        <v>36</v>
      </c>
      <c r="D81" s="1" t="s">
        <v>31</v>
      </c>
      <c r="E81" s="1">
        <v>100</v>
      </c>
      <c r="F81" s="1" t="s">
        <v>32</v>
      </c>
      <c r="G81" t="str">
        <f t="shared" si="1"/>
        <v>[{ "key":36,"value":100}]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数值配置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</dc:creator>
  <cp:lastModifiedBy>企业用户_255442825</cp:lastModifiedBy>
  <dcterms:created xsi:type="dcterms:W3CDTF">2022-12-14T02:29:00Z</dcterms:created>
  <dcterms:modified xsi:type="dcterms:W3CDTF">2025-06-23T07:50:30Z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FFEC22BB038342B48DE7A42BC6B4D3C0</vt:lpwstr>
  </property>
</Properties>
</file>