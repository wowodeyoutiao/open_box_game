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38640" windowHeight="21120"/>
  </bookViews>
  <sheets>
    <sheet name="Activity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0" i="1" l="1"/>
  <c r="A169" i="1"/>
  <c r="A168" i="1"/>
  <c r="A167" i="1"/>
  <c r="A166" i="1"/>
  <c r="A165" i="1"/>
  <c r="A164" i="1"/>
  <c r="A163" i="1"/>
  <c r="L132" i="1" l="1"/>
  <c r="L133" i="1"/>
  <c r="L134" i="1"/>
  <c r="L135" i="1"/>
  <c r="L136" i="1"/>
  <c r="L137" i="1"/>
  <c r="L138" i="1"/>
  <c r="L139" i="1"/>
  <c r="L140" i="1"/>
  <c r="L141" i="1"/>
  <c r="L142" i="1"/>
  <c r="L143" i="1"/>
  <c r="L131" i="1"/>
  <c r="A95" i="1" l="1"/>
  <c r="A96" i="1"/>
  <c r="K162" i="1" l="1"/>
  <c r="A162" i="1"/>
  <c r="K161" i="1"/>
  <c r="A161" i="1"/>
  <c r="K160" i="1"/>
  <c r="A160" i="1"/>
  <c r="K159" i="1"/>
  <c r="A159" i="1"/>
  <c r="L120" i="1"/>
  <c r="L121" i="1"/>
  <c r="L122" i="1"/>
  <c r="L123" i="1"/>
  <c r="L124" i="1"/>
  <c r="L125" i="1"/>
  <c r="L126" i="1"/>
  <c r="L127" i="1"/>
  <c r="L128" i="1"/>
  <c r="L129" i="1"/>
  <c r="L130" i="1"/>
  <c r="L119" i="1"/>
  <c r="A137" i="1" l="1"/>
  <c r="A138" i="1"/>
  <c r="A139" i="1"/>
  <c r="A158" i="1" l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K140" i="1"/>
  <c r="K141" i="1"/>
  <c r="K142" i="1"/>
  <c r="K143" i="1"/>
  <c r="A143" i="1"/>
  <c r="A142" i="1"/>
  <c r="A141" i="1"/>
  <c r="A140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comments1.xml><?xml version="1.0" encoding="utf-8"?>
<comments xmlns="http://schemas.openxmlformats.org/spreadsheetml/2006/main">
  <authors>
    <author>MC</author>
  </authors>
  <commentList>
    <comment ref="A1" authorId="0">
      <text>
        <r>
          <rPr>
            <sz val="9"/>
            <rFont val="宋体"/>
            <family val="3"/>
            <charset val="134"/>
          </rPr>
          <t xml:space="preserve">MC:
编号=活动ID*1000+活动标记*100+内容编号
</t>
        </r>
      </text>
    </comment>
    <comment ref="B1" authorId="0">
      <text>
        <r>
          <rPr>
            <sz val="9"/>
            <rFont val="宋体"/>
            <family val="3"/>
            <charset val="134"/>
          </rPr>
          <t xml:space="preserve">MC:
1：代表连续登录
2：代表累计登录
3：代表等级奖励
4：代表推荐礼包
5：代表首充多日礼包
6：代表点券大转盘
7：代表限时悬赏活动
8：代表单笔充值返利
9：代表累计充值返利
10：代表试炼塔玩法中的试炼基金
11：代表活动中心的伙伴礼包
12：代表活动中心的宠物礼包
13：每日礼包
14：魂石礼包（宝石礼包）
15：成长基金
16：限时礼包
17：元素礼包
18:七日活动
</t>
        </r>
      </text>
    </comment>
    <comment ref="C1" authorId="0">
      <text>
        <r>
          <rPr>
            <sz val="9"/>
            <rFont val="宋体"/>
            <family val="3"/>
            <charset val="134"/>
          </rPr>
          <t>MC:
用来定义每一个活动的显示先后顺序
对于七日连续登录而言，1~7依次代表第1日到第7日的奖励；
对于30日累计登录而言，1~30依次代表第1日到第30日的奖励
对于推荐礼包而言，则对应商城表中的商品ID
对于试炼基金而言，则对应试炼塔的层数</t>
        </r>
      </text>
    </comment>
    <comment ref="D1" authorId="0">
      <text>
        <r>
          <rPr>
            <sz val="9"/>
            <rFont val="宋体"/>
            <family val="3"/>
            <charset val="134"/>
          </rPr>
          <t>46646:
用来定义对于特定的一种活动，其不同的活动奖励内容，例如：对于七日连登活动，可能会有常规的开服七日连登、特定假期的七日连登等多种形式。
默认填1，则代表的为最常规的活动形式，如果后续有需要则进行拓展定义</t>
        </r>
      </text>
    </comment>
    <comment ref="F1" authorId="0">
      <text>
        <r>
          <rPr>
            <sz val="9"/>
            <rFont val="宋体"/>
            <family val="3"/>
            <charset val="134"/>
          </rPr>
          <t>MC:
用来配置对应编号的道具内容
配置方式：
道具ID：道具数量；
对于30日累计登录而言，免费的道具和付费的道具分为两列配置，配置方式：
道具ID：道具数量；道具ID：道具数量</t>
        </r>
      </text>
    </comment>
    <comment ref="G1" authorId="0">
      <text>
        <r>
          <rPr>
            <sz val="9"/>
            <rFont val="宋体"/>
            <family val="3"/>
            <charset val="134"/>
          </rPr>
          <t>MC:
用于配置30日累积登录付费奖励，配置方式
道具id：道具数量；道具ID：道具数量</t>
        </r>
      </text>
    </comment>
    <comment ref="H1" authorId="0">
      <text>
        <r>
          <rPr>
            <sz val="9"/>
            <rFont val="宋体"/>
            <family val="3"/>
            <charset val="134"/>
          </rPr>
          <t>MC:
用来配置对应的内容所需要的领取条件
七日连续登录配置的为对应的登录天数
30日累积登录活动付费的价格配置在config中，此列中配置的为对应的领取天数
等级奖励则直接配置领取所需要的等级
推荐礼包则直接配置所对应的商城表中的商品UUID</t>
        </r>
      </text>
    </comment>
    <comment ref="I1" authorId="0">
      <text>
        <r>
          <rPr>
            <sz val="9"/>
            <rFont val="宋体"/>
            <family val="3"/>
            <charset val="134"/>
          </rPr>
          <t>MC:
用来配置可补领的道具所需要消耗的货币
七日连续登录需要配置，配置方式：货币ID：数量
货币id如果填100则代表人民币</t>
        </r>
      </text>
    </comment>
    <comment ref="J1" authorId="0">
      <text>
        <r>
          <rPr>
            <sz val="9"/>
            <rFont val="宋体"/>
            <family val="3"/>
            <charset val="134"/>
          </rPr>
          <t>MC:
用来界面显示活动时间</t>
        </r>
      </text>
    </comment>
    <comment ref="K1" authorId="0">
      <text>
        <r>
          <rPr>
            <sz val="9"/>
            <rFont val="宋体"/>
            <family val="3"/>
            <charset val="134"/>
          </rPr>
          <t>MC:
用来描述活动规则文字</t>
        </r>
      </text>
    </comment>
    <comment ref="N2" authorId="0">
      <text>
        <r>
          <rPr>
            <sz val="9"/>
            <rFont val="宋体"/>
            <family val="3"/>
            <charset val="134"/>
          </rPr>
          <t>46646:
用来配置活动开启的时间点，不填或者填0代表角色进入游戏起算。填时间戳则代表具体的时间节点起算</t>
        </r>
      </text>
    </comment>
  </commentList>
</comments>
</file>

<file path=xl/sharedStrings.xml><?xml version="1.0" encoding="utf-8"?>
<sst xmlns="http://schemas.openxmlformats.org/spreadsheetml/2006/main" count="683" uniqueCount="178">
  <si>
    <t>编号</t>
  </si>
  <si>
    <t>活动类型</t>
  </si>
  <si>
    <t>内容编号</t>
  </si>
  <si>
    <t>活动标记</t>
  </si>
  <si>
    <t>活动名称</t>
  </si>
  <si>
    <t>普通道具</t>
  </si>
  <si>
    <t>付费道具</t>
  </si>
  <si>
    <t>前置条件</t>
  </si>
  <si>
    <t>补领消耗</t>
  </si>
  <si>
    <t>活动时间</t>
  </si>
  <si>
    <t>活动规则</t>
  </si>
  <si>
    <t>重置时间</t>
  </si>
  <si>
    <t>开启时间</t>
  </si>
  <si>
    <t>Uint32</t>
  </si>
  <si>
    <t>String</t>
  </si>
  <si>
    <t>Json</t>
  </si>
  <si>
    <t>UUID</t>
  </si>
  <si>
    <t>Type</t>
  </si>
  <si>
    <t>Content</t>
  </si>
  <si>
    <t>Acttag</t>
  </si>
  <si>
    <t>Panelname</t>
  </si>
  <si>
    <t>CommonItem</t>
  </si>
  <si>
    <t>PayItem</t>
  </si>
  <si>
    <t>PreLimit</t>
  </si>
  <si>
    <t>CompensationConsume</t>
  </si>
  <si>
    <t>ActivityTime</t>
  </si>
  <si>
    <t>RuleDes</t>
  </si>
  <si>
    <t>Name</t>
  </si>
  <si>
    <t>ResetTime</t>
  </si>
  <si>
    <t>StartTime</t>
  </si>
  <si>
    <t>七日连登</t>
  </si>
  <si>
    <t>角色登录后第&lt;color=#6fb469&gt;8&lt;/color&gt;日结束</t>
  </si>
  <si>
    <t>7日连登</t>
  </si>
  <si>
    <t>30日累登</t>
  </si>
  <si>
    <t>[{"11":1}]</t>
  </si>
  <si>
    <t>[{"13":1},{"99":5}]</t>
  </si>
  <si>
    <t>累计登录&lt;color=#6fb469&gt;30&lt;/color&gt;日后重置</t>
  </si>
  <si>
    <t>每天登录即可免费领取一份奖励，也可以付费额外获取超值奖励，记得每日登录领取哦！</t>
  </si>
  <si>
    <t>等级奖励</t>
  </si>
  <si>
    <t>[{"12":1}]</t>
  </si>
  <si>
    <t>永久存在</t>
  </si>
  <si>
    <t>达到指定等级即可领取超值大礼一份！</t>
  </si>
  <si>
    <t>[{"30":2},{"77":5}]</t>
  </si>
  <si>
    <t>[{"12":2},{"30":3},{"77":6}]</t>
  </si>
  <si>
    <t>[{"12":3},{"31":1},{"77":7}]</t>
  </si>
  <si>
    <t>[{"12":4},{"32":1},{"80":3}]</t>
  </si>
  <si>
    <t>[{"12":5},{"33":1},{"1":1000000}]</t>
  </si>
  <si>
    <t>[{"21":500},{"33":2},{"1":2000000}]</t>
  </si>
  <si>
    <t>[{"23":500},{"33":3},{"1":3000000}]</t>
  </si>
  <si>
    <t>[{"22":400},{"33":4},{"1":4000000}]</t>
  </si>
  <si>
    <t>[{"24":200},{"33":5},{"1":5000000}]</t>
  </si>
  <si>
    <t>[{"5":1000},{"34":5},{"1":6000000}]</t>
  </si>
  <si>
    <t>[{"5":2000},{"34":7},{"1":7000000}]</t>
  </si>
  <si>
    <t>[{"5":3000},{"34":10},{"1":8000000}]</t>
  </si>
  <si>
    <t>[{"5":5000},{"34":15},{"1":9000000}]</t>
  </si>
  <si>
    <t>[{"5":8000},{"34":20},{"1":10000000}]</t>
  </si>
  <si>
    <t>特惠礼包</t>
  </si>
  <si>
    <t>超值礼包，性价比极高，不容错过</t>
  </si>
  <si>
    <t>元宝特价1</t>
  </si>
  <si>
    <t>元宝特价2</t>
  </si>
  <si>
    <t>元宝特价3</t>
  </si>
  <si>
    <t>元宝特价4</t>
  </si>
  <si>
    <t>元宝特价5</t>
  </si>
  <si>
    <t>元宝特价6</t>
  </si>
  <si>
    <t>元宝特价7</t>
  </si>
  <si>
    <t>元宝特价8</t>
  </si>
  <si>
    <t>首充礼包</t>
  </si>
  <si>
    <t>[{"5":600},{"13":1},{"40010":1}]</t>
  </si>
  <si>
    <t>首充&lt;color=#d29435&gt;6元&lt;/color&gt;可连领&lt;color=#6fb469&gt;3天&lt;/color&gt;价值&lt;color=#e67be2&gt;300元&lt;/color&gt;超值好礼！</t>
  </si>
  <si>
    <t>首充3日</t>
  </si>
  <si>
    <t>[{"5":600},{"33":5},{"40043":24}]</t>
  </si>
  <si>
    <t>&lt;color=#d29435&gt;第二天登录&lt;/color&gt;即可&lt;color=#6fb469&gt;领取&lt;/color&gt;以下奖励！</t>
  </si>
  <si>
    <t>[{"5":600},{"33":5},{"40043":50}]</t>
  </si>
  <si>
    <t>&lt;color=#d29435&gt;第三天登录&lt;/color&gt;即可&lt;color=#6fb469&gt;领取&lt;/color&gt;以下奖励！</t>
  </si>
  <si>
    <t>点券大转盘</t>
  </si>
  <si>
    <t>[{"5":100}]</t>
  </si>
  <si>
    <t>只赚不赔的买卖就在这里！</t>
  </si>
  <si>
    <t>[{"5":500}]</t>
  </si>
  <si>
    <t>[{"5":1000}]</t>
  </si>
  <si>
    <t>[{"5":5000}]</t>
  </si>
  <si>
    <t>[{"5":8888}]</t>
  </si>
  <si>
    <t>限时悬赏</t>
  </si>
  <si>
    <t>限时开放的悬赏活动，可兑换豪华大礼！</t>
  </si>
  <si>
    <t>单充返利</t>
  </si>
  <si>
    <t>[{"7":1},{"1":1000000}]</t>
  </si>
  <si>
    <t>[{"7":2},{"30":2},{"1":2000000}]</t>
  </si>
  <si>
    <t>[{"7":3},{"60":1},{"30":3},{"1":3000000}]</t>
  </si>
  <si>
    <t>[{"7":4},{"61":1},{"31":1},{"1":4000000}]</t>
  </si>
  <si>
    <t>[{"7":5},{"62":1},{"32":1},{"1":5000000}]</t>
  </si>
  <si>
    <t>[{"7":6},{"63":1},{"33":1},{"1":6000000}]</t>
  </si>
  <si>
    <t>[{"7":7},{"21":200},{"33":2},{"1":7000000}]</t>
  </si>
  <si>
    <t>[{"7":8},{"23":200},{"33":3},{"1":8000000}]</t>
  </si>
  <si>
    <t>累充返利</t>
  </si>
  <si>
    <t>试炼基金</t>
  </si>
  <si>
    <t>[{"77":1}]</t>
  </si>
  <si>
    <t>[{"78":1},{"33":1}]</t>
  </si>
  <si>
    <t>伙伴礼包Ⅰ</t>
  </si>
  <si>
    <t>限时抢购</t>
  </si>
  <si>
    <t>限时开放的伙伴礼包，错过就是遗憾！</t>
  </si>
  <si>
    <t>伙伴礼包Ⅱ</t>
  </si>
  <si>
    <t>68元礼包</t>
  </si>
  <si>
    <t>伙伴礼包Ⅲ</t>
  </si>
  <si>
    <t>98元礼包</t>
  </si>
  <si>
    <t>伙伴礼包Ⅳ</t>
  </si>
  <si>
    <t>伙伴礼包Ⅴ</t>
  </si>
  <si>
    <t>伙伴礼包Ⅵ</t>
  </si>
  <si>
    <t>宠物礼包Ⅰ</t>
  </si>
  <si>
    <t>限时开放的宠物礼包，错过就是遗憾！</t>
  </si>
  <si>
    <t>6元礼包</t>
  </si>
  <si>
    <t>宠物礼包Ⅱ</t>
  </si>
  <si>
    <t>36元礼包</t>
  </si>
  <si>
    <t>宠物礼包Ⅲ</t>
  </si>
  <si>
    <t>宠物礼包Ⅳ</t>
  </si>
  <si>
    <t>宠物礼包Ⅴ</t>
  </si>
  <si>
    <t>宠物礼包Ⅵ</t>
  </si>
  <si>
    <t>每日礼包</t>
    <phoneticPr fontId="1" type="noConversion"/>
  </si>
  <si>
    <t>成长基金</t>
    <phoneticPr fontId="1" type="noConversion"/>
  </si>
  <si>
    <t>基础成长礼包</t>
  </si>
  <si>
    <t>装备升级礼包</t>
  </si>
  <si>
    <t>技能修炼礼包</t>
  </si>
  <si>
    <t>宠物养成礼包</t>
  </si>
  <si>
    <t>装备升星礼包</t>
  </si>
  <si>
    <t>30元魂石礼包</t>
    <phoneticPr fontId="1" type="noConversion"/>
  </si>
  <si>
    <t>128元魂石礼包</t>
    <phoneticPr fontId="1" type="noConversion"/>
  </si>
  <si>
    <t>328元魂石礼包</t>
    <phoneticPr fontId="1" type="noConversion"/>
  </si>
  <si>
    <t>648元魂石礼包</t>
    <phoneticPr fontId="1" type="noConversion"/>
  </si>
  <si>
    <t>免费礼包</t>
    <phoneticPr fontId="1" type="noConversion"/>
  </si>
  <si>
    <t>免费每日礼包</t>
    <phoneticPr fontId="1" type="noConversion"/>
  </si>
  <si>
    <t>30元元素礼包</t>
    <phoneticPr fontId="1" type="noConversion"/>
  </si>
  <si>
    <t>128元元素礼包</t>
    <phoneticPr fontId="1" type="noConversion"/>
  </si>
  <si>
    <t>328元元素礼包</t>
    <phoneticPr fontId="1" type="noConversion"/>
  </si>
  <si>
    <t>648元元素礼包</t>
    <phoneticPr fontId="1" type="noConversion"/>
  </si>
  <si>
    <t>[{"1":400000},{"21":20}]</t>
  </si>
  <si>
    <t>[{"99":5},{"23":100}]</t>
  </si>
  <si>
    <t>[{"24":50},{"22":50}]</t>
  </si>
  <si>
    <t>[{"81":5},{"85":10}]</t>
  </si>
  <si>
    <t>[{"68":20},{"27":4}]</t>
  </si>
  <si>
    <t>[{"75":200},{"76":5}]</t>
  </si>
  <si>
    <t>[{"40003":1},{"82":5}]</t>
  </si>
  <si>
    <t>[{"51000":1},{"40036":120}]</t>
  </si>
  <si>
    <t>[{"51000":1},{"40036":200}]</t>
  </si>
  <si>
    <t>[{"51000":1},{"40036":280}]</t>
  </si>
  <si>
    <t>[{"32":3},{"5":10000}]</t>
  </si>
  <si>
    <t>[{"68":2},{"5":1000}]</t>
    <phoneticPr fontId="1" type="noConversion"/>
  </si>
  <si>
    <t>[{"50006":1}]</t>
    <phoneticPr fontId="1" type="noConversion"/>
  </si>
  <si>
    <t>[{"11":5},{"77":5}]</t>
  </si>
  <si>
    <t>[{"12":3},{"50007":1}]</t>
  </si>
  <si>
    <t>[{"24":5},{"78":10}]</t>
  </si>
  <si>
    <t>[{"22":50},{"26":1}]</t>
  </si>
  <si>
    <t>[{"21":50},{"86":4}]</t>
  </si>
  <si>
    <t>[{"32":1},{"5":2000}]</t>
  </si>
  <si>
    <t>[{"32":1},{"5":4000}]</t>
  </si>
  <si>
    <t>[{"32":2},{"5":6000}]</t>
  </si>
  <si>
    <t>[{"32":2},{"5":8000}]</t>
  </si>
  <si>
    <t>[{"32":3},{"5":12000}]</t>
  </si>
  <si>
    <t>[{"32":4},{"5":12000}]</t>
  </si>
  <si>
    <t>[{"32":5},{"5":14000}]</t>
  </si>
  <si>
    <t>[{"32":6},{"5":14000}]</t>
  </si>
  <si>
    <t>[{"32":8},{"5":14000}]</t>
  </si>
  <si>
    <t>[{"32":10},{"5":16000}]</t>
  </si>
  <si>
    <t>[{"32":12},{"5":16000}]</t>
  </si>
  <si>
    <t>[{"32":15},{"5":16000}]</t>
  </si>
  <si>
    <t>[{"32":20},{"5":16000}]</t>
  </si>
  <si>
    <t>[{"5":2000}]</t>
  </si>
  <si>
    <t>[{"5":3000}]</t>
  </si>
  <si>
    <t>[{"5":4000}]</t>
  </si>
  <si>
    <t>[{"5":6000}]</t>
  </si>
  <si>
    <t>[{"5":7000}]</t>
  </si>
  <si>
    <t>[{"5":8000}]</t>
  </si>
  <si>
    <t>[{"51002":1}]</t>
    <phoneticPr fontId="1" type="noConversion"/>
  </si>
  <si>
    <t>七日活动</t>
    <phoneticPr fontId="1" type="noConversion"/>
  </si>
  <si>
    <t>七日礼包</t>
    <phoneticPr fontId="1" type="noConversion"/>
  </si>
  <si>
    <t>每日登录均可免费领取，错过则需要补领，记得每天来领哦！</t>
    <phoneticPr fontId="1" type="noConversion"/>
  </si>
  <si>
    <t>每日礼包（购买5次后免费）</t>
    <phoneticPr fontId="1" type="noConversion"/>
  </si>
  <si>
    <t>每日礼包（购买5次后免费）</t>
    <phoneticPr fontId="1" type="noConversion"/>
  </si>
  <si>
    <t>黄金礼包</t>
    <phoneticPr fontId="1" type="noConversion"/>
  </si>
  <si>
    <t>经验珠礼包</t>
    <phoneticPr fontId="1" type="noConversion"/>
  </si>
  <si>
    <t>升星石礼包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</si>
</sst>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宋体"/>
      <charset val="134"/>
    </font>
    <font>
      <sz val="9"/>
      <name val="宋体"/>
      <family val="3"/>
      <charset val="134"/>
    </font>
    <font>
      <sz val="10"/>
      <color indexed="8"/>
      <name val="微软雅黑"/>
      <family val="2"/>
      <charset val="134"/>
    </font>
    <font>
      <sz val="10"/>
      <color indexed="8"/>
      <name val="宋体"/>
      <family val="3"/>
      <charset val="134"/>
    </font>
    <font>
      <sz val="10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0" fontId="3" fillId="2" borderId="0" xfId="0" applyFont="1" applyFill="1">
      <alignment vertical="center"/>
    </xf>
    <xf numFmtId="49" fontId="2" fillId="3" borderId="1" xfId="0" applyNumberFormat="1" applyFont="1" applyFill="1" applyBorder="1">
      <alignment vertical="center"/>
    </xf>
    <xf numFmtId="4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2" fillId="0" borderId="2" xfId="0" applyFont="1" applyBorder="1">
      <alignment vertical="center"/>
    </xf>
    <xf numFmtId="49" fontId="2" fillId="0" borderId="2" xfId="0" applyNumberFormat="1" applyFont="1" applyBorder="1">
      <alignment vertical="center"/>
    </xf>
    <xf numFmtId="0" fontId="2" fillId="5" borderId="1" xfId="0" applyFont="1" applyFill="1" applyBorder="1">
      <alignment vertical="center"/>
    </xf>
    <xf numFmtId="49" fontId="2" fillId="5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0" fontId="2" fillId="4" borderId="1" xfId="0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0" fontId="3" fillId="4" borderId="0" xfId="0" applyFont="1" applyFill="1">
      <alignment vertical="center"/>
    </xf>
    <xf numFmtId="49" fontId="3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2" fillId="0" borderId="1" xfId="0" applyNumberFormat="1" applyFont="1" applyBorder="1">
      <alignment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2" xfId="0" applyNumberFormat="1" applyFont="1" applyBorder="1">
      <alignment vertical="center"/>
    </xf>
    <xf numFmtId="0" fontId="4" fillId="5" borderId="1" xfId="0" applyNumberFormat="1" applyFont="1" applyFill="1" applyBorder="1" applyAlignment="1"/>
    <xf numFmtId="0" fontId="4" fillId="0" borderId="1" xfId="0" applyNumberFormat="1" applyFont="1" applyBorder="1" applyAlignment="1"/>
    <xf numFmtId="0" fontId="3" fillId="0" borderId="1" xfId="0" applyNumberFormat="1" applyFont="1" applyBorder="1">
      <alignment vertical="center"/>
    </xf>
    <xf numFmtId="0" fontId="2" fillId="4" borderId="1" xfId="0" applyNumberFormat="1" applyFont="1" applyFill="1" applyBorder="1">
      <alignment vertical="center"/>
    </xf>
    <xf numFmtId="0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70"/>
  <sheetViews>
    <sheetView tabSelected="1" workbookViewId="0">
      <pane xSplit="1" ySplit="3" topLeftCell="B106" activePane="bottomRight" state="frozen"/>
      <selection pane="topRight"/>
      <selection pane="bottomLeft"/>
      <selection pane="bottomRight" activeCell="E134" sqref="E134"/>
    </sheetView>
  </sheetViews>
  <sheetFormatPr defaultColWidth="9" defaultRowHeight="12" x14ac:dyDescent="0.15"/>
  <cols>
    <col min="1" max="1" width="6.75" style="3" bestFit="1" customWidth="1"/>
    <col min="2" max="4" width="8" style="3" bestFit="1" customWidth="1"/>
    <col min="5" max="5" width="13.125" style="3" bestFit="1" customWidth="1"/>
    <col min="6" max="6" width="35.625" style="18" bestFit="1" customWidth="1"/>
    <col min="7" max="7" width="19" style="18" bestFit="1" customWidth="1"/>
    <col min="8" max="8" width="8" style="19" bestFit="1" customWidth="1"/>
    <col min="9" max="9" width="21" style="18" bestFit="1" customWidth="1"/>
    <col min="10" max="10" width="41.625" style="3" bestFit="1" customWidth="1"/>
    <col min="11" max="11" width="104.875" style="3" bestFit="1" customWidth="1"/>
    <col min="12" max="12" width="13.125" style="3" bestFit="1" customWidth="1"/>
    <col min="13" max="13" width="9.25" style="3" bestFit="1" customWidth="1"/>
    <col min="14" max="14" width="8.875" style="3" bestFit="1" customWidth="1"/>
    <col min="15" max="16384" width="9" style="3"/>
  </cols>
  <sheetData>
    <row r="1" spans="1:14" ht="16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0" t="s">
        <v>7</v>
      </c>
      <c r="I1" s="2" t="s">
        <v>8</v>
      </c>
      <c r="J1" s="1" t="s">
        <v>9</v>
      </c>
      <c r="K1" s="1" t="s">
        <v>10</v>
      </c>
      <c r="L1" s="1" t="s">
        <v>4</v>
      </c>
      <c r="M1" s="1" t="s">
        <v>11</v>
      </c>
      <c r="N1" s="1" t="s">
        <v>12</v>
      </c>
    </row>
    <row r="2" spans="1:14" ht="16.5" x14ac:dyDescent="0.15">
      <c r="A2" s="1" t="s">
        <v>13</v>
      </c>
      <c r="B2" s="1" t="s">
        <v>13</v>
      </c>
      <c r="C2" s="1" t="s">
        <v>13</v>
      </c>
      <c r="D2" s="1" t="s">
        <v>13</v>
      </c>
      <c r="E2" s="1" t="s">
        <v>14</v>
      </c>
      <c r="F2" s="2" t="s">
        <v>15</v>
      </c>
      <c r="G2" s="2" t="s">
        <v>15</v>
      </c>
      <c r="H2" s="20" t="s">
        <v>13</v>
      </c>
      <c r="I2" s="2" t="s">
        <v>15</v>
      </c>
      <c r="J2" s="1" t="s">
        <v>14</v>
      </c>
      <c r="K2" s="1" t="s">
        <v>14</v>
      </c>
      <c r="L2" s="1" t="s">
        <v>14</v>
      </c>
      <c r="M2" s="1" t="s">
        <v>13</v>
      </c>
      <c r="N2" s="1" t="s">
        <v>13</v>
      </c>
    </row>
    <row r="3" spans="1:14" ht="16.5" x14ac:dyDescent="0.1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 t="s">
        <v>21</v>
      </c>
      <c r="G3" s="2" t="s">
        <v>22</v>
      </c>
      <c r="H3" s="20" t="s">
        <v>23</v>
      </c>
      <c r="I3" s="2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</row>
    <row r="4" spans="1:14" ht="16.5" x14ac:dyDescent="0.15">
      <c r="A4" s="1">
        <f t="shared" ref="A4:A10" si="0">B4*1000+D4*100+C4</f>
        <v>1101</v>
      </c>
      <c r="B4" s="1">
        <v>1</v>
      </c>
      <c r="C4" s="1">
        <v>1</v>
      </c>
      <c r="D4" s="1">
        <v>1</v>
      </c>
      <c r="E4" s="1" t="s">
        <v>30</v>
      </c>
      <c r="F4" s="2" t="s">
        <v>145</v>
      </c>
      <c r="G4" s="2"/>
      <c r="H4" s="20">
        <v>1</v>
      </c>
      <c r="I4" s="2" t="s">
        <v>169</v>
      </c>
      <c r="J4" s="1" t="s">
        <v>31</v>
      </c>
      <c r="K4" s="1" t="s">
        <v>172</v>
      </c>
      <c r="L4" s="1" t="s">
        <v>32</v>
      </c>
      <c r="M4" s="1">
        <v>8</v>
      </c>
      <c r="N4" s="1"/>
    </row>
    <row r="5" spans="1:14" ht="16.5" x14ac:dyDescent="0.15">
      <c r="A5" s="1">
        <f t="shared" si="0"/>
        <v>1102</v>
      </c>
      <c r="B5" s="1">
        <v>1</v>
      </c>
      <c r="C5" s="1">
        <v>2</v>
      </c>
      <c r="D5" s="1">
        <v>1</v>
      </c>
      <c r="E5" s="1" t="s">
        <v>30</v>
      </c>
      <c r="F5" s="2" t="s">
        <v>146</v>
      </c>
      <c r="G5" s="2"/>
      <c r="H5" s="20">
        <v>2</v>
      </c>
      <c r="I5" s="2" t="s">
        <v>169</v>
      </c>
      <c r="J5" s="1" t="s">
        <v>31</v>
      </c>
      <c r="K5" s="1" t="s">
        <v>172</v>
      </c>
      <c r="L5" s="1" t="s">
        <v>32</v>
      </c>
      <c r="M5" s="1">
        <v>8</v>
      </c>
      <c r="N5" s="1"/>
    </row>
    <row r="6" spans="1:14" ht="16.5" x14ac:dyDescent="0.15">
      <c r="A6" s="1">
        <f t="shared" si="0"/>
        <v>1103</v>
      </c>
      <c r="B6" s="1">
        <v>1</v>
      </c>
      <c r="C6" s="1">
        <v>3</v>
      </c>
      <c r="D6" s="1">
        <v>1</v>
      </c>
      <c r="E6" s="1" t="s">
        <v>30</v>
      </c>
      <c r="F6" s="2" t="s">
        <v>147</v>
      </c>
      <c r="G6" s="2"/>
      <c r="H6" s="20">
        <v>3</v>
      </c>
      <c r="I6" s="2" t="s">
        <v>169</v>
      </c>
      <c r="J6" s="1" t="s">
        <v>31</v>
      </c>
      <c r="K6" s="1" t="s">
        <v>172</v>
      </c>
      <c r="L6" s="1" t="s">
        <v>32</v>
      </c>
      <c r="M6" s="1">
        <v>8</v>
      </c>
      <c r="N6" s="1"/>
    </row>
    <row r="7" spans="1:14" ht="16.5" x14ac:dyDescent="0.15">
      <c r="A7" s="1">
        <f t="shared" si="0"/>
        <v>1104</v>
      </c>
      <c r="B7" s="1">
        <v>1</v>
      </c>
      <c r="C7" s="1">
        <v>4</v>
      </c>
      <c r="D7" s="1">
        <v>1</v>
      </c>
      <c r="E7" s="1" t="s">
        <v>30</v>
      </c>
      <c r="F7" s="2" t="s">
        <v>148</v>
      </c>
      <c r="G7" s="2"/>
      <c r="H7" s="20">
        <v>4</v>
      </c>
      <c r="I7" s="2" t="s">
        <v>169</v>
      </c>
      <c r="J7" s="1" t="s">
        <v>31</v>
      </c>
      <c r="K7" s="1" t="s">
        <v>172</v>
      </c>
      <c r="L7" s="1" t="s">
        <v>32</v>
      </c>
      <c r="M7" s="1">
        <v>8</v>
      </c>
      <c r="N7" s="1"/>
    </row>
    <row r="8" spans="1:14" ht="16.5" x14ac:dyDescent="0.15">
      <c r="A8" s="1">
        <f t="shared" si="0"/>
        <v>1105</v>
      </c>
      <c r="B8" s="1">
        <v>1</v>
      </c>
      <c r="C8" s="1">
        <v>5</v>
      </c>
      <c r="D8" s="1">
        <v>1</v>
      </c>
      <c r="E8" s="1" t="s">
        <v>30</v>
      </c>
      <c r="F8" s="2" t="s">
        <v>149</v>
      </c>
      <c r="G8" s="2"/>
      <c r="H8" s="20">
        <v>5</v>
      </c>
      <c r="I8" s="2" t="s">
        <v>169</v>
      </c>
      <c r="J8" s="1" t="s">
        <v>31</v>
      </c>
      <c r="K8" s="1" t="s">
        <v>172</v>
      </c>
      <c r="L8" s="1" t="s">
        <v>32</v>
      </c>
      <c r="M8" s="1">
        <v>8</v>
      </c>
      <c r="N8" s="1"/>
    </row>
    <row r="9" spans="1:14" ht="16.5" x14ac:dyDescent="0.15">
      <c r="A9" s="1">
        <f t="shared" si="0"/>
        <v>1106</v>
      </c>
      <c r="B9" s="1">
        <v>1</v>
      </c>
      <c r="C9" s="1">
        <v>6</v>
      </c>
      <c r="D9" s="1">
        <v>1</v>
      </c>
      <c r="E9" s="1" t="s">
        <v>30</v>
      </c>
      <c r="F9" s="2" t="s">
        <v>143</v>
      </c>
      <c r="G9" s="2"/>
      <c r="H9" s="20">
        <v>6</v>
      </c>
      <c r="I9" s="2" t="s">
        <v>169</v>
      </c>
      <c r="J9" s="1" t="s">
        <v>31</v>
      </c>
      <c r="K9" s="1" t="s">
        <v>172</v>
      </c>
      <c r="L9" s="1" t="s">
        <v>32</v>
      </c>
      <c r="M9" s="1">
        <v>8</v>
      </c>
      <c r="N9" s="1"/>
    </row>
    <row r="10" spans="1:14" ht="16.5" x14ac:dyDescent="0.15">
      <c r="A10" s="1">
        <f t="shared" si="0"/>
        <v>1107</v>
      </c>
      <c r="B10" s="1">
        <v>1</v>
      </c>
      <c r="C10" s="1">
        <v>7</v>
      </c>
      <c r="D10" s="1">
        <v>1</v>
      </c>
      <c r="E10" s="1" t="s">
        <v>30</v>
      </c>
      <c r="F10" s="2" t="s">
        <v>144</v>
      </c>
      <c r="G10" s="2"/>
      <c r="H10" s="20">
        <v>7</v>
      </c>
      <c r="I10" s="2" t="s">
        <v>169</v>
      </c>
      <c r="J10" s="1" t="s">
        <v>31</v>
      </c>
      <c r="K10" s="1" t="s">
        <v>172</v>
      </c>
      <c r="L10" s="1" t="s">
        <v>32</v>
      </c>
      <c r="M10" s="1">
        <v>8</v>
      </c>
      <c r="N10" s="1"/>
    </row>
    <row r="11" spans="1:14" ht="16.5" x14ac:dyDescent="0.15">
      <c r="A11" s="1">
        <f t="shared" ref="A11:A36" si="1">B11*1000+D11*100+C11</f>
        <v>2101</v>
      </c>
      <c r="B11" s="1">
        <v>2</v>
      </c>
      <c r="C11" s="1">
        <v>1</v>
      </c>
      <c r="D11" s="1">
        <v>1</v>
      </c>
      <c r="E11" s="1" t="s">
        <v>33</v>
      </c>
      <c r="F11" s="2" t="s">
        <v>34</v>
      </c>
      <c r="G11" s="2" t="s">
        <v>35</v>
      </c>
      <c r="H11" s="20">
        <v>1</v>
      </c>
      <c r="I11" s="2"/>
      <c r="J11" s="1" t="s">
        <v>36</v>
      </c>
      <c r="K11" s="1" t="s">
        <v>37</v>
      </c>
      <c r="L11" s="1" t="s">
        <v>33</v>
      </c>
      <c r="M11" s="1">
        <v>30</v>
      </c>
      <c r="N11" s="1"/>
    </row>
    <row r="12" spans="1:14" ht="16.5" x14ac:dyDescent="0.15">
      <c r="A12" s="1">
        <f t="shared" si="1"/>
        <v>2102</v>
      </c>
      <c r="B12" s="1">
        <v>2</v>
      </c>
      <c r="C12" s="1">
        <v>2</v>
      </c>
      <c r="D12" s="1">
        <v>1</v>
      </c>
      <c r="E12" s="1" t="s">
        <v>33</v>
      </c>
      <c r="F12" s="2" t="s">
        <v>34</v>
      </c>
      <c r="G12" s="2" t="s">
        <v>35</v>
      </c>
      <c r="H12" s="20">
        <v>2</v>
      </c>
      <c r="I12" s="2"/>
      <c r="J12" s="1" t="s">
        <v>36</v>
      </c>
      <c r="K12" s="1" t="s">
        <v>37</v>
      </c>
      <c r="L12" s="1" t="s">
        <v>33</v>
      </c>
      <c r="M12" s="1">
        <v>30</v>
      </c>
      <c r="N12" s="1"/>
    </row>
    <row r="13" spans="1:14" ht="16.5" x14ac:dyDescent="0.15">
      <c r="A13" s="1">
        <f t="shared" si="1"/>
        <v>2103</v>
      </c>
      <c r="B13" s="1">
        <v>2</v>
      </c>
      <c r="C13" s="1">
        <v>3</v>
      </c>
      <c r="D13" s="1">
        <v>1</v>
      </c>
      <c r="E13" s="1" t="s">
        <v>33</v>
      </c>
      <c r="F13" s="2" t="s">
        <v>34</v>
      </c>
      <c r="G13" s="2" t="s">
        <v>35</v>
      </c>
      <c r="H13" s="20">
        <v>3</v>
      </c>
      <c r="I13" s="2"/>
      <c r="J13" s="1" t="s">
        <v>36</v>
      </c>
      <c r="K13" s="1" t="s">
        <v>37</v>
      </c>
      <c r="L13" s="1" t="s">
        <v>33</v>
      </c>
      <c r="M13" s="1">
        <v>30</v>
      </c>
      <c r="N13" s="1"/>
    </row>
    <row r="14" spans="1:14" ht="16.5" x14ac:dyDescent="0.15">
      <c r="A14" s="1">
        <f t="shared" si="1"/>
        <v>2104</v>
      </c>
      <c r="B14" s="1">
        <v>2</v>
      </c>
      <c r="C14" s="1">
        <v>4</v>
      </c>
      <c r="D14" s="1">
        <v>1</v>
      </c>
      <c r="E14" s="1" t="s">
        <v>33</v>
      </c>
      <c r="F14" s="2" t="s">
        <v>34</v>
      </c>
      <c r="G14" s="2" t="s">
        <v>35</v>
      </c>
      <c r="H14" s="20">
        <v>4</v>
      </c>
      <c r="I14" s="2"/>
      <c r="J14" s="1" t="s">
        <v>36</v>
      </c>
      <c r="K14" s="1" t="s">
        <v>37</v>
      </c>
      <c r="L14" s="1" t="s">
        <v>33</v>
      </c>
      <c r="M14" s="1">
        <v>30</v>
      </c>
      <c r="N14" s="1"/>
    </row>
    <row r="15" spans="1:14" ht="16.5" x14ac:dyDescent="0.15">
      <c r="A15" s="1">
        <f t="shared" si="1"/>
        <v>2105</v>
      </c>
      <c r="B15" s="1">
        <v>2</v>
      </c>
      <c r="C15" s="1">
        <v>5</v>
      </c>
      <c r="D15" s="1">
        <v>1</v>
      </c>
      <c r="E15" s="1" t="s">
        <v>33</v>
      </c>
      <c r="F15" s="2" t="s">
        <v>34</v>
      </c>
      <c r="G15" s="2" t="s">
        <v>35</v>
      </c>
      <c r="H15" s="20">
        <v>5</v>
      </c>
      <c r="I15" s="2"/>
      <c r="J15" s="1" t="s">
        <v>36</v>
      </c>
      <c r="K15" s="1" t="s">
        <v>37</v>
      </c>
      <c r="L15" s="1" t="s">
        <v>33</v>
      </c>
      <c r="M15" s="1">
        <v>30</v>
      </c>
      <c r="N15" s="1"/>
    </row>
    <row r="16" spans="1:14" ht="16.5" x14ac:dyDescent="0.15">
      <c r="A16" s="1">
        <f t="shared" si="1"/>
        <v>2106</v>
      </c>
      <c r="B16" s="1">
        <v>2</v>
      </c>
      <c r="C16" s="1">
        <v>6</v>
      </c>
      <c r="D16" s="1">
        <v>1</v>
      </c>
      <c r="E16" s="1" t="s">
        <v>33</v>
      </c>
      <c r="F16" s="2" t="s">
        <v>34</v>
      </c>
      <c r="G16" s="2" t="s">
        <v>35</v>
      </c>
      <c r="H16" s="20">
        <v>6</v>
      </c>
      <c r="I16" s="2"/>
      <c r="J16" s="1" t="s">
        <v>36</v>
      </c>
      <c r="K16" s="1" t="s">
        <v>37</v>
      </c>
      <c r="L16" s="1" t="s">
        <v>33</v>
      </c>
      <c r="M16" s="1">
        <v>30</v>
      </c>
      <c r="N16" s="1"/>
    </row>
    <row r="17" spans="1:14" ht="16.5" x14ac:dyDescent="0.15">
      <c r="A17" s="1">
        <f t="shared" si="1"/>
        <v>2107</v>
      </c>
      <c r="B17" s="1">
        <v>2</v>
      </c>
      <c r="C17" s="1">
        <v>7</v>
      </c>
      <c r="D17" s="1">
        <v>1</v>
      </c>
      <c r="E17" s="1" t="s">
        <v>33</v>
      </c>
      <c r="F17" s="2" t="s">
        <v>34</v>
      </c>
      <c r="G17" s="2" t="s">
        <v>35</v>
      </c>
      <c r="H17" s="20">
        <v>7</v>
      </c>
      <c r="I17" s="2"/>
      <c r="J17" s="1" t="s">
        <v>36</v>
      </c>
      <c r="K17" s="1" t="s">
        <v>37</v>
      </c>
      <c r="L17" s="1" t="s">
        <v>33</v>
      </c>
      <c r="M17" s="1">
        <v>30</v>
      </c>
      <c r="N17" s="1"/>
    </row>
    <row r="18" spans="1:14" ht="16.5" x14ac:dyDescent="0.15">
      <c r="A18" s="1">
        <f t="shared" si="1"/>
        <v>2108</v>
      </c>
      <c r="B18" s="1">
        <v>2</v>
      </c>
      <c r="C18" s="1">
        <v>8</v>
      </c>
      <c r="D18" s="1">
        <v>1</v>
      </c>
      <c r="E18" s="1" t="s">
        <v>33</v>
      </c>
      <c r="F18" s="2" t="s">
        <v>34</v>
      </c>
      <c r="G18" s="2" t="s">
        <v>35</v>
      </c>
      <c r="H18" s="20">
        <v>8</v>
      </c>
      <c r="I18" s="2"/>
      <c r="J18" s="1" t="s">
        <v>36</v>
      </c>
      <c r="K18" s="1" t="s">
        <v>37</v>
      </c>
      <c r="L18" s="1" t="s">
        <v>33</v>
      </c>
      <c r="M18" s="1">
        <v>30</v>
      </c>
      <c r="N18" s="1"/>
    </row>
    <row r="19" spans="1:14" ht="16.5" x14ac:dyDescent="0.15">
      <c r="A19" s="1">
        <f t="shared" si="1"/>
        <v>2109</v>
      </c>
      <c r="B19" s="1">
        <v>2</v>
      </c>
      <c r="C19" s="1">
        <v>9</v>
      </c>
      <c r="D19" s="1">
        <v>1</v>
      </c>
      <c r="E19" s="1" t="s">
        <v>33</v>
      </c>
      <c r="F19" s="2" t="s">
        <v>34</v>
      </c>
      <c r="G19" s="2" t="s">
        <v>35</v>
      </c>
      <c r="H19" s="20">
        <v>9</v>
      </c>
      <c r="I19" s="2"/>
      <c r="J19" s="1" t="s">
        <v>36</v>
      </c>
      <c r="K19" s="1" t="s">
        <v>37</v>
      </c>
      <c r="L19" s="1" t="s">
        <v>33</v>
      </c>
      <c r="M19" s="1">
        <v>30</v>
      </c>
      <c r="N19" s="1"/>
    </row>
    <row r="20" spans="1:14" ht="16.5" x14ac:dyDescent="0.15">
      <c r="A20" s="1">
        <f t="shared" si="1"/>
        <v>2110</v>
      </c>
      <c r="B20" s="1">
        <v>2</v>
      </c>
      <c r="C20" s="1">
        <v>10</v>
      </c>
      <c r="D20" s="1">
        <v>1</v>
      </c>
      <c r="E20" s="1" t="s">
        <v>33</v>
      </c>
      <c r="F20" s="2" t="s">
        <v>34</v>
      </c>
      <c r="G20" s="2" t="s">
        <v>35</v>
      </c>
      <c r="H20" s="20">
        <v>10</v>
      </c>
      <c r="I20" s="2"/>
      <c r="J20" s="1" t="s">
        <v>36</v>
      </c>
      <c r="K20" s="1" t="s">
        <v>37</v>
      </c>
      <c r="L20" s="1" t="s">
        <v>33</v>
      </c>
      <c r="M20" s="1">
        <v>30</v>
      </c>
      <c r="N20" s="1"/>
    </row>
    <row r="21" spans="1:14" ht="16.5" x14ac:dyDescent="0.15">
      <c r="A21" s="1">
        <f t="shared" si="1"/>
        <v>2111</v>
      </c>
      <c r="B21" s="1">
        <v>2</v>
      </c>
      <c r="C21" s="1">
        <v>11</v>
      </c>
      <c r="D21" s="1">
        <v>1</v>
      </c>
      <c r="E21" s="1" t="s">
        <v>33</v>
      </c>
      <c r="F21" s="2" t="s">
        <v>34</v>
      </c>
      <c r="G21" s="2" t="s">
        <v>35</v>
      </c>
      <c r="H21" s="20">
        <v>11</v>
      </c>
      <c r="I21" s="2"/>
      <c r="J21" s="1" t="s">
        <v>36</v>
      </c>
      <c r="K21" s="1" t="s">
        <v>37</v>
      </c>
      <c r="L21" s="1" t="s">
        <v>33</v>
      </c>
      <c r="M21" s="1">
        <v>30</v>
      </c>
      <c r="N21" s="1"/>
    </row>
    <row r="22" spans="1:14" ht="16.5" x14ac:dyDescent="0.15">
      <c r="A22" s="1">
        <f t="shared" si="1"/>
        <v>2112</v>
      </c>
      <c r="B22" s="1">
        <v>2</v>
      </c>
      <c r="C22" s="1">
        <v>12</v>
      </c>
      <c r="D22" s="1">
        <v>1</v>
      </c>
      <c r="E22" s="1" t="s">
        <v>33</v>
      </c>
      <c r="F22" s="2" t="s">
        <v>34</v>
      </c>
      <c r="G22" s="2" t="s">
        <v>35</v>
      </c>
      <c r="H22" s="20">
        <v>12</v>
      </c>
      <c r="I22" s="2"/>
      <c r="J22" s="1" t="s">
        <v>36</v>
      </c>
      <c r="K22" s="1" t="s">
        <v>37</v>
      </c>
      <c r="L22" s="1" t="s">
        <v>33</v>
      </c>
      <c r="M22" s="1">
        <v>30</v>
      </c>
      <c r="N22" s="1"/>
    </row>
    <row r="23" spans="1:14" ht="16.5" x14ac:dyDescent="0.15">
      <c r="A23" s="1">
        <f t="shared" si="1"/>
        <v>2113</v>
      </c>
      <c r="B23" s="1">
        <v>2</v>
      </c>
      <c r="C23" s="1">
        <v>13</v>
      </c>
      <c r="D23" s="1">
        <v>1</v>
      </c>
      <c r="E23" s="1" t="s">
        <v>33</v>
      </c>
      <c r="F23" s="2" t="s">
        <v>34</v>
      </c>
      <c r="G23" s="2" t="s">
        <v>35</v>
      </c>
      <c r="H23" s="20">
        <v>13</v>
      </c>
      <c r="I23" s="2"/>
      <c r="J23" s="1" t="s">
        <v>36</v>
      </c>
      <c r="K23" s="1" t="s">
        <v>37</v>
      </c>
      <c r="L23" s="1" t="s">
        <v>33</v>
      </c>
      <c r="M23" s="1">
        <v>30</v>
      </c>
      <c r="N23" s="1"/>
    </row>
    <row r="24" spans="1:14" ht="16.5" x14ac:dyDescent="0.15">
      <c r="A24" s="1">
        <f t="shared" si="1"/>
        <v>2114</v>
      </c>
      <c r="B24" s="1">
        <v>2</v>
      </c>
      <c r="C24" s="1">
        <v>14</v>
      </c>
      <c r="D24" s="1">
        <v>1</v>
      </c>
      <c r="E24" s="1" t="s">
        <v>33</v>
      </c>
      <c r="F24" s="2" t="s">
        <v>34</v>
      </c>
      <c r="G24" s="2" t="s">
        <v>35</v>
      </c>
      <c r="H24" s="20">
        <v>14</v>
      </c>
      <c r="I24" s="2"/>
      <c r="J24" s="1" t="s">
        <v>36</v>
      </c>
      <c r="K24" s="1" t="s">
        <v>37</v>
      </c>
      <c r="L24" s="1" t="s">
        <v>33</v>
      </c>
      <c r="M24" s="1">
        <v>30</v>
      </c>
      <c r="N24" s="1"/>
    </row>
    <row r="25" spans="1:14" ht="16.5" x14ac:dyDescent="0.15">
      <c r="A25" s="1">
        <f t="shared" si="1"/>
        <v>2115</v>
      </c>
      <c r="B25" s="1">
        <v>2</v>
      </c>
      <c r="C25" s="1">
        <v>15</v>
      </c>
      <c r="D25" s="1">
        <v>1</v>
      </c>
      <c r="E25" s="1" t="s">
        <v>33</v>
      </c>
      <c r="F25" s="2" t="s">
        <v>34</v>
      </c>
      <c r="G25" s="2" t="s">
        <v>35</v>
      </c>
      <c r="H25" s="20">
        <v>15</v>
      </c>
      <c r="I25" s="2"/>
      <c r="J25" s="1" t="s">
        <v>36</v>
      </c>
      <c r="K25" s="1" t="s">
        <v>37</v>
      </c>
      <c r="L25" s="1" t="s">
        <v>33</v>
      </c>
      <c r="M25" s="1">
        <v>30</v>
      </c>
      <c r="N25" s="1"/>
    </row>
    <row r="26" spans="1:14" ht="16.5" x14ac:dyDescent="0.15">
      <c r="A26" s="1">
        <f t="shared" si="1"/>
        <v>2116</v>
      </c>
      <c r="B26" s="1">
        <v>2</v>
      </c>
      <c r="C26" s="1">
        <v>16</v>
      </c>
      <c r="D26" s="1">
        <v>1</v>
      </c>
      <c r="E26" s="1" t="s">
        <v>33</v>
      </c>
      <c r="F26" s="2" t="s">
        <v>34</v>
      </c>
      <c r="G26" s="2" t="s">
        <v>35</v>
      </c>
      <c r="H26" s="20">
        <v>16</v>
      </c>
      <c r="I26" s="2"/>
      <c r="J26" s="1" t="s">
        <v>36</v>
      </c>
      <c r="K26" s="1" t="s">
        <v>37</v>
      </c>
      <c r="L26" s="1" t="s">
        <v>33</v>
      </c>
      <c r="M26" s="1">
        <v>30</v>
      </c>
      <c r="N26" s="1"/>
    </row>
    <row r="27" spans="1:14" ht="16.5" x14ac:dyDescent="0.15">
      <c r="A27" s="1">
        <f t="shared" si="1"/>
        <v>2117</v>
      </c>
      <c r="B27" s="1">
        <v>2</v>
      </c>
      <c r="C27" s="1">
        <v>17</v>
      </c>
      <c r="D27" s="1">
        <v>1</v>
      </c>
      <c r="E27" s="1" t="s">
        <v>33</v>
      </c>
      <c r="F27" s="2" t="s">
        <v>34</v>
      </c>
      <c r="G27" s="2" t="s">
        <v>35</v>
      </c>
      <c r="H27" s="20">
        <v>17</v>
      </c>
      <c r="I27" s="2"/>
      <c r="J27" s="1" t="s">
        <v>36</v>
      </c>
      <c r="K27" s="1" t="s">
        <v>37</v>
      </c>
      <c r="L27" s="1" t="s">
        <v>33</v>
      </c>
      <c r="M27" s="1">
        <v>30</v>
      </c>
      <c r="N27" s="1"/>
    </row>
    <row r="28" spans="1:14" ht="16.5" x14ac:dyDescent="0.15">
      <c r="A28" s="1">
        <f t="shared" si="1"/>
        <v>2118</v>
      </c>
      <c r="B28" s="1">
        <v>2</v>
      </c>
      <c r="C28" s="1">
        <v>18</v>
      </c>
      <c r="D28" s="1">
        <v>1</v>
      </c>
      <c r="E28" s="1" t="s">
        <v>33</v>
      </c>
      <c r="F28" s="2" t="s">
        <v>34</v>
      </c>
      <c r="G28" s="2" t="s">
        <v>35</v>
      </c>
      <c r="H28" s="20">
        <v>18</v>
      </c>
      <c r="I28" s="2"/>
      <c r="J28" s="1" t="s">
        <v>36</v>
      </c>
      <c r="K28" s="1" t="s">
        <v>37</v>
      </c>
      <c r="L28" s="1" t="s">
        <v>33</v>
      </c>
      <c r="M28" s="1">
        <v>30</v>
      </c>
      <c r="N28" s="1"/>
    </row>
    <row r="29" spans="1:14" ht="16.5" x14ac:dyDescent="0.15">
      <c r="A29" s="1">
        <f t="shared" si="1"/>
        <v>2119</v>
      </c>
      <c r="B29" s="1">
        <v>2</v>
      </c>
      <c r="C29" s="1">
        <v>19</v>
      </c>
      <c r="D29" s="1">
        <v>1</v>
      </c>
      <c r="E29" s="1" t="s">
        <v>33</v>
      </c>
      <c r="F29" s="2" t="s">
        <v>34</v>
      </c>
      <c r="G29" s="2" t="s">
        <v>35</v>
      </c>
      <c r="H29" s="20">
        <v>19</v>
      </c>
      <c r="I29" s="2"/>
      <c r="J29" s="1" t="s">
        <v>36</v>
      </c>
      <c r="K29" s="1" t="s">
        <v>37</v>
      </c>
      <c r="L29" s="1" t="s">
        <v>33</v>
      </c>
      <c r="M29" s="1">
        <v>30</v>
      </c>
      <c r="N29" s="1"/>
    </row>
    <row r="30" spans="1:14" ht="16.5" x14ac:dyDescent="0.15">
      <c r="A30" s="1">
        <f t="shared" si="1"/>
        <v>2120</v>
      </c>
      <c r="B30" s="1">
        <v>2</v>
      </c>
      <c r="C30" s="1">
        <v>20</v>
      </c>
      <c r="D30" s="1">
        <v>1</v>
      </c>
      <c r="E30" s="1" t="s">
        <v>33</v>
      </c>
      <c r="F30" s="2" t="s">
        <v>34</v>
      </c>
      <c r="G30" s="2" t="s">
        <v>35</v>
      </c>
      <c r="H30" s="20">
        <v>20</v>
      </c>
      <c r="I30" s="2"/>
      <c r="J30" s="1" t="s">
        <v>36</v>
      </c>
      <c r="K30" s="1" t="s">
        <v>37</v>
      </c>
      <c r="L30" s="1" t="s">
        <v>33</v>
      </c>
      <c r="M30" s="1">
        <v>30</v>
      </c>
      <c r="N30" s="1"/>
    </row>
    <row r="31" spans="1:14" ht="16.5" x14ac:dyDescent="0.15">
      <c r="A31" s="1">
        <f t="shared" si="1"/>
        <v>2121</v>
      </c>
      <c r="B31" s="1">
        <v>2</v>
      </c>
      <c r="C31" s="1">
        <v>21</v>
      </c>
      <c r="D31" s="1">
        <v>1</v>
      </c>
      <c r="E31" s="1" t="s">
        <v>33</v>
      </c>
      <c r="F31" s="2" t="s">
        <v>34</v>
      </c>
      <c r="G31" s="2" t="s">
        <v>35</v>
      </c>
      <c r="H31" s="20">
        <v>21</v>
      </c>
      <c r="I31" s="2"/>
      <c r="J31" s="1" t="s">
        <v>36</v>
      </c>
      <c r="K31" s="1" t="s">
        <v>37</v>
      </c>
      <c r="L31" s="1" t="s">
        <v>33</v>
      </c>
      <c r="M31" s="1">
        <v>30</v>
      </c>
      <c r="N31" s="1"/>
    </row>
    <row r="32" spans="1:14" ht="16.5" x14ac:dyDescent="0.15">
      <c r="A32" s="1">
        <f t="shared" si="1"/>
        <v>2122</v>
      </c>
      <c r="B32" s="1">
        <v>2</v>
      </c>
      <c r="C32" s="1">
        <v>22</v>
      </c>
      <c r="D32" s="1">
        <v>1</v>
      </c>
      <c r="E32" s="1" t="s">
        <v>33</v>
      </c>
      <c r="F32" s="2" t="s">
        <v>34</v>
      </c>
      <c r="G32" s="2" t="s">
        <v>35</v>
      </c>
      <c r="H32" s="20">
        <v>22</v>
      </c>
      <c r="I32" s="2"/>
      <c r="J32" s="1" t="s">
        <v>36</v>
      </c>
      <c r="K32" s="1" t="s">
        <v>37</v>
      </c>
      <c r="L32" s="1" t="s">
        <v>33</v>
      </c>
      <c r="M32" s="1">
        <v>30</v>
      </c>
      <c r="N32" s="1"/>
    </row>
    <row r="33" spans="1:14" ht="16.5" x14ac:dyDescent="0.15">
      <c r="A33" s="1">
        <f t="shared" si="1"/>
        <v>2123</v>
      </c>
      <c r="B33" s="1">
        <v>2</v>
      </c>
      <c r="C33" s="1">
        <v>23</v>
      </c>
      <c r="D33" s="1">
        <v>1</v>
      </c>
      <c r="E33" s="1" t="s">
        <v>33</v>
      </c>
      <c r="F33" s="2" t="s">
        <v>34</v>
      </c>
      <c r="G33" s="2" t="s">
        <v>35</v>
      </c>
      <c r="H33" s="20">
        <v>23</v>
      </c>
      <c r="I33" s="2"/>
      <c r="J33" s="1" t="s">
        <v>36</v>
      </c>
      <c r="K33" s="1" t="s">
        <v>37</v>
      </c>
      <c r="L33" s="1" t="s">
        <v>33</v>
      </c>
      <c r="M33" s="1">
        <v>30</v>
      </c>
      <c r="N33" s="1"/>
    </row>
    <row r="34" spans="1:14" ht="16.5" x14ac:dyDescent="0.15">
      <c r="A34" s="1">
        <f t="shared" si="1"/>
        <v>2124</v>
      </c>
      <c r="B34" s="1">
        <v>2</v>
      </c>
      <c r="C34" s="1">
        <v>24</v>
      </c>
      <c r="D34" s="1">
        <v>1</v>
      </c>
      <c r="E34" s="1" t="s">
        <v>33</v>
      </c>
      <c r="F34" s="2" t="s">
        <v>34</v>
      </c>
      <c r="G34" s="2" t="s">
        <v>35</v>
      </c>
      <c r="H34" s="20">
        <v>24</v>
      </c>
      <c r="I34" s="2"/>
      <c r="J34" s="1" t="s">
        <v>36</v>
      </c>
      <c r="K34" s="1" t="s">
        <v>37</v>
      </c>
      <c r="L34" s="1" t="s">
        <v>33</v>
      </c>
      <c r="M34" s="1">
        <v>30</v>
      </c>
      <c r="N34" s="1"/>
    </row>
    <row r="35" spans="1:14" ht="16.5" x14ac:dyDescent="0.15">
      <c r="A35" s="1">
        <f t="shared" si="1"/>
        <v>2125</v>
      </c>
      <c r="B35" s="1">
        <v>2</v>
      </c>
      <c r="C35" s="1">
        <v>25</v>
      </c>
      <c r="D35" s="1">
        <v>1</v>
      </c>
      <c r="E35" s="1" t="s">
        <v>33</v>
      </c>
      <c r="F35" s="2" t="s">
        <v>34</v>
      </c>
      <c r="G35" s="2" t="s">
        <v>35</v>
      </c>
      <c r="H35" s="20">
        <v>25</v>
      </c>
      <c r="I35" s="2"/>
      <c r="J35" s="1" t="s">
        <v>36</v>
      </c>
      <c r="K35" s="1" t="s">
        <v>37</v>
      </c>
      <c r="L35" s="1" t="s">
        <v>33</v>
      </c>
      <c r="M35" s="1">
        <v>30</v>
      </c>
      <c r="N35" s="1"/>
    </row>
    <row r="36" spans="1:14" ht="16.5" x14ac:dyDescent="0.15">
      <c r="A36" s="1">
        <f t="shared" si="1"/>
        <v>2126</v>
      </c>
      <c r="B36" s="1">
        <v>2</v>
      </c>
      <c r="C36" s="1">
        <v>26</v>
      </c>
      <c r="D36" s="1">
        <v>1</v>
      </c>
      <c r="E36" s="1" t="s">
        <v>33</v>
      </c>
      <c r="F36" s="2" t="s">
        <v>34</v>
      </c>
      <c r="G36" s="2" t="s">
        <v>35</v>
      </c>
      <c r="H36" s="20">
        <v>26</v>
      </c>
      <c r="I36" s="2"/>
      <c r="J36" s="1" t="s">
        <v>36</v>
      </c>
      <c r="K36" s="1" t="s">
        <v>37</v>
      </c>
      <c r="L36" s="1" t="s">
        <v>33</v>
      </c>
      <c r="M36" s="1">
        <v>30</v>
      </c>
      <c r="N36" s="1"/>
    </row>
    <row r="37" spans="1:14" ht="16.5" x14ac:dyDescent="0.15">
      <c r="A37" s="1">
        <f t="shared" ref="A37:A71" si="2">B37*1000+D37*100+C37</f>
        <v>2127</v>
      </c>
      <c r="B37" s="1">
        <v>2</v>
      </c>
      <c r="C37" s="1">
        <v>27</v>
      </c>
      <c r="D37" s="1">
        <v>1</v>
      </c>
      <c r="E37" s="1" t="s">
        <v>33</v>
      </c>
      <c r="F37" s="2" t="s">
        <v>34</v>
      </c>
      <c r="G37" s="2" t="s">
        <v>35</v>
      </c>
      <c r="H37" s="20">
        <v>27</v>
      </c>
      <c r="I37" s="2"/>
      <c r="J37" s="1" t="s">
        <v>36</v>
      </c>
      <c r="K37" s="1" t="s">
        <v>37</v>
      </c>
      <c r="L37" s="1" t="s">
        <v>33</v>
      </c>
      <c r="M37" s="1">
        <v>30</v>
      </c>
      <c r="N37" s="1"/>
    </row>
    <row r="38" spans="1:14" ht="16.5" x14ac:dyDescent="0.15">
      <c r="A38" s="1">
        <f t="shared" si="2"/>
        <v>2128</v>
      </c>
      <c r="B38" s="1">
        <v>2</v>
      </c>
      <c r="C38" s="1">
        <v>28</v>
      </c>
      <c r="D38" s="1">
        <v>1</v>
      </c>
      <c r="E38" s="1" t="s">
        <v>33</v>
      </c>
      <c r="F38" s="2" t="s">
        <v>34</v>
      </c>
      <c r="G38" s="2" t="s">
        <v>35</v>
      </c>
      <c r="H38" s="20">
        <v>28</v>
      </c>
      <c r="I38" s="2"/>
      <c r="J38" s="1" t="s">
        <v>36</v>
      </c>
      <c r="K38" s="1" t="s">
        <v>37</v>
      </c>
      <c r="L38" s="1" t="s">
        <v>33</v>
      </c>
      <c r="M38" s="1">
        <v>30</v>
      </c>
      <c r="N38" s="1"/>
    </row>
    <row r="39" spans="1:14" ht="16.5" x14ac:dyDescent="0.15">
      <c r="A39" s="1">
        <f t="shared" si="2"/>
        <v>2129</v>
      </c>
      <c r="B39" s="1">
        <v>2</v>
      </c>
      <c r="C39" s="1">
        <v>29</v>
      </c>
      <c r="D39" s="1">
        <v>1</v>
      </c>
      <c r="E39" s="1" t="s">
        <v>33</v>
      </c>
      <c r="F39" s="2" t="s">
        <v>34</v>
      </c>
      <c r="G39" s="2" t="s">
        <v>35</v>
      </c>
      <c r="H39" s="20">
        <v>29</v>
      </c>
      <c r="I39" s="2"/>
      <c r="J39" s="1" t="s">
        <v>36</v>
      </c>
      <c r="K39" s="1" t="s">
        <v>37</v>
      </c>
      <c r="L39" s="1" t="s">
        <v>33</v>
      </c>
      <c r="M39" s="1">
        <v>30</v>
      </c>
      <c r="N39" s="1"/>
    </row>
    <row r="40" spans="1:14" ht="16.5" x14ac:dyDescent="0.15">
      <c r="A40" s="1">
        <f t="shared" si="2"/>
        <v>2130</v>
      </c>
      <c r="B40" s="1">
        <v>2</v>
      </c>
      <c r="C40" s="1">
        <v>30</v>
      </c>
      <c r="D40" s="1">
        <v>1</v>
      </c>
      <c r="E40" s="1" t="s">
        <v>33</v>
      </c>
      <c r="F40" s="2" t="s">
        <v>34</v>
      </c>
      <c r="G40" s="2" t="s">
        <v>35</v>
      </c>
      <c r="H40" s="20">
        <v>30</v>
      </c>
      <c r="I40" s="2"/>
      <c r="J40" s="1" t="s">
        <v>36</v>
      </c>
      <c r="K40" s="1" t="s">
        <v>37</v>
      </c>
      <c r="L40" s="1" t="s">
        <v>33</v>
      </c>
      <c r="M40" s="1">
        <v>30</v>
      </c>
      <c r="N40" s="1"/>
    </row>
    <row r="41" spans="1:14" ht="16.5" x14ac:dyDescent="0.15">
      <c r="A41" s="1">
        <f t="shared" si="2"/>
        <v>3101</v>
      </c>
      <c r="B41" s="1">
        <v>3</v>
      </c>
      <c r="C41" s="1">
        <v>1</v>
      </c>
      <c r="D41" s="1">
        <v>1</v>
      </c>
      <c r="E41" s="1" t="s">
        <v>38</v>
      </c>
      <c r="F41" s="2" t="s">
        <v>39</v>
      </c>
      <c r="G41" s="2"/>
      <c r="H41" s="20">
        <v>10</v>
      </c>
      <c r="I41" s="2"/>
      <c r="J41" s="1" t="s">
        <v>40</v>
      </c>
      <c r="K41" s="1" t="s">
        <v>41</v>
      </c>
      <c r="L41" s="1" t="s">
        <v>38</v>
      </c>
      <c r="M41" s="1"/>
      <c r="N41" s="1"/>
    </row>
    <row r="42" spans="1:14" ht="16.5" x14ac:dyDescent="0.15">
      <c r="A42" s="1">
        <f t="shared" si="2"/>
        <v>3102</v>
      </c>
      <c r="B42" s="1">
        <v>3</v>
      </c>
      <c r="C42" s="1">
        <v>2</v>
      </c>
      <c r="D42" s="1">
        <v>1</v>
      </c>
      <c r="E42" s="1" t="s">
        <v>38</v>
      </c>
      <c r="F42" s="2" t="s">
        <v>42</v>
      </c>
      <c r="G42" s="2"/>
      <c r="H42" s="20">
        <v>20</v>
      </c>
      <c r="I42" s="2"/>
      <c r="J42" s="1" t="s">
        <v>40</v>
      </c>
      <c r="K42" s="1" t="s">
        <v>41</v>
      </c>
      <c r="L42" s="1" t="s">
        <v>38</v>
      </c>
      <c r="M42" s="1"/>
      <c r="N42" s="1"/>
    </row>
    <row r="43" spans="1:14" ht="16.5" x14ac:dyDescent="0.15">
      <c r="A43" s="1">
        <f t="shared" si="2"/>
        <v>3103</v>
      </c>
      <c r="B43" s="1">
        <v>3</v>
      </c>
      <c r="C43" s="1">
        <v>3</v>
      </c>
      <c r="D43" s="1">
        <v>1</v>
      </c>
      <c r="E43" s="1" t="s">
        <v>38</v>
      </c>
      <c r="F43" s="2" t="s">
        <v>43</v>
      </c>
      <c r="G43" s="2"/>
      <c r="H43" s="20">
        <v>30</v>
      </c>
      <c r="I43" s="2"/>
      <c r="J43" s="1" t="s">
        <v>40</v>
      </c>
      <c r="K43" s="1" t="s">
        <v>41</v>
      </c>
      <c r="L43" s="1" t="s">
        <v>38</v>
      </c>
      <c r="M43" s="1"/>
      <c r="N43" s="1"/>
    </row>
    <row r="44" spans="1:14" ht="16.5" x14ac:dyDescent="0.15">
      <c r="A44" s="1">
        <f t="shared" si="2"/>
        <v>3104</v>
      </c>
      <c r="B44" s="1">
        <v>3</v>
      </c>
      <c r="C44" s="1">
        <v>4</v>
      </c>
      <c r="D44" s="1">
        <v>1</v>
      </c>
      <c r="E44" s="1" t="s">
        <v>38</v>
      </c>
      <c r="F44" s="2" t="s">
        <v>44</v>
      </c>
      <c r="G44" s="2"/>
      <c r="H44" s="20">
        <v>40</v>
      </c>
      <c r="I44" s="2"/>
      <c r="J44" s="1" t="s">
        <v>40</v>
      </c>
      <c r="K44" s="1" t="s">
        <v>41</v>
      </c>
      <c r="L44" s="1" t="s">
        <v>38</v>
      </c>
      <c r="M44" s="1"/>
      <c r="N44" s="1"/>
    </row>
    <row r="45" spans="1:14" ht="16.5" x14ac:dyDescent="0.15">
      <c r="A45" s="1">
        <f t="shared" si="2"/>
        <v>3105</v>
      </c>
      <c r="B45" s="1">
        <v>3</v>
      </c>
      <c r="C45" s="1">
        <v>5</v>
      </c>
      <c r="D45" s="1">
        <v>1</v>
      </c>
      <c r="E45" s="1" t="s">
        <v>38</v>
      </c>
      <c r="F45" s="2" t="s">
        <v>45</v>
      </c>
      <c r="G45" s="2"/>
      <c r="H45" s="20">
        <v>50</v>
      </c>
      <c r="I45" s="2"/>
      <c r="J45" s="1" t="s">
        <v>40</v>
      </c>
      <c r="K45" s="1" t="s">
        <v>41</v>
      </c>
      <c r="L45" s="1" t="s">
        <v>38</v>
      </c>
      <c r="M45" s="1"/>
      <c r="N45" s="1"/>
    </row>
    <row r="46" spans="1:14" ht="16.5" x14ac:dyDescent="0.15">
      <c r="A46" s="1">
        <f t="shared" si="2"/>
        <v>3106</v>
      </c>
      <c r="B46" s="1">
        <v>3</v>
      </c>
      <c r="C46" s="1">
        <v>6</v>
      </c>
      <c r="D46" s="1">
        <v>1</v>
      </c>
      <c r="E46" s="1" t="s">
        <v>38</v>
      </c>
      <c r="F46" s="2" t="s">
        <v>46</v>
      </c>
      <c r="G46" s="2"/>
      <c r="H46" s="20">
        <v>60</v>
      </c>
      <c r="I46" s="2"/>
      <c r="J46" s="1" t="s">
        <v>40</v>
      </c>
      <c r="K46" s="1" t="s">
        <v>41</v>
      </c>
      <c r="L46" s="1" t="s">
        <v>38</v>
      </c>
      <c r="M46" s="1"/>
      <c r="N46" s="1"/>
    </row>
    <row r="47" spans="1:14" ht="16.5" x14ac:dyDescent="0.15">
      <c r="A47" s="1">
        <f t="shared" si="2"/>
        <v>3107</v>
      </c>
      <c r="B47" s="1">
        <v>3</v>
      </c>
      <c r="C47" s="1">
        <v>7</v>
      </c>
      <c r="D47" s="1">
        <v>1</v>
      </c>
      <c r="E47" s="1" t="s">
        <v>38</v>
      </c>
      <c r="F47" s="2" t="s">
        <v>47</v>
      </c>
      <c r="G47" s="2"/>
      <c r="H47" s="20">
        <v>70</v>
      </c>
      <c r="I47" s="2"/>
      <c r="J47" s="1" t="s">
        <v>40</v>
      </c>
      <c r="K47" s="1" t="s">
        <v>41</v>
      </c>
      <c r="L47" s="1" t="s">
        <v>38</v>
      </c>
      <c r="M47" s="1"/>
      <c r="N47" s="1"/>
    </row>
    <row r="48" spans="1:14" ht="16.5" x14ac:dyDescent="0.15">
      <c r="A48" s="1">
        <f t="shared" si="2"/>
        <v>3108</v>
      </c>
      <c r="B48" s="1">
        <v>3</v>
      </c>
      <c r="C48" s="1">
        <v>8</v>
      </c>
      <c r="D48" s="1">
        <v>1</v>
      </c>
      <c r="E48" s="1" t="s">
        <v>38</v>
      </c>
      <c r="F48" s="2" t="s">
        <v>48</v>
      </c>
      <c r="G48" s="2"/>
      <c r="H48" s="20">
        <v>80</v>
      </c>
      <c r="I48" s="2"/>
      <c r="J48" s="1" t="s">
        <v>40</v>
      </c>
      <c r="K48" s="1" t="s">
        <v>41</v>
      </c>
      <c r="L48" s="1" t="s">
        <v>38</v>
      </c>
      <c r="M48" s="1"/>
      <c r="N48" s="1"/>
    </row>
    <row r="49" spans="1:14" ht="16.5" x14ac:dyDescent="0.15">
      <c r="A49" s="1">
        <f t="shared" si="2"/>
        <v>3109</v>
      </c>
      <c r="B49" s="1">
        <v>3</v>
      </c>
      <c r="C49" s="1">
        <v>9</v>
      </c>
      <c r="D49" s="1">
        <v>1</v>
      </c>
      <c r="E49" s="1" t="s">
        <v>38</v>
      </c>
      <c r="F49" s="2" t="s">
        <v>49</v>
      </c>
      <c r="G49" s="2"/>
      <c r="H49" s="20">
        <v>90</v>
      </c>
      <c r="I49" s="2"/>
      <c r="J49" s="1" t="s">
        <v>40</v>
      </c>
      <c r="K49" s="1" t="s">
        <v>41</v>
      </c>
      <c r="L49" s="1" t="s">
        <v>38</v>
      </c>
      <c r="M49" s="1"/>
      <c r="N49" s="1"/>
    </row>
    <row r="50" spans="1:14" ht="16.5" x14ac:dyDescent="0.15">
      <c r="A50" s="1">
        <f t="shared" si="2"/>
        <v>3110</v>
      </c>
      <c r="B50" s="1">
        <v>3</v>
      </c>
      <c r="C50" s="1">
        <v>10</v>
      </c>
      <c r="D50" s="1">
        <v>1</v>
      </c>
      <c r="E50" s="1" t="s">
        <v>38</v>
      </c>
      <c r="F50" s="2" t="s">
        <v>50</v>
      </c>
      <c r="G50" s="2"/>
      <c r="H50" s="20">
        <v>100</v>
      </c>
      <c r="I50" s="2"/>
      <c r="J50" s="1" t="s">
        <v>40</v>
      </c>
      <c r="K50" s="1" t="s">
        <v>41</v>
      </c>
      <c r="L50" s="1" t="s">
        <v>38</v>
      </c>
      <c r="M50" s="1"/>
      <c r="N50" s="1"/>
    </row>
    <row r="51" spans="1:14" ht="16.5" x14ac:dyDescent="0.15">
      <c r="A51" s="1">
        <f t="shared" si="2"/>
        <v>3111</v>
      </c>
      <c r="B51" s="1">
        <v>3</v>
      </c>
      <c r="C51" s="1">
        <v>11</v>
      </c>
      <c r="D51" s="1">
        <v>1</v>
      </c>
      <c r="E51" s="1" t="s">
        <v>38</v>
      </c>
      <c r="F51" s="2" t="s">
        <v>51</v>
      </c>
      <c r="G51" s="2"/>
      <c r="H51" s="20">
        <v>110</v>
      </c>
      <c r="I51" s="2"/>
      <c r="J51" s="1" t="s">
        <v>40</v>
      </c>
      <c r="K51" s="1" t="s">
        <v>41</v>
      </c>
      <c r="L51" s="1" t="s">
        <v>38</v>
      </c>
      <c r="M51" s="1"/>
      <c r="N51" s="1"/>
    </row>
    <row r="52" spans="1:14" ht="16.5" x14ac:dyDescent="0.15">
      <c r="A52" s="1">
        <f t="shared" si="2"/>
        <v>3112</v>
      </c>
      <c r="B52" s="1">
        <v>3</v>
      </c>
      <c r="C52" s="1">
        <v>12</v>
      </c>
      <c r="D52" s="1">
        <v>1</v>
      </c>
      <c r="E52" s="1" t="s">
        <v>38</v>
      </c>
      <c r="F52" s="2" t="s">
        <v>52</v>
      </c>
      <c r="G52" s="2"/>
      <c r="H52" s="20">
        <v>120</v>
      </c>
      <c r="I52" s="2"/>
      <c r="J52" s="1" t="s">
        <v>40</v>
      </c>
      <c r="K52" s="1" t="s">
        <v>41</v>
      </c>
      <c r="L52" s="1" t="s">
        <v>38</v>
      </c>
      <c r="M52" s="1"/>
      <c r="N52" s="1"/>
    </row>
    <row r="53" spans="1:14" ht="16.5" x14ac:dyDescent="0.15">
      <c r="A53" s="1">
        <f t="shared" si="2"/>
        <v>3113</v>
      </c>
      <c r="B53" s="1">
        <v>3</v>
      </c>
      <c r="C53" s="1">
        <v>13</v>
      </c>
      <c r="D53" s="1">
        <v>1</v>
      </c>
      <c r="E53" s="1" t="s">
        <v>38</v>
      </c>
      <c r="F53" s="2" t="s">
        <v>53</v>
      </c>
      <c r="G53" s="2"/>
      <c r="H53" s="20">
        <v>130</v>
      </c>
      <c r="I53" s="2"/>
      <c r="J53" s="1" t="s">
        <v>40</v>
      </c>
      <c r="K53" s="1" t="s">
        <v>41</v>
      </c>
      <c r="L53" s="1" t="s">
        <v>38</v>
      </c>
      <c r="M53" s="1"/>
      <c r="N53" s="1"/>
    </row>
    <row r="54" spans="1:14" ht="16.5" x14ac:dyDescent="0.15">
      <c r="A54" s="1">
        <f t="shared" si="2"/>
        <v>3114</v>
      </c>
      <c r="B54" s="1">
        <v>3</v>
      </c>
      <c r="C54" s="1">
        <v>14</v>
      </c>
      <c r="D54" s="1">
        <v>1</v>
      </c>
      <c r="E54" s="1" t="s">
        <v>38</v>
      </c>
      <c r="F54" s="2" t="s">
        <v>54</v>
      </c>
      <c r="G54" s="2"/>
      <c r="H54" s="20">
        <v>140</v>
      </c>
      <c r="I54" s="2"/>
      <c r="J54" s="1" t="s">
        <v>40</v>
      </c>
      <c r="K54" s="1" t="s">
        <v>41</v>
      </c>
      <c r="L54" s="1" t="s">
        <v>38</v>
      </c>
      <c r="M54" s="1"/>
      <c r="N54" s="1"/>
    </row>
    <row r="55" spans="1:14" ht="16.5" x14ac:dyDescent="0.15">
      <c r="A55" s="1">
        <f t="shared" si="2"/>
        <v>3115</v>
      </c>
      <c r="B55" s="1">
        <v>3</v>
      </c>
      <c r="C55" s="1">
        <v>15</v>
      </c>
      <c r="D55" s="1">
        <v>1</v>
      </c>
      <c r="E55" s="1" t="s">
        <v>38</v>
      </c>
      <c r="F55" s="2" t="s">
        <v>55</v>
      </c>
      <c r="G55" s="2"/>
      <c r="H55" s="20">
        <v>150</v>
      </c>
      <c r="I55" s="2"/>
      <c r="J55" s="1" t="s">
        <v>40</v>
      </c>
      <c r="K55" s="1" t="s">
        <v>41</v>
      </c>
      <c r="L55" s="1" t="s">
        <v>38</v>
      </c>
      <c r="M55" s="1"/>
      <c r="N55" s="1"/>
    </row>
    <row r="56" spans="1:14" s="6" customFormat="1" ht="16.5" x14ac:dyDescent="0.15">
      <c r="A56" s="4">
        <f t="shared" si="2"/>
        <v>4101</v>
      </c>
      <c r="B56" s="4">
        <v>4</v>
      </c>
      <c r="C56" s="4">
        <v>1</v>
      </c>
      <c r="D56" s="4">
        <v>1</v>
      </c>
      <c r="E56" s="4" t="s">
        <v>56</v>
      </c>
      <c r="F56" s="5"/>
      <c r="G56" s="5"/>
      <c r="H56" s="21">
        <v>7001</v>
      </c>
      <c r="I56" s="5"/>
      <c r="J56" s="4" t="s">
        <v>40</v>
      </c>
      <c r="K56" s="4" t="s">
        <v>57</v>
      </c>
      <c r="L56" s="4" t="s">
        <v>58</v>
      </c>
      <c r="M56" s="4">
        <v>1</v>
      </c>
      <c r="N56" s="4"/>
    </row>
    <row r="57" spans="1:14" ht="16.5" x14ac:dyDescent="0.15">
      <c r="A57" s="1">
        <f t="shared" si="2"/>
        <v>4102</v>
      </c>
      <c r="B57" s="1">
        <v>4</v>
      </c>
      <c r="C57" s="1">
        <v>2</v>
      </c>
      <c r="D57" s="1">
        <v>1</v>
      </c>
      <c r="E57" s="1" t="s">
        <v>56</v>
      </c>
      <c r="F57" s="2"/>
      <c r="G57" s="2"/>
      <c r="H57" s="22">
        <v>7002</v>
      </c>
      <c r="I57" s="2"/>
      <c r="J57" s="1" t="s">
        <v>40</v>
      </c>
      <c r="K57" s="4" t="s">
        <v>57</v>
      </c>
      <c r="L57" s="4" t="s">
        <v>59</v>
      </c>
      <c r="M57" s="1">
        <v>1</v>
      </c>
      <c r="N57" s="1"/>
    </row>
    <row r="58" spans="1:14" ht="16.5" x14ac:dyDescent="0.15">
      <c r="A58" s="1">
        <f t="shared" si="2"/>
        <v>4103</v>
      </c>
      <c r="B58" s="1">
        <v>4</v>
      </c>
      <c r="C58" s="1">
        <v>3</v>
      </c>
      <c r="D58" s="1">
        <v>1</v>
      </c>
      <c r="E58" s="1" t="s">
        <v>56</v>
      </c>
      <c r="F58" s="2"/>
      <c r="G58" s="2"/>
      <c r="H58" s="22">
        <v>7003</v>
      </c>
      <c r="I58" s="2"/>
      <c r="J58" s="1" t="s">
        <v>40</v>
      </c>
      <c r="K58" s="4" t="s">
        <v>57</v>
      </c>
      <c r="L58" s="4" t="s">
        <v>60</v>
      </c>
      <c r="M58" s="1">
        <v>1</v>
      </c>
      <c r="N58" s="1"/>
    </row>
    <row r="59" spans="1:14" ht="16.5" x14ac:dyDescent="0.15">
      <c r="A59" s="1">
        <f t="shared" si="2"/>
        <v>4104</v>
      </c>
      <c r="B59" s="1">
        <v>4</v>
      </c>
      <c r="C59" s="1">
        <v>4</v>
      </c>
      <c r="D59" s="1">
        <v>1</v>
      </c>
      <c r="E59" s="1" t="s">
        <v>56</v>
      </c>
      <c r="F59" s="2"/>
      <c r="G59" s="2"/>
      <c r="H59" s="22">
        <v>7004</v>
      </c>
      <c r="I59" s="2"/>
      <c r="J59" s="1" t="s">
        <v>40</v>
      </c>
      <c r="K59" s="4" t="s">
        <v>57</v>
      </c>
      <c r="L59" s="4" t="s">
        <v>61</v>
      </c>
      <c r="M59" s="1">
        <v>1</v>
      </c>
      <c r="N59" s="1"/>
    </row>
    <row r="60" spans="1:14" ht="16.5" x14ac:dyDescent="0.15">
      <c r="A60" s="1">
        <f t="shared" si="2"/>
        <v>4105</v>
      </c>
      <c r="B60" s="1">
        <v>4</v>
      </c>
      <c r="C60" s="1">
        <v>5</v>
      </c>
      <c r="D60" s="1">
        <v>1</v>
      </c>
      <c r="E60" s="1" t="s">
        <v>56</v>
      </c>
      <c r="F60" s="2"/>
      <c r="G60" s="2"/>
      <c r="H60" s="22">
        <v>7005</v>
      </c>
      <c r="I60" s="2"/>
      <c r="J60" s="1" t="s">
        <v>40</v>
      </c>
      <c r="K60" s="4" t="s">
        <v>57</v>
      </c>
      <c r="L60" s="4" t="s">
        <v>62</v>
      </c>
      <c r="M60" s="1">
        <v>1</v>
      </c>
      <c r="N60" s="1"/>
    </row>
    <row r="61" spans="1:14" ht="16.5" x14ac:dyDescent="0.15">
      <c r="A61" s="1">
        <f t="shared" si="2"/>
        <v>4106</v>
      </c>
      <c r="B61" s="1">
        <v>4</v>
      </c>
      <c r="C61" s="1">
        <v>6</v>
      </c>
      <c r="D61" s="1">
        <v>1</v>
      </c>
      <c r="E61" s="1" t="s">
        <v>56</v>
      </c>
      <c r="F61" s="2"/>
      <c r="G61" s="2"/>
      <c r="H61" s="22">
        <v>7006</v>
      </c>
      <c r="I61" s="2"/>
      <c r="J61" s="1" t="s">
        <v>40</v>
      </c>
      <c r="K61" s="4" t="s">
        <v>57</v>
      </c>
      <c r="L61" s="4" t="s">
        <v>63</v>
      </c>
      <c r="M61" s="1">
        <v>1</v>
      </c>
      <c r="N61" s="1"/>
    </row>
    <row r="62" spans="1:14" s="6" customFormat="1" ht="16.5" x14ac:dyDescent="0.15">
      <c r="A62" s="1">
        <f t="shared" si="2"/>
        <v>4107</v>
      </c>
      <c r="B62" s="4">
        <v>4</v>
      </c>
      <c r="C62" s="4">
        <v>7</v>
      </c>
      <c r="D62" s="4">
        <v>1</v>
      </c>
      <c r="E62" s="4" t="s">
        <v>56</v>
      </c>
      <c r="F62" s="5"/>
      <c r="G62" s="5"/>
      <c r="H62" s="21">
        <v>7007</v>
      </c>
      <c r="I62" s="5"/>
      <c r="J62" s="1" t="s">
        <v>40</v>
      </c>
      <c r="K62" s="4" t="s">
        <v>57</v>
      </c>
      <c r="L62" s="4" t="s">
        <v>64</v>
      </c>
      <c r="M62" s="4">
        <v>1</v>
      </c>
      <c r="N62" s="4"/>
    </row>
    <row r="63" spans="1:14" s="6" customFormat="1" ht="16.5" x14ac:dyDescent="0.15">
      <c r="A63" s="1">
        <f t="shared" si="2"/>
        <v>4108</v>
      </c>
      <c r="B63" s="4">
        <v>4</v>
      </c>
      <c r="C63" s="4">
        <v>8</v>
      </c>
      <c r="D63" s="4">
        <v>1</v>
      </c>
      <c r="E63" s="4" t="s">
        <v>56</v>
      </c>
      <c r="F63" s="5"/>
      <c r="G63" s="5"/>
      <c r="H63" s="21">
        <v>7008</v>
      </c>
      <c r="I63" s="5"/>
      <c r="J63" s="1" t="s">
        <v>40</v>
      </c>
      <c r="K63" s="4" t="s">
        <v>57</v>
      </c>
      <c r="L63" s="4" t="s">
        <v>65</v>
      </c>
      <c r="M63" s="4">
        <v>1</v>
      </c>
      <c r="N63" s="4"/>
    </row>
    <row r="64" spans="1:14" ht="16.5" x14ac:dyDescent="0.15">
      <c r="A64" s="1">
        <f t="shared" si="2"/>
        <v>5101</v>
      </c>
      <c r="B64" s="1">
        <v>5</v>
      </c>
      <c r="C64" s="1">
        <v>1</v>
      </c>
      <c r="D64" s="1">
        <v>1</v>
      </c>
      <c r="E64" s="1" t="s">
        <v>66</v>
      </c>
      <c r="F64" s="7" t="s">
        <v>67</v>
      </c>
      <c r="G64" s="8"/>
      <c r="H64" s="22">
        <v>8001</v>
      </c>
      <c r="I64" s="2"/>
      <c r="J64" s="9"/>
      <c r="K64" s="1" t="s">
        <v>68</v>
      </c>
      <c r="L64" s="1" t="s">
        <v>69</v>
      </c>
      <c r="M64" s="1">
        <v>3</v>
      </c>
      <c r="N64" s="9"/>
    </row>
    <row r="65" spans="1:14" ht="16.5" x14ac:dyDescent="0.15">
      <c r="A65" s="1">
        <f t="shared" si="2"/>
        <v>5102</v>
      </c>
      <c r="B65" s="1">
        <v>5</v>
      </c>
      <c r="C65" s="1">
        <v>2</v>
      </c>
      <c r="D65" s="1">
        <v>1</v>
      </c>
      <c r="E65" s="1" t="s">
        <v>66</v>
      </c>
      <c r="F65" s="2" t="s">
        <v>70</v>
      </c>
      <c r="G65" s="2"/>
      <c r="H65" s="22">
        <v>8002</v>
      </c>
      <c r="I65" s="2"/>
      <c r="J65" s="9"/>
      <c r="K65" s="1" t="s">
        <v>71</v>
      </c>
      <c r="L65" s="1" t="s">
        <v>69</v>
      </c>
      <c r="M65" s="1">
        <v>3</v>
      </c>
      <c r="N65" s="9"/>
    </row>
    <row r="66" spans="1:14" ht="16.5" x14ac:dyDescent="0.15">
      <c r="A66" s="1">
        <f t="shared" si="2"/>
        <v>5103</v>
      </c>
      <c r="B66" s="1">
        <v>5</v>
      </c>
      <c r="C66" s="1">
        <v>3</v>
      </c>
      <c r="D66" s="1">
        <v>1</v>
      </c>
      <c r="E66" s="1" t="s">
        <v>66</v>
      </c>
      <c r="F66" s="7" t="s">
        <v>72</v>
      </c>
      <c r="G66" s="2"/>
      <c r="H66" s="22">
        <v>8003</v>
      </c>
      <c r="I66" s="2"/>
      <c r="J66" s="9"/>
      <c r="K66" s="1" t="s">
        <v>73</v>
      </c>
      <c r="L66" s="1" t="s">
        <v>69</v>
      </c>
      <c r="M66" s="1">
        <v>3</v>
      </c>
      <c r="N66" s="9"/>
    </row>
    <row r="67" spans="1:14" ht="16.5" x14ac:dyDescent="0.15">
      <c r="A67" s="1">
        <f t="shared" si="2"/>
        <v>6101</v>
      </c>
      <c r="B67" s="1">
        <v>6</v>
      </c>
      <c r="C67" s="1">
        <v>1</v>
      </c>
      <c r="D67" s="1">
        <v>1</v>
      </c>
      <c r="E67" s="1" t="s">
        <v>74</v>
      </c>
      <c r="F67" s="2"/>
      <c r="G67" s="2" t="s">
        <v>75</v>
      </c>
      <c r="H67" s="20">
        <v>40</v>
      </c>
      <c r="I67" s="1"/>
      <c r="J67" s="1" t="s">
        <v>31</v>
      </c>
      <c r="K67" s="1" t="s">
        <v>76</v>
      </c>
      <c r="L67" s="1" t="s">
        <v>74</v>
      </c>
      <c r="M67" s="1">
        <v>8</v>
      </c>
      <c r="N67" s="1"/>
    </row>
    <row r="68" spans="1:14" ht="16.5" x14ac:dyDescent="0.15">
      <c r="A68" s="1">
        <f t="shared" si="2"/>
        <v>6102</v>
      </c>
      <c r="B68" s="1">
        <v>6</v>
      </c>
      <c r="C68" s="1">
        <v>2</v>
      </c>
      <c r="D68" s="1">
        <v>1</v>
      </c>
      <c r="E68" s="1" t="s">
        <v>74</v>
      </c>
      <c r="F68" s="2"/>
      <c r="G68" s="2" t="s">
        <v>77</v>
      </c>
      <c r="H68" s="20">
        <v>50</v>
      </c>
      <c r="I68" s="2"/>
      <c r="J68" s="1" t="s">
        <v>31</v>
      </c>
      <c r="K68" s="1" t="s">
        <v>76</v>
      </c>
      <c r="L68" s="1" t="s">
        <v>74</v>
      </c>
      <c r="M68" s="1">
        <v>8</v>
      </c>
      <c r="N68" s="1"/>
    </row>
    <row r="69" spans="1:14" ht="16.5" x14ac:dyDescent="0.15">
      <c r="A69" s="1">
        <f t="shared" si="2"/>
        <v>6103</v>
      </c>
      <c r="B69" s="1">
        <v>6</v>
      </c>
      <c r="C69" s="1">
        <v>3</v>
      </c>
      <c r="D69" s="1">
        <v>1</v>
      </c>
      <c r="E69" s="1" t="s">
        <v>74</v>
      </c>
      <c r="F69" s="2"/>
      <c r="G69" s="2" t="s">
        <v>78</v>
      </c>
      <c r="H69" s="20">
        <v>60</v>
      </c>
      <c r="I69" s="2"/>
      <c r="J69" s="1" t="s">
        <v>31</v>
      </c>
      <c r="K69" s="1" t="s">
        <v>76</v>
      </c>
      <c r="L69" s="1" t="s">
        <v>74</v>
      </c>
      <c r="M69" s="1">
        <v>8</v>
      </c>
      <c r="N69" s="1"/>
    </row>
    <row r="70" spans="1:14" ht="16.5" x14ac:dyDescent="0.15">
      <c r="A70" s="1">
        <f t="shared" si="2"/>
        <v>6104</v>
      </c>
      <c r="B70" s="1">
        <v>6</v>
      </c>
      <c r="C70" s="1">
        <v>4</v>
      </c>
      <c r="D70" s="1">
        <v>1</v>
      </c>
      <c r="E70" s="1" t="s">
        <v>74</v>
      </c>
      <c r="F70" s="2"/>
      <c r="G70" s="2" t="s">
        <v>79</v>
      </c>
      <c r="H70" s="20">
        <v>70</v>
      </c>
      <c r="I70" s="2"/>
      <c r="J70" s="1" t="s">
        <v>31</v>
      </c>
      <c r="K70" s="1" t="s">
        <v>76</v>
      </c>
      <c r="L70" s="1" t="s">
        <v>74</v>
      </c>
      <c r="M70" s="1">
        <v>8</v>
      </c>
      <c r="N70" s="1"/>
    </row>
    <row r="71" spans="1:14" ht="16.5" x14ac:dyDescent="0.15">
      <c r="A71" s="10">
        <f t="shared" si="2"/>
        <v>6105</v>
      </c>
      <c r="B71" s="10">
        <v>6</v>
      </c>
      <c r="C71" s="10">
        <v>5</v>
      </c>
      <c r="D71" s="10">
        <v>1</v>
      </c>
      <c r="E71" s="10" t="s">
        <v>74</v>
      </c>
      <c r="F71" s="11"/>
      <c r="G71" s="11" t="s">
        <v>80</v>
      </c>
      <c r="H71" s="23">
        <v>75</v>
      </c>
      <c r="I71" s="11"/>
      <c r="J71" s="10" t="s">
        <v>31</v>
      </c>
      <c r="K71" s="10" t="s">
        <v>76</v>
      </c>
      <c r="L71" s="10" t="s">
        <v>74</v>
      </c>
      <c r="M71" s="10">
        <v>8</v>
      </c>
      <c r="N71" s="10"/>
    </row>
    <row r="72" spans="1:14" s="1" customFormat="1" ht="16.5" x14ac:dyDescent="0.15">
      <c r="A72" s="1">
        <f t="shared" ref="A72:A78" si="3">B72*1000+D72*100+C72</f>
        <v>7101</v>
      </c>
      <c r="B72" s="1">
        <v>7</v>
      </c>
      <c r="C72" s="1">
        <v>1</v>
      </c>
      <c r="D72" s="1">
        <v>1</v>
      </c>
      <c r="E72" s="1" t="s">
        <v>81</v>
      </c>
      <c r="F72" s="2"/>
      <c r="G72" s="2"/>
      <c r="H72" s="20">
        <v>12001</v>
      </c>
      <c r="I72" s="2"/>
      <c r="K72" s="1" t="s">
        <v>82</v>
      </c>
      <c r="L72" s="1" t="s">
        <v>81</v>
      </c>
      <c r="M72" s="1">
        <v>10</v>
      </c>
    </row>
    <row r="73" spans="1:14" s="1" customFormat="1" ht="16.5" x14ac:dyDescent="0.15">
      <c r="A73" s="1">
        <f t="shared" si="3"/>
        <v>7102</v>
      </c>
      <c r="B73" s="1">
        <v>7</v>
      </c>
      <c r="C73" s="1">
        <v>2</v>
      </c>
      <c r="D73" s="1">
        <v>1</v>
      </c>
      <c r="E73" s="1" t="s">
        <v>81</v>
      </c>
      <c r="F73" s="2"/>
      <c r="G73" s="2"/>
      <c r="H73" s="20">
        <v>12002</v>
      </c>
      <c r="I73" s="2"/>
      <c r="K73" s="1" t="s">
        <v>82</v>
      </c>
      <c r="L73" s="1" t="s">
        <v>81</v>
      </c>
      <c r="M73" s="1">
        <v>10</v>
      </c>
    </row>
    <row r="74" spans="1:14" s="1" customFormat="1" ht="16.5" x14ac:dyDescent="0.15">
      <c r="A74" s="1">
        <f t="shared" si="3"/>
        <v>7103</v>
      </c>
      <c r="B74" s="1">
        <v>7</v>
      </c>
      <c r="C74" s="1">
        <v>3</v>
      </c>
      <c r="D74" s="1">
        <v>1</v>
      </c>
      <c r="E74" s="1" t="s">
        <v>81</v>
      </c>
      <c r="F74" s="2"/>
      <c r="G74" s="2"/>
      <c r="H74" s="20">
        <v>12003</v>
      </c>
      <c r="I74" s="2"/>
      <c r="K74" s="1" t="s">
        <v>82</v>
      </c>
      <c r="L74" s="1" t="s">
        <v>81</v>
      </c>
      <c r="M74" s="1">
        <v>10</v>
      </c>
    </row>
    <row r="75" spans="1:14" s="1" customFormat="1" ht="16.5" x14ac:dyDescent="0.15">
      <c r="A75" s="1">
        <f t="shared" si="3"/>
        <v>7104</v>
      </c>
      <c r="B75" s="1">
        <v>7</v>
      </c>
      <c r="C75" s="1">
        <v>4</v>
      </c>
      <c r="D75" s="1">
        <v>1</v>
      </c>
      <c r="E75" s="1" t="s">
        <v>81</v>
      </c>
      <c r="F75" s="2"/>
      <c r="G75" s="2"/>
      <c r="H75" s="20">
        <v>12004</v>
      </c>
      <c r="I75" s="2"/>
      <c r="K75" s="1" t="s">
        <v>82</v>
      </c>
      <c r="L75" s="1" t="s">
        <v>81</v>
      </c>
      <c r="M75" s="1">
        <v>10</v>
      </c>
    </row>
    <row r="76" spans="1:14" s="1" customFormat="1" ht="16.5" x14ac:dyDescent="0.15">
      <c r="A76" s="1">
        <f t="shared" si="3"/>
        <v>7105</v>
      </c>
      <c r="B76" s="1">
        <v>7</v>
      </c>
      <c r="C76" s="1">
        <v>5</v>
      </c>
      <c r="D76" s="1">
        <v>1</v>
      </c>
      <c r="E76" s="1" t="s">
        <v>81</v>
      </c>
      <c r="F76" s="2"/>
      <c r="G76" s="2"/>
      <c r="H76" s="20">
        <v>12005</v>
      </c>
      <c r="I76" s="2"/>
      <c r="K76" s="1" t="s">
        <v>82</v>
      </c>
      <c r="L76" s="1" t="s">
        <v>81</v>
      </c>
      <c r="M76" s="1">
        <v>10</v>
      </c>
    </row>
    <row r="77" spans="1:14" s="1" customFormat="1" ht="16.5" x14ac:dyDescent="0.15">
      <c r="A77" s="1">
        <f t="shared" si="3"/>
        <v>7106</v>
      </c>
      <c r="B77" s="1">
        <v>7</v>
      </c>
      <c r="C77" s="1">
        <v>6</v>
      </c>
      <c r="D77" s="1">
        <v>1</v>
      </c>
      <c r="E77" s="1" t="s">
        <v>81</v>
      </c>
      <c r="F77" s="2"/>
      <c r="G77" s="2"/>
      <c r="H77" s="20">
        <v>12006</v>
      </c>
      <c r="I77" s="2"/>
      <c r="K77" s="1" t="s">
        <v>82</v>
      </c>
      <c r="L77" s="1" t="s">
        <v>81</v>
      </c>
      <c r="M77" s="1">
        <v>10</v>
      </c>
    </row>
    <row r="78" spans="1:14" s="1" customFormat="1" ht="16.5" x14ac:dyDescent="0.15">
      <c r="A78" s="1">
        <f t="shared" si="3"/>
        <v>7107</v>
      </c>
      <c r="B78" s="1">
        <v>7</v>
      </c>
      <c r="C78" s="1">
        <v>7</v>
      </c>
      <c r="D78" s="1">
        <v>1</v>
      </c>
      <c r="E78" s="1" t="s">
        <v>81</v>
      </c>
      <c r="F78" s="2"/>
      <c r="G78" s="2"/>
      <c r="H78" s="20">
        <v>12007</v>
      </c>
      <c r="I78" s="2"/>
      <c r="K78" s="1" t="s">
        <v>82</v>
      </c>
      <c r="L78" s="1" t="s">
        <v>81</v>
      </c>
      <c r="M78" s="1">
        <v>10</v>
      </c>
    </row>
    <row r="79" spans="1:14" s="1" customFormat="1" ht="16.5" x14ac:dyDescent="0.15">
      <c r="A79" s="1">
        <f t="shared" ref="A79:A96" si="4">B79*1000+D79*100+C79</f>
        <v>8101</v>
      </c>
      <c r="B79" s="1">
        <v>8</v>
      </c>
      <c r="C79" s="1">
        <v>1</v>
      </c>
      <c r="D79" s="1">
        <v>1</v>
      </c>
      <c r="E79" s="1" t="s">
        <v>83</v>
      </c>
      <c r="F79" s="2" t="s">
        <v>84</v>
      </c>
      <c r="G79" s="2"/>
      <c r="H79" s="20">
        <v>6</v>
      </c>
      <c r="I79" s="2"/>
      <c r="M79" s="1">
        <v>8</v>
      </c>
    </row>
    <row r="80" spans="1:14" s="1" customFormat="1" ht="16.5" x14ac:dyDescent="0.15">
      <c r="A80" s="1">
        <f t="shared" si="4"/>
        <v>8102</v>
      </c>
      <c r="B80" s="1">
        <v>8</v>
      </c>
      <c r="C80" s="1">
        <v>2</v>
      </c>
      <c r="D80" s="1">
        <v>1</v>
      </c>
      <c r="E80" s="1" t="s">
        <v>83</v>
      </c>
      <c r="F80" s="2" t="s">
        <v>85</v>
      </c>
      <c r="G80" s="2"/>
      <c r="H80" s="20">
        <v>12</v>
      </c>
      <c r="I80" s="2"/>
      <c r="M80" s="1">
        <v>8</v>
      </c>
    </row>
    <row r="81" spans="1:14" s="1" customFormat="1" ht="16.5" x14ac:dyDescent="0.15">
      <c r="A81" s="1">
        <f t="shared" si="4"/>
        <v>8103</v>
      </c>
      <c r="B81" s="1">
        <v>8</v>
      </c>
      <c r="C81" s="1">
        <v>3</v>
      </c>
      <c r="D81" s="1">
        <v>1</v>
      </c>
      <c r="E81" s="1" t="s">
        <v>83</v>
      </c>
      <c r="F81" s="2" t="s">
        <v>86</v>
      </c>
      <c r="G81" s="2"/>
      <c r="H81" s="20">
        <v>30</v>
      </c>
      <c r="I81" s="2"/>
      <c r="M81" s="1">
        <v>8</v>
      </c>
    </row>
    <row r="82" spans="1:14" s="1" customFormat="1" ht="16.5" x14ac:dyDescent="0.15">
      <c r="A82" s="1">
        <f t="shared" si="4"/>
        <v>8104</v>
      </c>
      <c r="B82" s="1">
        <v>8</v>
      </c>
      <c r="C82" s="1">
        <v>4</v>
      </c>
      <c r="D82" s="1">
        <v>1</v>
      </c>
      <c r="E82" s="1" t="s">
        <v>83</v>
      </c>
      <c r="F82" s="2" t="s">
        <v>87</v>
      </c>
      <c r="G82" s="2"/>
      <c r="H82" s="20">
        <v>68</v>
      </c>
      <c r="I82" s="2"/>
      <c r="M82" s="1">
        <v>8</v>
      </c>
    </row>
    <row r="83" spans="1:14" s="1" customFormat="1" ht="16.5" x14ac:dyDescent="0.15">
      <c r="A83" s="1">
        <f t="shared" si="4"/>
        <v>8105</v>
      </c>
      <c r="B83" s="1">
        <v>8</v>
      </c>
      <c r="C83" s="1">
        <v>5</v>
      </c>
      <c r="D83" s="1">
        <v>1</v>
      </c>
      <c r="E83" s="1" t="s">
        <v>83</v>
      </c>
      <c r="F83" s="2" t="s">
        <v>88</v>
      </c>
      <c r="G83" s="2"/>
      <c r="H83" s="20">
        <v>98</v>
      </c>
      <c r="I83" s="2"/>
      <c r="M83" s="1">
        <v>8</v>
      </c>
    </row>
    <row r="84" spans="1:14" s="1" customFormat="1" ht="16.5" x14ac:dyDescent="0.15">
      <c r="A84" s="1">
        <f t="shared" si="4"/>
        <v>8106</v>
      </c>
      <c r="B84" s="1">
        <v>8</v>
      </c>
      <c r="C84" s="1">
        <v>6</v>
      </c>
      <c r="D84" s="1">
        <v>1</v>
      </c>
      <c r="E84" s="1" t="s">
        <v>83</v>
      </c>
      <c r="F84" s="2" t="s">
        <v>89</v>
      </c>
      <c r="G84" s="2"/>
      <c r="H84" s="20">
        <v>168</v>
      </c>
      <c r="I84" s="2"/>
      <c r="M84" s="1">
        <v>8</v>
      </c>
    </row>
    <row r="85" spans="1:14" s="1" customFormat="1" ht="16.5" x14ac:dyDescent="0.15">
      <c r="A85" s="1">
        <f t="shared" si="4"/>
        <v>8107</v>
      </c>
      <c r="B85" s="1">
        <v>8</v>
      </c>
      <c r="C85" s="1">
        <v>7</v>
      </c>
      <c r="D85" s="1">
        <v>1</v>
      </c>
      <c r="E85" s="1" t="s">
        <v>83</v>
      </c>
      <c r="F85" s="2" t="s">
        <v>90</v>
      </c>
      <c r="G85" s="2"/>
      <c r="H85" s="20">
        <v>328</v>
      </c>
      <c r="I85" s="2"/>
      <c r="M85" s="1">
        <v>8</v>
      </c>
    </row>
    <row r="86" spans="1:14" s="1" customFormat="1" ht="16.5" x14ac:dyDescent="0.15">
      <c r="A86" s="1">
        <f t="shared" si="4"/>
        <v>8108</v>
      </c>
      <c r="B86" s="1">
        <v>8</v>
      </c>
      <c r="C86" s="1">
        <v>8</v>
      </c>
      <c r="D86" s="1">
        <v>1</v>
      </c>
      <c r="E86" s="1" t="s">
        <v>83</v>
      </c>
      <c r="F86" s="2" t="s">
        <v>91</v>
      </c>
      <c r="G86" s="2"/>
      <c r="H86" s="20">
        <v>648</v>
      </c>
      <c r="I86" s="2"/>
      <c r="M86" s="1">
        <v>8</v>
      </c>
    </row>
    <row r="87" spans="1:14" s="12" customFormat="1" ht="16.5" x14ac:dyDescent="0.35">
      <c r="A87" s="12">
        <f t="shared" si="4"/>
        <v>9101</v>
      </c>
      <c r="B87" s="12">
        <v>9</v>
      </c>
      <c r="C87" s="12">
        <v>1</v>
      </c>
      <c r="D87" s="12">
        <v>1</v>
      </c>
      <c r="E87" s="12" t="s">
        <v>92</v>
      </c>
      <c r="F87" s="13" t="s">
        <v>132</v>
      </c>
      <c r="G87" s="13"/>
      <c r="H87" s="24">
        <v>6</v>
      </c>
      <c r="I87" s="13"/>
      <c r="M87" s="12">
        <v>8</v>
      </c>
    </row>
    <row r="88" spans="1:14" s="1" customFormat="1" ht="16.5" x14ac:dyDescent="0.35">
      <c r="A88" s="1">
        <f t="shared" si="4"/>
        <v>9102</v>
      </c>
      <c r="B88" s="1">
        <v>9</v>
      </c>
      <c r="C88" s="1">
        <v>2</v>
      </c>
      <c r="D88" s="1">
        <v>1</v>
      </c>
      <c r="E88" s="1" t="s">
        <v>92</v>
      </c>
      <c r="F88" s="13" t="s">
        <v>133</v>
      </c>
      <c r="G88" s="2"/>
      <c r="H88" s="25">
        <v>30</v>
      </c>
      <c r="I88" s="2"/>
      <c r="M88" s="1">
        <v>8</v>
      </c>
    </row>
    <row r="89" spans="1:14" s="1" customFormat="1" ht="16.5" x14ac:dyDescent="0.35">
      <c r="A89" s="1">
        <f t="shared" si="4"/>
        <v>9103</v>
      </c>
      <c r="B89" s="1">
        <v>9</v>
      </c>
      <c r="C89" s="1">
        <v>3</v>
      </c>
      <c r="D89" s="1">
        <v>1</v>
      </c>
      <c r="E89" s="1" t="s">
        <v>92</v>
      </c>
      <c r="F89" s="13" t="s">
        <v>134</v>
      </c>
      <c r="G89" s="2"/>
      <c r="H89" s="25">
        <v>100</v>
      </c>
      <c r="I89" s="2"/>
      <c r="M89" s="1">
        <v>8</v>
      </c>
    </row>
    <row r="90" spans="1:14" s="1" customFormat="1" ht="16.5" x14ac:dyDescent="0.35">
      <c r="A90" s="1">
        <f t="shared" si="4"/>
        <v>9104</v>
      </c>
      <c r="B90" s="1">
        <v>9</v>
      </c>
      <c r="C90" s="1">
        <v>4</v>
      </c>
      <c r="D90" s="1">
        <v>1</v>
      </c>
      <c r="E90" s="1" t="s">
        <v>92</v>
      </c>
      <c r="F90" s="13" t="s">
        <v>135</v>
      </c>
      <c r="G90" s="2"/>
      <c r="H90" s="25">
        <v>200</v>
      </c>
      <c r="I90" s="2"/>
      <c r="M90" s="1">
        <v>8</v>
      </c>
    </row>
    <row r="91" spans="1:14" s="1" customFormat="1" ht="16.5" x14ac:dyDescent="0.35">
      <c r="A91" s="1">
        <f t="shared" si="4"/>
        <v>9105</v>
      </c>
      <c r="B91" s="1">
        <v>9</v>
      </c>
      <c r="C91" s="1">
        <v>5</v>
      </c>
      <c r="D91" s="1">
        <v>1</v>
      </c>
      <c r="E91" s="1" t="s">
        <v>92</v>
      </c>
      <c r="F91" s="13" t="s">
        <v>136</v>
      </c>
      <c r="G91" s="2"/>
      <c r="H91" s="25">
        <v>500</v>
      </c>
      <c r="I91" s="2"/>
      <c r="M91" s="1">
        <v>8</v>
      </c>
    </row>
    <row r="92" spans="1:14" s="1" customFormat="1" ht="16.5" x14ac:dyDescent="0.35">
      <c r="A92" s="1">
        <f t="shared" si="4"/>
        <v>9106</v>
      </c>
      <c r="B92" s="1">
        <v>9</v>
      </c>
      <c r="C92" s="1">
        <v>6</v>
      </c>
      <c r="D92" s="1">
        <v>1</v>
      </c>
      <c r="E92" s="1" t="s">
        <v>92</v>
      </c>
      <c r="F92" s="13" t="s">
        <v>137</v>
      </c>
      <c r="G92" s="2"/>
      <c r="H92" s="25">
        <v>1000</v>
      </c>
      <c r="I92" s="2"/>
      <c r="M92" s="1">
        <v>8</v>
      </c>
    </row>
    <row r="93" spans="1:14" s="1" customFormat="1" ht="16.5" x14ac:dyDescent="0.35">
      <c r="A93" s="1">
        <f t="shared" si="4"/>
        <v>9107</v>
      </c>
      <c r="B93" s="1">
        <v>9</v>
      </c>
      <c r="C93" s="1">
        <v>7</v>
      </c>
      <c r="D93" s="1">
        <v>1</v>
      </c>
      <c r="E93" s="1" t="s">
        <v>92</v>
      </c>
      <c r="F93" s="13" t="s">
        <v>138</v>
      </c>
      <c r="G93" s="2"/>
      <c r="H93" s="25">
        <v>2000</v>
      </c>
      <c r="I93" s="2"/>
      <c r="M93" s="1">
        <v>8</v>
      </c>
    </row>
    <row r="94" spans="1:14" s="1" customFormat="1" ht="16.5" x14ac:dyDescent="0.35">
      <c r="A94" s="1">
        <f t="shared" si="4"/>
        <v>9108</v>
      </c>
      <c r="B94" s="1">
        <v>9</v>
      </c>
      <c r="C94" s="1">
        <v>8</v>
      </c>
      <c r="D94" s="1">
        <v>1</v>
      </c>
      <c r="E94" s="1" t="s">
        <v>92</v>
      </c>
      <c r="F94" s="13" t="s">
        <v>139</v>
      </c>
      <c r="G94" s="2"/>
      <c r="H94" s="25">
        <v>4000</v>
      </c>
      <c r="I94" s="2"/>
      <c r="M94" s="1">
        <v>8</v>
      </c>
    </row>
    <row r="95" spans="1:14" s="14" customFormat="1" ht="16.5" x14ac:dyDescent="0.35">
      <c r="A95" s="1">
        <f t="shared" si="4"/>
        <v>9109</v>
      </c>
      <c r="B95" s="1">
        <v>9</v>
      </c>
      <c r="C95" s="1">
        <v>9</v>
      </c>
      <c r="D95" s="1">
        <v>1</v>
      </c>
      <c r="E95" s="1" t="s">
        <v>92</v>
      </c>
      <c r="F95" s="13" t="s">
        <v>140</v>
      </c>
      <c r="G95" s="2"/>
      <c r="H95" s="25">
        <v>7000</v>
      </c>
      <c r="I95" s="2"/>
      <c r="J95" s="1"/>
      <c r="K95" s="1"/>
      <c r="L95" s="1"/>
      <c r="M95" s="1">
        <v>8</v>
      </c>
      <c r="N95" s="1"/>
    </row>
    <row r="96" spans="1:14" s="14" customFormat="1" ht="16.5" x14ac:dyDescent="0.35">
      <c r="A96" s="1">
        <f t="shared" si="4"/>
        <v>9110</v>
      </c>
      <c r="B96" s="1">
        <v>9</v>
      </c>
      <c r="C96" s="1">
        <v>10</v>
      </c>
      <c r="D96" s="1">
        <v>1</v>
      </c>
      <c r="E96" s="1" t="s">
        <v>92</v>
      </c>
      <c r="F96" s="13" t="s">
        <v>141</v>
      </c>
      <c r="G96" s="2"/>
      <c r="H96" s="25">
        <v>10000</v>
      </c>
      <c r="I96" s="2"/>
      <c r="J96" s="1"/>
      <c r="K96" s="1"/>
      <c r="L96" s="1"/>
      <c r="M96" s="1">
        <v>8</v>
      </c>
      <c r="N96" s="1"/>
    </row>
    <row r="97" spans="1:14" ht="16.5" x14ac:dyDescent="0.15">
      <c r="A97" s="1">
        <f t="shared" ref="A97:A124" si="5">B97*1000+D97*100+C97</f>
        <v>10105</v>
      </c>
      <c r="B97" s="9">
        <v>10</v>
      </c>
      <c r="C97" s="9">
        <v>5</v>
      </c>
      <c r="D97" s="1">
        <v>1</v>
      </c>
      <c r="E97" s="9" t="s">
        <v>93</v>
      </c>
      <c r="F97" s="2" t="s">
        <v>94</v>
      </c>
      <c r="G97" s="8" t="s">
        <v>95</v>
      </c>
      <c r="H97" s="26">
        <v>5</v>
      </c>
      <c r="I97" s="8"/>
      <c r="J97" s="9"/>
      <c r="K97" s="1"/>
      <c r="L97" s="1"/>
      <c r="M97" s="1"/>
      <c r="N97" s="9"/>
    </row>
    <row r="98" spans="1:14" ht="16.5" x14ac:dyDescent="0.15">
      <c r="A98" s="1">
        <f t="shared" si="5"/>
        <v>10110</v>
      </c>
      <c r="B98" s="9">
        <v>10</v>
      </c>
      <c r="C98" s="9">
        <v>10</v>
      </c>
      <c r="D98" s="1">
        <v>1</v>
      </c>
      <c r="E98" s="9" t="s">
        <v>93</v>
      </c>
      <c r="F98" s="2" t="s">
        <v>94</v>
      </c>
      <c r="G98" s="8" t="s">
        <v>95</v>
      </c>
      <c r="H98" s="26">
        <v>10</v>
      </c>
      <c r="I98" s="8"/>
      <c r="J98" s="9"/>
      <c r="K98" s="1"/>
      <c r="L98" s="1"/>
      <c r="M98" s="1"/>
      <c r="N98" s="9"/>
    </row>
    <row r="99" spans="1:14" ht="16.5" x14ac:dyDescent="0.15">
      <c r="A99" s="1">
        <f t="shared" si="5"/>
        <v>10115</v>
      </c>
      <c r="B99" s="9">
        <v>10</v>
      </c>
      <c r="C99" s="9">
        <v>15</v>
      </c>
      <c r="D99" s="1">
        <v>1</v>
      </c>
      <c r="E99" s="9" t="s">
        <v>93</v>
      </c>
      <c r="F99" s="2" t="s">
        <v>94</v>
      </c>
      <c r="G99" s="8" t="s">
        <v>95</v>
      </c>
      <c r="H99" s="26">
        <v>15</v>
      </c>
      <c r="I99" s="8"/>
      <c r="J99" s="9"/>
      <c r="K99" s="1"/>
      <c r="L99" s="1"/>
      <c r="M99" s="1"/>
      <c r="N99" s="9"/>
    </row>
    <row r="100" spans="1:14" ht="16.5" x14ac:dyDescent="0.15">
      <c r="A100" s="1">
        <f t="shared" si="5"/>
        <v>10120</v>
      </c>
      <c r="B100" s="9">
        <v>10</v>
      </c>
      <c r="C100" s="9">
        <v>20</v>
      </c>
      <c r="D100" s="1">
        <v>1</v>
      </c>
      <c r="E100" s="9" t="s">
        <v>93</v>
      </c>
      <c r="F100" s="2" t="s">
        <v>94</v>
      </c>
      <c r="G100" s="8" t="s">
        <v>95</v>
      </c>
      <c r="H100" s="26">
        <v>20</v>
      </c>
      <c r="I100" s="8"/>
      <c r="J100" s="9"/>
      <c r="K100" s="1"/>
      <c r="L100" s="1"/>
      <c r="M100" s="1"/>
      <c r="N100" s="9"/>
    </row>
    <row r="101" spans="1:14" ht="16.5" x14ac:dyDescent="0.15">
      <c r="A101" s="1">
        <f t="shared" si="5"/>
        <v>10125</v>
      </c>
      <c r="B101" s="9">
        <v>10</v>
      </c>
      <c r="C101" s="9">
        <v>25</v>
      </c>
      <c r="D101" s="1">
        <v>1</v>
      </c>
      <c r="E101" s="9" t="s">
        <v>93</v>
      </c>
      <c r="F101" s="2" t="s">
        <v>94</v>
      </c>
      <c r="G101" s="8" t="s">
        <v>95</v>
      </c>
      <c r="H101" s="26">
        <v>25</v>
      </c>
      <c r="I101" s="8"/>
      <c r="J101" s="9"/>
      <c r="K101" s="1"/>
      <c r="L101" s="1"/>
      <c r="M101" s="1"/>
      <c r="N101" s="9"/>
    </row>
    <row r="102" spans="1:14" ht="16.5" x14ac:dyDescent="0.15">
      <c r="A102" s="1">
        <f t="shared" si="5"/>
        <v>10130</v>
      </c>
      <c r="B102" s="9">
        <v>10</v>
      </c>
      <c r="C102" s="9">
        <v>30</v>
      </c>
      <c r="D102" s="1">
        <v>1</v>
      </c>
      <c r="E102" s="9" t="s">
        <v>93</v>
      </c>
      <c r="F102" s="2" t="s">
        <v>94</v>
      </c>
      <c r="G102" s="8" t="s">
        <v>95</v>
      </c>
      <c r="H102" s="26">
        <v>30</v>
      </c>
      <c r="I102" s="8"/>
      <c r="J102" s="9"/>
      <c r="K102" s="1"/>
      <c r="L102" s="1"/>
      <c r="M102" s="1"/>
      <c r="N102" s="9"/>
    </row>
    <row r="103" spans="1:14" ht="16.5" x14ac:dyDescent="0.15">
      <c r="A103" s="1">
        <f t="shared" si="5"/>
        <v>10135</v>
      </c>
      <c r="B103" s="9">
        <v>10</v>
      </c>
      <c r="C103" s="9">
        <v>35</v>
      </c>
      <c r="D103" s="1">
        <v>1</v>
      </c>
      <c r="E103" s="9" t="s">
        <v>93</v>
      </c>
      <c r="F103" s="2" t="s">
        <v>94</v>
      </c>
      <c r="G103" s="8" t="s">
        <v>95</v>
      </c>
      <c r="H103" s="26">
        <v>35</v>
      </c>
      <c r="I103" s="8"/>
      <c r="J103" s="9"/>
      <c r="K103" s="1"/>
      <c r="L103" s="1"/>
      <c r="M103" s="1"/>
      <c r="N103" s="9"/>
    </row>
    <row r="104" spans="1:14" ht="16.5" x14ac:dyDescent="0.15">
      <c r="A104" s="1">
        <f t="shared" si="5"/>
        <v>10140</v>
      </c>
      <c r="B104" s="9">
        <v>10</v>
      </c>
      <c r="C104" s="9">
        <v>40</v>
      </c>
      <c r="D104" s="1">
        <v>1</v>
      </c>
      <c r="E104" s="9" t="s">
        <v>93</v>
      </c>
      <c r="F104" s="2" t="s">
        <v>94</v>
      </c>
      <c r="G104" s="8" t="s">
        <v>95</v>
      </c>
      <c r="H104" s="26">
        <v>40</v>
      </c>
      <c r="I104" s="8"/>
      <c r="J104" s="9"/>
      <c r="K104" s="9"/>
      <c r="L104" s="9"/>
      <c r="M104" s="9"/>
      <c r="N104" s="9"/>
    </row>
    <row r="105" spans="1:14" ht="16.5" x14ac:dyDescent="0.15">
      <c r="A105" s="1">
        <f t="shared" si="5"/>
        <v>10145</v>
      </c>
      <c r="B105" s="9">
        <v>10</v>
      </c>
      <c r="C105" s="9">
        <v>45</v>
      </c>
      <c r="D105" s="1">
        <v>1</v>
      </c>
      <c r="E105" s="9" t="s">
        <v>93</v>
      </c>
      <c r="F105" s="2" t="s">
        <v>94</v>
      </c>
      <c r="G105" s="8" t="s">
        <v>95</v>
      </c>
      <c r="H105" s="26">
        <v>45</v>
      </c>
      <c r="I105" s="8"/>
      <c r="J105" s="9"/>
      <c r="K105" s="9"/>
      <c r="L105" s="9"/>
      <c r="M105" s="9"/>
      <c r="N105" s="9"/>
    </row>
    <row r="106" spans="1:14" ht="16.5" x14ac:dyDescent="0.15">
      <c r="A106" s="1">
        <f t="shared" si="5"/>
        <v>10150</v>
      </c>
      <c r="B106" s="9">
        <v>10</v>
      </c>
      <c r="C106" s="9">
        <v>50</v>
      </c>
      <c r="D106" s="1">
        <v>1</v>
      </c>
      <c r="E106" s="9" t="s">
        <v>93</v>
      </c>
      <c r="F106" s="2" t="s">
        <v>94</v>
      </c>
      <c r="G106" s="8" t="s">
        <v>95</v>
      </c>
      <c r="H106" s="26">
        <v>50</v>
      </c>
      <c r="I106" s="8"/>
      <c r="J106" s="9"/>
      <c r="K106" s="9"/>
      <c r="L106" s="9"/>
      <c r="M106" s="9"/>
      <c r="N106" s="9"/>
    </row>
    <row r="107" spans="1:14" ht="16.5" x14ac:dyDescent="0.15">
      <c r="A107" s="1">
        <f t="shared" si="5"/>
        <v>10155</v>
      </c>
      <c r="B107" s="9">
        <v>10</v>
      </c>
      <c r="C107" s="9">
        <v>55</v>
      </c>
      <c r="D107" s="1">
        <v>1</v>
      </c>
      <c r="E107" s="9" t="s">
        <v>93</v>
      </c>
      <c r="F107" s="2" t="s">
        <v>94</v>
      </c>
      <c r="G107" s="8" t="s">
        <v>95</v>
      </c>
      <c r="H107" s="26">
        <v>55</v>
      </c>
      <c r="I107" s="8"/>
      <c r="J107" s="9"/>
      <c r="K107" s="9"/>
      <c r="L107" s="9"/>
      <c r="M107" s="9"/>
      <c r="N107" s="9"/>
    </row>
    <row r="108" spans="1:14" ht="16.5" x14ac:dyDescent="0.15">
      <c r="A108" s="1">
        <f t="shared" si="5"/>
        <v>10160</v>
      </c>
      <c r="B108" s="9">
        <v>10</v>
      </c>
      <c r="C108" s="9">
        <v>60</v>
      </c>
      <c r="D108" s="1">
        <v>1</v>
      </c>
      <c r="E108" s="9" t="s">
        <v>93</v>
      </c>
      <c r="F108" s="2" t="s">
        <v>94</v>
      </c>
      <c r="G108" s="8" t="s">
        <v>95</v>
      </c>
      <c r="H108" s="26">
        <v>60</v>
      </c>
      <c r="I108" s="8"/>
      <c r="J108" s="9"/>
      <c r="K108" s="9"/>
      <c r="L108" s="9"/>
      <c r="M108" s="9"/>
      <c r="N108" s="9"/>
    </row>
    <row r="109" spans="1:14" ht="16.5" x14ac:dyDescent="0.15">
      <c r="A109" s="1">
        <f t="shared" si="5"/>
        <v>10165</v>
      </c>
      <c r="B109" s="9">
        <v>10</v>
      </c>
      <c r="C109" s="9">
        <v>65</v>
      </c>
      <c r="D109" s="1">
        <v>1</v>
      </c>
      <c r="E109" s="9" t="s">
        <v>93</v>
      </c>
      <c r="F109" s="2" t="s">
        <v>94</v>
      </c>
      <c r="G109" s="8" t="s">
        <v>95</v>
      </c>
      <c r="H109" s="26">
        <v>65</v>
      </c>
      <c r="I109" s="8"/>
      <c r="J109" s="9"/>
      <c r="K109" s="9"/>
      <c r="L109" s="9"/>
      <c r="M109" s="9"/>
      <c r="N109" s="9"/>
    </row>
    <row r="110" spans="1:14" ht="16.5" x14ac:dyDescent="0.15">
      <c r="A110" s="1">
        <f t="shared" si="5"/>
        <v>10170</v>
      </c>
      <c r="B110" s="9">
        <v>10</v>
      </c>
      <c r="C110" s="9">
        <v>70</v>
      </c>
      <c r="D110" s="1">
        <v>1</v>
      </c>
      <c r="E110" s="9" t="s">
        <v>93</v>
      </c>
      <c r="F110" s="2" t="s">
        <v>94</v>
      </c>
      <c r="G110" s="8" t="s">
        <v>95</v>
      </c>
      <c r="H110" s="26">
        <v>70</v>
      </c>
      <c r="I110" s="8"/>
      <c r="J110" s="9"/>
      <c r="K110" s="9"/>
      <c r="L110" s="9"/>
      <c r="M110" s="9"/>
      <c r="N110" s="9"/>
    </row>
    <row r="111" spans="1:14" ht="16.5" x14ac:dyDescent="0.15">
      <c r="A111" s="1">
        <f t="shared" si="5"/>
        <v>10175</v>
      </c>
      <c r="B111" s="9">
        <v>10</v>
      </c>
      <c r="C111" s="9">
        <v>75</v>
      </c>
      <c r="D111" s="1">
        <v>1</v>
      </c>
      <c r="E111" s="9" t="s">
        <v>93</v>
      </c>
      <c r="F111" s="2" t="s">
        <v>94</v>
      </c>
      <c r="G111" s="8" t="s">
        <v>95</v>
      </c>
      <c r="H111" s="26">
        <v>75</v>
      </c>
      <c r="I111" s="8"/>
      <c r="J111" s="9"/>
      <c r="K111" s="9"/>
      <c r="L111" s="9"/>
      <c r="M111" s="9"/>
      <c r="N111" s="9"/>
    </row>
    <row r="112" spans="1:14" ht="16.5" x14ac:dyDescent="0.15">
      <c r="A112" s="1">
        <f t="shared" si="5"/>
        <v>10180</v>
      </c>
      <c r="B112" s="9">
        <v>10</v>
      </c>
      <c r="C112" s="9">
        <v>80</v>
      </c>
      <c r="D112" s="1">
        <v>1</v>
      </c>
      <c r="E112" s="9" t="s">
        <v>93</v>
      </c>
      <c r="F112" s="2" t="s">
        <v>94</v>
      </c>
      <c r="G112" s="8" t="s">
        <v>95</v>
      </c>
      <c r="H112" s="26">
        <v>80</v>
      </c>
      <c r="I112" s="8"/>
      <c r="J112" s="9"/>
      <c r="K112" s="9"/>
      <c r="L112" s="9"/>
      <c r="M112" s="9"/>
      <c r="N112" s="9"/>
    </row>
    <row r="113" spans="1:14" ht="16.5" x14ac:dyDescent="0.15">
      <c r="A113" s="1">
        <f t="shared" si="5"/>
        <v>10185</v>
      </c>
      <c r="B113" s="9">
        <v>10</v>
      </c>
      <c r="C113" s="9">
        <v>85</v>
      </c>
      <c r="D113" s="1">
        <v>1</v>
      </c>
      <c r="E113" s="9" t="s">
        <v>93</v>
      </c>
      <c r="F113" s="2" t="s">
        <v>94</v>
      </c>
      <c r="G113" s="8" t="s">
        <v>95</v>
      </c>
      <c r="H113" s="26">
        <v>85</v>
      </c>
      <c r="I113" s="8"/>
      <c r="J113" s="9"/>
      <c r="K113" s="9"/>
      <c r="L113" s="9"/>
      <c r="M113" s="9"/>
      <c r="N113" s="9"/>
    </row>
    <row r="114" spans="1:14" ht="16.5" x14ac:dyDescent="0.15">
      <c r="A114" s="1">
        <f t="shared" si="5"/>
        <v>10190</v>
      </c>
      <c r="B114" s="9">
        <v>10</v>
      </c>
      <c r="C114" s="9">
        <v>90</v>
      </c>
      <c r="D114" s="1">
        <v>1</v>
      </c>
      <c r="E114" s="9" t="s">
        <v>93</v>
      </c>
      <c r="F114" s="2" t="s">
        <v>94</v>
      </c>
      <c r="G114" s="8" t="s">
        <v>95</v>
      </c>
      <c r="H114" s="26">
        <v>90</v>
      </c>
      <c r="I114" s="8"/>
      <c r="J114" s="9"/>
      <c r="K114" s="9"/>
      <c r="L114" s="9"/>
      <c r="M114" s="9"/>
      <c r="N114" s="9"/>
    </row>
    <row r="115" spans="1:14" ht="16.5" x14ac:dyDescent="0.15">
      <c r="A115" s="1">
        <f t="shared" si="5"/>
        <v>10195</v>
      </c>
      <c r="B115" s="9">
        <v>10</v>
      </c>
      <c r="C115" s="9">
        <v>95</v>
      </c>
      <c r="D115" s="1">
        <v>1</v>
      </c>
      <c r="E115" s="9" t="s">
        <v>93</v>
      </c>
      <c r="F115" s="2" t="s">
        <v>94</v>
      </c>
      <c r="G115" s="8" t="s">
        <v>95</v>
      </c>
      <c r="H115" s="26">
        <v>95</v>
      </c>
      <c r="I115" s="8"/>
      <c r="J115" s="9"/>
      <c r="K115" s="9"/>
      <c r="L115" s="9"/>
      <c r="M115" s="9"/>
      <c r="N115" s="9"/>
    </row>
    <row r="116" spans="1:14" ht="16.5" x14ac:dyDescent="0.15">
      <c r="A116" s="1">
        <f t="shared" si="5"/>
        <v>10200</v>
      </c>
      <c r="B116" s="9">
        <v>10</v>
      </c>
      <c r="C116" s="9">
        <v>100</v>
      </c>
      <c r="D116" s="1">
        <v>1</v>
      </c>
      <c r="E116" s="9" t="s">
        <v>93</v>
      </c>
      <c r="F116" s="2" t="s">
        <v>94</v>
      </c>
      <c r="G116" s="8" t="s">
        <v>95</v>
      </c>
      <c r="H116" s="26">
        <v>100</v>
      </c>
      <c r="I116" s="8"/>
      <c r="J116" s="9"/>
      <c r="K116" s="9"/>
      <c r="L116" s="9"/>
      <c r="M116" s="9"/>
      <c r="N116" s="9"/>
    </row>
    <row r="117" spans="1:14" ht="16.5" x14ac:dyDescent="0.15">
      <c r="A117" s="1">
        <f t="shared" si="5"/>
        <v>10205</v>
      </c>
      <c r="B117" s="9">
        <v>10</v>
      </c>
      <c r="C117" s="9">
        <v>105</v>
      </c>
      <c r="D117" s="1">
        <v>1</v>
      </c>
      <c r="E117" s="9" t="s">
        <v>93</v>
      </c>
      <c r="F117" s="2" t="s">
        <v>94</v>
      </c>
      <c r="G117" s="8" t="s">
        <v>95</v>
      </c>
      <c r="H117" s="26">
        <v>105</v>
      </c>
      <c r="I117" s="8"/>
      <c r="J117" s="9"/>
      <c r="K117" s="9"/>
      <c r="L117" s="9"/>
      <c r="M117" s="9"/>
      <c r="N117" s="9"/>
    </row>
    <row r="118" spans="1:14" ht="16.5" x14ac:dyDescent="0.15">
      <c r="A118" s="1">
        <f t="shared" si="5"/>
        <v>10210</v>
      </c>
      <c r="B118" s="9">
        <v>10</v>
      </c>
      <c r="C118" s="9">
        <v>110</v>
      </c>
      <c r="D118" s="1">
        <v>1</v>
      </c>
      <c r="E118" s="9" t="s">
        <v>93</v>
      </c>
      <c r="F118" s="2" t="s">
        <v>94</v>
      </c>
      <c r="G118" s="8" t="s">
        <v>95</v>
      </c>
      <c r="H118" s="26">
        <v>110</v>
      </c>
      <c r="I118" s="8"/>
      <c r="J118" s="9"/>
      <c r="K118" s="9"/>
      <c r="L118" s="9"/>
      <c r="M118" s="9"/>
      <c r="N118" s="9"/>
    </row>
    <row r="119" spans="1:14" ht="16.5" x14ac:dyDescent="0.15">
      <c r="A119" s="1">
        <f t="shared" si="5"/>
        <v>11101</v>
      </c>
      <c r="B119" s="1">
        <v>11</v>
      </c>
      <c r="C119" s="1">
        <v>1</v>
      </c>
      <c r="D119" s="1">
        <v>1</v>
      </c>
      <c r="E119" s="1" t="s">
        <v>96</v>
      </c>
      <c r="F119" s="2"/>
      <c r="G119" s="2"/>
      <c r="H119" s="20">
        <v>17001</v>
      </c>
      <c r="I119" s="2"/>
      <c r="J119" s="1" t="s">
        <v>97</v>
      </c>
      <c r="K119" s="1" t="s">
        <v>98</v>
      </c>
      <c r="L119" s="1" t="str">
        <f>E119</f>
        <v>伙伴礼包Ⅰ</v>
      </c>
      <c r="M119" s="1">
        <v>30</v>
      </c>
      <c r="N119" s="1"/>
    </row>
    <row r="120" spans="1:14" ht="16.5" x14ac:dyDescent="0.15">
      <c r="A120" s="1">
        <f t="shared" si="5"/>
        <v>11102</v>
      </c>
      <c r="B120" s="1">
        <v>11</v>
      </c>
      <c r="C120" s="1">
        <v>2</v>
      </c>
      <c r="D120" s="1">
        <v>1</v>
      </c>
      <c r="E120" s="1" t="s">
        <v>99</v>
      </c>
      <c r="F120" s="2"/>
      <c r="G120" s="2"/>
      <c r="H120" s="20">
        <v>17002</v>
      </c>
      <c r="I120" s="2"/>
      <c r="J120" s="1" t="s">
        <v>97</v>
      </c>
      <c r="K120" s="1" t="s">
        <v>98</v>
      </c>
      <c r="L120" s="1" t="str">
        <f t="shared" ref="L120:L130" si="6">E120</f>
        <v>伙伴礼包Ⅱ</v>
      </c>
      <c r="M120" s="1">
        <v>30</v>
      </c>
      <c r="N120" s="1"/>
    </row>
    <row r="121" spans="1:14" ht="16.5" x14ac:dyDescent="0.15">
      <c r="A121" s="1">
        <f t="shared" si="5"/>
        <v>11103</v>
      </c>
      <c r="B121" s="1">
        <v>11</v>
      </c>
      <c r="C121" s="1">
        <v>3</v>
      </c>
      <c r="D121" s="1">
        <v>1</v>
      </c>
      <c r="E121" s="1" t="s">
        <v>101</v>
      </c>
      <c r="F121" s="2"/>
      <c r="G121" s="2"/>
      <c r="H121" s="20">
        <v>17003</v>
      </c>
      <c r="I121" s="2"/>
      <c r="J121" s="1" t="s">
        <v>97</v>
      </c>
      <c r="K121" s="1" t="s">
        <v>98</v>
      </c>
      <c r="L121" s="1" t="str">
        <f t="shared" si="6"/>
        <v>伙伴礼包Ⅲ</v>
      </c>
      <c r="M121" s="1">
        <v>30</v>
      </c>
      <c r="N121" s="1"/>
    </row>
    <row r="122" spans="1:14" ht="16.5" x14ac:dyDescent="0.15">
      <c r="A122" s="1">
        <f t="shared" si="5"/>
        <v>11104</v>
      </c>
      <c r="B122" s="1">
        <v>11</v>
      </c>
      <c r="C122" s="1">
        <v>4</v>
      </c>
      <c r="D122" s="1">
        <v>1</v>
      </c>
      <c r="E122" s="1" t="s">
        <v>103</v>
      </c>
      <c r="F122" s="2"/>
      <c r="G122" s="2"/>
      <c r="H122" s="20">
        <v>17004</v>
      </c>
      <c r="I122" s="2"/>
      <c r="J122" s="1" t="s">
        <v>97</v>
      </c>
      <c r="K122" s="1" t="s">
        <v>98</v>
      </c>
      <c r="L122" s="1" t="str">
        <f t="shared" si="6"/>
        <v>伙伴礼包Ⅳ</v>
      </c>
      <c r="M122" s="1">
        <v>30</v>
      </c>
      <c r="N122" s="1"/>
    </row>
    <row r="123" spans="1:14" ht="16.5" x14ac:dyDescent="0.15">
      <c r="A123" s="1">
        <f t="shared" si="5"/>
        <v>11105</v>
      </c>
      <c r="B123" s="1">
        <v>11</v>
      </c>
      <c r="C123" s="1">
        <v>5</v>
      </c>
      <c r="D123" s="1">
        <v>1</v>
      </c>
      <c r="E123" s="1" t="s">
        <v>104</v>
      </c>
      <c r="F123" s="2"/>
      <c r="G123" s="2"/>
      <c r="H123" s="20">
        <v>17005</v>
      </c>
      <c r="I123" s="2"/>
      <c r="J123" s="1" t="s">
        <v>97</v>
      </c>
      <c r="K123" s="1" t="s">
        <v>98</v>
      </c>
      <c r="L123" s="1" t="str">
        <f t="shared" si="6"/>
        <v>伙伴礼包Ⅴ</v>
      </c>
      <c r="M123" s="1">
        <v>30</v>
      </c>
      <c r="N123" s="1"/>
    </row>
    <row r="124" spans="1:14" ht="16.5" x14ac:dyDescent="0.15">
      <c r="A124" s="1">
        <f t="shared" si="5"/>
        <v>11106</v>
      </c>
      <c r="B124" s="1">
        <v>11</v>
      </c>
      <c r="C124" s="1">
        <v>6</v>
      </c>
      <c r="D124" s="1">
        <v>1</v>
      </c>
      <c r="E124" s="1" t="s">
        <v>105</v>
      </c>
      <c r="F124" s="2"/>
      <c r="G124" s="2"/>
      <c r="H124" s="20">
        <v>17006</v>
      </c>
      <c r="I124" s="2"/>
      <c r="J124" s="1" t="s">
        <v>97</v>
      </c>
      <c r="K124" s="1" t="s">
        <v>98</v>
      </c>
      <c r="L124" s="1" t="str">
        <f t="shared" si="6"/>
        <v>伙伴礼包Ⅵ</v>
      </c>
      <c r="M124" s="1">
        <v>30</v>
      </c>
      <c r="N124" s="1"/>
    </row>
    <row r="125" spans="1:14" ht="16.5" x14ac:dyDescent="0.15">
      <c r="A125" s="1">
        <f t="shared" ref="A125:A139" si="7">B125*1000+D125*100+C125</f>
        <v>12101</v>
      </c>
      <c r="B125" s="1">
        <v>12</v>
      </c>
      <c r="C125" s="1">
        <v>1</v>
      </c>
      <c r="D125" s="1">
        <v>1</v>
      </c>
      <c r="E125" s="1" t="s">
        <v>106</v>
      </c>
      <c r="F125" s="2"/>
      <c r="G125" s="2"/>
      <c r="H125" s="20">
        <v>18001</v>
      </c>
      <c r="I125" s="2"/>
      <c r="J125" s="1" t="s">
        <v>97</v>
      </c>
      <c r="K125" s="1" t="s">
        <v>107</v>
      </c>
      <c r="L125" s="1" t="str">
        <f t="shared" si="6"/>
        <v>宠物礼包Ⅰ</v>
      </c>
      <c r="M125" s="1">
        <v>30</v>
      </c>
      <c r="N125" s="1"/>
    </row>
    <row r="126" spans="1:14" ht="16.5" x14ac:dyDescent="0.15">
      <c r="A126" s="1">
        <f t="shared" si="7"/>
        <v>12102</v>
      </c>
      <c r="B126" s="1">
        <v>12</v>
      </c>
      <c r="C126" s="1">
        <v>2</v>
      </c>
      <c r="D126" s="1">
        <v>1</v>
      </c>
      <c r="E126" s="1" t="s">
        <v>109</v>
      </c>
      <c r="F126" s="2"/>
      <c r="G126" s="2"/>
      <c r="H126" s="20">
        <v>18002</v>
      </c>
      <c r="I126" s="2"/>
      <c r="J126" s="1" t="s">
        <v>97</v>
      </c>
      <c r="K126" s="1" t="s">
        <v>107</v>
      </c>
      <c r="L126" s="1" t="str">
        <f t="shared" si="6"/>
        <v>宠物礼包Ⅱ</v>
      </c>
      <c r="M126" s="1">
        <v>30</v>
      </c>
      <c r="N126" s="1"/>
    </row>
    <row r="127" spans="1:14" ht="16.5" x14ac:dyDescent="0.15">
      <c r="A127" s="1">
        <f t="shared" si="7"/>
        <v>12103</v>
      </c>
      <c r="B127" s="1">
        <v>12</v>
      </c>
      <c r="C127" s="1">
        <v>3</v>
      </c>
      <c r="D127" s="1">
        <v>1</v>
      </c>
      <c r="E127" s="1" t="s">
        <v>111</v>
      </c>
      <c r="F127" s="2"/>
      <c r="G127" s="2"/>
      <c r="H127" s="20">
        <v>18003</v>
      </c>
      <c r="I127" s="2"/>
      <c r="J127" s="1" t="s">
        <v>97</v>
      </c>
      <c r="K127" s="1" t="s">
        <v>107</v>
      </c>
      <c r="L127" s="1" t="str">
        <f t="shared" si="6"/>
        <v>宠物礼包Ⅲ</v>
      </c>
      <c r="M127" s="1">
        <v>30</v>
      </c>
      <c r="N127" s="1"/>
    </row>
    <row r="128" spans="1:14" ht="16.5" x14ac:dyDescent="0.15">
      <c r="A128" s="1">
        <f t="shared" si="7"/>
        <v>12104</v>
      </c>
      <c r="B128" s="1">
        <v>12</v>
      </c>
      <c r="C128" s="1">
        <v>4</v>
      </c>
      <c r="D128" s="1">
        <v>1</v>
      </c>
      <c r="E128" s="1" t="s">
        <v>112</v>
      </c>
      <c r="F128" s="2"/>
      <c r="G128" s="2"/>
      <c r="H128" s="20">
        <v>18004</v>
      </c>
      <c r="I128" s="2"/>
      <c r="J128" s="1" t="s">
        <v>97</v>
      </c>
      <c r="K128" s="1" t="s">
        <v>107</v>
      </c>
      <c r="L128" s="1" t="str">
        <f t="shared" si="6"/>
        <v>宠物礼包Ⅳ</v>
      </c>
      <c r="M128" s="1">
        <v>30</v>
      </c>
      <c r="N128" s="1"/>
    </row>
    <row r="129" spans="1:14" ht="16.5" x14ac:dyDescent="0.15">
      <c r="A129" s="1">
        <f t="shared" si="7"/>
        <v>12105</v>
      </c>
      <c r="B129" s="1">
        <v>12</v>
      </c>
      <c r="C129" s="1">
        <v>5</v>
      </c>
      <c r="D129" s="1">
        <v>1</v>
      </c>
      <c r="E129" s="1" t="s">
        <v>113</v>
      </c>
      <c r="F129" s="2"/>
      <c r="G129" s="2"/>
      <c r="H129" s="20">
        <v>18005</v>
      </c>
      <c r="I129" s="2"/>
      <c r="J129" s="1" t="s">
        <v>97</v>
      </c>
      <c r="K129" s="1" t="s">
        <v>107</v>
      </c>
      <c r="L129" s="1" t="str">
        <f t="shared" si="6"/>
        <v>宠物礼包Ⅴ</v>
      </c>
      <c r="M129" s="1">
        <v>30</v>
      </c>
      <c r="N129" s="1"/>
    </row>
    <row r="130" spans="1:14" ht="16.5" x14ac:dyDescent="0.15">
      <c r="A130" s="1">
        <f t="shared" si="7"/>
        <v>12106</v>
      </c>
      <c r="B130" s="1">
        <v>12</v>
      </c>
      <c r="C130" s="1">
        <v>6</v>
      </c>
      <c r="D130" s="1">
        <v>1</v>
      </c>
      <c r="E130" s="1" t="s">
        <v>114</v>
      </c>
      <c r="F130" s="2"/>
      <c r="G130" s="2"/>
      <c r="H130" s="20">
        <v>18006</v>
      </c>
      <c r="I130" s="2"/>
      <c r="J130" s="1" t="s">
        <v>97</v>
      </c>
      <c r="K130" s="1" t="s">
        <v>107</v>
      </c>
      <c r="L130" s="1" t="str">
        <f t="shared" si="6"/>
        <v>宠物礼包Ⅵ</v>
      </c>
      <c r="M130" s="1">
        <v>30</v>
      </c>
      <c r="N130" s="1"/>
    </row>
    <row r="131" spans="1:14" s="17" customFormat="1" ht="16.5" x14ac:dyDescent="0.15">
      <c r="A131" s="15">
        <f t="shared" si="7"/>
        <v>13101</v>
      </c>
      <c r="B131" s="15">
        <v>13</v>
      </c>
      <c r="C131" s="15">
        <v>1</v>
      </c>
      <c r="D131" s="15">
        <v>1</v>
      </c>
      <c r="E131" s="15" t="s">
        <v>126</v>
      </c>
      <c r="F131" s="16"/>
      <c r="G131" s="16"/>
      <c r="H131" s="27">
        <v>20001</v>
      </c>
      <c r="I131" s="16"/>
      <c r="J131" s="15" t="s">
        <v>97</v>
      </c>
      <c r="K131" s="15" t="s">
        <v>127</v>
      </c>
      <c r="L131" s="15" t="str">
        <f>E131</f>
        <v>免费礼包</v>
      </c>
      <c r="M131" s="15">
        <v>30</v>
      </c>
      <c r="N131" s="15"/>
    </row>
    <row r="132" spans="1:14" ht="16.5" x14ac:dyDescent="0.15">
      <c r="A132" s="1">
        <f t="shared" si="7"/>
        <v>13102</v>
      </c>
      <c r="B132" s="1">
        <v>13</v>
      </c>
      <c r="C132" s="1">
        <v>2</v>
      </c>
      <c r="D132" s="1">
        <v>1</v>
      </c>
      <c r="E132" s="1" t="s">
        <v>176</v>
      </c>
      <c r="F132" s="2"/>
      <c r="G132" s="2"/>
      <c r="H132" s="20">
        <v>20002</v>
      </c>
      <c r="I132" s="2"/>
      <c r="J132" s="1" t="s">
        <v>97</v>
      </c>
      <c r="K132" s="15" t="s">
        <v>173</v>
      </c>
      <c r="L132" s="15" t="str">
        <f t="shared" ref="L132:L143" si="8">E132</f>
        <v>经验珠礼包</v>
      </c>
      <c r="M132" s="1">
        <v>30</v>
      </c>
      <c r="N132" s="1"/>
    </row>
    <row r="133" spans="1:14" ht="16.5" x14ac:dyDescent="0.15">
      <c r="A133" s="1">
        <f t="shared" si="7"/>
        <v>13103</v>
      </c>
      <c r="B133" s="1">
        <v>13</v>
      </c>
      <c r="C133" s="1">
        <v>3</v>
      </c>
      <c r="D133" s="1">
        <v>1</v>
      </c>
      <c r="E133" s="1" t="s">
        <v>177</v>
      </c>
      <c r="F133" s="2"/>
      <c r="G133" s="2"/>
      <c r="H133" s="27">
        <v>20003</v>
      </c>
      <c r="I133" s="2"/>
      <c r="J133" s="1" t="s">
        <v>97</v>
      </c>
      <c r="K133" s="15" t="s">
        <v>174</v>
      </c>
      <c r="L133" s="15" t="str">
        <f t="shared" si="8"/>
        <v>升星石礼包</v>
      </c>
      <c r="M133" s="1">
        <v>30</v>
      </c>
      <c r="N133" s="1"/>
    </row>
    <row r="134" spans="1:14" ht="16.5" x14ac:dyDescent="0.15">
      <c r="A134" s="1">
        <f t="shared" si="7"/>
        <v>13104</v>
      </c>
      <c r="B134" s="1">
        <v>13</v>
      </c>
      <c r="C134" s="1">
        <v>4</v>
      </c>
      <c r="D134" s="1">
        <v>1</v>
      </c>
      <c r="E134" s="1" t="s">
        <v>175</v>
      </c>
      <c r="F134" s="2"/>
      <c r="G134" s="2"/>
      <c r="H134" s="20">
        <v>20004</v>
      </c>
      <c r="I134" s="2"/>
      <c r="J134" s="1" t="s">
        <v>97</v>
      </c>
      <c r="K134" s="15" t="s">
        <v>115</v>
      </c>
      <c r="L134" s="15" t="str">
        <f t="shared" si="8"/>
        <v>黄金礼包</v>
      </c>
      <c r="M134" s="1">
        <v>30</v>
      </c>
      <c r="N134" s="1"/>
    </row>
    <row r="135" spans="1:14" ht="16.5" x14ac:dyDescent="0.15">
      <c r="A135" s="1">
        <f t="shared" si="7"/>
        <v>13105</v>
      </c>
      <c r="B135" s="1">
        <v>13</v>
      </c>
      <c r="C135" s="1">
        <v>5</v>
      </c>
      <c r="D135" s="1">
        <v>1</v>
      </c>
      <c r="E135" s="1" t="s">
        <v>117</v>
      </c>
      <c r="F135" s="2"/>
      <c r="G135" s="2"/>
      <c r="H135" s="27">
        <v>20005</v>
      </c>
      <c r="I135" s="2"/>
      <c r="J135" s="1" t="s">
        <v>97</v>
      </c>
      <c r="K135" s="15" t="s">
        <v>115</v>
      </c>
      <c r="L135" s="15" t="str">
        <f t="shared" si="8"/>
        <v>基础成长礼包</v>
      </c>
      <c r="M135" s="1">
        <v>30</v>
      </c>
      <c r="N135" s="1"/>
    </row>
    <row r="136" spans="1:14" ht="16.5" x14ac:dyDescent="0.15">
      <c r="A136" s="1">
        <f t="shared" si="7"/>
        <v>13106</v>
      </c>
      <c r="B136" s="1">
        <v>13</v>
      </c>
      <c r="C136" s="1">
        <v>6</v>
      </c>
      <c r="D136" s="1">
        <v>1</v>
      </c>
      <c r="E136" s="1" t="s">
        <v>118</v>
      </c>
      <c r="F136" s="2"/>
      <c r="G136" s="2"/>
      <c r="H136" s="20">
        <v>20006</v>
      </c>
      <c r="I136" s="2"/>
      <c r="J136" s="1" t="s">
        <v>97</v>
      </c>
      <c r="K136" s="15" t="s">
        <v>115</v>
      </c>
      <c r="L136" s="15" t="str">
        <f t="shared" si="8"/>
        <v>装备升级礼包</v>
      </c>
      <c r="M136" s="1">
        <v>30</v>
      </c>
      <c r="N136" s="1"/>
    </row>
    <row r="137" spans="1:14" ht="16.5" x14ac:dyDescent="0.15">
      <c r="A137" s="1">
        <f t="shared" si="7"/>
        <v>13107</v>
      </c>
      <c r="B137" s="1">
        <v>13</v>
      </c>
      <c r="C137" s="1">
        <v>7</v>
      </c>
      <c r="D137" s="1">
        <v>1</v>
      </c>
      <c r="E137" s="1" t="s">
        <v>119</v>
      </c>
      <c r="F137" s="2"/>
      <c r="G137" s="2"/>
      <c r="H137" s="27">
        <v>20007</v>
      </c>
      <c r="I137" s="2"/>
      <c r="J137" s="1" t="s">
        <v>97</v>
      </c>
      <c r="K137" s="15" t="s">
        <v>115</v>
      </c>
      <c r="L137" s="15" t="str">
        <f t="shared" si="8"/>
        <v>技能修炼礼包</v>
      </c>
      <c r="M137" s="1">
        <v>30</v>
      </c>
      <c r="N137" s="1"/>
    </row>
    <row r="138" spans="1:14" ht="16.5" x14ac:dyDescent="0.15">
      <c r="A138" s="1">
        <f t="shared" si="7"/>
        <v>13108</v>
      </c>
      <c r="B138" s="1">
        <v>13</v>
      </c>
      <c r="C138" s="1">
        <v>8</v>
      </c>
      <c r="D138" s="1">
        <v>1</v>
      </c>
      <c r="E138" s="1" t="s">
        <v>120</v>
      </c>
      <c r="F138" s="2"/>
      <c r="G138" s="2"/>
      <c r="H138" s="20">
        <v>20008</v>
      </c>
      <c r="I138" s="2"/>
      <c r="J138" s="1" t="s">
        <v>97</v>
      </c>
      <c r="K138" s="15" t="s">
        <v>115</v>
      </c>
      <c r="L138" s="15" t="str">
        <f t="shared" si="8"/>
        <v>宠物养成礼包</v>
      </c>
      <c r="M138" s="1">
        <v>30</v>
      </c>
      <c r="N138" s="1"/>
    </row>
    <row r="139" spans="1:14" ht="16.5" x14ac:dyDescent="0.15">
      <c r="A139" s="1">
        <f t="shared" si="7"/>
        <v>13109</v>
      </c>
      <c r="B139" s="1">
        <v>13</v>
      </c>
      <c r="C139" s="1">
        <v>9</v>
      </c>
      <c r="D139" s="1">
        <v>1</v>
      </c>
      <c r="E139" s="1" t="s">
        <v>121</v>
      </c>
      <c r="F139" s="2"/>
      <c r="G139" s="2"/>
      <c r="H139" s="27">
        <v>20009</v>
      </c>
      <c r="I139" s="2"/>
      <c r="J139" s="1" t="s">
        <v>97</v>
      </c>
      <c r="K139" s="15" t="s">
        <v>115</v>
      </c>
      <c r="L139" s="15" t="str">
        <f t="shared" si="8"/>
        <v>装备升星礼包</v>
      </c>
      <c r="M139" s="1">
        <v>30</v>
      </c>
      <c r="N139" s="1"/>
    </row>
    <row r="140" spans="1:14" ht="16.5" x14ac:dyDescent="0.15">
      <c r="A140" s="1">
        <f t="shared" ref="A140:A158" si="9">B140*1000+D140*100+C140</f>
        <v>14101</v>
      </c>
      <c r="B140" s="1">
        <v>14</v>
      </c>
      <c r="C140" s="1">
        <v>1</v>
      </c>
      <c r="D140" s="1">
        <v>1</v>
      </c>
      <c r="E140" s="1" t="s">
        <v>122</v>
      </c>
      <c r="F140" s="2"/>
      <c r="G140" s="2"/>
      <c r="H140" s="20">
        <v>21001</v>
      </c>
      <c r="I140" s="2"/>
      <c r="J140" s="1" t="s">
        <v>97</v>
      </c>
      <c r="K140" s="15" t="str">
        <f t="shared" ref="K140:K143" si="10">E140</f>
        <v>30元魂石礼包</v>
      </c>
      <c r="L140" s="15" t="str">
        <f t="shared" si="8"/>
        <v>30元魂石礼包</v>
      </c>
      <c r="M140" s="1">
        <v>30</v>
      </c>
      <c r="N140" s="1"/>
    </row>
    <row r="141" spans="1:14" ht="16.5" x14ac:dyDescent="0.15">
      <c r="A141" s="1">
        <f t="shared" si="9"/>
        <v>14102</v>
      </c>
      <c r="B141" s="1">
        <v>14</v>
      </c>
      <c r="C141" s="1">
        <v>2</v>
      </c>
      <c r="D141" s="1">
        <v>1</v>
      </c>
      <c r="E141" s="1" t="s">
        <v>123</v>
      </c>
      <c r="F141" s="2"/>
      <c r="G141" s="2"/>
      <c r="H141" s="20">
        <v>21002</v>
      </c>
      <c r="I141" s="2"/>
      <c r="J141" s="1" t="s">
        <v>97</v>
      </c>
      <c r="K141" s="15" t="str">
        <f t="shared" si="10"/>
        <v>128元魂石礼包</v>
      </c>
      <c r="L141" s="15" t="str">
        <f t="shared" si="8"/>
        <v>128元魂石礼包</v>
      </c>
      <c r="M141" s="1">
        <v>30</v>
      </c>
      <c r="N141" s="1"/>
    </row>
    <row r="142" spans="1:14" ht="16.5" x14ac:dyDescent="0.15">
      <c r="A142" s="1">
        <f t="shared" si="9"/>
        <v>14103</v>
      </c>
      <c r="B142" s="1">
        <v>14</v>
      </c>
      <c r="C142" s="1">
        <v>3</v>
      </c>
      <c r="D142" s="1">
        <v>1</v>
      </c>
      <c r="E142" s="1" t="s">
        <v>124</v>
      </c>
      <c r="F142" s="2"/>
      <c r="G142" s="2"/>
      <c r="H142" s="20">
        <v>21003</v>
      </c>
      <c r="I142" s="2"/>
      <c r="J142" s="1" t="s">
        <v>97</v>
      </c>
      <c r="K142" s="15" t="str">
        <f t="shared" si="10"/>
        <v>328元魂石礼包</v>
      </c>
      <c r="L142" s="15" t="str">
        <f t="shared" si="8"/>
        <v>328元魂石礼包</v>
      </c>
      <c r="M142" s="1">
        <v>30</v>
      </c>
      <c r="N142" s="1"/>
    </row>
    <row r="143" spans="1:14" ht="16.5" x14ac:dyDescent="0.15">
      <c r="A143" s="1">
        <f t="shared" si="9"/>
        <v>14104</v>
      </c>
      <c r="B143" s="1">
        <v>14</v>
      </c>
      <c r="C143" s="1">
        <v>4</v>
      </c>
      <c r="D143" s="1">
        <v>1</v>
      </c>
      <c r="E143" s="1" t="s">
        <v>125</v>
      </c>
      <c r="F143" s="2"/>
      <c r="G143" s="2"/>
      <c r="H143" s="20">
        <v>21004</v>
      </c>
      <c r="I143" s="2"/>
      <c r="J143" s="1" t="s">
        <v>97</v>
      </c>
      <c r="K143" s="15" t="str">
        <f t="shared" si="10"/>
        <v>648元魂石礼包</v>
      </c>
      <c r="L143" s="15" t="str">
        <f t="shared" si="8"/>
        <v>648元魂石礼包</v>
      </c>
      <c r="M143" s="1">
        <v>30</v>
      </c>
      <c r="N143" s="1"/>
    </row>
    <row r="144" spans="1:14" ht="16.5" x14ac:dyDescent="0.15">
      <c r="A144" s="1">
        <f t="shared" si="9"/>
        <v>15101</v>
      </c>
      <c r="B144" s="9">
        <v>15</v>
      </c>
      <c r="C144" s="9">
        <v>1</v>
      </c>
      <c r="D144" s="1">
        <v>1</v>
      </c>
      <c r="E144" s="9" t="s">
        <v>116</v>
      </c>
      <c r="F144" s="2" t="s">
        <v>78</v>
      </c>
      <c r="G144" s="2" t="s">
        <v>150</v>
      </c>
      <c r="H144" s="28">
        <v>10</v>
      </c>
      <c r="I144" s="8"/>
      <c r="J144" s="9"/>
      <c r="K144" s="1"/>
      <c r="L144" s="1"/>
      <c r="M144" s="1"/>
      <c r="N144" s="9"/>
    </row>
    <row r="145" spans="1:14" ht="16.5" x14ac:dyDescent="0.15">
      <c r="A145" s="1">
        <f t="shared" si="9"/>
        <v>15102</v>
      </c>
      <c r="B145" s="9">
        <v>15</v>
      </c>
      <c r="C145" s="9">
        <v>2</v>
      </c>
      <c r="D145" s="1">
        <v>1</v>
      </c>
      <c r="E145" s="9" t="s">
        <v>116</v>
      </c>
      <c r="F145" s="2" t="s">
        <v>163</v>
      </c>
      <c r="G145" s="2" t="s">
        <v>151</v>
      </c>
      <c r="H145" s="28">
        <v>20</v>
      </c>
      <c r="I145" s="8"/>
      <c r="J145" s="9"/>
      <c r="K145" s="1"/>
      <c r="L145" s="1"/>
      <c r="M145" s="1"/>
      <c r="N145" s="9"/>
    </row>
    <row r="146" spans="1:14" ht="16.5" x14ac:dyDescent="0.15">
      <c r="A146" s="1">
        <f t="shared" si="9"/>
        <v>15103</v>
      </c>
      <c r="B146" s="9">
        <v>15</v>
      </c>
      <c r="C146" s="9">
        <v>3</v>
      </c>
      <c r="D146" s="1">
        <v>1</v>
      </c>
      <c r="E146" s="9" t="s">
        <v>116</v>
      </c>
      <c r="F146" s="2" t="s">
        <v>164</v>
      </c>
      <c r="G146" s="2" t="s">
        <v>152</v>
      </c>
      <c r="H146" s="28">
        <v>30</v>
      </c>
      <c r="I146" s="8"/>
      <c r="J146" s="9"/>
      <c r="K146" s="1"/>
      <c r="L146" s="1"/>
      <c r="M146" s="1"/>
      <c r="N146" s="9"/>
    </row>
    <row r="147" spans="1:14" ht="16.5" x14ac:dyDescent="0.15">
      <c r="A147" s="1">
        <f t="shared" si="9"/>
        <v>15104</v>
      </c>
      <c r="B147" s="9">
        <v>15</v>
      </c>
      <c r="C147" s="9">
        <v>4</v>
      </c>
      <c r="D147" s="1">
        <v>1</v>
      </c>
      <c r="E147" s="9" t="s">
        <v>116</v>
      </c>
      <c r="F147" s="2" t="s">
        <v>165</v>
      </c>
      <c r="G147" s="2" t="s">
        <v>153</v>
      </c>
      <c r="H147" s="28">
        <v>40</v>
      </c>
      <c r="I147" s="8"/>
      <c r="J147" s="9"/>
      <c r="K147" s="1"/>
      <c r="L147" s="1"/>
      <c r="M147" s="1"/>
      <c r="N147" s="9"/>
    </row>
    <row r="148" spans="1:14" ht="16.5" x14ac:dyDescent="0.15">
      <c r="A148" s="1">
        <f t="shared" si="9"/>
        <v>15105</v>
      </c>
      <c r="B148" s="9">
        <v>15</v>
      </c>
      <c r="C148" s="9">
        <v>5</v>
      </c>
      <c r="D148" s="1">
        <v>1</v>
      </c>
      <c r="E148" s="9" t="s">
        <v>116</v>
      </c>
      <c r="F148" s="2" t="s">
        <v>79</v>
      </c>
      <c r="G148" s="2" t="s">
        <v>142</v>
      </c>
      <c r="H148" s="28">
        <v>50</v>
      </c>
      <c r="I148" s="8"/>
      <c r="J148" s="9"/>
      <c r="K148" s="1"/>
      <c r="L148" s="1"/>
      <c r="M148" s="1"/>
      <c r="N148" s="9"/>
    </row>
    <row r="149" spans="1:14" ht="16.5" x14ac:dyDescent="0.15">
      <c r="A149" s="1">
        <f t="shared" si="9"/>
        <v>15106</v>
      </c>
      <c r="B149" s="9">
        <v>15</v>
      </c>
      <c r="C149" s="9">
        <v>6</v>
      </c>
      <c r="D149" s="1">
        <v>1</v>
      </c>
      <c r="E149" s="9" t="s">
        <v>116</v>
      </c>
      <c r="F149" s="2" t="s">
        <v>166</v>
      </c>
      <c r="G149" s="2" t="s">
        <v>154</v>
      </c>
      <c r="H149" s="28">
        <v>60</v>
      </c>
      <c r="I149" s="8"/>
      <c r="J149" s="9"/>
      <c r="K149" s="1"/>
      <c r="L149" s="1"/>
      <c r="M149" s="1"/>
      <c r="N149" s="9"/>
    </row>
    <row r="150" spans="1:14" ht="16.5" x14ac:dyDescent="0.15">
      <c r="A150" s="1">
        <f t="shared" si="9"/>
        <v>15107</v>
      </c>
      <c r="B150" s="9">
        <v>15</v>
      </c>
      <c r="C150" s="9">
        <v>7</v>
      </c>
      <c r="D150" s="1">
        <v>1</v>
      </c>
      <c r="E150" s="9" t="s">
        <v>116</v>
      </c>
      <c r="F150" s="2" t="s">
        <v>166</v>
      </c>
      <c r="G150" s="2" t="s">
        <v>154</v>
      </c>
      <c r="H150" s="28">
        <v>70</v>
      </c>
      <c r="I150" s="8"/>
      <c r="J150" s="9"/>
      <c r="K150" s="1"/>
      <c r="L150" s="1"/>
      <c r="M150" s="1"/>
      <c r="N150" s="9"/>
    </row>
    <row r="151" spans="1:14" ht="16.5" x14ac:dyDescent="0.15">
      <c r="A151" s="1">
        <f t="shared" si="9"/>
        <v>15108</v>
      </c>
      <c r="B151" s="9">
        <v>15</v>
      </c>
      <c r="C151" s="9">
        <v>8</v>
      </c>
      <c r="D151" s="1">
        <v>1</v>
      </c>
      <c r="E151" s="9" t="s">
        <v>116</v>
      </c>
      <c r="F151" s="2" t="s">
        <v>166</v>
      </c>
      <c r="G151" s="2" t="s">
        <v>155</v>
      </c>
      <c r="H151" s="28">
        <v>80</v>
      </c>
      <c r="I151" s="8"/>
      <c r="J151" s="9"/>
      <c r="K151" s="9"/>
      <c r="L151" s="9"/>
      <c r="M151" s="9"/>
      <c r="N151" s="9"/>
    </row>
    <row r="152" spans="1:14" ht="16.5" x14ac:dyDescent="0.15">
      <c r="A152" s="1">
        <f t="shared" si="9"/>
        <v>15109</v>
      </c>
      <c r="B152" s="9">
        <v>15</v>
      </c>
      <c r="C152" s="9">
        <v>9</v>
      </c>
      <c r="D152" s="1">
        <v>1</v>
      </c>
      <c r="E152" s="9" t="s">
        <v>116</v>
      </c>
      <c r="F152" s="2" t="s">
        <v>167</v>
      </c>
      <c r="G152" s="2" t="s">
        <v>156</v>
      </c>
      <c r="H152" s="28">
        <v>90</v>
      </c>
      <c r="I152" s="8"/>
      <c r="J152" s="9"/>
      <c r="K152" s="9"/>
      <c r="L152" s="9"/>
      <c r="M152" s="9"/>
      <c r="N152" s="9"/>
    </row>
    <row r="153" spans="1:14" ht="16.5" x14ac:dyDescent="0.15">
      <c r="A153" s="1">
        <f t="shared" si="9"/>
        <v>15110</v>
      </c>
      <c r="B153" s="9">
        <v>15</v>
      </c>
      <c r="C153" s="9">
        <v>10</v>
      </c>
      <c r="D153" s="1">
        <v>1</v>
      </c>
      <c r="E153" s="9" t="s">
        <v>116</v>
      </c>
      <c r="F153" s="2" t="s">
        <v>167</v>
      </c>
      <c r="G153" s="2" t="s">
        <v>157</v>
      </c>
      <c r="H153" s="28">
        <v>100</v>
      </c>
      <c r="I153" s="8"/>
      <c r="J153" s="9"/>
      <c r="K153" s="9"/>
      <c r="L153" s="9"/>
      <c r="M153" s="9"/>
      <c r="N153" s="9"/>
    </row>
    <row r="154" spans="1:14" ht="16.5" x14ac:dyDescent="0.15">
      <c r="A154" s="1">
        <f t="shared" si="9"/>
        <v>15111</v>
      </c>
      <c r="B154" s="9">
        <v>15</v>
      </c>
      <c r="C154" s="9">
        <v>11</v>
      </c>
      <c r="D154" s="1">
        <v>1</v>
      </c>
      <c r="E154" s="9" t="s">
        <v>116</v>
      </c>
      <c r="F154" s="2" t="s">
        <v>167</v>
      </c>
      <c r="G154" s="2" t="s">
        <v>158</v>
      </c>
      <c r="H154" s="28">
        <v>110</v>
      </c>
      <c r="I154" s="8"/>
      <c r="J154" s="9"/>
      <c r="K154" s="9"/>
      <c r="L154" s="9"/>
      <c r="M154" s="9"/>
      <c r="N154" s="9"/>
    </row>
    <row r="155" spans="1:14" ht="16.5" x14ac:dyDescent="0.15">
      <c r="A155" s="1">
        <f t="shared" si="9"/>
        <v>15112</v>
      </c>
      <c r="B155" s="9">
        <v>15</v>
      </c>
      <c r="C155" s="9">
        <v>12</v>
      </c>
      <c r="D155" s="1">
        <v>1</v>
      </c>
      <c r="E155" s="9" t="s">
        <v>116</v>
      </c>
      <c r="F155" s="2" t="s">
        <v>168</v>
      </c>
      <c r="G155" s="2" t="s">
        <v>159</v>
      </c>
      <c r="H155" s="28">
        <v>120</v>
      </c>
      <c r="I155" s="8"/>
      <c r="J155" s="9"/>
      <c r="K155" s="9"/>
      <c r="L155" s="9"/>
      <c r="M155" s="9"/>
      <c r="N155" s="9"/>
    </row>
    <row r="156" spans="1:14" ht="16.5" x14ac:dyDescent="0.15">
      <c r="A156" s="1">
        <f t="shared" si="9"/>
        <v>15113</v>
      </c>
      <c r="B156" s="9">
        <v>15</v>
      </c>
      <c r="C156" s="9">
        <v>13</v>
      </c>
      <c r="D156" s="1">
        <v>1</v>
      </c>
      <c r="E156" s="9" t="s">
        <v>116</v>
      </c>
      <c r="F156" s="2" t="s">
        <v>168</v>
      </c>
      <c r="G156" s="2" t="s">
        <v>160</v>
      </c>
      <c r="H156" s="28">
        <v>130</v>
      </c>
      <c r="I156" s="8"/>
      <c r="J156" s="9"/>
      <c r="K156" s="9"/>
      <c r="L156" s="9"/>
      <c r="M156" s="9"/>
      <c r="N156" s="9"/>
    </row>
    <row r="157" spans="1:14" ht="16.5" x14ac:dyDescent="0.15">
      <c r="A157" s="1">
        <f t="shared" si="9"/>
        <v>15114</v>
      </c>
      <c r="B157" s="9">
        <v>15</v>
      </c>
      <c r="C157" s="9">
        <v>14</v>
      </c>
      <c r="D157" s="1">
        <v>1</v>
      </c>
      <c r="E157" s="9" t="s">
        <v>116</v>
      </c>
      <c r="F157" s="2" t="s">
        <v>168</v>
      </c>
      <c r="G157" s="2" t="s">
        <v>161</v>
      </c>
      <c r="H157" s="28">
        <v>140</v>
      </c>
      <c r="I157" s="8"/>
      <c r="J157" s="9"/>
      <c r="K157" s="9"/>
      <c r="L157" s="9"/>
      <c r="M157" s="9"/>
      <c r="N157" s="9"/>
    </row>
    <row r="158" spans="1:14" ht="16.5" x14ac:dyDescent="0.15">
      <c r="A158" s="1">
        <f t="shared" si="9"/>
        <v>15115</v>
      </c>
      <c r="B158" s="9">
        <v>15</v>
      </c>
      <c r="C158" s="9">
        <v>15</v>
      </c>
      <c r="D158" s="1">
        <v>1</v>
      </c>
      <c r="E158" s="9" t="s">
        <v>116</v>
      </c>
      <c r="F158" s="2" t="s">
        <v>168</v>
      </c>
      <c r="G158" s="2" t="s">
        <v>162</v>
      </c>
      <c r="H158" s="28">
        <v>150</v>
      </c>
      <c r="I158" s="8"/>
      <c r="J158" s="9"/>
      <c r="K158" s="9"/>
      <c r="L158" s="9"/>
      <c r="M158" s="9"/>
      <c r="N158" s="9"/>
    </row>
    <row r="159" spans="1:14" ht="16.5" x14ac:dyDescent="0.15">
      <c r="A159" s="1">
        <f t="shared" ref="A159:A170" si="11">B159*1000+D159*100+C159</f>
        <v>17101</v>
      </c>
      <c r="B159" s="1">
        <v>17</v>
      </c>
      <c r="C159" s="1">
        <v>1</v>
      </c>
      <c r="D159" s="1">
        <v>1</v>
      </c>
      <c r="E159" s="1" t="s">
        <v>128</v>
      </c>
      <c r="F159" s="2"/>
      <c r="G159" s="2"/>
      <c r="H159" s="20">
        <v>24001</v>
      </c>
      <c r="I159" s="2"/>
      <c r="J159" s="1" t="s">
        <v>97</v>
      </c>
      <c r="K159" s="15" t="str">
        <f t="shared" ref="K159:K162" si="12">E159</f>
        <v>30元元素礼包</v>
      </c>
      <c r="L159" s="1" t="s">
        <v>108</v>
      </c>
      <c r="M159" s="1">
        <v>30</v>
      </c>
      <c r="N159" s="1"/>
    </row>
    <row r="160" spans="1:14" ht="16.5" x14ac:dyDescent="0.15">
      <c r="A160" s="1">
        <f t="shared" si="11"/>
        <v>17102</v>
      </c>
      <c r="B160" s="1">
        <v>17</v>
      </c>
      <c r="C160" s="1">
        <v>2</v>
      </c>
      <c r="D160" s="1">
        <v>1</v>
      </c>
      <c r="E160" s="1" t="s">
        <v>129</v>
      </c>
      <c r="F160" s="2"/>
      <c r="G160" s="2"/>
      <c r="H160" s="20">
        <v>24002</v>
      </c>
      <c r="I160" s="2"/>
      <c r="J160" s="1" t="s">
        <v>97</v>
      </c>
      <c r="K160" s="15" t="str">
        <f t="shared" si="12"/>
        <v>128元元素礼包</v>
      </c>
      <c r="L160" s="1" t="s">
        <v>110</v>
      </c>
      <c r="M160" s="1">
        <v>30</v>
      </c>
      <c r="N160" s="1"/>
    </row>
    <row r="161" spans="1:14" ht="16.5" x14ac:dyDescent="0.15">
      <c r="A161" s="1">
        <f t="shared" si="11"/>
        <v>17103</v>
      </c>
      <c r="B161" s="1">
        <v>17</v>
      </c>
      <c r="C161" s="1">
        <v>3</v>
      </c>
      <c r="D161" s="1">
        <v>1</v>
      </c>
      <c r="E161" s="1" t="s">
        <v>130</v>
      </c>
      <c r="F161" s="2"/>
      <c r="G161" s="2"/>
      <c r="H161" s="20">
        <v>24003</v>
      </c>
      <c r="I161" s="2"/>
      <c r="J161" s="1" t="s">
        <v>97</v>
      </c>
      <c r="K161" s="15" t="str">
        <f t="shared" si="12"/>
        <v>328元元素礼包</v>
      </c>
      <c r="L161" s="1" t="s">
        <v>100</v>
      </c>
      <c r="M161" s="1">
        <v>30</v>
      </c>
      <c r="N161" s="1"/>
    </row>
    <row r="162" spans="1:14" ht="16.5" x14ac:dyDescent="0.15">
      <c r="A162" s="1">
        <f t="shared" si="11"/>
        <v>17104</v>
      </c>
      <c r="B162" s="1">
        <v>17</v>
      </c>
      <c r="C162" s="1">
        <v>4</v>
      </c>
      <c r="D162" s="1">
        <v>1</v>
      </c>
      <c r="E162" s="1" t="s">
        <v>131</v>
      </c>
      <c r="F162" s="2"/>
      <c r="G162" s="2"/>
      <c r="H162" s="20">
        <v>24004</v>
      </c>
      <c r="I162" s="2"/>
      <c r="J162" s="1" t="s">
        <v>97</v>
      </c>
      <c r="K162" s="15" t="str">
        <f t="shared" si="12"/>
        <v>648元元素礼包</v>
      </c>
      <c r="L162" s="1" t="s">
        <v>102</v>
      </c>
      <c r="M162" s="1">
        <v>30</v>
      </c>
      <c r="N162" s="1"/>
    </row>
    <row r="163" spans="1:14" ht="16.5" x14ac:dyDescent="0.15">
      <c r="A163" s="1">
        <f t="shared" si="11"/>
        <v>18101</v>
      </c>
      <c r="B163" s="3">
        <v>18</v>
      </c>
      <c r="C163" s="3">
        <v>1</v>
      </c>
      <c r="D163" s="3">
        <v>1</v>
      </c>
      <c r="E163" s="3" t="s">
        <v>170</v>
      </c>
      <c r="F163" s="2"/>
      <c r="H163" s="19">
        <v>0</v>
      </c>
      <c r="J163" s="1" t="s">
        <v>31</v>
      </c>
      <c r="K163" s="3" t="s">
        <v>170</v>
      </c>
      <c r="M163" s="3">
        <v>8</v>
      </c>
    </row>
    <row r="164" spans="1:14" ht="16.5" x14ac:dyDescent="0.15">
      <c r="A164" s="1">
        <f t="shared" si="11"/>
        <v>19101</v>
      </c>
      <c r="B164" s="3">
        <v>19</v>
      </c>
      <c r="C164" s="3">
        <v>1</v>
      </c>
      <c r="D164" s="3">
        <v>1</v>
      </c>
      <c r="E164" s="3" t="s">
        <v>171</v>
      </c>
      <c r="F164" s="2"/>
      <c r="H164" s="19">
        <v>25001</v>
      </c>
      <c r="J164" s="1" t="s">
        <v>31</v>
      </c>
      <c r="K164" s="3" t="s">
        <v>171</v>
      </c>
      <c r="M164" s="3">
        <v>8</v>
      </c>
    </row>
    <row r="165" spans="1:14" ht="16.5" x14ac:dyDescent="0.15">
      <c r="A165" s="1">
        <f t="shared" si="11"/>
        <v>19102</v>
      </c>
      <c r="B165" s="3">
        <v>19</v>
      </c>
      <c r="C165" s="3">
        <v>2</v>
      </c>
      <c r="D165" s="3">
        <v>1</v>
      </c>
      <c r="E165" s="3" t="s">
        <v>171</v>
      </c>
      <c r="F165" s="2"/>
      <c r="H165" s="19">
        <v>25002</v>
      </c>
      <c r="J165" s="1" t="s">
        <v>31</v>
      </c>
      <c r="K165" s="3" t="s">
        <v>171</v>
      </c>
      <c r="M165" s="3">
        <v>8</v>
      </c>
    </row>
    <row r="166" spans="1:14" ht="16.5" x14ac:dyDescent="0.15">
      <c r="A166" s="1">
        <f t="shared" si="11"/>
        <v>19103</v>
      </c>
      <c r="B166" s="3">
        <v>19</v>
      </c>
      <c r="C166" s="3">
        <v>3</v>
      </c>
      <c r="D166" s="3">
        <v>1</v>
      </c>
      <c r="E166" s="3" t="s">
        <v>171</v>
      </c>
      <c r="F166" s="2"/>
      <c r="H166" s="19">
        <v>25003</v>
      </c>
      <c r="J166" s="1" t="s">
        <v>31</v>
      </c>
      <c r="K166" s="3" t="s">
        <v>171</v>
      </c>
      <c r="M166" s="3">
        <v>8</v>
      </c>
    </row>
    <row r="167" spans="1:14" ht="16.5" x14ac:dyDescent="0.15">
      <c r="A167" s="1">
        <f t="shared" si="11"/>
        <v>19104</v>
      </c>
      <c r="B167" s="3">
        <v>19</v>
      </c>
      <c r="C167" s="3">
        <v>4</v>
      </c>
      <c r="D167" s="3">
        <v>1</v>
      </c>
      <c r="E167" s="3" t="s">
        <v>171</v>
      </c>
      <c r="F167" s="2"/>
      <c r="H167" s="19">
        <v>25004</v>
      </c>
      <c r="J167" s="1" t="s">
        <v>31</v>
      </c>
      <c r="K167" s="3" t="s">
        <v>171</v>
      </c>
      <c r="M167" s="3">
        <v>8</v>
      </c>
    </row>
    <row r="168" spans="1:14" ht="16.5" x14ac:dyDescent="0.15">
      <c r="A168" s="1">
        <f t="shared" si="11"/>
        <v>19105</v>
      </c>
      <c r="B168" s="3">
        <v>19</v>
      </c>
      <c r="C168" s="3">
        <v>5</v>
      </c>
      <c r="D168" s="3">
        <v>1</v>
      </c>
      <c r="E168" s="3" t="s">
        <v>171</v>
      </c>
      <c r="F168" s="2"/>
      <c r="H168" s="19">
        <v>25005</v>
      </c>
      <c r="J168" s="1" t="s">
        <v>31</v>
      </c>
      <c r="K168" s="3" t="s">
        <v>171</v>
      </c>
      <c r="M168" s="3">
        <v>8</v>
      </c>
    </row>
    <row r="169" spans="1:14" ht="16.5" x14ac:dyDescent="0.15">
      <c r="A169" s="1">
        <f t="shared" si="11"/>
        <v>19106</v>
      </c>
      <c r="B169" s="3">
        <v>19</v>
      </c>
      <c r="C169" s="3">
        <v>6</v>
      </c>
      <c r="D169" s="3">
        <v>1</v>
      </c>
      <c r="E169" s="3" t="s">
        <v>171</v>
      </c>
      <c r="F169" s="2"/>
      <c r="H169" s="19">
        <v>25006</v>
      </c>
      <c r="J169" s="1" t="s">
        <v>31</v>
      </c>
      <c r="K169" s="3" t="s">
        <v>171</v>
      </c>
      <c r="M169" s="3">
        <v>8</v>
      </c>
    </row>
    <row r="170" spans="1:14" ht="16.5" x14ac:dyDescent="0.15">
      <c r="A170" s="1">
        <f t="shared" si="11"/>
        <v>19107</v>
      </c>
      <c r="B170" s="3">
        <v>19</v>
      </c>
      <c r="C170" s="3">
        <v>7</v>
      </c>
      <c r="D170" s="3">
        <v>1</v>
      </c>
      <c r="E170" s="3" t="s">
        <v>171</v>
      </c>
      <c r="F170" s="2"/>
      <c r="H170" s="19">
        <v>25007</v>
      </c>
      <c r="J170" s="1" t="s">
        <v>31</v>
      </c>
      <c r="K170" s="3" t="s">
        <v>171</v>
      </c>
      <c r="M170" s="3">
        <v>8</v>
      </c>
    </row>
  </sheetData>
  <phoneticPr fontId="1" type="noConversion"/>
  <pageMargins left="0.69930555555555596" right="0.69930555555555596" top="0.75" bottom="0.75" header="0.3" footer="0.3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Activity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</dc:creator>
  <cp:lastModifiedBy>EDY</cp:lastModifiedBy>
  <dcterms:created xsi:type="dcterms:W3CDTF">2022-08-16T02:14:00Z</dcterms:created>
  <dcterms:modified xsi:type="dcterms:W3CDTF">2025-07-04T08:20:37Z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EFF293FF48D9446DA4759D79BC0B7AC3</vt:lpwstr>
  </property>
  <property fmtid="{D5CDD505-2E9C-101B-9397-08002B2CF9AE}" pid="3" name="KSOProductBuildVer">
    <vt:lpwstr>2052-12.1.0.21541</vt:lpwstr>
  </property>
</Properties>
</file>