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38640" windowHeight="211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Sheet1!$A$1:$I$120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5" i="1" l="1"/>
  <c r="A129" i="1" l="1"/>
  <c r="A130" i="1"/>
  <c r="A131" i="1"/>
  <c r="A128" i="1"/>
  <c r="A122" i="1" l="1"/>
  <c r="A123" i="1"/>
  <c r="A124" i="1"/>
  <c r="A125" i="1"/>
  <c r="A126" i="1"/>
  <c r="A127" i="1"/>
  <c r="A121" i="1"/>
  <c r="N22" i="2" l="1"/>
  <c r="G22" i="2"/>
  <c r="N21" i="2"/>
  <c r="G21" i="2"/>
  <c r="N20" i="2"/>
  <c r="G20" i="2"/>
  <c r="N19" i="2"/>
  <c r="G19" i="2"/>
  <c r="N18" i="2"/>
  <c r="G18" i="2"/>
  <c r="N17" i="2"/>
  <c r="G17" i="2"/>
  <c r="N12" i="2"/>
  <c r="G12" i="2"/>
  <c r="N11" i="2"/>
  <c r="G11" i="2"/>
  <c r="N10" i="2"/>
  <c r="G10" i="2"/>
  <c r="N9" i="2"/>
  <c r="G9" i="2"/>
  <c r="N8" i="2"/>
  <c r="G8" i="2"/>
  <c r="N7" i="2"/>
  <c r="G7" i="2"/>
  <c r="N6" i="2"/>
  <c r="G6" i="2"/>
  <c r="N5" i="2"/>
  <c r="G5" i="2"/>
  <c r="N4" i="2"/>
  <c r="G4" i="2"/>
  <c r="N3" i="2"/>
  <c r="G3" i="2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comments1.xml><?xml version="1.0" encoding="utf-8"?>
<comments xmlns="http://schemas.openxmlformats.org/spreadsheetml/2006/main">
  <authors>
    <author>46646</author>
    <author>EDY</author>
  </authors>
  <commentList>
    <comment ref="I1" authorId="0">
      <text>
        <r>
          <rPr>
            <b/>
            <sz val="9"/>
            <rFont val="宋体"/>
            <family val="3"/>
            <charset val="134"/>
          </rPr>
          <t>46646:</t>
        </r>
        <r>
          <rPr>
            <sz val="9"/>
            <rFont val="宋体"/>
            <family val="3"/>
            <charset val="134"/>
          </rPr>
          <t xml:space="preserve">
用来检测服务器对某一个道具的全服库存是否为0，填1代表不为0</t>
        </r>
      </text>
    </comment>
    <comment ref="A3" authorId="0">
      <text>
        <r>
          <rPr>
            <b/>
            <sz val="9"/>
            <rFont val="宋体"/>
            <family val="3"/>
            <charset val="134"/>
          </rPr>
          <t>46646:</t>
        </r>
        <r>
          <rPr>
            <sz val="9"/>
            <rFont val="宋体"/>
            <family val="3"/>
            <charset val="134"/>
          </rPr>
          <t xml:space="preserve">
唯一ID，算法：活动ID*1000+活动参数</t>
        </r>
      </text>
    </comment>
    <comment ref="B3" authorId="0">
      <text>
        <r>
          <rPr>
            <b/>
            <sz val="9"/>
            <rFont val="宋体"/>
            <family val="3"/>
            <charset val="134"/>
          </rPr>
          <t>46646:</t>
        </r>
        <r>
          <rPr>
            <sz val="9"/>
            <rFont val="宋体"/>
            <family val="3"/>
            <charset val="134"/>
          </rPr>
          <t xml:space="preserve">
ID定义：
1：代表充值商城
2：代表点券商城
3：代表金币商城
4：代表战魂商城
5：代表试炼商城
6：代表30日累计签到的人民币购买
7：代表活动中心的推荐礼包
8：代表首冲三日活动
9：代表周、月、季卡
10：代表购买体力
11：代表VIP礼包
12：代表悬赏
13：代表PVP的次数购买
14：代表玩法的挑战次数购买
15：代表试炼塔玩法的试炼基金购买
16：代表行会商店的物品购买
17：伙伴礼包
18：宠物礼包
19：代表挂机副本的月挑战卡
飞扬说这个字段是纯看的，可以自己增加
20：每日礼包
21：魂石礼包（宝石礼包）
22：成长基金
23：限时礼包
24：元素礼包
----飞扬专用------
25：七日活动专用
26：守卫海岛专用倍率</t>
        </r>
      </text>
    </comment>
    <comment ref="C3" authorId="0">
      <text>
        <r>
          <rPr>
            <b/>
            <sz val="9"/>
            <rFont val="宋体"/>
            <family val="3"/>
            <charset val="134"/>
          </rPr>
          <t>46646:</t>
        </r>
        <r>
          <rPr>
            <sz val="9"/>
            <rFont val="宋体"/>
            <family val="3"/>
            <charset val="134"/>
          </rPr>
          <t xml:space="preserve">
用来定义不同商城类别所需要的参数：
充值商城：用来定义充值的档位
点券商城：用来定义商品的序号
金币商城：用来定义商品的序号
战魂商城：用来定义商品的序号
30日累计签到：所填写的数字代表为该活动开启的第几轮
推荐礼包：所填写的数字代表为该推荐礼包的第几轮
周月季卡：1代表周卡、2代表月卡、3代表季卡
购买体力：代表每日的购买次数，最后配置的次数即为每日可购买的最大次数
购买vip礼包：代表Vip等级
购买玩法挑战次数：1：代表首领副本；2代表遗迹副本</t>
        </r>
      </text>
    </comment>
    <comment ref="D3" authorId="0">
      <text>
        <r>
          <rPr>
            <b/>
            <sz val="9"/>
            <rFont val="宋体"/>
            <family val="3"/>
            <charset val="134"/>
          </rPr>
          <t>46646:</t>
        </r>
        <r>
          <rPr>
            <sz val="9"/>
            <rFont val="宋体"/>
            <family val="3"/>
            <charset val="134"/>
          </rPr>
          <t xml:space="preserve">
用来定义不同商城的商品获取条件：
充值商城：用来配置对应档位所需要的充值金额，配置方式为：{ "needmoney": 100,"Num": 3,”limittype”:999,”limitnum”:0}，人民币的needmoney定义为100，limittype填999代表没有购买限制
点券商城：用来配置对应商品购买所需要的点券数量以及购买限制，配置方式为：{{ "needmoney": 1,"Num": 3,”limittype”:1,”limitnum”:3}}，其中limittype定义为：{0：代表终生限制；1代表每日限制；2代表每周限制；3代表每月限制；4代表季度限制（90天）}
金币商城：用来配置对应商品购买所需要的金币数量以及购买限制，配置方式同点券商城。
战魂商城：用来配置对应商品购买所需要的战魂数量以及购买限制，配置方式同点券商城。
needmoney定义为{100：人民币；101：广告；其它：itemId}
limittype定义为：{0：代表终生限制；1代表每日限制；2代表每周限制；3代表每月限制；4代表季度限制（90天）;999:无限制；}
times 定义为：{不填写或者为0：不生效；大于0:购买总次数为X次后免费；}</t>
        </r>
      </text>
    </comment>
    <comment ref="E3" authorId="0">
      <text>
        <r>
          <rPr>
            <b/>
            <sz val="9"/>
            <rFont val="宋体"/>
            <family val="3"/>
            <charset val="134"/>
          </rPr>
          <t>46646:</t>
        </r>
        <r>
          <rPr>
            <sz val="9"/>
            <rFont val="宋体"/>
            <family val="3"/>
            <charset val="134"/>
          </rPr>
          <t xml:space="preserve">
用来配置当前档位的商品内容，配置方式为：
{ "itemID": 1,"Num": 3}</t>
        </r>
      </text>
    </comment>
    <comment ref="F3" authorId="0">
      <text>
        <r>
          <rPr>
            <b/>
            <sz val="9"/>
            <rFont val="宋体"/>
            <family val="3"/>
            <charset val="134"/>
          </rPr>
          <t>46646:</t>
        </r>
        <r>
          <rPr>
            <sz val="9"/>
            <rFont val="宋体"/>
            <family val="3"/>
            <charset val="134"/>
          </rPr>
          <t xml:space="preserve">
用来配置对应档位的商品解锁可购买状态需要的条件，
如果为试炼商城，则填写需要通关的层数
如果为行会商店，则需要填写对应解锁的行会等级</t>
        </r>
      </text>
    </comment>
    <comment ref="H3" authorId="0">
      <text>
        <r>
          <rPr>
            <b/>
            <sz val="9"/>
            <rFont val="宋体"/>
            <family val="3"/>
            <charset val="134"/>
          </rPr>
          <t>46646:</t>
        </r>
        <r>
          <rPr>
            <sz val="9"/>
            <rFont val="宋体"/>
            <family val="3"/>
            <charset val="134"/>
          </rPr>
          <t xml:space="preserve">
用来配置活动的持续时间，配置方式为：
类型：时效。
0或者不填：代表永久
1：代表从登录游戏之日起按照天数倒计时。
2：代表按照自然天数进行回收的道具。
配置方式为：
1：天数。
2：X年X月X日，X年X月X日。日期用时间戳表示</t>
        </r>
      </text>
    </comment>
    <comment ref="B90" authorId="1">
      <text>
        <r>
          <rPr>
            <b/>
            <sz val="9"/>
            <rFont val="宋体"/>
            <family val="3"/>
            <charset val="134"/>
          </rPr>
          <t>EDY:</t>
        </r>
        <r>
          <rPr>
            <sz val="9"/>
            <rFont val="宋体"/>
            <family val="3"/>
            <charset val="134"/>
          </rPr>
          <t xml:space="preserve">
伙伴</t>
        </r>
      </text>
    </comment>
    <comment ref="B96" authorId="1">
      <text>
        <r>
          <rPr>
            <b/>
            <sz val="9"/>
            <rFont val="宋体"/>
            <family val="3"/>
            <charset val="134"/>
          </rPr>
          <t>EDY:</t>
        </r>
        <r>
          <rPr>
            <sz val="9"/>
            <rFont val="宋体"/>
            <family val="3"/>
            <charset val="134"/>
          </rPr>
          <t xml:space="preserve">
宠物</t>
        </r>
      </text>
    </comment>
    <comment ref="B112" authorId="1">
      <text>
        <r>
          <rPr>
            <b/>
            <sz val="9"/>
            <rFont val="宋体"/>
            <family val="3"/>
            <charset val="134"/>
          </rPr>
          <t>EDY:</t>
        </r>
        <r>
          <rPr>
            <sz val="9"/>
            <rFont val="宋体"/>
            <family val="3"/>
            <charset val="134"/>
          </rPr>
          <t xml:space="preserve">
成长基金</t>
        </r>
      </text>
    </comment>
    <comment ref="B113" authorId="1">
      <text>
        <r>
          <rPr>
            <b/>
            <sz val="9"/>
            <rFont val="宋体"/>
            <family val="3"/>
            <charset val="134"/>
          </rPr>
          <t>EDY:</t>
        </r>
        <r>
          <rPr>
            <sz val="9"/>
            <rFont val="宋体"/>
            <family val="3"/>
            <charset val="134"/>
          </rPr>
          <t xml:space="preserve">
魂石</t>
        </r>
      </text>
    </comment>
    <comment ref="B117" authorId="1">
      <text>
        <r>
          <rPr>
            <b/>
            <sz val="9"/>
            <rFont val="宋体"/>
            <family val="3"/>
            <charset val="134"/>
          </rPr>
          <t>EDY:</t>
        </r>
        <r>
          <rPr>
            <sz val="9"/>
            <rFont val="宋体"/>
            <family val="3"/>
            <charset val="134"/>
          </rPr>
          <t xml:space="preserve">
元素</t>
        </r>
      </text>
    </comment>
  </commentList>
</comments>
</file>

<file path=xl/comments2.xml><?xml version="1.0" encoding="utf-8"?>
<comments xmlns="http://schemas.openxmlformats.org/spreadsheetml/2006/main">
  <authors>
    <author>46646</author>
  </authors>
  <commentList>
    <comment ref="A3" authorId="0">
      <text>
        <r>
          <rPr>
            <b/>
            <sz val="9"/>
            <rFont val="宋体"/>
            <family val="3"/>
            <charset val="134"/>
          </rPr>
          <t>46646:</t>
        </r>
        <r>
          <rPr>
            <sz val="9"/>
            <rFont val="宋体"/>
            <family val="3"/>
            <charset val="134"/>
          </rPr>
          <t xml:space="preserve">
唯一ID，算法：活动ID*1000+活动参数</t>
        </r>
      </text>
    </comment>
    <comment ref="B3" authorId="0">
      <text>
        <r>
          <rPr>
            <b/>
            <sz val="9"/>
            <rFont val="宋体"/>
            <family val="3"/>
            <charset val="134"/>
          </rPr>
          <t>46646:</t>
        </r>
        <r>
          <rPr>
            <sz val="9"/>
            <rFont val="宋体"/>
            <family val="3"/>
            <charset val="134"/>
          </rPr>
          <t xml:space="preserve">
ID定义：
1：代表充值商城
2：代表点券商城
3：代表金币商城
4：代表战魂商城
5：代表试炼商城
6：代表30日累计签到的人民币购买
7：代表活动中心的推荐礼包
8：代表首冲三日活动
9：代表周、月、季卡
10：代表购买体力
11：代表VIP礼包
12：代表悬赏
13：代表PVP的次数购买
14：代表玩法的挑战次数购买
15：代表试炼塔玩法的试炼基金购买
16：代表行会商店的物品购买
17：代表活动中心的伙伴礼包
18：代表活动中心的宠物礼包
19：代表挂机副本的月挑战卡
</t>
        </r>
      </text>
    </comment>
    <comment ref="C3" authorId="0">
      <text>
        <r>
          <rPr>
            <b/>
            <sz val="9"/>
            <rFont val="宋体"/>
            <family val="3"/>
            <charset val="134"/>
          </rPr>
          <t>46646:</t>
        </r>
        <r>
          <rPr>
            <sz val="9"/>
            <rFont val="宋体"/>
            <family val="3"/>
            <charset val="134"/>
          </rPr>
          <t xml:space="preserve">
用来定义不同商城类别所需要的参数：
充值商城：用来定义充值的档位
点券商城：用来定义商品的序号
金币商城：用来定义商品的序号
战魂商城：用来定义商品的序号
30日累计签到：所填写的数字代表为该活动开启的第几轮
推荐礼包：所填写的数字代表为该推荐礼包的第几轮
周月季卡：1代表周卡、2代表月卡、3代表季卡
购买体力：代表每日的购买次数，最后配置的次数即为每日可购买的最大次数
购买vip礼包：代表Vip等级
购买玩法挑战次数：1：代表首领副本；2代表遗迹副本</t>
        </r>
      </text>
    </comment>
    <comment ref="D3" authorId="0">
      <text>
        <r>
          <rPr>
            <b/>
            <sz val="9"/>
            <rFont val="宋体"/>
            <family val="3"/>
            <charset val="134"/>
          </rPr>
          <t>46646:</t>
        </r>
        <r>
          <rPr>
            <sz val="9"/>
            <rFont val="宋体"/>
            <family val="3"/>
            <charset val="134"/>
          </rPr>
          <t xml:space="preserve">
用来定义不同商城的商品获取条件：
充值商城：用来配置对应档位所需要的充值金额，配置方式为：{ "needmoney": 100,"Num": 3,”limittype”:999,”limitnum”:0}，人民币的needmoney定义为100，limittype填999代表没有购买限制
点券商城：用来配置对应商品购买所需要的点券数量以及购买限制，配置方式为：{{ "needmoney": 1,"Num": 3,”limittype”:1,”limitnum”:3}}，其中limittype定义为：{0：代表终生限制；1代表每日限制；2代表每周限制；3代表每月限制；4代表季度限制（90天）}
金币商城：用来配置对应商品购买所需要的金币数量以及购买限制，配置方式同点券商城。
战魂商城：用来配置对应商品购买所需要的战魂数量以及购买限制，配置方式同点券商城。</t>
        </r>
      </text>
    </comment>
    <comment ref="E3" authorId="0">
      <text>
        <r>
          <rPr>
            <b/>
            <sz val="9"/>
            <rFont val="宋体"/>
            <family val="3"/>
            <charset val="134"/>
          </rPr>
          <t>46646:</t>
        </r>
        <r>
          <rPr>
            <sz val="9"/>
            <rFont val="宋体"/>
            <family val="3"/>
            <charset val="134"/>
          </rPr>
          <t xml:space="preserve">
用来配置当前档位的商品内容，配置方式为：
{ "itemID": 1,"Num": 3}</t>
        </r>
      </text>
    </comment>
  </commentList>
</comments>
</file>

<file path=xl/sharedStrings.xml><?xml version="1.0" encoding="utf-8"?>
<sst xmlns="http://schemas.openxmlformats.org/spreadsheetml/2006/main" count="343" uniqueCount="288">
  <si>
    <t>UUID</t>
  </si>
  <si>
    <t>商城类别</t>
  </si>
  <si>
    <t>物品编号</t>
  </si>
  <si>
    <t>限制条件</t>
  </si>
  <si>
    <t>商品内容</t>
  </si>
  <si>
    <t>前置条件</t>
  </si>
  <si>
    <t>界面描述</t>
  </si>
  <si>
    <t>持续时间</t>
  </si>
  <si>
    <t>服务器库存监测</t>
  </si>
  <si>
    <t>int32</t>
  </si>
  <si>
    <t>string</t>
  </si>
  <si>
    <t>json</t>
  </si>
  <si>
    <t>ID</t>
  </si>
  <si>
    <t>StoreType</t>
  </si>
  <si>
    <t>GoodsID</t>
  </si>
  <si>
    <t>Limite</t>
  </si>
  <si>
    <t>Solditems</t>
  </si>
  <si>
    <t>Prelimit</t>
  </si>
  <si>
    <t>Desc</t>
  </si>
  <si>
    <t>Timeliness</t>
  </si>
  <si>
    <t>Serverdetect</t>
  </si>
  <si>
    <t>{ "needmoney": 100,"Num": 1,"limittype":999,"limitnum":0}</t>
  </si>
  <si>
    <t>[{ "itemID": 5,"Num": 600}]</t>
  </si>
  <si>
    <t>{ "needmoney": 100,"Num": 12,"limittype":999,"limitnum":0}</t>
  </si>
  <si>
    <t>[{ "itemID": 5,"Num": 1200}]</t>
  </si>
  <si>
    <t>{ "needmoney": 100,"Num": 30,"limittype":999,"limitnum":0}</t>
  </si>
  <si>
    <t>[{ "itemID": 5,"Num": 3000}]</t>
  </si>
  <si>
    <t>{ "needmoney": 100,"Num": 68,"limittype":999,"limitnum":0}</t>
  </si>
  <si>
    <t>[{ "itemID": 5,"Num": 6800}]</t>
  </si>
  <si>
    <t>{ "needmoney": 100,"Num": 98,"limittype":999,"limitnum":0}</t>
  </si>
  <si>
    <t>[{ "itemID": 5,"Num": 9800}]</t>
  </si>
  <si>
    <t>{ "needmoney": 100,"Num": 168,"limittype":999,"limitnum":0}</t>
  </si>
  <si>
    <t>[{ "itemID": 5,"Num": 16800}]</t>
  </si>
  <si>
    <t>{ "needmoney": 100,"Num": 328,"limittype":999,"limitnum":0}</t>
  </si>
  <si>
    <t>[{ "itemID": 5,"Num": 32800}]</t>
  </si>
  <si>
    <t>{ "needmoney": 100,"Num": 648,"limittype":999,"limitnum":0}</t>
  </si>
  <si>
    <t>[{ "itemID": 5,"Num": 64800}]</t>
  </si>
  <si>
    <t>{ "needmoney":5,"Num":1000,"limittype":999,"limitnum":0}</t>
  </si>
  <si>
    <t>[{ "itemID":1,"Num":1000000}]</t>
  </si>
  <si>
    <t>{ "needmoney":5,"Num":2000,"limittype":999,"limitnum":0}</t>
  </si>
  <si>
    <t>[{ "itemID":1,"Num":2100000}]</t>
  </si>
  <si>
    <t>{ "needmoney":5,"Num":4000,"limittype":999,"limitnum":0}</t>
  </si>
  <si>
    <t>[{ "itemID":1,"Num":4400000}]</t>
  </si>
  <si>
    <t>{ "needmoney":5,"Num":200,"limittype":999,"limitnum":0}</t>
  </si>
  <si>
    <t>[{ "itemID":99,"Num":1}]</t>
  </si>
  <si>
    <t>{ "needmoney":5,"Num":5000,"limittype":1,"limitnum":3}</t>
  </si>
  <si>
    <t>[{ "itemID":79,"Num":1}]</t>
  </si>
  <si>
    <t>[{ "itemID":78,"Num":1}]</t>
  </si>
  <si>
    <t>{ "needmoney":5,"Num":100,"limittype":1,"limitnum":150}</t>
  </si>
  <si>
    <t>[{ "itemID":32,"Num":1}]</t>
  </si>
  <si>
    <t>{ "needmoney":5,"Num":300,"limittype":999,"limitnum":0}</t>
  </si>
  <si>
    <t>[{ "itemID":27,"Num":1}]</t>
  </si>
  <si>
    <t>{ "needmoney":5,"Num":1000,"limittype":1,"limitnum":2}</t>
  </si>
  <si>
    <t>[{ "itemID":75,"Num":10}]</t>
  </si>
  <si>
    <t>[{ "itemID":12,"Num":1}]</t>
  </si>
  <si>
    <t>{ "needmoney":1,"Num":300000,"limittype":1,"limitnum":10}</t>
  </si>
  <si>
    <t>[{ "itemID":77,"Num":1}]</t>
  </si>
  <si>
    <t>{ "needmoney":1,"Num":30000,"limittype":1,"limitnum":50}</t>
  </si>
  <si>
    <t>[{ "itemID":30,"Num":1}]</t>
  </si>
  <si>
    <t>[{ "itemID":23,"Num":1}]</t>
  </si>
  <si>
    <t>[{ "itemID":21,"Num":1}]</t>
  </si>
  <si>
    <t>{ "needmoney":1,"Num":60000,"limittype":1,"limitnum":50}</t>
  </si>
  <si>
    <t>[{ "itemID":22,"Num":1}]</t>
  </si>
  <si>
    <t>{ "needmoney":1,"Num":300000,"limittype":1,"limitnum":1}</t>
  </si>
  <si>
    <t>[{ "itemID":25,"Num":1}]</t>
  </si>
  <si>
    <t>{ "needmoney":1,"Num":1200000,"limittype":1,"limitnum":5}</t>
  </si>
  <si>
    <t>[{ "itemID":61,"Num":1}]</t>
  </si>
  <si>
    <t>{ "needmoney":1,"Num":600000,"limittype":1,"limitnum":3}</t>
  </si>
  <si>
    <t>[{ "itemID":80,"Num":1}]</t>
  </si>
  <si>
    <t>{ "needmoney":4,"Num":300,"limittype":1,"limitnum":10}</t>
  </si>
  <si>
    <t>[{ "itemID":21,"Num":50}]</t>
  </si>
  <si>
    <t>{ "needmoney":4,"Num":600,"limittype":1,"limitnum":20}</t>
  </si>
  <si>
    <t>[{ "itemID":22,"Num":50}]</t>
  </si>
  <si>
    <t>{ "needmoney":4,"Num":180,"limittype":1,"limitnum":3}</t>
  </si>
  <si>
    <t>{ "needmoney":4,"Num":60,"limittype":999,"limitnum":0}</t>
  </si>
  <si>
    <t>[{ "itemID":35,"Num":1}]</t>
  </si>
  <si>
    <t>{ "needmoney":8,"Num":500,"limittype":2,"limitnum":20}</t>
  </si>
  <si>
    <t>[{ "itemID":23,"Num":50}]</t>
  </si>
  <si>
    <t>{ "needmoney":8,"Num":1000,"limittype":2,"limitnum":10}</t>
  </si>
  <si>
    <t>[{ "itemID":24,"Num":10}]</t>
  </si>
  <si>
    <t>{ "needmoney":8,"Num":400,"limittype":2,"limitnum":20}</t>
  </si>
  <si>
    <t>{ "needmoney":8,"Num":4000,"limittype":2,"limitnum":1}</t>
  </si>
  <si>
    <t>[{ "itemID":82,"Num":1}]</t>
  </si>
  <si>
    <t>{ "needmoney":8,"Num":2000,"limittype":2,"limitnum":3}</t>
  </si>
  <si>
    <t>[{ "itemID":81,"Num":1}]</t>
  </si>
  <si>
    <t>{ "needmoney":8,"Num":200,"limittype":2,"limitnum":5}</t>
  </si>
  <si>
    <t>{ "needmoney":8,"Num":100,"limittype":999,"limitnum":0}</t>
  </si>
  <si>
    <t>[{ "itemID": 96,"Num": 1}]</t>
  </si>
  <si>
    <t>{ "needmoney":5,"Num":0,"limittype":1,"limitnum":1}</t>
  </si>
  <si>
    <t>[{ "itemID":11,"Num":1},{ "itemID":80,"Num":1}]</t>
  </si>
  <si>
    <t>{ "needmoney":5,"Num":980,"limittype":1,"limitnum":1}</t>
  </si>
  <si>
    <t>{ "needmoney":5,"Num":8880,"limittype":1,"limitnum":1}</t>
  </si>
  <si>
    <t>{ "needmoney": 5,"Num": 2500,"limittype":1,"limitnum":20}</t>
  </si>
  <si>
    <t>[{ "itemID": 87,"Num": 5}]</t>
  </si>
  <si>
    <t>{ "needmoney": 5,"Num": 2500,"limittype":1,"limitnum":10}</t>
  </si>
  <si>
    <t>[{ "itemID": 37,"Num": 1}]</t>
  </si>
  <si>
    <t>{ "needmoney": 5,"Num": 500,"limittype":2,"limitnum":10}</t>
  </si>
  <si>
    <t>[{ "itemID": 69,"Num": 4}]</t>
  </si>
  <si>
    <t>{ "needmoney": 5,"Num": 300,"limittype":2,"limitnum":10}</t>
  </si>
  <si>
    <t>[{ "itemID": 99,"Num": 10}]</t>
  </si>
  <si>
    <t>{ "needmoney": 100,"Num": 6,"limittype":0,"limitnum":1}</t>
  </si>
  <si>
    <t>[{ "itemID": 5,"Num": 600},{ "itemID": 13,"Num": 1},{ "itemID": 40010,"Num": 1}]</t>
  </si>
  <si>
    <t>[{ "itemID": 5,"Num": 1200},{ "itemID": 33,"Num": 10},{ "itemID": 40043,"Num":48}]</t>
  </si>
  <si>
    <t>[{ "itemID": 5,"Num": 1200},{ "itemID": 33,"Num": 10},{ "itemID": 40043,"Num": 100}]</t>
  </si>
  <si>
    <t>{ "needmoney": 100,"Num": 7,"limittype":2,"limitnum":1}</t>
  </si>
  <si>
    <t>[{ "itemID": 5,"Num": 200}]</t>
  </si>
  <si>
    <t>{ "needmoney": 100,"Num": 25,"limittype":3,"limitnum":1}</t>
  </si>
  <si>
    <t>[{ "itemID": 5,"Num": 500}]</t>
  </si>
  <si>
    <t>{ "needmoney": 100,"Num": 70,"limittype":4,"limitnum":1}</t>
  </si>
  <si>
    <t>[{ "itemID": 5,"Num": 1500}]</t>
  </si>
  <si>
    <t>{ "needmoney": 5,"Num": 100,"limittype":1,"limitnum":1}</t>
  </si>
  <si>
    <t>[{ "itemID": 6,"Num": 50}]</t>
  </si>
  <si>
    <t>{ "needmoney": 5,"Num": 1820,"limittype":0,"limitnum":1}</t>
  </si>
  <si>
    <t>[{ "itemID": 13,"Num": 1},{ "itemID": 37,"Num": 2},{ "itemID": 32,"Num": 1}]</t>
  </si>
  <si>
    <t>{ "needmoney": 5,"Num": 3290,"limittype":0,"limitnum":1}</t>
  </si>
  <si>
    <t>[{ "itemID": 32,"Num": 2},{ "itemID": 13,"Num": 2},{ "itemID": 78,"Num": 5}]</t>
  </si>
  <si>
    <t>{ "needmoney": 5,"Num": 4320,"limittype":0,"limitnum":1}</t>
  </si>
  <si>
    <t>[{ "itemID": 32,"Num": 3},{ "itemID": 13,"Num": 3},{ "itemID": 78,"Num": 8}]</t>
  </si>
  <si>
    <t>{ "needmoney": 5,"Num": 5640,"limittype":0,"limitnum":1}</t>
  </si>
  <si>
    <t>[{ "itemID": 33,"Num": 1},{ "itemID": 13,"Num": 4},{ "itemID": 81,"Num": 2}]</t>
  </si>
  <si>
    <t>{ "needmoney": 5,"Num": 8000,"limittype":0,"limitnum":1}</t>
  </si>
  <si>
    <t>[{ "itemID": 33,"Num": 2},{ "itemID": 13,"Num": 5},{ "itemID": 78,"Num": 10}]</t>
  </si>
  <si>
    <t>{ "needmoney": 5,"Num": 18300,"limittype":0,"limitnum":1}</t>
  </si>
  <si>
    <t>[{ "itemID": 33,"Num": 3},{ "itemID": 13,"Num": 6},{ "itemID": 21,"Num": 1000},{ "itemID": 22,"Num": 400}]</t>
  </si>
  <si>
    <t>{ "needmoney": 5,"Num": 26400,"limittype":0,"limitnum":1}</t>
  </si>
  <si>
    <t>[{ "itemID": 34,"Num": 1},{ "itemID": 21,"Num": 2000},{ "itemID": 22,"Num": 800},{ "itemID": 23,"Num": 2000}]</t>
  </si>
  <si>
    <t>{ "needmoney": 5,"Num": 41600,"limittype":0,"limitnum":1}</t>
  </si>
  <si>
    <t>[{ "itemID": 34,"Num": 2},{ "itemID": 21,"Num": 3000},{ "itemID": 22,"Num": 1200},{ "itemID": 24,"Num": 300}]</t>
  </si>
  <si>
    <t>{ "needmoney": 5,"Num": 52488,"limittype":0,"limitnum":1}</t>
  </si>
  <si>
    <t>[{ "itemID": 10053,"Num": 15},{ "itemID": 10128,"Num": 15},{ "itemID": 10203,"Num": 15},{ "itemID": 10278,"Num": 15}]</t>
  </si>
  <si>
    <t>{ "needmoney": 5,"Num": 55000,"limittype":0,"limitnum":1}</t>
  </si>
  <si>
    <t>[{ "itemID": 34,"Num": 3},{ "itemID": 24,"Num": 600},{ "itemID": 22,"Num": 2000},{ "itemID": 21,"Num": 4000}]</t>
  </si>
  <si>
    <t>{ "needmoney": 5,"Num": 61680,"limittype":0,"limitnum":1}</t>
  </si>
  <si>
    <t>[{ "itemID": 34,"Num": 4},{ "itemID": 22,"Num": 3000},{ "itemID": 21,"Num": 5000},{ "itemID": 24,"Num": 1000}]</t>
  </si>
  <si>
    <t>{ "needmoney": 5,"Num": 91560,"limittype":0,"limitnum":1}</t>
  </si>
  <si>
    <t>[{ "itemID": 34,"Num": 5},{ "itemID": 22,"Num": 4000},{ "itemID": 21,"Num": 8000},{ "itemID": 24,"Num": 1500}]</t>
  </si>
  <si>
    <t>{ "needmoney": 5,"Num": 121440,"limittype":0,"limitnum":1}</t>
  </si>
  <si>
    <t>[{ "itemID": 34,"Num": 6},{ "itemID": 22,"Num": 5000},{ "itemID": 21,"Num": 12000},{ "itemID": 24,"Num": 2000}]</t>
  </si>
  <si>
    <t>{ "needmoney": 5,"Num": 190680,"limittype":0,"limitnum":1}</t>
  </si>
  <si>
    <t>[{ "itemID": 34,"Num": 7},{ "itemID": 22,"Num": 6000},{ "itemID": 21,"Num": 17000},{ "itemID": 24,"Num": 2500}]</t>
  </si>
  <si>
    <t>{ "needmoney": 5,"Num": 213984,"limittype":0,"limitnum":1}</t>
  </si>
  <si>
    <t>[{ "itemID": 34,"Num": 8},{ "itemID": 22,"Num": 10000},{ "itemID": 79,"Num": 10},{ "itemID": 82,"Num": 3}]</t>
  </si>
  <si>
    <t>{ "needmoney": 44,"Num": 1,"limittype":0,"limitnum":2}</t>
  </si>
  <si>
    <t>[{ "itemID": 14,"Num": 1}]</t>
  </si>
  <si>
    <t>{ "needmoney": 45,"Num": 1,"limittype":1,"limitnum":2}</t>
  </si>
  <si>
    <t>[{ "itemID": 15,"Num": 1}]</t>
  </si>
  <si>
    <t>{ "needmoney": 46,"Num": 1,"limittype":1,"limitnum":2}</t>
  </si>
  <si>
    <t>[{ "itemID": 16,"Num": 1}]</t>
  </si>
  <si>
    <t>{ "needmoney": 47,"Num": 1,"limittype":1,"limitnum":2}</t>
  </si>
  <si>
    <t>[{ "itemID": 17,"Num": 1}]</t>
  </si>
  <si>
    <t>{ "needmoney": 48,"Num": 1,"limittype":1,"limitnum":2}</t>
  </si>
  <si>
    <t>[{ "itemID": 18,"Num": 1}]</t>
  </si>
  <si>
    <t>{ "needmoney": 49,"Num": 1,"limittype":1,"limitnum":2}</t>
  </si>
  <si>
    <t>[{ "itemID": 19,"Num": 1}]</t>
  </si>
  <si>
    <t>{ "needmoney": 50,"Num": 1,"limittype":1,"limitnum":2}</t>
  </si>
  <si>
    <t>[{ "itemID": 20,"Num": 1}]</t>
  </si>
  <si>
    <t>{ "needmoney": 5,"Num": 100,"limittype":1,"limitnum":5}</t>
  </si>
  <si>
    <t>[{ "itemID": 10,"Num": 1}]</t>
  </si>
  <si>
    <t>[{ "itemID": 71,"Num": 1}]</t>
  </si>
  <si>
    <t>[{ "itemID": 90,"Num": 1}]</t>
  </si>
  <si>
    <t>{ "needmoney": 5,"Num": 100,"limittype":1,"limitnum":10}</t>
  </si>
  <si>
    <t>[{ "itemID": 91,"Num": 1}]</t>
  </si>
  <si>
    <t>{ "needmoney": 100,"Num": 128,"limittype":999,"limitnum":0}</t>
  </si>
  <si>
    <t>[{ "itemID": 92,"Num": 1},{ "itemID": 5,"Num": 12800}]</t>
  </si>
  <si>
    <t>{ "needmoney":100,"Num":30,"limittype":1,"limitnum":1}</t>
  </si>
  <si>
    <t>[{ "itemID":79,"Num":3},{ "itemID":5,"Num":3000}]</t>
  </si>
  <si>
    <t>{ "needmoney":100,"Num":98,"limittype":1,"limitnum":2}</t>
  </si>
  <si>
    <t>[{ "itemID":79,"Num":9},{ "itemID":5,"Num":9800}]</t>
  </si>
  <si>
    <t>{ "needmoney":100,"Num":128,"limittype":1,"limitnum":2}</t>
  </si>
  <si>
    <t>[{ "itemID":79,"Num":12},{ "itemID":5,"Num":12800}]</t>
  </si>
  <si>
    <t>{ "needmoney":100,"Num":198,"limittype":1,"limitnum":2}</t>
  </si>
  <si>
    <t>[{ "itemID":79,"Num":18},{ "itemID":5,"Num":19800}]</t>
  </si>
  <si>
    <t>{ "needmoney":100,"Num":328,"limittype":1,"limitnum":2}</t>
  </si>
  <si>
    <t>[{ "itemID":79,"Num":27},{ "itemID":5,"Num":32800}]</t>
  </si>
  <si>
    <t>{ "needmoney":100,"Num":648,"limittype":999,"limitnum":0}</t>
  </si>
  <si>
    <t>[{ "itemID":79,"Num":40},{ "itemID":5,"Num":64800}]</t>
  </si>
  <si>
    <t>{ "needmoney":100,"Num":6,"limittype":1,"limitnum":1}</t>
  </si>
  <si>
    <t>[{ "itemID":81,"Num":3},{ "itemID":5,"Num":600}]</t>
  </si>
  <si>
    <t>[{ "itemID":82,"Num":12},{ "itemID":5,"Num":9800}]</t>
  </si>
  <si>
    <t>[{ "itemID":82,"Num":15},{ "itemID":5,"Num":12800}]</t>
  </si>
  <si>
    <t>[{ "itemID":82,"Num":24},{ "itemID":5,"Num":19800}]</t>
  </si>
  <si>
    <t>[{ "itemID":82,"Num":42},{ "itemID":5,"Num":32800}]</t>
  </si>
  <si>
    <t>[{ "itemID":82,"Num":60},{ "itemID":5,"Num":64800}]</t>
  </si>
  <si>
    <t>{ "needmoney": 5,"Num": 100,"limittype":3,"limitnum":1}</t>
  </si>
  <si>
    <t>[{ "itemID": 97,"Num": 1}]</t>
  </si>
  <si>
    <t>[{ "itemID":5,"Num":50},{ "itemID":30,"Num":10}]</t>
  </si>
  <si>
    <t>[{ "itemID":5,"Num":600},{ "itemID":22,"Num":15}]</t>
  </si>
  <si>
    <t>{ "needmoney":100,"Num":12,"limittype":1,"limitnum":1}</t>
  </si>
  <si>
    <t>{ "needmoney":100,"Num":30,"limittype":1,"limitnum":2}</t>
  </si>
  <si>
    <t>{ "needmoney":100,"Num":68,"limittype":1,"limitnum":2}</t>
  </si>
  <si>
    <t>{ "needmoney":100,"Num":198,"limittype":1,"limitnum":5}</t>
  </si>
  <si>
    <t>{ "needmoney":100,"Num":328,"limittype":1,"limitnum":5}</t>
  </si>
  <si>
    <t>{ "needmoney": 100,"Num": 88,"limittype":999,"limitnum":0}</t>
  </si>
  <si>
    <t>[{ "itemID":5,"Num":3000},{ "itemID":67,"Num":18},{ "itemID":21,"Num":200}]</t>
  </si>
  <si>
    <t>{ "needmoney":100,"Num":128,"limittype":1,"limitnum":1}</t>
  </si>
  <si>
    <t>[{ "itemID":5,"Num":12800},{ "itemID":68,"Num":18},{ "itemID":21,"Num":1000}]</t>
  </si>
  <si>
    <t>{ "needmoney":100,"Num":328,"limittype":1,"limitnum":1}</t>
  </si>
  <si>
    <t>[{ "itemID":5,"Num":32800},{ "itemID":69,"Num":18},{ "itemID":21,"Num":1600}]</t>
  </si>
  <si>
    <t>[{ "itemID":5,"Num":64800},{ "itemID":70,"Num":12},{ "itemID":21,"Num":2400}]</t>
  </si>
  <si>
    <t>{ "needmoney":100,"Num":128,"limittype":2,"limitnum":3}</t>
  </si>
  <si>
    <t>[{ "itemID":75,"Num":60},{ "itemID":76,"Num":6}]</t>
  </si>
  <si>
    <t>{ "needmoney":100,"Num":198,"limittype":2,"limitnum":3}</t>
  </si>
  <si>
    <t>[{ "itemID":75,"Num":80},{ "itemID":76,"Num":10}]</t>
  </si>
  <si>
    <t>{ "needmoney":100,"Num":328,"limittype":2,"limitnum":3}</t>
  </si>
  <si>
    <t>[{ "itemID":75,"Num":150},{ "itemID":76,"Num":16}]</t>
  </si>
  <si>
    <t>[{ "itemID":75,"Num":200},{ "itemID":76,"Num":35}]</t>
  </si>
  <si>
    <t>{ "needmoney":5</t>
  </si>
  <si>
    <t>,"Num":</t>
  </si>
  <si>
    <t>,"limittype":</t>
  </si>
  <si>
    <t>,"limitnum":</t>
  </si>
  <si>
    <t>}</t>
  </si>
  <si>
    <t>[{ "itemID":</t>
  </si>
  <si>
    <t>}]</t>
  </si>
  <si>
    <t>{ "needmoney":5,"Num":1000,"limittype":1,"limitnum":0}</t>
  </si>
  <si>
    <t>[{ "itemID": 1,"Num": 1000000}]</t>
  </si>
  <si>
    <t>{ "needmoney":5,"Num":2000,"limittype":2,"limitnum":0}</t>
  </si>
  <si>
    <t>[{ "itemID": 1,"Num": 2100000}]</t>
  </si>
  <si>
    <t>{ "needmoney":5,"Num":4000,"limittype":3,"limitnum":0}</t>
  </si>
  <si>
    <t>[{ "itemID": 1,"Num":4400000}]</t>
  </si>
  <si>
    <t>32</t>
  </si>
  <si>
    <t>{ "needmoney":5,"Num":1000,"limittype":4,"limitnum":10}</t>
  </si>
  <si>
    <t>[{ "itemID":32,"Num":10}]</t>
  </si>
  <si>
    <t>79</t>
  </si>
  <si>
    <t>{ "needmoney":5,"Num":5000,"limittype":5,"limitnum":3}</t>
  </si>
  <si>
    <t>99</t>
  </si>
  <si>
    <t>{ "needmoney":5,"Num":200,"limittype":6,"limitnum":0}</t>
  </si>
  <si>
    <t>78</t>
  </si>
  <si>
    <t>{ "needmoney":5,"Num":2000,"limittype":7,"limitnum":0}</t>
  </si>
  <si>
    <t>27</t>
  </si>
  <si>
    <t>{ "needmoney":5,"Num":300,"limittype":8,"limitnum":0}</t>
  </si>
  <si>
    <t>33</t>
  </si>
  <si>
    <t>{ "needmoney":1,"Num":10000,"limittype":1,"limitnum":50}</t>
  </si>
  <si>
    <t>{ "needmoney":1,"Num":100000,"limittype":1,"limitnum":10}</t>
  </si>
  <si>
    <t>{ "needmoney":1,"Num":100000,"limittype":1,"limitnum":1}</t>
  </si>
  <si>
    <t>{ "needmoney":1,"Num":1600000,"limittype":1,"limitnum":10}</t>
  </si>
  <si>
    <t>[{ "itemID":60,"Num":1}]</t>
  </si>
  <si>
    <t>{ "needmoney":1</t>
  </si>
  <si>
    <t>{ "needmoney":1,"Num":4000000,"limittype":1,"limitnum":5}</t>
  </si>
  <si>
    <t>30</t>
  </si>
  <si>
    <t>{ "needmoney":1,"Num":2000000,"limittype":1,"limitnum":3}</t>
  </si>
  <si>
    <t>77</t>
  </si>
  <si>
    <t>25</t>
  </si>
  <si>
    <t>60</t>
  </si>
  <si>
    <t>61</t>
  </si>
  <si>
    <t>80</t>
  </si>
  <si>
    <t>[{ "itemID":85,"Num":5}]</t>
    <phoneticPr fontId="8" type="noConversion"/>
  </si>
  <si>
    <t>{ "needmoney":1,"Num":750000,"limittype":1,"limitnum":60}</t>
    <phoneticPr fontId="8" type="noConversion"/>
  </si>
  <si>
    <t>[{ "itemID":66,"Num":5}]</t>
    <phoneticPr fontId="8" type="noConversion"/>
  </si>
  <si>
    <t>{ "needmoney":4,"Num":240,"limittype":1,"limitnum":30}</t>
    <phoneticPr fontId="8" type="noConversion"/>
  </si>
  <si>
    <t>{ "needmoney":101,"Num":1,"limittype":1,"limitnum":1}</t>
    <phoneticPr fontId="8" type="noConversion"/>
  </si>
  <si>
    <t>{ "needmoney":100,"Num":6,"limittype":1,"limitnum":1,"times":5}</t>
    <phoneticPr fontId="8" type="noConversion"/>
  </si>
  <si>
    <t>{ "needmoney":100,"Num":18,"limittype":0,"limitnum":1}</t>
  </si>
  <si>
    <t>{ "needmoney":100,"Num":30,"limittype":0,"limitnum":1}</t>
  </si>
  <si>
    <t>{ "needmoney":100,"Num":68,"limittype":0,"limitnum":1}</t>
  </si>
  <si>
    <t>{ "needmoney":100,"Num":98,"limittype":0,"limitnum":1}</t>
  </si>
  <si>
    <t>{ "needmoney":100,"Num":128,"limittype":0,"limitnum":1}</t>
  </si>
  <si>
    <t>{ "needmoney":100,"Num":198,"limittype":0,"limitnum":1}</t>
  </si>
  <si>
    <t>[{ "itemID":21,"Num":700},{ "itemID":22,"Num":500},{ "itemID":5,"Num":6800}]</t>
  </si>
  <si>
    <t>[{ "itemID":24,"Num":150},{ "itemID":23,"Num":1000},{ "itemID":5,"Num":9800}]</t>
  </si>
  <si>
    <t>[{ "itemID":76,"Num":5},{ "itemID":75,"Num":200},{ "itemID":5,"Num":12800}]</t>
  </si>
  <si>
    <t>{ "needmoney":100,"Num":6,"limittype":0,"limitnum":1}</t>
    <phoneticPr fontId="8" type="noConversion"/>
  </si>
  <si>
    <t>{ "needmoney":100,"Num":8,"limittype":1,"limitnum":1}</t>
    <phoneticPr fontId="8" type="noConversion"/>
  </si>
  <si>
    <t>{ "needmoney":5,"Num":1000,"limittype":1,"limitnum":1}</t>
    <phoneticPr fontId="8" type="noConversion"/>
  </si>
  <si>
    <t>{ "needmoney":5,"Num":500,"limittype":1,"limitnum":1}</t>
    <phoneticPr fontId="8" type="noConversion"/>
  </si>
  <si>
    <t>{ "needmoney":101,"Num":1,"limittype":1,"limitnum":1}</t>
    <phoneticPr fontId="8" type="noConversion"/>
  </si>
  <si>
    <t>int32</t>
    <phoneticPr fontId="8" type="noConversion"/>
  </si>
  <si>
    <t>string</t>
    <phoneticPr fontId="8" type="noConversion"/>
  </si>
  <si>
    <t>[{ "itemID": 51001,"Num": 1}]</t>
    <phoneticPr fontId="8" type="noConversion"/>
  </si>
  <si>
    <t>[{ "itemID":99,"Num":10},{ "itemID":1,"Num":800000}]</t>
    <phoneticPr fontId="8" type="noConversion"/>
  </si>
  <si>
    <t>[{ "itemID":23,"Num":200},{ "itemID":24,"Num":10}]</t>
    <phoneticPr fontId="8" type="noConversion"/>
  </si>
  <si>
    <t>[{ "itemID":22,"Num":150},{ "itemID":27,"Num":1}]</t>
    <phoneticPr fontId="8" type="noConversion"/>
  </si>
  <si>
    <t>[{ "itemID":81,"Num":25},{ "itemID":85,"Num":3}]</t>
    <phoneticPr fontId="8" type="noConversion"/>
  </si>
  <si>
    <t>[{ "itemID":66,"Num":40},{ "itemID":31,"Num":30}]</t>
    <phoneticPr fontId="8" type="noConversion"/>
  </si>
  <si>
    <t>[{ "itemID":32,"Num":30},{ "itemID":63,"Num":50}]</t>
    <phoneticPr fontId="8" type="noConversion"/>
  </si>
  <si>
    <t>[{ "itemID":81,"Num":1},{ "itemID":50015,"Num":5}]</t>
    <phoneticPr fontId="8" type="noConversion"/>
  </si>
  <si>
    <t>[{ "itemID":5,"Num":3000},{ "itemID":99,"Num":10},{ "itemID":12,"Num":15}]</t>
    <phoneticPr fontId="8" type="noConversion"/>
  </si>
  <si>
    <t>[{ "itemID":5,"Num":6800},{ "itemID":22,"Num":200},{ "itemID":21,"Num":1000}]</t>
    <phoneticPr fontId="8" type="noConversion"/>
  </si>
  <si>
    <t>[{ "itemID":5,"Num":12800},{ "itemID":23,"Num":1000},{ "itemID":24,"Num":100}]</t>
    <phoneticPr fontId="8" type="noConversion"/>
  </si>
  <si>
    <t>[{ "itemID":5,"Num":19800},{ "itemID":86,"Num":20},{ "itemID":81,"Num":25}]</t>
    <phoneticPr fontId="8" type="noConversion"/>
  </si>
  <si>
    <t>[{ "itemID":5,"Num":32800},{ "itemID":22,"Num":1500},{ "itemID":28,"Num":3}]</t>
    <phoneticPr fontId="8" type="noConversion"/>
  </si>
  <si>
    <t>[{ "itemID":5,"Num":400},{ "itemID":32,"Num":20}]</t>
    <phoneticPr fontId="8" type="noConversion"/>
  </si>
  <si>
    <t>[{ "itemID":5,"Num":1200},{ "itemID":79,"Num":1}]</t>
    <phoneticPr fontId="8" type="noConversion"/>
  </si>
  <si>
    <t>[{ "itemID":68,"Num":30},{ "itemID":79,"Num":10},{ "itemID":5,"Num":19800}]</t>
    <phoneticPr fontId="8" type="noConversion"/>
  </si>
  <si>
    <t>[{ "itemID":99,"Num":15},{ "itemID":1,"Num":1000000},{ "itemID":5,"Num":600}]</t>
    <phoneticPr fontId="8" type="noConversion"/>
  </si>
  <si>
    <t>[{ "itemID":82,"Num":5},{ "itemID":86,"Num":10},{ "itemID":5,"Num":1800}]</t>
    <phoneticPr fontId="8" type="noConversion"/>
  </si>
  <si>
    <t>[{ "itemID":79,"Num":10},{ "itemID":30,"Num":50},{ "itemID":5,"Num":3000}]</t>
    <phoneticPr fontId="8" type="noConversion"/>
  </si>
  <si>
    <t>{ "needmoney":4,"Num":500,"limittype":1,"limitnum":20}</t>
    <phoneticPr fontId="8" type="noConversion"/>
  </si>
  <si>
    <t>[{ "itemID":33,"Num":1}]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</si>
</sst>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9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14548173467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Border="1">
      <alignment vertical="center"/>
    </xf>
    <xf numFmtId="176" fontId="0" fillId="0" borderId="1" xfId="0" applyNumberFormat="1" applyBorder="1">
      <alignment vertical="center"/>
    </xf>
    <xf numFmtId="0" fontId="1" fillId="0" borderId="1" xfId="0" applyFont="1" applyBorder="1" applyAlignment="1">
      <alignment vertical="center" wrapText="1"/>
    </xf>
    <xf numFmtId="176" fontId="2" fillId="0" borderId="1" xfId="0" applyNumberFormat="1" applyFont="1" applyBorder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0" fontId="0" fillId="0" borderId="2" xfId="0" applyBorder="1">
      <alignment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49" fontId="5" fillId="6" borderId="4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49" fontId="5" fillId="7" borderId="1" xfId="0" applyNumberFormat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31"/>
  <sheetViews>
    <sheetView tabSelected="1" workbookViewId="0">
      <pane xSplit="1" ySplit="3" topLeftCell="B13" activePane="bottomRight" state="frozen"/>
      <selection pane="topRight"/>
      <selection pane="bottomLeft"/>
      <selection pane="bottomRight" activeCell="E35" sqref="E35"/>
    </sheetView>
  </sheetViews>
  <sheetFormatPr defaultColWidth="9" defaultRowHeight="16.5" x14ac:dyDescent="0.15"/>
  <cols>
    <col min="1" max="1" width="9" style="22"/>
    <col min="2" max="2" width="13.875" style="22" customWidth="1"/>
    <col min="3" max="3" width="13.375" style="22" customWidth="1"/>
    <col min="4" max="4" width="63.25" style="22" customWidth="1"/>
    <col min="5" max="5" width="60.75" style="22" customWidth="1"/>
    <col min="6" max="6" width="20.75" style="22" customWidth="1"/>
    <col min="7" max="7" width="8.875" style="22" customWidth="1"/>
    <col min="8" max="8" width="11" style="22" customWidth="1"/>
    <col min="9" max="9" width="14.125" style="22"/>
    <col min="10" max="16384" width="9" style="22"/>
  </cols>
  <sheetData>
    <row r="1" spans="1:9" x14ac:dyDescent="0.1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  <c r="I1" s="23" t="s">
        <v>8</v>
      </c>
    </row>
    <row r="2" spans="1:9" x14ac:dyDescent="0.15">
      <c r="A2" s="23" t="s">
        <v>265</v>
      </c>
      <c r="B2" s="23" t="s">
        <v>266</v>
      </c>
      <c r="C2" s="23" t="s">
        <v>9</v>
      </c>
      <c r="D2" s="23" t="s">
        <v>11</v>
      </c>
      <c r="E2" s="23" t="s">
        <v>11</v>
      </c>
      <c r="F2" s="23" t="s">
        <v>9</v>
      </c>
      <c r="G2" s="23" t="s">
        <v>10</v>
      </c>
      <c r="H2" s="24" t="s">
        <v>11</v>
      </c>
      <c r="I2" s="23" t="s">
        <v>9</v>
      </c>
    </row>
    <row r="3" spans="1:9" x14ac:dyDescent="0.15">
      <c r="A3" s="23" t="s">
        <v>12</v>
      </c>
      <c r="B3" s="23" t="s">
        <v>13</v>
      </c>
      <c r="C3" s="23" t="s">
        <v>14</v>
      </c>
      <c r="D3" s="23" t="s">
        <v>15</v>
      </c>
      <c r="E3" s="23" t="s">
        <v>16</v>
      </c>
      <c r="F3" s="23" t="s">
        <v>17</v>
      </c>
      <c r="G3" s="23" t="s">
        <v>18</v>
      </c>
      <c r="H3" s="24" t="s">
        <v>19</v>
      </c>
      <c r="I3" s="23" t="s">
        <v>20</v>
      </c>
    </row>
    <row r="4" spans="1:9" x14ac:dyDescent="0.15">
      <c r="A4" s="23">
        <f t="shared" ref="A4:A21" si="0">B4*1000+C4</f>
        <v>1001</v>
      </c>
      <c r="B4" s="23">
        <v>1</v>
      </c>
      <c r="C4" s="23">
        <v>1</v>
      </c>
      <c r="D4" s="23" t="s">
        <v>21</v>
      </c>
      <c r="E4" s="25" t="s">
        <v>22</v>
      </c>
      <c r="F4" s="25"/>
      <c r="G4" s="23"/>
      <c r="H4" s="24"/>
      <c r="I4" s="23">
        <v>0</v>
      </c>
    </row>
    <row r="5" spans="1:9" x14ac:dyDescent="0.15">
      <c r="A5" s="23">
        <f t="shared" si="0"/>
        <v>1002</v>
      </c>
      <c r="B5" s="23">
        <v>1</v>
      </c>
      <c r="C5" s="23">
        <v>2</v>
      </c>
      <c r="D5" s="23" t="s">
        <v>23</v>
      </c>
      <c r="E5" s="25" t="s">
        <v>24</v>
      </c>
      <c r="F5" s="25"/>
      <c r="G5" s="23"/>
      <c r="H5" s="24"/>
      <c r="I5" s="23">
        <v>0</v>
      </c>
    </row>
    <row r="6" spans="1:9" x14ac:dyDescent="0.15">
      <c r="A6" s="23">
        <f t="shared" si="0"/>
        <v>1003</v>
      </c>
      <c r="B6" s="23">
        <v>1</v>
      </c>
      <c r="C6" s="23">
        <v>3</v>
      </c>
      <c r="D6" s="23" t="s">
        <v>25</v>
      </c>
      <c r="E6" s="25" t="s">
        <v>26</v>
      </c>
      <c r="F6" s="25"/>
      <c r="G6" s="23"/>
      <c r="H6" s="24"/>
      <c r="I6" s="23">
        <v>0</v>
      </c>
    </row>
    <row r="7" spans="1:9" x14ac:dyDescent="0.15">
      <c r="A7" s="23">
        <f t="shared" si="0"/>
        <v>1004</v>
      </c>
      <c r="B7" s="23">
        <v>1</v>
      </c>
      <c r="C7" s="23">
        <v>4</v>
      </c>
      <c r="D7" s="23" t="s">
        <v>27</v>
      </c>
      <c r="E7" s="25" t="s">
        <v>28</v>
      </c>
      <c r="F7" s="25"/>
      <c r="G7" s="23"/>
      <c r="H7" s="24"/>
      <c r="I7" s="23">
        <v>0</v>
      </c>
    </row>
    <row r="8" spans="1:9" x14ac:dyDescent="0.15">
      <c r="A8" s="23">
        <f t="shared" si="0"/>
        <v>1005</v>
      </c>
      <c r="B8" s="23">
        <v>1</v>
      </c>
      <c r="C8" s="23">
        <v>5</v>
      </c>
      <c r="D8" s="23" t="s">
        <v>29</v>
      </c>
      <c r="E8" s="25" t="s">
        <v>30</v>
      </c>
      <c r="F8" s="25"/>
      <c r="G8" s="23"/>
      <c r="H8" s="24"/>
      <c r="I8" s="23">
        <v>0</v>
      </c>
    </row>
    <row r="9" spans="1:9" x14ac:dyDescent="0.15">
      <c r="A9" s="23">
        <f t="shared" si="0"/>
        <v>1006</v>
      </c>
      <c r="B9" s="23">
        <v>1</v>
      </c>
      <c r="C9" s="23">
        <v>6</v>
      </c>
      <c r="D9" s="23" t="s">
        <v>31</v>
      </c>
      <c r="E9" s="25" t="s">
        <v>32</v>
      </c>
      <c r="F9" s="25"/>
      <c r="G9" s="23"/>
      <c r="H9" s="24"/>
      <c r="I9" s="23">
        <v>0</v>
      </c>
    </row>
    <row r="10" spans="1:9" x14ac:dyDescent="0.15">
      <c r="A10" s="23">
        <f t="shared" si="0"/>
        <v>1007</v>
      </c>
      <c r="B10" s="23">
        <v>1</v>
      </c>
      <c r="C10" s="23">
        <v>7</v>
      </c>
      <c r="D10" s="23" t="s">
        <v>33</v>
      </c>
      <c r="E10" s="25" t="s">
        <v>34</v>
      </c>
      <c r="F10" s="25"/>
      <c r="G10" s="23"/>
      <c r="H10" s="24"/>
      <c r="I10" s="23">
        <v>0</v>
      </c>
    </row>
    <row r="11" spans="1:9" x14ac:dyDescent="0.15">
      <c r="A11" s="23">
        <f t="shared" si="0"/>
        <v>1008</v>
      </c>
      <c r="B11" s="23">
        <v>1</v>
      </c>
      <c r="C11" s="23">
        <v>8</v>
      </c>
      <c r="D11" s="23" t="s">
        <v>35</v>
      </c>
      <c r="E11" s="25" t="s">
        <v>36</v>
      </c>
      <c r="F11" s="25"/>
      <c r="G11" s="23"/>
      <c r="H11" s="24"/>
      <c r="I11" s="23">
        <v>0</v>
      </c>
    </row>
    <row r="12" spans="1:9" s="13" customFormat="1" x14ac:dyDescent="0.15">
      <c r="A12" s="26">
        <f t="shared" si="0"/>
        <v>2001</v>
      </c>
      <c r="B12" s="26">
        <v>2</v>
      </c>
      <c r="C12" s="26">
        <v>1</v>
      </c>
      <c r="D12" s="26" t="s">
        <v>37</v>
      </c>
      <c r="E12" s="27" t="s">
        <v>38</v>
      </c>
      <c r="F12" s="27"/>
      <c r="G12" s="26"/>
      <c r="H12" s="28"/>
      <c r="I12" s="26">
        <v>0</v>
      </c>
    </row>
    <row r="13" spans="1:9" x14ac:dyDescent="0.15">
      <c r="A13" s="23">
        <f t="shared" si="0"/>
        <v>2002</v>
      </c>
      <c r="B13" s="23">
        <v>2</v>
      </c>
      <c r="C13" s="23">
        <v>2</v>
      </c>
      <c r="D13" s="23" t="s">
        <v>39</v>
      </c>
      <c r="E13" s="25" t="s">
        <v>40</v>
      </c>
      <c r="F13" s="25"/>
      <c r="G13" s="23"/>
      <c r="H13" s="24"/>
      <c r="I13" s="23">
        <v>0</v>
      </c>
    </row>
    <row r="14" spans="1:9" x14ac:dyDescent="0.15">
      <c r="A14" s="23">
        <f t="shared" si="0"/>
        <v>2003</v>
      </c>
      <c r="B14" s="23">
        <v>2</v>
      </c>
      <c r="C14" s="23">
        <v>3</v>
      </c>
      <c r="D14" s="23" t="s">
        <v>41</v>
      </c>
      <c r="E14" s="25" t="s">
        <v>42</v>
      </c>
      <c r="F14" s="25"/>
      <c r="G14" s="23"/>
      <c r="H14" s="24"/>
      <c r="I14" s="23">
        <v>0</v>
      </c>
    </row>
    <row r="15" spans="1:9" s="14" customFormat="1" x14ac:dyDescent="0.15">
      <c r="A15" s="29">
        <f t="shared" si="0"/>
        <v>2004</v>
      </c>
      <c r="B15" s="29">
        <v>2</v>
      </c>
      <c r="C15" s="26">
        <v>4</v>
      </c>
      <c r="D15" s="29" t="s">
        <v>43</v>
      </c>
      <c r="E15" s="30" t="s">
        <v>44</v>
      </c>
      <c r="F15" s="30"/>
      <c r="G15" s="29"/>
      <c r="H15" s="31"/>
      <c r="I15" s="29">
        <v>0</v>
      </c>
    </row>
    <row r="16" spans="1:9" x14ac:dyDescent="0.15">
      <c r="A16" s="23">
        <f t="shared" si="0"/>
        <v>2005</v>
      </c>
      <c r="B16" s="23">
        <v>2</v>
      </c>
      <c r="C16" s="23">
        <v>5</v>
      </c>
      <c r="D16" s="23" t="s">
        <v>45</v>
      </c>
      <c r="E16" s="25" t="s">
        <v>46</v>
      </c>
      <c r="F16" s="25"/>
      <c r="G16" s="23"/>
      <c r="H16" s="24"/>
      <c r="I16" s="23">
        <v>0</v>
      </c>
    </row>
    <row r="17" spans="1:9" x14ac:dyDescent="0.15">
      <c r="A17" s="23">
        <f t="shared" si="0"/>
        <v>2006</v>
      </c>
      <c r="B17" s="23">
        <v>2</v>
      </c>
      <c r="C17" s="23">
        <v>6</v>
      </c>
      <c r="D17" s="23" t="s">
        <v>39</v>
      </c>
      <c r="E17" s="25" t="s">
        <v>47</v>
      </c>
      <c r="F17" s="25"/>
      <c r="G17" s="23"/>
      <c r="H17" s="24"/>
      <c r="I17" s="23">
        <v>0</v>
      </c>
    </row>
    <row r="18" spans="1:9" x14ac:dyDescent="0.15">
      <c r="A18" s="23">
        <f t="shared" si="0"/>
        <v>2007</v>
      </c>
      <c r="B18" s="23">
        <v>2</v>
      </c>
      <c r="C18" s="26">
        <v>7</v>
      </c>
      <c r="D18" s="23" t="s">
        <v>48</v>
      </c>
      <c r="E18" s="25" t="s">
        <v>49</v>
      </c>
      <c r="F18" s="25"/>
      <c r="G18" s="23"/>
      <c r="H18" s="24"/>
      <c r="I18" s="23">
        <v>0</v>
      </c>
    </row>
    <row r="19" spans="1:9" x14ac:dyDescent="0.15">
      <c r="A19" s="23">
        <f t="shared" si="0"/>
        <v>2008</v>
      </c>
      <c r="B19" s="23">
        <v>2</v>
      </c>
      <c r="C19" s="23">
        <v>8</v>
      </c>
      <c r="D19" s="23" t="s">
        <v>50</v>
      </c>
      <c r="E19" s="25" t="s">
        <v>51</v>
      </c>
      <c r="F19" s="25"/>
      <c r="G19" s="23"/>
      <c r="H19" s="24"/>
      <c r="I19" s="23">
        <v>0</v>
      </c>
    </row>
    <row r="20" spans="1:9" x14ac:dyDescent="0.15">
      <c r="A20" s="23">
        <f t="shared" si="0"/>
        <v>2009</v>
      </c>
      <c r="B20" s="23">
        <v>2</v>
      </c>
      <c r="C20" s="23">
        <v>9</v>
      </c>
      <c r="D20" s="23" t="s">
        <v>52</v>
      </c>
      <c r="E20" s="25" t="s">
        <v>53</v>
      </c>
      <c r="F20" s="25"/>
      <c r="G20" s="23"/>
      <c r="H20" s="24"/>
      <c r="I20" s="23">
        <v>0</v>
      </c>
    </row>
    <row r="21" spans="1:9" s="15" customFormat="1" x14ac:dyDescent="0.15">
      <c r="A21" s="32">
        <f t="shared" si="0"/>
        <v>3001</v>
      </c>
      <c r="B21" s="32">
        <v>3</v>
      </c>
      <c r="C21" s="32">
        <v>1</v>
      </c>
      <c r="D21" s="32" t="s">
        <v>246</v>
      </c>
      <c r="E21" s="33" t="s">
        <v>54</v>
      </c>
      <c r="F21" s="33"/>
      <c r="G21" s="32"/>
      <c r="H21" s="34"/>
      <c r="I21" s="32">
        <v>0</v>
      </c>
    </row>
    <row r="22" spans="1:9" s="16" customFormat="1" x14ac:dyDescent="0.15">
      <c r="A22" s="29">
        <f t="shared" ref="A22:A35" si="1">B22*1000+C22</f>
        <v>3002</v>
      </c>
      <c r="B22" s="35">
        <v>3</v>
      </c>
      <c r="C22" s="29">
        <v>2</v>
      </c>
      <c r="D22" s="23" t="s">
        <v>55</v>
      </c>
      <c r="E22" s="25" t="s">
        <v>56</v>
      </c>
      <c r="F22" s="36"/>
      <c r="G22" s="35"/>
      <c r="H22" s="37"/>
      <c r="I22" s="35">
        <v>0</v>
      </c>
    </row>
    <row r="23" spans="1:9" x14ac:dyDescent="0.15">
      <c r="A23" s="29">
        <f t="shared" si="1"/>
        <v>3003</v>
      </c>
      <c r="B23" s="35">
        <v>3</v>
      </c>
      <c r="C23" s="29">
        <v>3</v>
      </c>
      <c r="D23" s="23" t="s">
        <v>57</v>
      </c>
      <c r="E23" s="25" t="s">
        <v>58</v>
      </c>
      <c r="I23" s="35">
        <v>0</v>
      </c>
    </row>
    <row r="24" spans="1:9" x14ac:dyDescent="0.15">
      <c r="A24" s="29">
        <f t="shared" si="1"/>
        <v>3004</v>
      </c>
      <c r="B24" s="35">
        <v>3</v>
      </c>
      <c r="C24" s="29">
        <v>4</v>
      </c>
      <c r="D24" s="23" t="s">
        <v>57</v>
      </c>
      <c r="E24" s="25" t="s">
        <v>59</v>
      </c>
      <c r="I24" s="35">
        <v>0</v>
      </c>
    </row>
    <row r="25" spans="1:9" x14ac:dyDescent="0.15">
      <c r="A25" s="29">
        <f t="shared" si="1"/>
        <v>3005</v>
      </c>
      <c r="B25" s="35">
        <v>3</v>
      </c>
      <c r="C25" s="29">
        <v>5</v>
      </c>
      <c r="D25" s="23" t="s">
        <v>57</v>
      </c>
      <c r="E25" s="25" t="s">
        <v>60</v>
      </c>
      <c r="I25" s="35">
        <v>0</v>
      </c>
    </row>
    <row r="26" spans="1:9" x14ac:dyDescent="0.15">
      <c r="A26" s="29">
        <f t="shared" si="1"/>
        <v>3006</v>
      </c>
      <c r="B26" s="35">
        <v>3</v>
      </c>
      <c r="C26" s="29">
        <v>6</v>
      </c>
      <c r="D26" s="23" t="s">
        <v>61</v>
      </c>
      <c r="E26" s="25" t="s">
        <v>62</v>
      </c>
      <c r="F26" s="25"/>
      <c r="G26" s="23"/>
      <c r="H26" s="24"/>
      <c r="I26" s="23">
        <v>0</v>
      </c>
    </row>
    <row r="27" spans="1:9" x14ac:dyDescent="0.15">
      <c r="A27" s="29">
        <f t="shared" si="1"/>
        <v>3007</v>
      </c>
      <c r="B27" s="35">
        <v>3</v>
      </c>
      <c r="C27" s="29">
        <v>7</v>
      </c>
      <c r="D27" s="23" t="s">
        <v>63</v>
      </c>
      <c r="E27" s="25" t="s">
        <v>64</v>
      </c>
      <c r="F27" s="25"/>
      <c r="G27" s="23"/>
      <c r="H27" s="24"/>
      <c r="I27" s="23">
        <v>0</v>
      </c>
    </row>
    <row r="28" spans="1:9" x14ac:dyDescent="0.15">
      <c r="A28" s="29">
        <f t="shared" si="1"/>
        <v>3008</v>
      </c>
      <c r="B28" s="35">
        <v>3</v>
      </c>
      <c r="C28" s="29">
        <v>8</v>
      </c>
      <c r="D28" s="23" t="s">
        <v>65</v>
      </c>
      <c r="E28" s="25" t="s">
        <v>66</v>
      </c>
      <c r="F28" s="25"/>
      <c r="G28" s="23"/>
      <c r="H28" s="24"/>
      <c r="I28" s="23">
        <v>0</v>
      </c>
    </row>
    <row r="29" spans="1:9" x14ac:dyDescent="0.15">
      <c r="A29" s="29">
        <f t="shared" si="1"/>
        <v>3009</v>
      </c>
      <c r="B29" s="35">
        <v>3</v>
      </c>
      <c r="C29" s="29">
        <v>9</v>
      </c>
      <c r="D29" s="23" t="s">
        <v>67</v>
      </c>
      <c r="E29" s="25" t="s">
        <v>68</v>
      </c>
      <c r="F29" s="25"/>
      <c r="G29" s="23"/>
      <c r="H29" s="24"/>
      <c r="I29" s="23">
        <v>0</v>
      </c>
    </row>
    <row r="30" spans="1:9" s="17" customFormat="1" x14ac:dyDescent="0.15">
      <c r="A30" s="38">
        <f t="shared" si="1"/>
        <v>4001</v>
      </c>
      <c r="B30" s="38">
        <v>4</v>
      </c>
      <c r="C30" s="38">
        <v>1</v>
      </c>
      <c r="D30" s="38" t="s">
        <v>69</v>
      </c>
      <c r="E30" s="39" t="s">
        <v>70</v>
      </c>
      <c r="F30" s="39"/>
      <c r="G30" s="38"/>
      <c r="H30" s="40"/>
      <c r="I30" s="38">
        <v>0</v>
      </c>
    </row>
    <row r="31" spans="1:9" x14ac:dyDescent="0.15">
      <c r="A31" s="23">
        <f t="shared" si="1"/>
        <v>4002</v>
      </c>
      <c r="B31" s="23">
        <v>4</v>
      </c>
      <c r="C31" s="23">
        <v>2</v>
      </c>
      <c r="D31" s="23" t="s">
        <v>71</v>
      </c>
      <c r="E31" s="25" t="s">
        <v>72</v>
      </c>
      <c r="F31" s="25"/>
      <c r="G31" s="23"/>
      <c r="H31" s="24"/>
      <c r="I31" s="23">
        <v>0</v>
      </c>
    </row>
    <row r="32" spans="1:9" x14ac:dyDescent="0.15">
      <c r="A32" s="23">
        <f t="shared" si="1"/>
        <v>4003</v>
      </c>
      <c r="B32" s="23">
        <v>4</v>
      </c>
      <c r="C32" s="23">
        <v>3</v>
      </c>
      <c r="D32" s="23" t="s">
        <v>248</v>
      </c>
      <c r="E32" s="25" t="s">
        <v>247</v>
      </c>
      <c r="F32" s="25"/>
      <c r="G32" s="23"/>
      <c r="H32" s="24"/>
      <c r="I32" s="23">
        <v>0</v>
      </c>
    </row>
    <row r="33" spans="1:9" x14ac:dyDescent="0.15">
      <c r="A33" s="23">
        <f t="shared" si="1"/>
        <v>4004</v>
      </c>
      <c r="B33" s="23">
        <v>4</v>
      </c>
      <c r="C33" s="23">
        <v>4</v>
      </c>
      <c r="D33" s="23" t="s">
        <v>73</v>
      </c>
      <c r="E33" s="25" t="s">
        <v>51</v>
      </c>
      <c r="F33" s="25"/>
      <c r="G33" s="23"/>
      <c r="H33" s="24"/>
      <c r="I33" s="23">
        <v>0</v>
      </c>
    </row>
    <row r="34" spans="1:9" s="17" customFormat="1" x14ac:dyDescent="0.15">
      <c r="A34" s="38">
        <f t="shared" si="1"/>
        <v>4005</v>
      </c>
      <c r="B34" s="38">
        <v>4</v>
      </c>
      <c r="C34" s="38">
        <v>5</v>
      </c>
      <c r="D34" s="38" t="s">
        <v>74</v>
      </c>
      <c r="E34" s="39" t="s">
        <v>75</v>
      </c>
      <c r="F34" s="39"/>
      <c r="G34" s="38"/>
      <c r="H34" s="40"/>
      <c r="I34" s="38">
        <v>0</v>
      </c>
    </row>
    <row r="35" spans="1:9" s="17" customFormat="1" x14ac:dyDescent="0.15">
      <c r="A35" s="38">
        <f t="shared" si="1"/>
        <v>4006</v>
      </c>
      <c r="B35" s="38">
        <v>4</v>
      </c>
      <c r="C35" s="38">
        <v>6</v>
      </c>
      <c r="D35" s="38" t="s">
        <v>286</v>
      </c>
      <c r="E35" s="39" t="s">
        <v>287</v>
      </c>
      <c r="F35" s="39"/>
      <c r="G35" s="38"/>
      <c r="H35" s="40"/>
      <c r="I35" s="38">
        <v>0</v>
      </c>
    </row>
    <row r="36" spans="1:9" s="16" customFormat="1" x14ac:dyDescent="0.15">
      <c r="A36" s="35">
        <f t="shared" ref="A36:A42" si="2">B36*1000+C36</f>
        <v>5001</v>
      </c>
      <c r="B36" s="35">
        <v>5</v>
      </c>
      <c r="C36" s="35">
        <v>1</v>
      </c>
      <c r="D36" s="35" t="s">
        <v>76</v>
      </c>
      <c r="E36" s="36" t="s">
        <v>77</v>
      </c>
      <c r="F36" s="35"/>
      <c r="G36" s="35"/>
      <c r="H36" s="37"/>
      <c r="I36" s="35">
        <v>0</v>
      </c>
    </row>
    <row r="37" spans="1:9" x14ac:dyDescent="0.15">
      <c r="A37" s="23">
        <f t="shared" si="2"/>
        <v>5002</v>
      </c>
      <c r="B37" s="23">
        <v>5</v>
      </c>
      <c r="C37" s="23">
        <v>2</v>
      </c>
      <c r="D37" s="23" t="s">
        <v>78</v>
      </c>
      <c r="E37" s="25" t="s">
        <v>79</v>
      </c>
      <c r="F37" s="23"/>
      <c r="G37" s="23"/>
      <c r="H37" s="24"/>
      <c r="I37" s="23">
        <v>0</v>
      </c>
    </row>
    <row r="38" spans="1:9" x14ac:dyDescent="0.15">
      <c r="A38" s="23">
        <f t="shared" si="2"/>
        <v>5003</v>
      </c>
      <c r="B38" s="23">
        <v>5</v>
      </c>
      <c r="C38" s="23">
        <v>3</v>
      </c>
      <c r="D38" s="23" t="s">
        <v>80</v>
      </c>
      <c r="E38" s="25" t="s">
        <v>245</v>
      </c>
      <c r="F38" s="23"/>
      <c r="G38" s="23"/>
      <c r="H38" s="24"/>
      <c r="I38" s="23">
        <v>0</v>
      </c>
    </row>
    <row r="39" spans="1:9" x14ac:dyDescent="0.15">
      <c r="A39" s="23">
        <f t="shared" si="2"/>
        <v>5004</v>
      </c>
      <c r="B39" s="23">
        <v>5</v>
      </c>
      <c r="C39" s="23">
        <v>4</v>
      </c>
      <c r="D39" s="23" t="s">
        <v>81</v>
      </c>
      <c r="E39" s="25" t="s">
        <v>82</v>
      </c>
      <c r="F39" s="23"/>
      <c r="G39" s="23"/>
      <c r="H39" s="24"/>
      <c r="I39" s="23">
        <v>0</v>
      </c>
    </row>
    <row r="40" spans="1:9" x14ac:dyDescent="0.15">
      <c r="A40" s="23">
        <f t="shared" si="2"/>
        <v>5005</v>
      </c>
      <c r="B40" s="23">
        <v>5</v>
      </c>
      <c r="C40" s="23">
        <v>5</v>
      </c>
      <c r="D40" s="23" t="s">
        <v>83</v>
      </c>
      <c r="E40" s="25" t="s">
        <v>84</v>
      </c>
      <c r="F40" s="23"/>
      <c r="G40" s="23"/>
      <c r="H40" s="24"/>
      <c r="I40" s="23">
        <v>0</v>
      </c>
    </row>
    <row r="41" spans="1:9" x14ac:dyDescent="0.15">
      <c r="A41" s="23">
        <f t="shared" si="2"/>
        <v>5006</v>
      </c>
      <c r="B41" s="23">
        <v>5</v>
      </c>
      <c r="C41" s="23">
        <v>6</v>
      </c>
      <c r="D41" s="23" t="s">
        <v>85</v>
      </c>
      <c r="E41" s="25" t="s">
        <v>68</v>
      </c>
      <c r="F41" s="23"/>
      <c r="G41" s="23"/>
      <c r="H41" s="24"/>
      <c r="I41" s="23">
        <v>0</v>
      </c>
    </row>
    <row r="42" spans="1:9" s="16" customFormat="1" x14ac:dyDescent="0.15">
      <c r="A42" s="35">
        <f t="shared" si="2"/>
        <v>5007</v>
      </c>
      <c r="B42" s="35">
        <v>5</v>
      </c>
      <c r="C42" s="35">
        <v>7</v>
      </c>
      <c r="D42" s="35" t="s">
        <v>86</v>
      </c>
      <c r="E42" s="36" t="s">
        <v>75</v>
      </c>
      <c r="F42" s="35"/>
      <c r="G42" s="35"/>
      <c r="H42" s="37"/>
      <c r="I42" s="35">
        <v>0</v>
      </c>
    </row>
    <row r="43" spans="1:9" x14ac:dyDescent="0.15">
      <c r="A43" s="23">
        <f t="shared" ref="A43:A55" si="3">B43*1000+C43</f>
        <v>6001</v>
      </c>
      <c r="B43" s="23">
        <v>6</v>
      </c>
      <c r="C43" s="23">
        <v>1</v>
      </c>
      <c r="D43" s="23" t="s">
        <v>25</v>
      </c>
      <c r="E43" s="23" t="s">
        <v>87</v>
      </c>
      <c r="F43" s="23"/>
      <c r="G43" s="23"/>
      <c r="H43" s="23"/>
      <c r="I43" s="23">
        <v>2</v>
      </c>
    </row>
    <row r="44" spans="1:9" s="18" customFormat="1" x14ac:dyDescent="0.15">
      <c r="A44" s="41">
        <f t="shared" si="3"/>
        <v>7001</v>
      </c>
      <c r="B44" s="41">
        <v>7</v>
      </c>
      <c r="C44" s="41">
        <v>1</v>
      </c>
      <c r="D44" s="41" t="s">
        <v>88</v>
      </c>
      <c r="E44" s="42" t="s">
        <v>89</v>
      </c>
      <c r="F44" s="43"/>
      <c r="G44" s="43"/>
      <c r="H44" s="43"/>
      <c r="I44" s="43">
        <v>3</v>
      </c>
    </row>
    <row r="45" spans="1:9" x14ac:dyDescent="0.15">
      <c r="A45" s="23">
        <f t="shared" si="3"/>
        <v>7002</v>
      </c>
      <c r="B45" s="23">
        <v>7</v>
      </c>
      <c r="C45" s="23">
        <v>2</v>
      </c>
      <c r="D45" s="23" t="s">
        <v>90</v>
      </c>
      <c r="E45" s="44" t="s">
        <v>268</v>
      </c>
      <c r="F45" s="23"/>
      <c r="G45" s="23"/>
      <c r="H45" s="24"/>
      <c r="I45" s="23">
        <v>0</v>
      </c>
    </row>
    <row r="46" spans="1:9" x14ac:dyDescent="0.15">
      <c r="A46" s="23">
        <f t="shared" si="3"/>
        <v>7003</v>
      </c>
      <c r="B46" s="23">
        <v>7</v>
      </c>
      <c r="C46" s="23">
        <v>3</v>
      </c>
      <c r="D46" s="23" t="s">
        <v>90</v>
      </c>
      <c r="E46" s="44" t="s">
        <v>269</v>
      </c>
      <c r="F46" s="23"/>
      <c r="G46" s="23"/>
      <c r="H46" s="24"/>
      <c r="I46" s="23">
        <v>0</v>
      </c>
    </row>
    <row r="47" spans="1:9" x14ac:dyDescent="0.15">
      <c r="A47" s="23">
        <f t="shared" si="3"/>
        <v>7004</v>
      </c>
      <c r="B47" s="23">
        <v>7</v>
      </c>
      <c r="C47" s="23">
        <v>4</v>
      </c>
      <c r="D47" s="23" t="s">
        <v>90</v>
      </c>
      <c r="E47" s="44" t="s">
        <v>270</v>
      </c>
      <c r="F47" s="23"/>
      <c r="G47" s="23"/>
      <c r="H47" s="24"/>
      <c r="I47" s="23">
        <v>0</v>
      </c>
    </row>
    <row r="48" spans="1:9" x14ac:dyDescent="0.15">
      <c r="A48" s="23">
        <f t="shared" si="3"/>
        <v>7005</v>
      </c>
      <c r="B48" s="23">
        <v>7</v>
      </c>
      <c r="C48" s="23">
        <v>5</v>
      </c>
      <c r="D48" s="23" t="s">
        <v>90</v>
      </c>
      <c r="E48" s="44" t="s">
        <v>271</v>
      </c>
      <c r="F48" s="23"/>
      <c r="G48" s="23"/>
      <c r="H48" s="24"/>
      <c r="I48" s="23">
        <v>0</v>
      </c>
    </row>
    <row r="49" spans="1:9" x14ac:dyDescent="0.15">
      <c r="A49" s="23">
        <f t="shared" si="3"/>
        <v>7006</v>
      </c>
      <c r="B49" s="23">
        <v>7</v>
      </c>
      <c r="C49" s="23">
        <v>6</v>
      </c>
      <c r="D49" s="23" t="s">
        <v>90</v>
      </c>
      <c r="E49" s="44" t="s">
        <v>272</v>
      </c>
      <c r="F49" s="23"/>
      <c r="G49" s="23"/>
      <c r="H49" s="24"/>
      <c r="I49" s="23">
        <v>0</v>
      </c>
    </row>
    <row r="50" spans="1:9" x14ac:dyDescent="0.15">
      <c r="A50" s="23">
        <f t="shared" si="3"/>
        <v>7007</v>
      </c>
      <c r="B50" s="23">
        <v>7</v>
      </c>
      <c r="C50" s="23">
        <v>7</v>
      </c>
      <c r="D50" s="23" t="s">
        <v>90</v>
      </c>
      <c r="E50" s="44" t="s">
        <v>274</v>
      </c>
      <c r="F50" s="23"/>
      <c r="G50" s="23"/>
      <c r="H50" s="24"/>
      <c r="I50" s="23">
        <v>0</v>
      </c>
    </row>
    <row r="51" spans="1:9" s="18" customFormat="1" x14ac:dyDescent="0.15">
      <c r="A51" s="43">
        <f t="shared" si="3"/>
        <v>7008</v>
      </c>
      <c r="B51" s="43">
        <v>7</v>
      </c>
      <c r="C51" s="43">
        <v>8</v>
      </c>
      <c r="D51" s="43" t="s">
        <v>91</v>
      </c>
      <c r="E51" s="45" t="s">
        <v>273</v>
      </c>
      <c r="F51" s="43"/>
      <c r="G51" s="43"/>
      <c r="H51" s="46"/>
      <c r="I51" s="43">
        <v>0</v>
      </c>
    </row>
    <row r="52" spans="1:9" x14ac:dyDescent="0.15">
      <c r="A52" s="23">
        <f t="shared" si="3"/>
        <v>7009</v>
      </c>
      <c r="B52" s="23">
        <v>7</v>
      </c>
      <c r="C52" s="23">
        <v>9</v>
      </c>
      <c r="D52" s="23" t="s">
        <v>92</v>
      </c>
      <c r="E52" s="44" t="s">
        <v>93</v>
      </c>
      <c r="F52" s="23"/>
      <c r="G52" s="23"/>
      <c r="H52" s="24"/>
      <c r="I52" s="23">
        <v>0</v>
      </c>
    </row>
    <row r="53" spans="1:9" x14ac:dyDescent="0.15">
      <c r="A53" s="23">
        <f t="shared" si="3"/>
        <v>7010</v>
      </c>
      <c r="B53" s="23">
        <v>7</v>
      </c>
      <c r="C53" s="23">
        <v>10</v>
      </c>
      <c r="D53" s="23" t="s">
        <v>94</v>
      </c>
      <c r="E53" s="44" t="s">
        <v>95</v>
      </c>
      <c r="F53" s="23"/>
      <c r="G53" s="23"/>
      <c r="H53" s="24"/>
      <c r="I53" s="23">
        <v>0</v>
      </c>
    </row>
    <row r="54" spans="1:9" x14ac:dyDescent="0.15">
      <c r="A54" s="23">
        <f t="shared" si="3"/>
        <v>7011</v>
      </c>
      <c r="B54" s="23">
        <v>7</v>
      </c>
      <c r="C54" s="23">
        <v>11</v>
      </c>
      <c r="D54" s="23" t="s">
        <v>96</v>
      </c>
      <c r="E54" s="44" t="s">
        <v>97</v>
      </c>
      <c r="F54" s="23"/>
      <c r="G54" s="23"/>
      <c r="H54" s="24"/>
      <c r="I54" s="23">
        <v>0</v>
      </c>
    </row>
    <row r="55" spans="1:9" x14ac:dyDescent="0.15">
      <c r="A55" s="23">
        <f t="shared" si="3"/>
        <v>7012</v>
      </c>
      <c r="B55" s="23">
        <v>7</v>
      </c>
      <c r="C55" s="23">
        <v>12</v>
      </c>
      <c r="D55" s="23" t="s">
        <v>98</v>
      </c>
      <c r="E55" s="44" t="s">
        <v>99</v>
      </c>
      <c r="F55" s="23"/>
      <c r="G55" s="23"/>
      <c r="H55" s="24"/>
      <c r="I55" s="23">
        <v>1</v>
      </c>
    </row>
    <row r="56" spans="1:9" s="13" customFormat="1" x14ac:dyDescent="0.15">
      <c r="A56" s="26">
        <f t="shared" ref="A56:A62" si="4">B56*1000+C56</f>
        <v>8001</v>
      </c>
      <c r="B56" s="26">
        <v>8</v>
      </c>
      <c r="C56" s="26">
        <v>1</v>
      </c>
      <c r="D56" s="26" t="s">
        <v>100</v>
      </c>
      <c r="E56" s="47" t="s">
        <v>101</v>
      </c>
      <c r="F56" s="26"/>
      <c r="G56" s="26"/>
      <c r="H56" s="28"/>
      <c r="I56" s="26">
        <v>2</v>
      </c>
    </row>
    <row r="57" spans="1:9" x14ac:dyDescent="0.15">
      <c r="A57" s="23">
        <f t="shared" si="4"/>
        <v>8002</v>
      </c>
      <c r="B57" s="23">
        <v>8</v>
      </c>
      <c r="C57" s="23">
        <v>2</v>
      </c>
      <c r="D57" s="23" t="s">
        <v>100</v>
      </c>
      <c r="E57" s="44" t="s">
        <v>102</v>
      </c>
      <c r="F57" s="23"/>
      <c r="G57" s="23"/>
      <c r="H57" s="24"/>
      <c r="I57" s="23">
        <v>0</v>
      </c>
    </row>
    <row r="58" spans="1:9" s="13" customFormat="1" x14ac:dyDescent="0.15">
      <c r="A58" s="26">
        <f t="shared" si="4"/>
        <v>8003</v>
      </c>
      <c r="B58" s="26">
        <v>8</v>
      </c>
      <c r="C58" s="26">
        <v>3</v>
      </c>
      <c r="D58" s="26" t="s">
        <v>100</v>
      </c>
      <c r="E58" s="47" t="s">
        <v>103</v>
      </c>
      <c r="F58" s="26"/>
      <c r="G58" s="26"/>
      <c r="H58" s="28"/>
      <c r="I58" s="26">
        <v>0</v>
      </c>
    </row>
    <row r="59" spans="1:9" x14ac:dyDescent="0.15">
      <c r="A59" s="23">
        <f t="shared" si="4"/>
        <v>9001</v>
      </c>
      <c r="B59" s="23">
        <v>9</v>
      </c>
      <c r="C59" s="23">
        <v>1</v>
      </c>
      <c r="D59" s="23" t="s">
        <v>104</v>
      </c>
      <c r="E59" s="23" t="s">
        <v>105</v>
      </c>
      <c r="F59" s="23"/>
      <c r="G59" s="23"/>
      <c r="H59" s="24"/>
      <c r="I59" s="23">
        <v>0</v>
      </c>
    </row>
    <row r="60" spans="1:9" x14ac:dyDescent="0.15">
      <c r="A60" s="23">
        <f t="shared" si="4"/>
        <v>9002</v>
      </c>
      <c r="B60" s="23">
        <v>9</v>
      </c>
      <c r="C60" s="23">
        <v>2</v>
      </c>
      <c r="D60" s="23" t="s">
        <v>106</v>
      </c>
      <c r="E60" s="23" t="s">
        <v>107</v>
      </c>
      <c r="F60" s="23"/>
      <c r="G60" s="23"/>
      <c r="H60" s="24"/>
      <c r="I60" s="23">
        <v>0</v>
      </c>
    </row>
    <row r="61" spans="1:9" x14ac:dyDescent="0.15">
      <c r="A61" s="23">
        <f t="shared" si="4"/>
        <v>9003</v>
      </c>
      <c r="B61" s="23">
        <v>9</v>
      </c>
      <c r="C61" s="23">
        <v>3</v>
      </c>
      <c r="D61" s="23" t="s">
        <v>108</v>
      </c>
      <c r="E61" s="23" t="s">
        <v>109</v>
      </c>
      <c r="F61" s="23"/>
      <c r="G61" s="23"/>
      <c r="H61" s="24"/>
      <c r="I61" s="23">
        <v>0</v>
      </c>
    </row>
    <row r="62" spans="1:9" x14ac:dyDescent="0.15">
      <c r="A62" s="23">
        <f t="shared" si="4"/>
        <v>10001</v>
      </c>
      <c r="B62" s="23">
        <v>10</v>
      </c>
      <c r="C62" s="23">
        <v>1</v>
      </c>
      <c r="D62" s="23" t="s">
        <v>110</v>
      </c>
      <c r="E62" s="23" t="s">
        <v>111</v>
      </c>
      <c r="F62" s="23"/>
      <c r="G62" s="23"/>
      <c r="H62" s="24"/>
      <c r="I62" s="23">
        <v>0</v>
      </c>
    </row>
    <row r="63" spans="1:9" x14ac:dyDescent="0.15">
      <c r="A63" s="23">
        <f t="shared" ref="A63:A77" si="5">B63*1000+C63</f>
        <v>11001</v>
      </c>
      <c r="B63" s="23">
        <v>11</v>
      </c>
      <c r="C63" s="23">
        <v>1</v>
      </c>
      <c r="D63" s="23" t="s">
        <v>112</v>
      </c>
      <c r="E63" s="23" t="s">
        <v>113</v>
      </c>
      <c r="F63" s="23"/>
      <c r="G63" s="23"/>
      <c r="H63" s="24"/>
      <c r="I63" s="23">
        <v>0</v>
      </c>
    </row>
    <row r="64" spans="1:9" x14ac:dyDescent="0.15">
      <c r="A64" s="23">
        <f t="shared" si="5"/>
        <v>11002</v>
      </c>
      <c r="B64" s="23">
        <v>11</v>
      </c>
      <c r="C64" s="23">
        <v>2</v>
      </c>
      <c r="D64" s="23" t="s">
        <v>114</v>
      </c>
      <c r="E64" s="23" t="s">
        <v>115</v>
      </c>
      <c r="F64" s="23"/>
      <c r="G64" s="23"/>
      <c r="H64" s="24"/>
      <c r="I64" s="23">
        <v>0</v>
      </c>
    </row>
    <row r="65" spans="1:9" x14ac:dyDescent="0.15">
      <c r="A65" s="23">
        <f t="shared" si="5"/>
        <v>11003</v>
      </c>
      <c r="B65" s="23">
        <v>11</v>
      </c>
      <c r="C65" s="23">
        <v>3</v>
      </c>
      <c r="D65" s="23" t="s">
        <v>116</v>
      </c>
      <c r="E65" s="23" t="s">
        <v>117</v>
      </c>
      <c r="F65" s="23"/>
      <c r="G65" s="23"/>
      <c r="H65" s="24"/>
      <c r="I65" s="23">
        <v>0</v>
      </c>
    </row>
    <row r="66" spans="1:9" x14ac:dyDescent="0.15">
      <c r="A66" s="23">
        <f t="shared" si="5"/>
        <v>11004</v>
      </c>
      <c r="B66" s="23">
        <v>11</v>
      </c>
      <c r="C66" s="23">
        <v>4</v>
      </c>
      <c r="D66" s="23" t="s">
        <v>118</v>
      </c>
      <c r="E66" s="23" t="s">
        <v>119</v>
      </c>
      <c r="F66" s="23"/>
      <c r="G66" s="23"/>
      <c r="H66" s="24"/>
      <c r="I66" s="23">
        <v>0</v>
      </c>
    </row>
    <row r="67" spans="1:9" x14ac:dyDescent="0.15">
      <c r="A67" s="23">
        <f t="shared" si="5"/>
        <v>11005</v>
      </c>
      <c r="B67" s="23">
        <v>11</v>
      </c>
      <c r="C67" s="23">
        <v>5</v>
      </c>
      <c r="D67" s="23" t="s">
        <v>120</v>
      </c>
      <c r="E67" s="23" t="s">
        <v>121</v>
      </c>
      <c r="F67" s="23"/>
      <c r="G67" s="23"/>
      <c r="H67" s="24"/>
      <c r="I67" s="23">
        <v>0</v>
      </c>
    </row>
    <row r="68" spans="1:9" x14ac:dyDescent="0.15">
      <c r="A68" s="23">
        <f t="shared" si="5"/>
        <v>11006</v>
      </c>
      <c r="B68" s="23">
        <v>11</v>
      </c>
      <c r="C68" s="23">
        <v>6</v>
      </c>
      <c r="D68" s="23" t="s">
        <v>122</v>
      </c>
      <c r="E68" s="23" t="s">
        <v>123</v>
      </c>
      <c r="F68" s="23"/>
      <c r="G68" s="23"/>
      <c r="H68" s="24"/>
      <c r="I68" s="23">
        <v>0</v>
      </c>
    </row>
    <row r="69" spans="1:9" x14ac:dyDescent="0.15">
      <c r="A69" s="23">
        <f t="shared" si="5"/>
        <v>11007</v>
      </c>
      <c r="B69" s="23">
        <v>11</v>
      </c>
      <c r="C69" s="23">
        <v>7</v>
      </c>
      <c r="D69" s="23" t="s">
        <v>124</v>
      </c>
      <c r="E69" s="23" t="s">
        <v>125</v>
      </c>
      <c r="F69" s="23"/>
      <c r="G69" s="23"/>
      <c r="H69" s="24"/>
      <c r="I69" s="23">
        <v>0</v>
      </c>
    </row>
    <row r="70" spans="1:9" x14ac:dyDescent="0.15">
      <c r="A70" s="23">
        <f t="shared" si="5"/>
        <v>11008</v>
      </c>
      <c r="B70" s="23">
        <v>11</v>
      </c>
      <c r="C70" s="23">
        <v>8</v>
      </c>
      <c r="D70" s="23" t="s">
        <v>126</v>
      </c>
      <c r="E70" s="23" t="s">
        <v>127</v>
      </c>
      <c r="F70" s="23"/>
      <c r="G70" s="23"/>
      <c r="H70" s="24"/>
      <c r="I70" s="23">
        <v>0</v>
      </c>
    </row>
    <row r="71" spans="1:9" x14ac:dyDescent="0.15">
      <c r="A71" s="23">
        <f t="shared" si="5"/>
        <v>11009</v>
      </c>
      <c r="B71" s="23">
        <v>11</v>
      </c>
      <c r="C71" s="23">
        <v>9</v>
      </c>
      <c r="D71" s="23" t="s">
        <v>128</v>
      </c>
      <c r="E71" s="23" t="s">
        <v>129</v>
      </c>
      <c r="F71" s="23"/>
      <c r="G71" s="23"/>
      <c r="H71" s="24"/>
      <c r="I71" s="23">
        <v>0</v>
      </c>
    </row>
    <row r="72" spans="1:9" x14ac:dyDescent="0.15">
      <c r="A72" s="23">
        <f t="shared" si="5"/>
        <v>11010</v>
      </c>
      <c r="B72" s="23">
        <v>11</v>
      </c>
      <c r="C72" s="23">
        <v>10</v>
      </c>
      <c r="D72" s="23" t="s">
        <v>130</v>
      </c>
      <c r="E72" s="23" t="s">
        <v>131</v>
      </c>
      <c r="F72" s="23"/>
      <c r="G72" s="23"/>
      <c r="H72" s="24"/>
      <c r="I72" s="23">
        <v>0</v>
      </c>
    </row>
    <row r="73" spans="1:9" x14ac:dyDescent="0.15">
      <c r="A73" s="23">
        <f t="shared" si="5"/>
        <v>11011</v>
      </c>
      <c r="B73" s="23">
        <v>11</v>
      </c>
      <c r="C73" s="23">
        <v>11</v>
      </c>
      <c r="D73" s="23" t="s">
        <v>132</v>
      </c>
      <c r="E73" s="23" t="s">
        <v>133</v>
      </c>
      <c r="F73" s="23"/>
      <c r="G73" s="23"/>
      <c r="H73" s="24"/>
      <c r="I73" s="23">
        <v>0</v>
      </c>
    </row>
    <row r="74" spans="1:9" x14ac:dyDescent="0.15">
      <c r="A74" s="23">
        <f t="shared" si="5"/>
        <v>11012</v>
      </c>
      <c r="B74" s="23">
        <v>11</v>
      </c>
      <c r="C74" s="23">
        <v>12</v>
      </c>
      <c r="D74" s="23" t="s">
        <v>134</v>
      </c>
      <c r="E74" s="23" t="s">
        <v>135</v>
      </c>
      <c r="F74" s="23"/>
      <c r="G74" s="23"/>
      <c r="H74" s="24"/>
      <c r="I74" s="23">
        <v>0</v>
      </c>
    </row>
    <row r="75" spans="1:9" x14ac:dyDescent="0.15">
      <c r="A75" s="23">
        <f t="shared" si="5"/>
        <v>11013</v>
      </c>
      <c r="B75" s="23">
        <v>11</v>
      </c>
      <c r="C75" s="23">
        <v>13</v>
      </c>
      <c r="D75" s="23" t="s">
        <v>136</v>
      </c>
      <c r="E75" s="23" t="s">
        <v>137</v>
      </c>
      <c r="F75" s="23"/>
      <c r="G75" s="23"/>
      <c r="H75" s="24"/>
      <c r="I75" s="23">
        <v>0</v>
      </c>
    </row>
    <row r="76" spans="1:9" x14ac:dyDescent="0.15">
      <c r="A76" s="23">
        <f t="shared" si="5"/>
        <v>11014</v>
      </c>
      <c r="B76" s="23">
        <v>11</v>
      </c>
      <c r="C76" s="23">
        <v>14</v>
      </c>
      <c r="D76" s="23" t="s">
        <v>138</v>
      </c>
      <c r="E76" s="23" t="s">
        <v>139</v>
      </c>
      <c r="F76" s="23"/>
      <c r="G76" s="23"/>
      <c r="H76" s="24"/>
      <c r="I76" s="23">
        <v>0</v>
      </c>
    </row>
    <row r="77" spans="1:9" x14ac:dyDescent="0.15">
      <c r="A77" s="23">
        <f t="shared" si="5"/>
        <v>11015</v>
      </c>
      <c r="B77" s="23">
        <v>11</v>
      </c>
      <c r="C77" s="23">
        <v>15</v>
      </c>
      <c r="D77" s="23" t="s">
        <v>140</v>
      </c>
      <c r="E77" s="23" t="s">
        <v>141</v>
      </c>
      <c r="F77" s="23"/>
      <c r="G77" s="23"/>
      <c r="H77" s="24"/>
      <c r="I77" s="23">
        <v>0</v>
      </c>
    </row>
    <row r="78" spans="1:9" x14ac:dyDescent="0.15">
      <c r="A78" s="23">
        <f t="shared" ref="A78:A95" si="6">B78*1000+C78</f>
        <v>12001</v>
      </c>
      <c r="B78" s="23">
        <v>12</v>
      </c>
      <c r="C78" s="23">
        <v>1</v>
      </c>
      <c r="D78" s="23" t="s">
        <v>142</v>
      </c>
      <c r="E78" s="23" t="s">
        <v>143</v>
      </c>
      <c r="F78" s="22">
        <v>0</v>
      </c>
      <c r="G78" s="23"/>
      <c r="H78" s="24"/>
      <c r="I78" s="23">
        <v>1</v>
      </c>
    </row>
    <row r="79" spans="1:9" x14ac:dyDescent="0.15">
      <c r="A79" s="23">
        <f t="shared" si="6"/>
        <v>12002</v>
      </c>
      <c r="B79" s="23">
        <v>12</v>
      </c>
      <c r="C79" s="23">
        <v>2</v>
      </c>
      <c r="D79" s="23" t="s">
        <v>144</v>
      </c>
      <c r="E79" s="23" t="s">
        <v>145</v>
      </c>
      <c r="F79" s="23">
        <v>2</v>
      </c>
      <c r="G79" s="23"/>
      <c r="H79" s="24"/>
      <c r="I79" s="23">
        <v>1</v>
      </c>
    </row>
    <row r="80" spans="1:9" x14ac:dyDescent="0.15">
      <c r="A80" s="23">
        <f t="shared" si="6"/>
        <v>12003</v>
      </c>
      <c r="B80" s="23">
        <v>12</v>
      </c>
      <c r="C80" s="23">
        <v>3</v>
      </c>
      <c r="D80" s="23" t="s">
        <v>146</v>
      </c>
      <c r="E80" s="23" t="s">
        <v>147</v>
      </c>
      <c r="F80" s="23">
        <v>4</v>
      </c>
      <c r="G80" s="23"/>
      <c r="H80" s="24"/>
      <c r="I80" s="23">
        <v>1</v>
      </c>
    </row>
    <row r="81" spans="1:9" x14ac:dyDescent="0.15">
      <c r="A81" s="23">
        <f t="shared" si="6"/>
        <v>12004</v>
      </c>
      <c r="B81" s="23">
        <v>12</v>
      </c>
      <c r="C81" s="23">
        <v>4</v>
      </c>
      <c r="D81" s="23" t="s">
        <v>148</v>
      </c>
      <c r="E81" s="23" t="s">
        <v>149</v>
      </c>
      <c r="F81" s="23">
        <v>6</v>
      </c>
      <c r="G81" s="23"/>
      <c r="H81" s="24"/>
      <c r="I81" s="23">
        <v>1</v>
      </c>
    </row>
    <row r="82" spans="1:9" x14ac:dyDescent="0.15">
      <c r="A82" s="23">
        <f t="shared" si="6"/>
        <v>12005</v>
      </c>
      <c r="B82" s="23">
        <v>12</v>
      </c>
      <c r="C82" s="23">
        <v>5</v>
      </c>
      <c r="D82" s="23" t="s">
        <v>150</v>
      </c>
      <c r="E82" s="23" t="s">
        <v>151</v>
      </c>
      <c r="F82" s="23">
        <v>8</v>
      </c>
      <c r="G82" s="23"/>
      <c r="H82" s="24"/>
      <c r="I82" s="23">
        <v>1</v>
      </c>
    </row>
    <row r="83" spans="1:9" x14ac:dyDescent="0.15">
      <c r="A83" s="23">
        <f t="shared" si="6"/>
        <v>12006</v>
      </c>
      <c r="B83" s="23">
        <v>12</v>
      </c>
      <c r="C83" s="23">
        <v>6</v>
      </c>
      <c r="D83" s="23" t="s">
        <v>152</v>
      </c>
      <c r="E83" s="23" t="s">
        <v>153</v>
      </c>
      <c r="F83" s="23">
        <v>10</v>
      </c>
      <c r="G83" s="23"/>
      <c r="H83" s="24"/>
      <c r="I83" s="23">
        <v>1</v>
      </c>
    </row>
    <row r="84" spans="1:9" x14ac:dyDescent="0.15">
      <c r="A84" s="23">
        <f t="shared" si="6"/>
        <v>12007</v>
      </c>
      <c r="B84" s="23">
        <v>12</v>
      </c>
      <c r="C84" s="23">
        <v>7</v>
      </c>
      <c r="D84" s="23" t="s">
        <v>154</v>
      </c>
      <c r="E84" s="23" t="s">
        <v>155</v>
      </c>
      <c r="F84" s="23">
        <v>12</v>
      </c>
      <c r="G84" s="23"/>
      <c r="H84" s="24"/>
      <c r="I84" s="23">
        <v>1</v>
      </c>
    </row>
    <row r="85" spans="1:9" x14ac:dyDescent="0.15">
      <c r="A85" s="23">
        <f t="shared" si="6"/>
        <v>13001</v>
      </c>
      <c r="B85" s="23">
        <v>13</v>
      </c>
      <c r="C85" s="23">
        <v>1</v>
      </c>
      <c r="D85" s="23" t="s">
        <v>156</v>
      </c>
      <c r="E85" s="23" t="s">
        <v>157</v>
      </c>
      <c r="F85" s="23"/>
      <c r="G85" s="23"/>
      <c r="H85" s="24"/>
      <c r="I85" s="23">
        <v>0</v>
      </c>
    </row>
    <row r="86" spans="1:9" x14ac:dyDescent="0.15">
      <c r="A86" s="23">
        <f t="shared" si="6"/>
        <v>13002</v>
      </c>
      <c r="B86" s="23">
        <v>13</v>
      </c>
      <c r="C86" s="23">
        <v>2</v>
      </c>
      <c r="D86" s="23" t="s">
        <v>156</v>
      </c>
      <c r="E86" s="23" t="s">
        <v>158</v>
      </c>
      <c r="F86" s="23"/>
      <c r="G86" s="23"/>
      <c r="H86" s="24"/>
      <c r="I86" s="23">
        <v>0</v>
      </c>
    </row>
    <row r="87" spans="1:9" x14ac:dyDescent="0.15">
      <c r="A87" s="23">
        <f t="shared" si="6"/>
        <v>14001</v>
      </c>
      <c r="B87" s="23">
        <v>14</v>
      </c>
      <c r="C87" s="23">
        <v>1</v>
      </c>
      <c r="D87" s="23" t="s">
        <v>156</v>
      </c>
      <c r="E87" s="23" t="s">
        <v>159</v>
      </c>
      <c r="F87" s="23"/>
      <c r="G87" s="23"/>
      <c r="H87" s="23"/>
      <c r="I87" s="23">
        <v>0</v>
      </c>
    </row>
    <row r="88" spans="1:9" x14ac:dyDescent="0.15">
      <c r="A88" s="23">
        <f t="shared" si="6"/>
        <v>14002</v>
      </c>
      <c r="B88" s="23">
        <v>14</v>
      </c>
      <c r="C88" s="23">
        <v>2</v>
      </c>
      <c r="D88" s="23" t="s">
        <v>160</v>
      </c>
      <c r="E88" s="23" t="s">
        <v>161</v>
      </c>
      <c r="F88" s="23"/>
      <c r="G88" s="23"/>
      <c r="H88" s="23"/>
      <c r="I88" s="23">
        <v>0</v>
      </c>
    </row>
    <row r="89" spans="1:9" s="17" customFormat="1" x14ac:dyDescent="0.15">
      <c r="A89" s="38">
        <f t="shared" si="6"/>
        <v>15001</v>
      </c>
      <c r="B89" s="38">
        <v>15</v>
      </c>
      <c r="C89" s="38">
        <v>1</v>
      </c>
      <c r="D89" s="38" t="s">
        <v>162</v>
      </c>
      <c r="E89" s="38" t="s">
        <v>163</v>
      </c>
      <c r="F89" s="38"/>
      <c r="G89" s="38"/>
      <c r="H89" s="38"/>
      <c r="I89" s="38">
        <v>0</v>
      </c>
    </row>
    <row r="90" spans="1:9" s="19" customFormat="1" x14ac:dyDescent="0.15">
      <c r="A90" s="48">
        <f t="shared" si="6"/>
        <v>17001</v>
      </c>
      <c r="B90" s="48">
        <v>17</v>
      </c>
      <c r="C90" s="48">
        <v>1</v>
      </c>
      <c r="D90" s="48" t="s">
        <v>164</v>
      </c>
      <c r="E90" s="49" t="s">
        <v>165</v>
      </c>
      <c r="F90" s="48"/>
      <c r="G90" s="48"/>
      <c r="H90" s="48"/>
      <c r="I90" s="48">
        <v>0</v>
      </c>
    </row>
    <row r="91" spans="1:9" x14ac:dyDescent="0.15">
      <c r="A91" s="23">
        <f t="shared" si="6"/>
        <v>17002</v>
      </c>
      <c r="B91" s="23">
        <v>17</v>
      </c>
      <c r="C91" s="23">
        <v>2</v>
      </c>
      <c r="D91" s="23" t="s">
        <v>166</v>
      </c>
      <c r="E91" s="44" t="s">
        <v>167</v>
      </c>
      <c r="F91" s="23"/>
      <c r="G91" s="23"/>
      <c r="H91" s="23"/>
      <c r="I91" s="23">
        <v>0</v>
      </c>
    </row>
    <row r="92" spans="1:9" x14ac:dyDescent="0.15">
      <c r="A92" s="23">
        <f t="shared" si="6"/>
        <v>17003</v>
      </c>
      <c r="B92" s="23">
        <v>17</v>
      </c>
      <c r="C92" s="23">
        <v>3</v>
      </c>
      <c r="D92" s="23" t="s">
        <v>168</v>
      </c>
      <c r="E92" s="44" t="s">
        <v>169</v>
      </c>
      <c r="F92" s="23"/>
      <c r="G92" s="23"/>
      <c r="H92" s="23"/>
      <c r="I92" s="23">
        <v>0</v>
      </c>
    </row>
    <row r="93" spans="1:9" x14ac:dyDescent="0.15">
      <c r="A93" s="23">
        <f t="shared" si="6"/>
        <v>17004</v>
      </c>
      <c r="B93" s="23">
        <v>17</v>
      </c>
      <c r="C93" s="23">
        <v>4</v>
      </c>
      <c r="D93" s="23" t="s">
        <v>170</v>
      </c>
      <c r="E93" s="44" t="s">
        <v>171</v>
      </c>
      <c r="F93" s="23"/>
      <c r="G93" s="23"/>
      <c r="H93" s="23"/>
      <c r="I93" s="23">
        <v>0</v>
      </c>
    </row>
    <row r="94" spans="1:9" x14ac:dyDescent="0.15">
      <c r="A94" s="23">
        <f t="shared" si="6"/>
        <v>17005</v>
      </c>
      <c r="B94" s="23">
        <v>17</v>
      </c>
      <c r="C94" s="23">
        <v>5</v>
      </c>
      <c r="D94" s="23" t="s">
        <v>172</v>
      </c>
      <c r="E94" s="44" t="s">
        <v>173</v>
      </c>
      <c r="F94" s="23"/>
      <c r="G94" s="23"/>
      <c r="H94" s="23"/>
      <c r="I94" s="23">
        <v>0</v>
      </c>
    </row>
    <row r="95" spans="1:9" x14ac:dyDescent="0.15">
      <c r="A95" s="23">
        <f t="shared" si="6"/>
        <v>17006</v>
      </c>
      <c r="B95" s="23">
        <v>17</v>
      </c>
      <c r="C95" s="23">
        <v>6</v>
      </c>
      <c r="D95" s="23" t="s">
        <v>174</v>
      </c>
      <c r="E95" s="44" t="s">
        <v>175</v>
      </c>
      <c r="F95" s="23"/>
      <c r="G95" s="23"/>
      <c r="H95" s="23"/>
      <c r="I95" s="23">
        <v>0</v>
      </c>
    </row>
    <row r="96" spans="1:9" s="18" customFormat="1" x14ac:dyDescent="0.15">
      <c r="A96" s="43">
        <f t="shared" ref="A96:A131" si="7">B96*1000+C96</f>
        <v>18001</v>
      </c>
      <c r="B96" s="43">
        <v>18</v>
      </c>
      <c r="C96" s="43">
        <v>1</v>
      </c>
      <c r="D96" s="43" t="s">
        <v>176</v>
      </c>
      <c r="E96" s="45" t="s">
        <v>177</v>
      </c>
      <c r="F96" s="43"/>
      <c r="G96" s="43"/>
      <c r="H96" s="43"/>
      <c r="I96" s="43">
        <v>0</v>
      </c>
    </row>
    <row r="97" spans="1:9" x14ac:dyDescent="0.15">
      <c r="A97" s="23">
        <f t="shared" si="7"/>
        <v>18002</v>
      </c>
      <c r="B97" s="23">
        <v>18</v>
      </c>
      <c r="C97" s="23">
        <v>2</v>
      </c>
      <c r="D97" s="23" t="s">
        <v>166</v>
      </c>
      <c r="E97" s="44" t="s">
        <v>178</v>
      </c>
      <c r="F97" s="23"/>
      <c r="G97" s="23"/>
      <c r="H97" s="23"/>
      <c r="I97" s="23">
        <v>0</v>
      </c>
    </row>
    <row r="98" spans="1:9" x14ac:dyDescent="0.15">
      <c r="A98" s="23">
        <f t="shared" si="7"/>
        <v>18003</v>
      </c>
      <c r="B98" s="23">
        <v>18</v>
      </c>
      <c r="C98" s="23">
        <v>3</v>
      </c>
      <c r="D98" s="23" t="s">
        <v>168</v>
      </c>
      <c r="E98" s="44" t="s">
        <v>179</v>
      </c>
      <c r="F98" s="23"/>
      <c r="G98" s="23"/>
      <c r="H98" s="23"/>
      <c r="I98" s="23">
        <v>0</v>
      </c>
    </row>
    <row r="99" spans="1:9" x14ac:dyDescent="0.15">
      <c r="A99" s="23">
        <f t="shared" si="7"/>
        <v>18004</v>
      </c>
      <c r="B99" s="23">
        <v>18</v>
      </c>
      <c r="C99" s="23">
        <v>4</v>
      </c>
      <c r="D99" s="23" t="s">
        <v>170</v>
      </c>
      <c r="E99" s="44" t="s">
        <v>180</v>
      </c>
      <c r="F99" s="23"/>
      <c r="G99" s="23"/>
      <c r="H99" s="23"/>
      <c r="I99" s="23">
        <v>0</v>
      </c>
    </row>
    <row r="100" spans="1:9" x14ac:dyDescent="0.15">
      <c r="A100" s="23">
        <f t="shared" si="7"/>
        <v>18005</v>
      </c>
      <c r="B100" s="23">
        <v>18</v>
      </c>
      <c r="C100" s="23">
        <v>5</v>
      </c>
      <c r="D100" s="23" t="s">
        <v>172</v>
      </c>
      <c r="E100" s="44" t="s">
        <v>181</v>
      </c>
      <c r="F100" s="23"/>
      <c r="G100" s="23"/>
      <c r="H100" s="23"/>
      <c r="I100" s="23">
        <v>0</v>
      </c>
    </row>
    <row r="101" spans="1:9" x14ac:dyDescent="0.15">
      <c r="A101" s="23">
        <f t="shared" si="7"/>
        <v>18006</v>
      </c>
      <c r="B101" s="23">
        <v>18</v>
      </c>
      <c r="C101" s="23">
        <v>6</v>
      </c>
      <c r="D101" s="23" t="s">
        <v>174</v>
      </c>
      <c r="E101" s="44" t="s">
        <v>182</v>
      </c>
      <c r="F101" s="23"/>
      <c r="G101" s="23"/>
      <c r="H101" s="23"/>
      <c r="I101" s="23">
        <v>0</v>
      </c>
    </row>
    <row r="102" spans="1:9" s="14" customFormat="1" x14ac:dyDescent="0.15">
      <c r="A102" s="29">
        <f t="shared" si="7"/>
        <v>19001</v>
      </c>
      <c r="B102" s="29">
        <v>19</v>
      </c>
      <c r="C102" s="29">
        <v>1</v>
      </c>
      <c r="D102" s="29" t="s">
        <v>183</v>
      </c>
      <c r="E102" s="29" t="s">
        <v>184</v>
      </c>
      <c r="F102" s="29"/>
      <c r="G102" s="29"/>
      <c r="H102" s="29"/>
      <c r="I102" s="29">
        <v>0</v>
      </c>
    </row>
    <row r="103" spans="1:9" s="20" customFormat="1" x14ac:dyDescent="0.15">
      <c r="A103" s="50">
        <f t="shared" si="7"/>
        <v>20001</v>
      </c>
      <c r="B103" s="20">
        <v>20</v>
      </c>
      <c r="C103" s="20">
        <v>1</v>
      </c>
      <c r="D103" s="20" t="s">
        <v>249</v>
      </c>
      <c r="E103" s="20" t="s">
        <v>185</v>
      </c>
      <c r="I103" s="50">
        <v>0</v>
      </c>
    </row>
    <row r="104" spans="1:9" x14ac:dyDescent="0.15">
      <c r="A104" s="23">
        <f t="shared" si="7"/>
        <v>20002</v>
      </c>
      <c r="B104" s="22">
        <v>20</v>
      </c>
      <c r="C104" s="22">
        <v>2</v>
      </c>
      <c r="D104" s="22" t="s">
        <v>250</v>
      </c>
      <c r="E104" s="22" t="s">
        <v>280</v>
      </c>
      <c r="I104" s="23">
        <v>0</v>
      </c>
    </row>
    <row r="105" spans="1:9" s="20" customFormat="1" x14ac:dyDescent="0.15">
      <c r="A105" s="50">
        <f t="shared" si="7"/>
        <v>20003</v>
      </c>
      <c r="B105" s="20">
        <v>20</v>
      </c>
      <c r="C105" s="20">
        <v>3</v>
      </c>
      <c r="D105" s="20" t="s">
        <v>250</v>
      </c>
      <c r="E105" s="20" t="s">
        <v>186</v>
      </c>
      <c r="I105" s="50">
        <v>0</v>
      </c>
    </row>
    <row r="106" spans="1:9" x14ac:dyDescent="0.15">
      <c r="A106" s="23">
        <f t="shared" si="7"/>
        <v>20004</v>
      </c>
      <c r="B106" s="22">
        <v>20</v>
      </c>
      <c r="C106" s="22">
        <v>4</v>
      </c>
      <c r="D106" s="22" t="s">
        <v>187</v>
      </c>
      <c r="E106" s="22" t="s">
        <v>281</v>
      </c>
      <c r="I106" s="23">
        <v>0</v>
      </c>
    </row>
    <row r="107" spans="1:9" x14ac:dyDescent="0.15">
      <c r="A107" s="23">
        <f t="shared" si="7"/>
        <v>20005</v>
      </c>
      <c r="B107" s="22">
        <v>20</v>
      </c>
      <c r="C107" s="20">
        <v>5</v>
      </c>
      <c r="D107" s="22" t="s">
        <v>188</v>
      </c>
      <c r="E107" s="22" t="s">
        <v>275</v>
      </c>
      <c r="I107" s="23">
        <v>0</v>
      </c>
    </row>
    <row r="108" spans="1:9" x14ac:dyDescent="0.15">
      <c r="A108" s="23">
        <f t="shared" si="7"/>
        <v>20006</v>
      </c>
      <c r="B108" s="22">
        <v>20</v>
      </c>
      <c r="C108" s="22">
        <v>6</v>
      </c>
      <c r="D108" s="22" t="s">
        <v>189</v>
      </c>
      <c r="E108" s="22" t="s">
        <v>276</v>
      </c>
      <c r="I108" s="23">
        <v>0</v>
      </c>
    </row>
    <row r="109" spans="1:9" x14ac:dyDescent="0.15">
      <c r="A109" s="23">
        <f t="shared" si="7"/>
        <v>20007</v>
      </c>
      <c r="B109" s="22">
        <v>20</v>
      </c>
      <c r="C109" s="20">
        <v>7</v>
      </c>
      <c r="D109" s="22" t="s">
        <v>168</v>
      </c>
      <c r="E109" s="22" t="s">
        <v>277</v>
      </c>
      <c r="I109" s="23">
        <v>0</v>
      </c>
    </row>
    <row r="110" spans="1:9" x14ac:dyDescent="0.15">
      <c r="A110" s="23">
        <f t="shared" si="7"/>
        <v>20008</v>
      </c>
      <c r="B110" s="22">
        <v>20</v>
      </c>
      <c r="C110" s="22">
        <v>8</v>
      </c>
      <c r="D110" s="22" t="s">
        <v>190</v>
      </c>
      <c r="E110" s="22" t="s">
        <v>278</v>
      </c>
      <c r="I110" s="23">
        <v>0</v>
      </c>
    </row>
    <row r="111" spans="1:9" x14ac:dyDescent="0.15">
      <c r="A111" s="23">
        <f t="shared" si="7"/>
        <v>20009</v>
      </c>
      <c r="B111" s="22">
        <v>20</v>
      </c>
      <c r="C111" s="20">
        <v>9</v>
      </c>
      <c r="D111" s="22" t="s">
        <v>191</v>
      </c>
      <c r="E111" s="22" t="s">
        <v>279</v>
      </c>
      <c r="I111" s="23">
        <v>0</v>
      </c>
    </row>
    <row r="112" spans="1:9" x14ac:dyDescent="0.15">
      <c r="A112" s="23">
        <f t="shared" si="7"/>
        <v>22001</v>
      </c>
      <c r="B112" s="22">
        <v>22</v>
      </c>
      <c r="C112" s="22">
        <v>1</v>
      </c>
      <c r="D112" s="23" t="s">
        <v>192</v>
      </c>
      <c r="E112" s="23" t="s">
        <v>267</v>
      </c>
      <c r="I112" s="23">
        <v>0</v>
      </c>
    </row>
    <row r="113" spans="1:9" s="21" customFormat="1" x14ac:dyDescent="0.15">
      <c r="A113" s="21">
        <f t="shared" si="7"/>
        <v>21001</v>
      </c>
      <c r="B113" s="21">
        <v>21</v>
      </c>
      <c r="C113" s="21">
        <v>1</v>
      </c>
      <c r="D113" s="21" t="s">
        <v>164</v>
      </c>
      <c r="E113" s="21" t="s">
        <v>193</v>
      </c>
      <c r="I113" s="51">
        <v>0</v>
      </c>
    </row>
    <row r="114" spans="1:9" x14ac:dyDescent="0.15">
      <c r="A114" s="22">
        <f t="shared" si="7"/>
        <v>21002</v>
      </c>
      <c r="B114" s="22">
        <v>21</v>
      </c>
      <c r="C114" s="22">
        <v>2</v>
      </c>
      <c r="D114" s="22" t="s">
        <v>194</v>
      </c>
      <c r="E114" s="22" t="s">
        <v>195</v>
      </c>
      <c r="I114" s="23">
        <v>0</v>
      </c>
    </row>
    <row r="115" spans="1:9" x14ac:dyDescent="0.15">
      <c r="A115" s="22">
        <f t="shared" si="7"/>
        <v>21003</v>
      </c>
      <c r="B115" s="22">
        <v>21</v>
      </c>
      <c r="C115" s="22">
        <v>3</v>
      </c>
      <c r="D115" s="22" t="s">
        <v>196</v>
      </c>
      <c r="E115" s="22" t="s">
        <v>197</v>
      </c>
      <c r="I115" s="23">
        <v>0</v>
      </c>
    </row>
    <row r="116" spans="1:9" x14ac:dyDescent="0.15">
      <c r="A116" s="22">
        <f t="shared" si="7"/>
        <v>21004</v>
      </c>
      <c r="B116" s="22">
        <v>21</v>
      </c>
      <c r="C116" s="22">
        <v>4</v>
      </c>
      <c r="D116" s="22" t="s">
        <v>174</v>
      </c>
      <c r="E116" s="22" t="s">
        <v>198</v>
      </c>
      <c r="I116" s="23">
        <v>0</v>
      </c>
    </row>
    <row r="117" spans="1:9" x14ac:dyDescent="0.15">
      <c r="A117" s="22">
        <f t="shared" si="7"/>
        <v>24001</v>
      </c>
      <c r="B117" s="22">
        <v>24</v>
      </c>
      <c r="C117" s="21">
        <v>1</v>
      </c>
      <c r="D117" s="22" t="s">
        <v>199</v>
      </c>
      <c r="E117" s="22" t="s">
        <v>200</v>
      </c>
      <c r="I117" s="23">
        <v>0</v>
      </c>
    </row>
    <row r="118" spans="1:9" x14ac:dyDescent="0.15">
      <c r="A118" s="22">
        <f t="shared" si="7"/>
        <v>24002</v>
      </c>
      <c r="B118" s="22">
        <v>24</v>
      </c>
      <c r="C118" s="22">
        <v>2</v>
      </c>
      <c r="D118" s="22" t="s">
        <v>201</v>
      </c>
      <c r="E118" s="22" t="s">
        <v>202</v>
      </c>
      <c r="I118" s="23">
        <v>0</v>
      </c>
    </row>
    <row r="119" spans="1:9" x14ac:dyDescent="0.15">
      <c r="A119" s="22">
        <f t="shared" si="7"/>
        <v>24003</v>
      </c>
      <c r="B119" s="22">
        <v>24</v>
      </c>
      <c r="C119" s="22">
        <v>3</v>
      </c>
      <c r="D119" s="22" t="s">
        <v>203</v>
      </c>
      <c r="E119" s="22" t="s">
        <v>204</v>
      </c>
      <c r="I119" s="23">
        <v>0</v>
      </c>
    </row>
    <row r="120" spans="1:9" x14ac:dyDescent="0.15">
      <c r="A120" s="22">
        <f t="shared" si="7"/>
        <v>24004</v>
      </c>
      <c r="B120" s="22">
        <v>24</v>
      </c>
      <c r="C120" s="22">
        <v>4</v>
      </c>
      <c r="D120" s="22" t="s">
        <v>174</v>
      </c>
      <c r="E120" s="22" t="s">
        <v>205</v>
      </c>
      <c r="I120" s="23">
        <v>0</v>
      </c>
    </row>
    <row r="121" spans="1:9" x14ac:dyDescent="0.15">
      <c r="A121" s="22">
        <f t="shared" si="7"/>
        <v>25001</v>
      </c>
      <c r="B121" s="22">
        <v>25</v>
      </c>
      <c r="C121" s="22">
        <v>1</v>
      </c>
      <c r="D121" s="21" t="s">
        <v>260</v>
      </c>
      <c r="E121" s="21" t="s">
        <v>283</v>
      </c>
      <c r="I121" s="23">
        <v>0</v>
      </c>
    </row>
    <row r="122" spans="1:9" x14ac:dyDescent="0.15">
      <c r="A122" s="22">
        <f t="shared" si="7"/>
        <v>25002</v>
      </c>
      <c r="B122" s="22">
        <v>25</v>
      </c>
      <c r="C122" s="22">
        <v>2</v>
      </c>
      <c r="D122" s="21" t="s">
        <v>251</v>
      </c>
      <c r="E122" s="21" t="s">
        <v>284</v>
      </c>
      <c r="I122" s="23">
        <v>0</v>
      </c>
    </row>
    <row r="123" spans="1:9" x14ac:dyDescent="0.15">
      <c r="A123" s="22">
        <f t="shared" si="7"/>
        <v>25003</v>
      </c>
      <c r="B123" s="22">
        <v>25</v>
      </c>
      <c r="C123" s="22">
        <v>3</v>
      </c>
      <c r="D123" s="21" t="s">
        <v>252</v>
      </c>
      <c r="E123" s="21" t="s">
        <v>285</v>
      </c>
      <c r="I123" s="23">
        <v>0</v>
      </c>
    </row>
    <row r="124" spans="1:9" x14ac:dyDescent="0.15">
      <c r="A124" s="22">
        <f t="shared" si="7"/>
        <v>25004</v>
      </c>
      <c r="B124" s="22">
        <v>25</v>
      </c>
      <c r="C124" s="22">
        <v>4</v>
      </c>
      <c r="D124" s="21" t="s">
        <v>253</v>
      </c>
      <c r="E124" s="21" t="s">
        <v>257</v>
      </c>
      <c r="I124" s="23">
        <v>0</v>
      </c>
    </row>
    <row r="125" spans="1:9" x14ac:dyDescent="0.15">
      <c r="A125" s="22">
        <f t="shared" si="7"/>
        <v>25005</v>
      </c>
      <c r="B125" s="22">
        <v>25</v>
      </c>
      <c r="C125" s="22">
        <v>5</v>
      </c>
      <c r="D125" s="21" t="s">
        <v>254</v>
      </c>
      <c r="E125" s="21" t="s">
        <v>258</v>
      </c>
      <c r="I125" s="23">
        <v>0</v>
      </c>
    </row>
    <row r="126" spans="1:9" x14ac:dyDescent="0.15">
      <c r="A126" s="22">
        <f t="shared" si="7"/>
        <v>25006</v>
      </c>
      <c r="B126" s="22">
        <v>25</v>
      </c>
      <c r="C126" s="22">
        <v>6</v>
      </c>
      <c r="D126" s="21" t="s">
        <v>255</v>
      </c>
      <c r="E126" s="21" t="s">
        <v>259</v>
      </c>
      <c r="I126" s="23">
        <v>0</v>
      </c>
    </row>
    <row r="127" spans="1:9" x14ac:dyDescent="0.15">
      <c r="A127" s="22">
        <f t="shared" si="7"/>
        <v>25007</v>
      </c>
      <c r="B127" s="22">
        <v>25</v>
      </c>
      <c r="C127" s="22">
        <v>7</v>
      </c>
      <c r="D127" s="21" t="s">
        <v>256</v>
      </c>
      <c r="E127" s="21" t="s">
        <v>282</v>
      </c>
      <c r="I127" s="23">
        <v>0</v>
      </c>
    </row>
    <row r="128" spans="1:9" x14ac:dyDescent="0.15">
      <c r="A128" s="22">
        <f t="shared" si="7"/>
        <v>26001</v>
      </c>
      <c r="B128" s="22">
        <v>26</v>
      </c>
      <c r="C128" s="22">
        <v>1</v>
      </c>
      <c r="D128" s="22" t="s">
        <v>264</v>
      </c>
      <c r="I128" s="22">
        <v>0</v>
      </c>
    </row>
    <row r="129" spans="1:9" x14ac:dyDescent="0.15">
      <c r="A129" s="22">
        <f t="shared" si="7"/>
        <v>26002</v>
      </c>
      <c r="B129" s="22">
        <v>26</v>
      </c>
      <c r="C129" s="22">
        <v>2</v>
      </c>
      <c r="D129" s="22" t="s">
        <v>263</v>
      </c>
      <c r="I129" s="22">
        <v>0</v>
      </c>
    </row>
    <row r="130" spans="1:9" x14ac:dyDescent="0.15">
      <c r="A130" s="22">
        <f t="shared" si="7"/>
        <v>26003</v>
      </c>
      <c r="B130" s="22">
        <v>26</v>
      </c>
      <c r="C130" s="22">
        <v>3</v>
      </c>
      <c r="D130" s="22" t="s">
        <v>262</v>
      </c>
      <c r="I130" s="22">
        <v>0</v>
      </c>
    </row>
    <row r="131" spans="1:9" x14ac:dyDescent="0.15">
      <c r="A131" s="22">
        <f t="shared" si="7"/>
        <v>26004</v>
      </c>
      <c r="B131" s="22">
        <v>26</v>
      </c>
      <c r="C131" s="22">
        <v>4</v>
      </c>
      <c r="D131" s="22" t="s">
        <v>261</v>
      </c>
      <c r="I131" s="22">
        <v>0</v>
      </c>
    </row>
  </sheetData>
  <autoFilter ref="A1:I120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2"/>
  <sheetViews>
    <sheetView workbookViewId="0">
      <selection activeCell="E13" sqref="E13:E18"/>
    </sheetView>
  </sheetViews>
  <sheetFormatPr defaultColWidth="9" defaultRowHeight="13.5" x14ac:dyDescent="0.15"/>
  <cols>
    <col min="1" max="1" width="6" customWidth="1"/>
    <col min="2" max="2" width="11" customWidth="1"/>
    <col min="3" max="3" width="9.25" customWidth="1"/>
    <col min="4" max="4" width="61.25" customWidth="1"/>
    <col min="5" max="5" width="80" customWidth="1"/>
    <col min="7" max="7" width="61.5" customWidth="1"/>
    <col min="9" max="9" width="14.875" customWidth="1"/>
    <col min="10" max="10" width="13.75" customWidth="1"/>
    <col min="14" max="14" width="28.25" customWidth="1"/>
  </cols>
  <sheetData>
    <row r="1" spans="1:18" ht="16.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8" ht="16.5" x14ac:dyDescent="0.15">
      <c r="A2" s="2" t="s">
        <v>9</v>
      </c>
      <c r="B2" s="2" t="s">
        <v>10</v>
      </c>
      <c r="C2" s="2" t="s">
        <v>9</v>
      </c>
      <c r="D2" s="2" t="s">
        <v>11</v>
      </c>
      <c r="E2" s="2" t="s">
        <v>11</v>
      </c>
      <c r="G2" t="s">
        <v>206</v>
      </c>
      <c r="H2" t="s">
        <v>207</v>
      </c>
      <c r="I2" t="s">
        <v>208</v>
      </c>
      <c r="J2" t="s">
        <v>209</v>
      </c>
      <c r="K2" t="s">
        <v>210</v>
      </c>
      <c r="O2" t="s">
        <v>211</v>
      </c>
      <c r="P2" t="s">
        <v>207</v>
      </c>
      <c r="Q2" t="s">
        <v>212</v>
      </c>
    </row>
    <row r="3" spans="1:18" ht="16.5" x14ac:dyDescent="0.1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G3" t="str">
        <f>_xlfn.CONCAT($G$2,$H$2,H3,$I$2,I3,$J$2,J3,$K$2)</f>
        <v>{ "needmoney":5,"Num":1000,"limittype":1,"limitnum":0}</v>
      </c>
      <c r="H3" s="3">
        <v>1000</v>
      </c>
      <c r="I3">
        <v>1</v>
      </c>
      <c r="J3" s="9">
        <v>0</v>
      </c>
      <c r="N3" t="str">
        <f t="shared" ref="N3:N12" si="0">_xlfn.CONCAT($O$2,O3,$P$2,P3,$Q$2)</f>
        <v>[{ "itemID":1,"Num":1000000}]</v>
      </c>
      <c r="O3">
        <v>1</v>
      </c>
      <c r="P3">
        <v>1000000</v>
      </c>
    </row>
    <row r="4" spans="1:18" ht="16.5" x14ac:dyDescent="0.15">
      <c r="A4" s="2">
        <v>2001</v>
      </c>
      <c r="B4" s="2">
        <v>2</v>
      </c>
      <c r="C4" s="2">
        <v>1</v>
      </c>
      <c r="D4" s="2" t="s">
        <v>213</v>
      </c>
      <c r="E4" s="4" t="s">
        <v>214</v>
      </c>
      <c r="G4" t="str">
        <f t="shared" ref="G4:G12" si="1">_xlfn.CONCAT($G$2,$H$2,H4,$I$2,I4,$J$2,J4,$K$2)</f>
        <v>{ "needmoney":5,"Num":2000,"limittype":1,"limitnum":0}</v>
      </c>
      <c r="H4" s="3">
        <v>2000</v>
      </c>
      <c r="I4">
        <v>1</v>
      </c>
      <c r="J4" s="9">
        <v>0</v>
      </c>
      <c r="N4" t="str">
        <f t="shared" si="0"/>
        <v>[{ "itemID":1,"Num":2100000}]</v>
      </c>
      <c r="O4">
        <v>1</v>
      </c>
      <c r="P4">
        <v>2100000</v>
      </c>
    </row>
    <row r="5" spans="1:18" ht="16.5" x14ac:dyDescent="0.15">
      <c r="A5" s="2">
        <v>2002</v>
      </c>
      <c r="B5" s="2">
        <v>2</v>
      </c>
      <c r="C5" s="2">
        <v>2</v>
      </c>
      <c r="D5" s="2" t="s">
        <v>215</v>
      </c>
      <c r="E5" s="4" t="s">
        <v>216</v>
      </c>
      <c r="G5" t="str">
        <f t="shared" si="1"/>
        <v>{ "needmoney":5,"Num":4000,"limittype":1,"limitnum":0}</v>
      </c>
      <c r="H5" s="3">
        <v>4000</v>
      </c>
      <c r="I5">
        <v>1</v>
      </c>
      <c r="J5" s="9">
        <v>0</v>
      </c>
      <c r="N5" t="str">
        <f t="shared" si="0"/>
        <v>[{ "itemID":1,"Num":4400000}]</v>
      </c>
      <c r="O5">
        <v>1</v>
      </c>
      <c r="P5">
        <v>4400000</v>
      </c>
    </row>
    <row r="6" spans="1:18" ht="16.5" x14ac:dyDescent="0.15">
      <c r="A6" s="2">
        <v>2003</v>
      </c>
      <c r="B6" s="2">
        <v>2</v>
      </c>
      <c r="C6" s="2">
        <v>3</v>
      </c>
      <c r="D6" s="2" t="s">
        <v>217</v>
      </c>
      <c r="E6" s="4" t="s">
        <v>218</v>
      </c>
      <c r="G6" t="str">
        <f t="shared" si="1"/>
        <v>{ "needmoney":5,"Num":1000,"limittype":1,"limitnum":10}</v>
      </c>
      <c r="H6" s="3">
        <v>1000</v>
      </c>
      <c r="I6">
        <v>1</v>
      </c>
      <c r="J6" s="9">
        <v>10</v>
      </c>
      <c r="N6" t="str">
        <f t="shared" si="0"/>
        <v>[{ "itemID":32,"Num":10}]</v>
      </c>
      <c r="O6" s="10" t="s">
        <v>219</v>
      </c>
      <c r="P6" s="9">
        <v>10</v>
      </c>
    </row>
    <row r="7" spans="1:18" ht="16.5" x14ac:dyDescent="0.15">
      <c r="A7" s="2">
        <v>2004</v>
      </c>
      <c r="B7" s="2">
        <v>2</v>
      </c>
      <c r="C7" s="2">
        <v>4</v>
      </c>
      <c r="D7" s="2" t="s">
        <v>220</v>
      </c>
      <c r="E7" s="4" t="s">
        <v>221</v>
      </c>
      <c r="G7" t="str">
        <f t="shared" si="1"/>
        <v>{ "needmoney":5,"Num":5000,"limittype":1,"limitnum":3}</v>
      </c>
      <c r="H7" s="3">
        <v>5000</v>
      </c>
      <c r="I7">
        <v>1</v>
      </c>
      <c r="J7" s="9">
        <v>3</v>
      </c>
      <c r="N7" t="str">
        <f t="shared" si="0"/>
        <v>[{ "itemID":79,"Num":1}]</v>
      </c>
      <c r="O7" s="10" t="s">
        <v>222</v>
      </c>
      <c r="P7" s="9">
        <v>1</v>
      </c>
      <c r="R7" s="1"/>
    </row>
    <row r="8" spans="1:18" ht="16.5" x14ac:dyDescent="0.15">
      <c r="A8" s="2">
        <v>2005</v>
      </c>
      <c r="B8" s="2">
        <v>2</v>
      </c>
      <c r="C8" s="2">
        <v>5</v>
      </c>
      <c r="D8" s="2" t="s">
        <v>223</v>
      </c>
      <c r="E8" s="4" t="s">
        <v>46</v>
      </c>
      <c r="G8" t="str">
        <f t="shared" si="1"/>
        <v>{ "needmoney":5,"Num":200,"limittype":1,"limitnum":0}</v>
      </c>
      <c r="H8" s="3">
        <v>200</v>
      </c>
      <c r="I8">
        <v>1</v>
      </c>
      <c r="J8" s="9">
        <v>0</v>
      </c>
      <c r="N8" t="str">
        <f t="shared" si="0"/>
        <v>[{ "itemID":99,"Num":1}]</v>
      </c>
      <c r="O8" s="10" t="s">
        <v>224</v>
      </c>
      <c r="P8" s="9">
        <v>1</v>
      </c>
    </row>
    <row r="9" spans="1:18" ht="16.5" x14ac:dyDescent="0.15">
      <c r="A9" s="2">
        <v>2006</v>
      </c>
      <c r="B9" s="2">
        <v>2</v>
      </c>
      <c r="C9" s="2">
        <v>6</v>
      </c>
      <c r="D9" s="2" t="s">
        <v>225</v>
      </c>
      <c r="E9" s="4" t="s">
        <v>44</v>
      </c>
      <c r="G9" t="str">
        <f t="shared" si="1"/>
        <v>{ "needmoney":5,"Num":2000,"limittype":1,"limitnum":0}</v>
      </c>
      <c r="H9" s="3">
        <v>2000</v>
      </c>
      <c r="I9">
        <v>1</v>
      </c>
      <c r="J9" s="9">
        <v>0</v>
      </c>
      <c r="N9" t="str">
        <f t="shared" si="0"/>
        <v>[{ "itemID":78,"Num":1}]</v>
      </c>
      <c r="O9" s="10" t="s">
        <v>226</v>
      </c>
      <c r="P9" s="9">
        <v>1</v>
      </c>
    </row>
    <row r="10" spans="1:18" ht="16.5" x14ac:dyDescent="0.15">
      <c r="A10" s="2">
        <v>2007</v>
      </c>
      <c r="B10" s="2">
        <v>2</v>
      </c>
      <c r="C10" s="2">
        <v>7</v>
      </c>
      <c r="D10" s="2" t="s">
        <v>227</v>
      </c>
      <c r="E10" s="4" t="s">
        <v>47</v>
      </c>
      <c r="G10" t="str">
        <f t="shared" si="1"/>
        <v>{ "needmoney":5,"Num":300,"limittype":1,"limitnum":0}</v>
      </c>
      <c r="H10" s="3">
        <v>300</v>
      </c>
      <c r="I10">
        <v>1</v>
      </c>
      <c r="J10" s="9">
        <v>0</v>
      </c>
      <c r="N10" t="str">
        <f t="shared" si="0"/>
        <v>[{ "itemID":27,"Num":1}]</v>
      </c>
      <c r="O10" s="10" t="s">
        <v>228</v>
      </c>
      <c r="P10" s="9">
        <v>1</v>
      </c>
    </row>
    <row r="11" spans="1:18" ht="16.5" x14ac:dyDescent="0.15">
      <c r="A11" s="2">
        <v>2008</v>
      </c>
      <c r="B11" s="2">
        <v>2</v>
      </c>
      <c r="C11" s="2">
        <v>8</v>
      </c>
      <c r="D11" s="2" t="s">
        <v>229</v>
      </c>
      <c r="E11" s="4" t="s">
        <v>51</v>
      </c>
      <c r="G11" s="1" t="str">
        <f t="shared" si="1"/>
        <v>{ "needmoney":5,"Num":1000,"limittype":1,"limitnum":2}</v>
      </c>
      <c r="H11" s="5">
        <v>1000</v>
      </c>
      <c r="I11">
        <v>1</v>
      </c>
      <c r="J11" s="11">
        <v>2</v>
      </c>
      <c r="N11" t="str">
        <f t="shared" si="0"/>
        <v>[{ "itemID":75,"Num":10}]</v>
      </c>
      <c r="O11">
        <v>75</v>
      </c>
      <c r="P11">
        <v>10</v>
      </c>
    </row>
    <row r="12" spans="1:18" s="1" customFormat="1" ht="16.5" x14ac:dyDescent="0.15">
      <c r="A12" s="6"/>
      <c r="B12" s="6"/>
      <c r="C12" s="6"/>
      <c r="D12" s="6"/>
      <c r="E12" s="7"/>
      <c r="G12" s="1" t="str">
        <f t="shared" si="1"/>
        <v>{ "needmoney":5,"Num":5000,"limittype":1,"limitnum":1}</v>
      </c>
      <c r="H12" s="5">
        <v>5000</v>
      </c>
      <c r="I12">
        <v>1</v>
      </c>
      <c r="J12" s="11">
        <v>1</v>
      </c>
      <c r="N12" t="str">
        <f t="shared" si="0"/>
        <v>[{ "itemID":33,"Num":10}]</v>
      </c>
      <c r="O12" s="10" t="s">
        <v>230</v>
      </c>
      <c r="P12" s="9">
        <v>10</v>
      </c>
      <c r="Q12"/>
      <c r="R12"/>
    </row>
    <row r="13" spans="1:18" ht="16.5" x14ac:dyDescent="0.15">
      <c r="A13" s="2">
        <v>2009</v>
      </c>
      <c r="B13" s="2">
        <v>2</v>
      </c>
      <c r="C13" s="2">
        <v>9</v>
      </c>
      <c r="D13" s="2" t="s">
        <v>231</v>
      </c>
      <c r="E13" s="4" t="s">
        <v>58</v>
      </c>
      <c r="O13" s="10"/>
      <c r="P13" s="9"/>
    </row>
    <row r="14" spans="1:18" ht="16.5" x14ac:dyDescent="0.15">
      <c r="A14" s="2">
        <v>2010</v>
      </c>
      <c r="B14" s="2">
        <v>2</v>
      </c>
      <c r="C14" s="2">
        <v>10</v>
      </c>
      <c r="D14" s="2" t="s">
        <v>232</v>
      </c>
      <c r="E14" s="4" t="s">
        <v>56</v>
      </c>
    </row>
    <row r="15" spans="1:18" ht="16.5" x14ac:dyDescent="0.15">
      <c r="A15" s="2">
        <v>2011</v>
      </c>
      <c r="B15" s="2">
        <v>2</v>
      </c>
      <c r="C15" s="2">
        <v>11</v>
      </c>
      <c r="D15" s="2" t="s">
        <v>233</v>
      </c>
      <c r="E15" s="4" t="s">
        <v>64</v>
      </c>
    </row>
    <row r="16" spans="1:18" ht="16.5" x14ac:dyDescent="0.15">
      <c r="A16" s="2">
        <v>2012</v>
      </c>
      <c r="B16" s="2">
        <v>2</v>
      </c>
      <c r="C16" s="2">
        <v>12</v>
      </c>
      <c r="D16" s="2" t="s">
        <v>234</v>
      </c>
      <c r="E16" s="4" t="s">
        <v>235</v>
      </c>
      <c r="G16" t="s">
        <v>236</v>
      </c>
    </row>
    <row r="17" spans="1:16" ht="16.5" x14ac:dyDescent="0.15">
      <c r="A17" s="2">
        <v>2013</v>
      </c>
      <c r="B17" s="2">
        <v>2</v>
      </c>
      <c r="C17" s="2">
        <v>13</v>
      </c>
      <c r="D17" s="2" t="s">
        <v>237</v>
      </c>
      <c r="E17" s="4" t="s">
        <v>66</v>
      </c>
      <c r="G17" t="str">
        <f t="shared" ref="G17:G22" si="2">_xlfn.CONCAT($G$16,$H$2,H17,$I$2,I17,$J$2,J17,$K$2)</f>
        <v>{ "needmoney":1,"Num":10000,"limittype":1,"limitnum":50}</v>
      </c>
      <c r="H17" s="3">
        <v>10000</v>
      </c>
      <c r="I17" s="3">
        <v>1</v>
      </c>
      <c r="J17" s="9">
        <v>50</v>
      </c>
      <c r="N17" t="str">
        <f t="shared" ref="N17:N22" si="3">_xlfn.CONCAT($O$2,O17,$P$2,P17,$Q$2)</f>
        <v>[{ "itemID":30,"Num":1}]</v>
      </c>
      <c r="O17" s="10" t="s">
        <v>238</v>
      </c>
      <c r="P17" s="9">
        <v>1</v>
      </c>
    </row>
    <row r="18" spans="1:16" ht="16.5" x14ac:dyDescent="0.15">
      <c r="A18" s="8"/>
      <c r="B18" s="8"/>
      <c r="C18" s="8"/>
      <c r="D18" s="8" t="s">
        <v>239</v>
      </c>
      <c r="E18" s="8" t="s">
        <v>68</v>
      </c>
      <c r="G18" t="str">
        <f t="shared" si="2"/>
        <v>{ "needmoney":1,"Num":100000,"limittype":1,"limitnum":10}</v>
      </c>
      <c r="H18" s="3">
        <v>100000</v>
      </c>
      <c r="I18" s="3">
        <v>1</v>
      </c>
      <c r="J18" s="9">
        <v>10</v>
      </c>
      <c r="N18" t="str">
        <f t="shared" si="3"/>
        <v>[{ "itemID":77,"Num":1}]</v>
      </c>
      <c r="O18" s="10" t="s">
        <v>240</v>
      </c>
      <c r="P18" s="9">
        <v>1</v>
      </c>
    </row>
    <row r="19" spans="1:16" x14ac:dyDescent="0.15">
      <c r="G19" t="str">
        <f t="shared" si="2"/>
        <v>{ "needmoney":1,"Num":100000,"limittype":1,"limitnum":1}</v>
      </c>
      <c r="H19" s="3">
        <v>100000</v>
      </c>
      <c r="I19" s="3">
        <v>1</v>
      </c>
      <c r="J19" s="9">
        <v>1</v>
      </c>
      <c r="N19" t="str">
        <f t="shared" si="3"/>
        <v>[{ "itemID":25,"Num":1}]</v>
      </c>
      <c r="O19" s="10" t="s">
        <v>241</v>
      </c>
      <c r="P19" s="9">
        <v>1</v>
      </c>
    </row>
    <row r="20" spans="1:16" x14ac:dyDescent="0.15">
      <c r="G20" t="str">
        <f t="shared" si="2"/>
        <v>{ "needmoney":1,"Num":1600000,"limittype":1,"limitnum":10}</v>
      </c>
      <c r="H20" s="3">
        <v>1600000</v>
      </c>
      <c r="I20" s="3">
        <v>1</v>
      </c>
      <c r="J20" s="12">
        <v>10</v>
      </c>
      <c r="N20" t="str">
        <f t="shared" si="3"/>
        <v>[{ "itemID":60,"Num":1}]</v>
      </c>
      <c r="O20" s="10" t="s">
        <v>242</v>
      </c>
      <c r="P20" s="9">
        <v>1</v>
      </c>
    </row>
    <row r="21" spans="1:16" x14ac:dyDescent="0.15">
      <c r="G21" t="str">
        <f t="shared" si="2"/>
        <v>{ "needmoney":1,"Num":4000000,"limittype":1,"limitnum":5}</v>
      </c>
      <c r="H21" s="3">
        <v>4000000</v>
      </c>
      <c r="I21" s="3">
        <v>1</v>
      </c>
      <c r="J21">
        <v>5</v>
      </c>
      <c r="N21" t="str">
        <f t="shared" si="3"/>
        <v>[{ "itemID":61,"Num":1}]</v>
      </c>
      <c r="O21" s="10" t="s">
        <v>243</v>
      </c>
      <c r="P21" s="9">
        <v>1</v>
      </c>
    </row>
    <row r="22" spans="1:16" x14ac:dyDescent="0.15">
      <c r="G22" t="str">
        <f t="shared" si="2"/>
        <v>{ "needmoney":1,"Num":2000000,"limittype":1,"limitnum":3}</v>
      </c>
      <c r="H22" s="3">
        <v>2000000</v>
      </c>
      <c r="I22" s="3">
        <v>1</v>
      </c>
      <c r="J22" s="12">
        <v>3</v>
      </c>
      <c r="N22" t="str">
        <f t="shared" si="3"/>
        <v>[{ "itemID":80,"Num":1}]</v>
      </c>
      <c r="O22" s="10" t="s">
        <v>244</v>
      </c>
      <c r="P22" s="9">
        <v>1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EDY</cp:lastModifiedBy>
  <dcterms:created xsi:type="dcterms:W3CDTF">2023-05-12T11:15:00Z</dcterms:created>
  <dcterms:modified xsi:type="dcterms:W3CDTF">2025-07-08T08:06:47Z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386A1B7F4EF04E75B632C358EB5E76D3_12</vt:lpwstr>
  </property>
</Properties>
</file>