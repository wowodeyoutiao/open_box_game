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主角属性配置" sheetId="2" r:id="rId2"/>
    <sheet name="伙伴属性配置" sheetId="3" r:id="rId3"/>
    <sheet name="战宠属性配置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配置角色升到下一等级所需要的经验值数量</t>
        </r>
      </text>
    </comment>
    <comment ref="D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1：代表主角战士职业
2：代表主角法师职业
3：代表主角祭祀职业
11：代表伙伴战士职业
12：代表伙伴法师职业
13：代表伙伴祭祀职业
21：代表宠物</t>
        </r>
      </text>
    </comment>
    <comment ref="A3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UID=职业id*1000+等级</t>
        </r>
      </text>
    </comment>
  </commentList>
</comments>
</file>

<file path=xl/sharedStrings.xml><?xml version="1.0" encoding="utf-8"?>
<sst xmlns="http://schemas.openxmlformats.org/spreadsheetml/2006/main" count="126" uniqueCount="45">
  <si>
    <t>唯一ID</t>
  </si>
  <si>
    <t>等级</t>
  </si>
  <si>
    <t>所需经验</t>
  </si>
  <si>
    <t>职业区分</t>
  </si>
  <si>
    <t>基础属性</t>
  </si>
  <si>
    <t>int32</t>
  </si>
  <si>
    <t>json</t>
  </si>
  <si>
    <t>UID</t>
  </si>
  <si>
    <t>Level</t>
  </si>
  <si>
    <t>NeedEXP</t>
  </si>
  <si>
    <t>job</t>
  </si>
  <si>
    <t>WarriorBassProperty</t>
  </si>
  <si>
    <t>物理攻击</t>
  </si>
  <si>
    <t>魔法攻击</t>
  </si>
  <si>
    <t>物理防御</t>
  </si>
  <si>
    <t>魔法防御</t>
  </si>
  <si>
    <t>战士生命值</t>
  </si>
  <si>
    <t>命中</t>
  </si>
  <si>
    <t>闪避</t>
  </si>
  <si>
    <t>暴击值</t>
  </si>
  <si>
    <t>韧性值</t>
  </si>
  <si>
    <t>法师生命值</t>
  </si>
  <si>
    <t>祭祀生命值</t>
  </si>
  <si>
    <t>[</t>
  </si>
  <si>
    <t>]</t>
  </si>
  <si>
    <t>{</t>
  </si>
  <si>
    <t>}</t>
  </si>
  <si>
    <t>:</t>
  </si>
  <si>
    <t>,</t>
  </si>
  <si>
    <t>"</t>
  </si>
  <si>
    <t>法师配置</t>
  </si>
  <si>
    <t>祭祀配置</t>
  </si>
  <si>
    <t>攻击</t>
  </si>
  <si>
    <t>物防</t>
  </si>
  <si>
    <t>魔防</t>
  </si>
  <si>
    <t>生命</t>
  </si>
  <si>
    <t>魔躲</t>
  </si>
  <si>
    <t>暴击</t>
  </si>
  <si>
    <t>基础攻击</t>
  </si>
  <si>
    <t>基础物防</t>
  </si>
  <si>
    <t>基础魔防</t>
  </si>
  <si>
    <t>基础生命</t>
  </si>
  <si>
    <t>基础命中</t>
  </si>
  <si>
    <t>基础闪避</t>
  </si>
  <si>
    <t>基础暴击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</si>
</sst>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2" fillId="0" borderId="0" xfId="0" applyFont="1" applyFill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3"/>
  <sheetViews>
    <sheetView tabSelected="1" topLeftCell="A880" workbookViewId="0">
      <selection activeCell="E904" sqref="E904"/>
    </sheetView>
  </sheetViews>
  <sheetFormatPr defaultColWidth="9" defaultRowHeight="17.25" outlineLevelCol="4"/>
  <cols>
    <col min="1" max="1" width="9" style="5"/>
    <col min="2" max="2" width="10.25" style="5" customWidth="1"/>
    <col min="3" max="4" width="11.625" style="5" customWidth="1"/>
    <col min="5" max="5" width="65.625" style="5" customWidth="1"/>
    <col min="6" max="6" width="13.75" style="6" customWidth="1"/>
    <col min="7" max="7" width="7.125" style="5" customWidth="1"/>
    <col min="8" max="16384" width="9" style="5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>
      <c r="A2" s="6" t="s">
        <v>5</v>
      </c>
      <c r="B2" s="6" t="s">
        <v>5</v>
      </c>
      <c r="C2" s="6" t="s">
        <v>5</v>
      </c>
      <c r="D2" s="6" t="s">
        <v>5</v>
      </c>
      <c r="E2" s="7" t="s">
        <v>6</v>
      </c>
    </row>
    <row r="3" spans="1:5">
      <c r="A3" s="6" t="s">
        <v>7</v>
      </c>
      <c r="B3" s="6" t="s">
        <v>8</v>
      </c>
      <c r="C3" s="6" t="s">
        <v>9</v>
      </c>
      <c r="D3" s="6" t="s">
        <v>10</v>
      </c>
      <c r="E3" s="7" t="s">
        <v>11</v>
      </c>
    </row>
    <row r="4" spans="1:5">
      <c r="A4" s="6">
        <f>D4*1000+B4</f>
        <v>1001</v>
      </c>
      <c r="B4" s="6">
        <v>1</v>
      </c>
      <c r="C4" s="8">
        <v>1000</v>
      </c>
      <c r="D4" s="8">
        <v>1</v>
      </c>
      <c r="E4" s="7" t="str">
        <f>主角属性配置!N2</f>
        <v>[{"1":40},{"4":26},{"5":26},{"12":476},{"7":8},{"6":0},{"8":10},{"9":0}]</v>
      </c>
    </row>
    <row r="5" spans="1:5">
      <c r="A5" s="6">
        <f t="shared" ref="A5:A68" si="0">D5*1000+B5</f>
        <v>1002</v>
      </c>
      <c r="B5" s="6">
        <v>2</v>
      </c>
      <c r="C5" s="8">
        <v>1500</v>
      </c>
      <c r="D5" s="8">
        <v>1</v>
      </c>
      <c r="E5" s="7" t="str">
        <f>主角属性配置!N3</f>
        <v>[{"1":40},{"4":26},{"5":26},{"12":552},{"7":8},{"6":0},{"8":10},{"9":0}]</v>
      </c>
    </row>
    <row r="6" spans="1:5">
      <c r="A6" s="6">
        <f t="shared" si="0"/>
        <v>1003</v>
      </c>
      <c r="B6" s="6">
        <v>3</v>
      </c>
      <c r="C6" s="8">
        <v>2500</v>
      </c>
      <c r="D6" s="8">
        <v>1</v>
      </c>
      <c r="E6" s="7" t="str">
        <f>主角属性配置!N4</f>
        <v>[{"1":40},{"4":26},{"5":26},{"12":628},{"7":8},{"6":0},{"8":10},{"9":0}]</v>
      </c>
    </row>
    <row r="7" spans="1:5">
      <c r="A7" s="6">
        <f t="shared" si="0"/>
        <v>1004</v>
      </c>
      <c r="B7" s="6">
        <v>4</v>
      </c>
      <c r="C7" s="8">
        <v>4000</v>
      </c>
      <c r="D7" s="8">
        <v>1</v>
      </c>
      <c r="E7" s="7" t="str">
        <f>主角属性配置!N5</f>
        <v>[{"1":40},{"4":26},{"5":26},{"12":704},{"7":8},{"6":0},{"8":10},{"9":0}]</v>
      </c>
    </row>
    <row r="8" spans="1:5">
      <c r="A8" s="6">
        <f t="shared" si="0"/>
        <v>1005</v>
      </c>
      <c r="B8" s="6">
        <v>5</v>
      </c>
      <c r="C8" s="8">
        <v>6000</v>
      </c>
      <c r="D8" s="8">
        <v>1</v>
      </c>
      <c r="E8" s="7" t="str">
        <f>主角属性配置!N6</f>
        <v>[{"1":40},{"4":26},{"5":26},{"12":779},{"7":8},{"6":0},{"8":10},{"9":0}]</v>
      </c>
    </row>
    <row r="9" spans="1:5">
      <c r="A9" s="6">
        <f t="shared" si="0"/>
        <v>1006</v>
      </c>
      <c r="B9" s="6">
        <v>6</v>
      </c>
      <c r="C9" s="8">
        <v>8500</v>
      </c>
      <c r="D9" s="8">
        <v>1</v>
      </c>
      <c r="E9" s="7" t="str">
        <f>主角属性配置!N7</f>
        <v>[{"1":40},{"4":26},{"5":26},{"12":855},{"7":8},{"6":0},{"8":10},{"9":0}]</v>
      </c>
    </row>
    <row r="10" spans="1:5">
      <c r="A10" s="6">
        <f t="shared" si="0"/>
        <v>1007</v>
      </c>
      <c r="B10" s="6">
        <v>7</v>
      </c>
      <c r="C10" s="8">
        <v>11500</v>
      </c>
      <c r="D10" s="8">
        <v>1</v>
      </c>
      <c r="E10" s="7" t="str">
        <f>主角属性配置!N8</f>
        <v>[{"1":40},{"4":26},{"5":26},{"12":931},{"7":8},{"6":0},{"8":10},{"9":0}]</v>
      </c>
    </row>
    <row r="11" spans="1:5">
      <c r="A11" s="6">
        <f t="shared" si="0"/>
        <v>1008</v>
      </c>
      <c r="B11" s="6">
        <v>8</v>
      </c>
      <c r="C11" s="8">
        <v>15000</v>
      </c>
      <c r="D11" s="8">
        <v>1</v>
      </c>
      <c r="E11" s="7" t="str">
        <f>主角属性配置!N9</f>
        <v>[{"1":40},{"4":26},{"5":26},{"12":1007},{"7":8},{"6":0},{"8":10},{"9":0}]</v>
      </c>
    </row>
    <row r="12" spans="1:5">
      <c r="A12" s="6">
        <f t="shared" si="0"/>
        <v>1009</v>
      </c>
      <c r="B12" s="6">
        <v>9</v>
      </c>
      <c r="C12" s="8">
        <v>19000</v>
      </c>
      <c r="D12" s="8">
        <v>1</v>
      </c>
      <c r="E12" s="7" t="str">
        <f>主角属性配置!N10</f>
        <v>[{"1":40},{"4":26},{"5":26},{"12":1083},{"7":8},{"6":0},{"8":10},{"9":0}]</v>
      </c>
    </row>
    <row r="13" spans="1:5">
      <c r="A13" s="6">
        <f t="shared" si="0"/>
        <v>1010</v>
      </c>
      <c r="B13" s="6">
        <v>10</v>
      </c>
      <c r="C13" s="8">
        <v>23500</v>
      </c>
      <c r="D13" s="8">
        <v>1</v>
      </c>
      <c r="E13" s="7" t="str">
        <f>主角属性配置!N11</f>
        <v>[{"1":42},{"4":27},{"5":27},{"12":1159},{"7":8},{"6":0},{"8":10},{"9":0}]</v>
      </c>
    </row>
    <row r="14" spans="1:5">
      <c r="A14" s="6">
        <f t="shared" si="0"/>
        <v>1011</v>
      </c>
      <c r="B14" s="6">
        <v>11</v>
      </c>
      <c r="C14" s="8">
        <v>29000</v>
      </c>
      <c r="D14" s="8">
        <v>1</v>
      </c>
      <c r="E14" s="7" t="str">
        <f>主角属性配置!N12</f>
        <v>[{"1":42},{"4":27},{"5":27},{"12":1235},{"7":8},{"6":0},{"8":10},{"9":0}]</v>
      </c>
    </row>
    <row r="15" spans="1:5">
      <c r="A15" s="6">
        <f t="shared" si="0"/>
        <v>1012</v>
      </c>
      <c r="B15" s="6">
        <v>12</v>
      </c>
      <c r="C15" s="8">
        <v>35500</v>
      </c>
      <c r="D15" s="8">
        <v>1</v>
      </c>
      <c r="E15" s="7" t="str">
        <f>主角属性配置!N13</f>
        <v>[{"1":42},{"4":27},{"5":27},{"12":1311},{"7":8},{"6":0},{"8":10},{"9":0}]</v>
      </c>
    </row>
    <row r="16" spans="1:5">
      <c r="A16" s="6">
        <f t="shared" si="0"/>
        <v>1013</v>
      </c>
      <c r="B16" s="6">
        <v>13</v>
      </c>
      <c r="C16" s="8">
        <v>43000</v>
      </c>
      <c r="D16" s="8">
        <v>1</v>
      </c>
      <c r="E16" s="7" t="str">
        <f>主角属性配置!N14</f>
        <v>[{"1":42},{"4":27},{"5":27},{"12":1387},{"7":8},{"6":0},{"8":10},{"9":0}]</v>
      </c>
    </row>
    <row r="17" spans="1:5">
      <c r="A17" s="6">
        <f t="shared" si="0"/>
        <v>1014</v>
      </c>
      <c r="B17" s="6">
        <v>14</v>
      </c>
      <c r="C17" s="8">
        <v>51500</v>
      </c>
      <c r="D17" s="8">
        <v>1</v>
      </c>
      <c r="E17" s="7" t="str">
        <f>主角属性配置!N15</f>
        <v>[{"1":42},{"4":27},{"5":27},{"12":1463},{"7":8},{"6":0},{"8":10},{"9":0}]</v>
      </c>
    </row>
    <row r="18" spans="1:5">
      <c r="A18" s="6">
        <f t="shared" si="0"/>
        <v>1015</v>
      </c>
      <c r="B18" s="6">
        <v>15</v>
      </c>
      <c r="C18" s="8">
        <v>61000</v>
      </c>
      <c r="D18" s="8">
        <v>1</v>
      </c>
      <c r="E18" s="7" t="str">
        <f>主角属性配置!N16</f>
        <v>[{"1":42},{"4":28},{"5":28},{"12":1538},{"7":8},{"6":0},{"8":10},{"9":0}]</v>
      </c>
    </row>
    <row r="19" spans="1:5">
      <c r="A19" s="6">
        <f t="shared" si="0"/>
        <v>1016</v>
      </c>
      <c r="B19" s="6">
        <v>16</v>
      </c>
      <c r="C19" s="8">
        <v>72500</v>
      </c>
      <c r="D19" s="8">
        <v>1</v>
      </c>
      <c r="E19" s="7" t="str">
        <f>主角属性配置!N17</f>
        <v>[{"1":42},{"4":28},{"5":28},{"12":1614},{"7":8},{"6":0},{"8":10},{"9":0}]</v>
      </c>
    </row>
    <row r="20" spans="1:5">
      <c r="A20" s="6">
        <f t="shared" si="0"/>
        <v>1017</v>
      </c>
      <c r="B20" s="6">
        <v>17</v>
      </c>
      <c r="C20" s="8">
        <v>86000</v>
      </c>
      <c r="D20" s="8">
        <v>1</v>
      </c>
      <c r="E20" s="7" t="str">
        <f>主角属性配置!N18</f>
        <v>[{"1":42},{"4":28},{"5":28},{"12":1690},{"7":8},{"6":0},{"8":10},{"9":0}]</v>
      </c>
    </row>
    <row r="21" spans="1:5">
      <c r="A21" s="6">
        <f t="shared" si="0"/>
        <v>1018</v>
      </c>
      <c r="B21" s="6">
        <v>18</v>
      </c>
      <c r="C21" s="8">
        <v>101500</v>
      </c>
      <c r="D21" s="8">
        <v>1</v>
      </c>
      <c r="E21" s="7" t="str">
        <f>主角属性配置!N19</f>
        <v>[{"1":42},{"4":28},{"5":28},{"12":1766},{"7":8},{"6":0},{"8":10},{"9":0}]</v>
      </c>
    </row>
    <row r="22" spans="1:5">
      <c r="A22" s="6">
        <f t="shared" si="0"/>
        <v>1019</v>
      </c>
      <c r="B22" s="6">
        <v>19</v>
      </c>
      <c r="C22" s="8">
        <v>119000</v>
      </c>
      <c r="D22" s="8">
        <v>1</v>
      </c>
      <c r="E22" s="7" t="str">
        <f>主角属性配置!N20</f>
        <v>[{"1":42},{"4":28},{"5":28},{"12":1842},{"7":8},{"6":0},{"8":10},{"9":0}]</v>
      </c>
    </row>
    <row r="23" spans="1:5">
      <c r="A23" s="6">
        <f t="shared" si="0"/>
        <v>1020</v>
      </c>
      <c r="B23" s="6">
        <v>20</v>
      </c>
      <c r="C23" s="8">
        <v>138500</v>
      </c>
      <c r="D23" s="8">
        <v>1</v>
      </c>
      <c r="E23" s="7" t="str">
        <f>主角属性配置!N21</f>
        <v>[{"1":44},{"4":28},{"5":28},{"12":2297},{"7":8},{"6":0},{"8":10},{"9":0}]</v>
      </c>
    </row>
    <row r="24" spans="1:5">
      <c r="A24" s="6">
        <f t="shared" si="0"/>
        <v>1021</v>
      </c>
      <c r="B24" s="6">
        <v>21</v>
      </c>
      <c r="C24" s="8">
        <v>161000</v>
      </c>
      <c r="D24" s="8">
        <v>1</v>
      </c>
      <c r="E24" s="7" t="str">
        <f>主角属性配置!N22</f>
        <v>[{"1":44},{"4":28},{"5":28},{"12":2392},{"7":8},{"6":0},{"8":10},{"9":0}]</v>
      </c>
    </row>
    <row r="25" spans="1:5">
      <c r="A25" s="6">
        <f t="shared" si="0"/>
        <v>1022</v>
      </c>
      <c r="B25" s="6">
        <v>22</v>
      </c>
      <c r="C25" s="8">
        <v>186500</v>
      </c>
      <c r="D25" s="8">
        <v>1</v>
      </c>
      <c r="E25" s="7" t="str">
        <f>主角属性配置!N23</f>
        <v>[{"1":44},{"4":28},{"5":28},{"12":2487},{"7":8},{"6":0},{"8":10},{"9":0}]</v>
      </c>
    </row>
    <row r="26" spans="1:5">
      <c r="A26" s="6">
        <f t="shared" si="0"/>
        <v>1023</v>
      </c>
      <c r="B26" s="6">
        <v>23</v>
      </c>
      <c r="C26" s="8">
        <v>215000</v>
      </c>
      <c r="D26" s="8">
        <v>1</v>
      </c>
      <c r="E26" s="7" t="str">
        <f>主角属性配置!N24</f>
        <v>[{"1":44},{"4":28},{"5":28},{"12":2582},{"7":8},{"6":0},{"8":10},{"9":0}]</v>
      </c>
    </row>
    <row r="27" spans="1:5">
      <c r="A27" s="6">
        <f t="shared" si="0"/>
        <v>1024</v>
      </c>
      <c r="B27" s="6">
        <v>24</v>
      </c>
      <c r="C27" s="8">
        <v>246500</v>
      </c>
      <c r="D27" s="8">
        <v>1</v>
      </c>
      <c r="E27" s="7" t="str">
        <f>主角属性配置!N25</f>
        <v>[{"1":44},{"4":28},{"5":28},{"12":2677},{"7":8},{"6":0},{"8":10},{"9":0}]</v>
      </c>
    </row>
    <row r="28" spans="1:5">
      <c r="A28" s="6">
        <f t="shared" si="0"/>
        <v>1025</v>
      </c>
      <c r="B28" s="6">
        <v>25</v>
      </c>
      <c r="C28" s="8">
        <v>281000</v>
      </c>
      <c r="D28" s="8">
        <v>1</v>
      </c>
      <c r="E28" s="7" t="str">
        <f>主角属性配置!N26</f>
        <v>[{"1":45},{"4":29},{"5":29},{"12":2771},{"7":8},{"6":0},{"8":10},{"9":0}]</v>
      </c>
    </row>
    <row r="29" spans="1:5">
      <c r="A29" s="6">
        <f t="shared" si="0"/>
        <v>1026</v>
      </c>
      <c r="B29" s="6">
        <v>26</v>
      </c>
      <c r="C29" s="8">
        <v>320500</v>
      </c>
      <c r="D29" s="8">
        <v>1</v>
      </c>
      <c r="E29" s="7" t="str">
        <f>主角属性配置!N27</f>
        <v>[{"1":45},{"4":29},{"5":29},{"12":2866},{"7":8},{"6":0},{"8":10},{"9":0}]</v>
      </c>
    </row>
    <row r="30" spans="1:5">
      <c r="A30" s="6">
        <f t="shared" si="0"/>
        <v>1027</v>
      </c>
      <c r="B30" s="6">
        <v>27</v>
      </c>
      <c r="C30" s="8">
        <v>365000</v>
      </c>
      <c r="D30" s="8">
        <v>1</v>
      </c>
      <c r="E30" s="7" t="str">
        <f>主角属性配置!N28</f>
        <v>[{"1":45},{"4":29},{"5":29},{"12":2961},{"7":8},{"6":0},{"8":10},{"9":0}]</v>
      </c>
    </row>
    <row r="31" spans="1:5">
      <c r="A31" s="6">
        <f t="shared" si="0"/>
        <v>1028</v>
      </c>
      <c r="B31" s="6">
        <v>28</v>
      </c>
      <c r="C31" s="8">
        <v>414500</v>
      </c>
      <c r="D31" s="8">
        <v>1</v>
      </c>
      <c r="E31" s="7" t="str">
        <f>主角属性配置!N29</f>
        <v>[{"1":45},{"4":29},{"5":29},{"12":3056},{"7":8},{"6":0},{"8":10},{"9":0}]</v>
      </c>
    </row>
    <row r="32" spans="1:5">
      <c r="A32" s="6">
        <f t="shared" si="0"/>
        <v>1029</v>
      </c>
      <c r="B32" s="6">
        <v>29</v>
      </c>
      <c r="C32" s="8">
        <v>469000</v>
      </c>
      <c r="D32" s="8">
        <v>1</v>
      </c>
      <c r="E32" s="7" t="str">
        <f>主角属性配置!N30</f>
        <v>[{"1":45},{"4":29},{"5":29},{"12":3151},{"7":8},{"6":0},{"8":10},{"9":0}]</v>
      </c>
    </row>
    <row r="33" spans="1:5">
      <c r="A33" s="6">
        <f t="shared" si="0"/>
        <v>1030</v>
      </c>
      <c r="B33" s="6">
        <v>30</v>
      </c>
      <c r="C33" s="8">
        <v>528500</v>
      </c>
      <c r="D33" s="8">
        <v>1</v>
      </c>
      <c r="E33" s="7" t="str">
        <f>主角属性配置!N31</f>
        <v>[{"1":46},{"4":30},{"5":30},{"12":3929},{"7":8},{"6":0},{"8":10},{"9":0}]</v>
      </c>
    </row>
    <row r="34" spans="1:5">
      <c r="A34" s="6">
        <f t="shared" si="0"/>
        <v>1031</v>
      </c>
      <c r="B34" s="6">
        <v>31</v>
      </c>
      <c r="C34" s="8">
        <v>596000</v>
      </c>
      <c r="D34" s="8">
        <v>1</v>
      </c>
      <c r="E34" s="7" t="str">
        <f>主角属性配置!N32</f>
        <v>[{"1":46},{"4":30},{"5":30},{"12":4047},{"7":8},{"6":0},{"8":10},{"9":0}]</v>
      </c>
    </row>
    <row r="35" spans="1:5">
      <c r="A35" s="6">
        <f t="shared" si="0"/>
        <v>1032</v>
      </c>
      <c r="B35" s="6">
        <v>32</v>
      </c>
      <c r="C35" s="8">
        <v>671500</v>
      </c>
      <c r="D35" s="8">
        <v>1</v>
      </c>
      <c r="E35" s="7" t="str">
        <f>主角属性配置!N33</f>
        <v>[{"1":46},{"4":30},{"5":30},{"12":4164},{"7":8},{"6":0},{"8":10},{"9":0}]</v>
      </c>
    </row>
    <row r="36" spans="1:5">
      <c r="A36" s="6">
        <f t="shared" si="0"/>
        <v>1033</v>
      </c>
      <c r="B36" s="6">
        <v>33</v>
      </c>
      <c r="C36" s="8">
        <v>755000</v>
      </c>
      <c r="D36" s="8">
        <v>1</v>
      </c>
      <c r="E36" s="7" t="str">
        <f>主角属性配置!N34</f>
        <v>[{"1":46},{"4":30},{"5":30},{"12":4282},{"7":8},{"6":0},{"8":10},{"9":0}]</v>
      </c>
    </row>
    <row r="37" spans="1:5">
      <c r="A37" s="6">
        <f t="shared" si="0"/>
        <v>1034</v>
      </c>
      <c r="B37" s="6">
        <v>34</v>
      </c>
      <c r="C37" s="8">
        <v>846500</v>
      </c>
      <c r="D37" s="8">
        <v>1</v>
      </c>
      <c r="E37" s="7" t="str">
        <f>主角属性配置!N35</f>
        <v>[{"1":46},{"4":30},{"5":30},{"12":4400},{"7":8},{"6":0},{"8":10},{"9":0}]</v>
      </c>
    </row>
    <row r="38" spans="1:5">
      <c r="A38" s="6">
        <f t="shared" si="0"/>
        <v>1035</v>
      </c>
      <c r="B38" s="6">
        <v>35</v>
      </c>
      <c r="C38" s="8">
        <v>946000</v>
      </c>
      <c r="D38" s="8">
        <v>1</v>
      </c>
      <c r="E38" s="7" t="str">
        <f>主角属性配置!N36</f>
        <v>[{"1":47},{"4":30},{"5":30},{"12":4516},{"7":8},{"6":0},{"8":10},{"9":0}]</v>
      </c>
    </row>
    <row r="39" spans="1:5">
      <c r="A39" s="6">
        <f t="shared" si="0"/>
        <v>1036</v>
      </c>
      <c r="B39" s="6">
        <v>36</v>
      </c>
      <c r="C39" s="8">
        <v>1057500</v>
      </c>
      <c r="D39" s="8">
        <v>1</v>
      </c>
      <c r="E39" s="7" t="str">
        <f>主角属性配置!N37</f>
        <v>[{"1":47},{"4":30},{"5":30},{"12":4634},{"7":8},{"6":0},{"8":10},{"9":0}]</v>
      </c>
    </row>
    <row r="40" spans="1:5">
      <c r="A40" s="6">
        <f t="shared" si="0"/>
        <v>1037</v>
      </c>
      <c r="B40" s="6">
        <v>37</v>
      </c>
      <c r="C40" s="8">
        <v>1181000</v>
      </c>
      <c r="D40" s="8">
        <v>1</v>
      </c>
      <c r="E40" s="7" t="str">
        <f>主角属性配置!N38</f>
        <v>[{"1":47},{"4":30},{"5":30},{"12":4752},{"7":8},{"6":0},{"8":10},{"9":0}]</v>
      </c>
    </row>
    <row r="41" spans="1:5">
      <c r="A41" s="6">
        <f t="shared" si="0"/>
        <v>1038</v>
      </c>
      <c r="B41" s="6">
        <v>38</v>
      </c>
      <c r="C41" s="8">
        <v>1316500</v>
      </c>
      <c r="D41" s="8">
        <v>1</v>
      </c>
      <c r="E41" s="7" t="str">
        <f>主角属性配置!N39</f>
        <v>[{"1":47},{"4":30},{"5":30},{"12":4870},{"7":8},{"6":0},{"8":10},{"9":0}]</v>
      </c>
    </row>
    <row r="42" spans="1:5">
      <c r="A42" s="6">
        <f t="shared" si="0"/>
        <v>1039</v>
      </c>
      <c r="B42" s="6">
        <v>39</v>
      </c>
      <c r="C42" s="8">
        <v>1464000</v>
      </c>
      <c r="D42" s="8">
        <v>1</v>
      </c>
      <c r="E42" s="7" t="str">
        <f>主角属性配置!N40</f>
        <v>[{"1":47},{"4":30},{"5":30},{"12":4988},{"7":8},{"6":0},{"8":10},{"9":0}]</v>
      </c>
    </row>
    <row r="43" spans="1:5">
      <c r="A43" s="6">
        <f t="shared" si="0"/>
        <v>1040</v>
      </c>
      <c r="B43" s="6">
        <v>40</v>
      </c>
      <c r="C43" s="8">
        <v>1623500</v>
      </c>
      <c r="D43" s="8">
        <v>1</v>
      </c>
      <c r="E43" s="7" t="str">
        <f>主角属性配置!N41</f>
        <v>[{"1":48},{"4":31},{"5":31},{"12":5105},{"7":8},{"6":0},{"8":10},{"9":0}]</v>
      </c>
    </row>
    <row r="44" spans="1:5">
      <c r="A44" s="6">
        <f t="shared" si="0"/>
        <v>1041</v>
      </c>
      <c r="B44" s="6">
        <v>41</v>
      </c>
      <c r="C44" s="8">
        <v>1813000</v>
      </c>
      <c r="D44" s="8">
        <v>1</v>
      </c>
      <c r="E44" s="7" t="str">
        <f>主角属性配置!N42</f>
        <v>[{"1":48},{"4":31},{"5":31},{"12":5223},{"7":8},{"6":0},{"8":10},{"9":0}]</v>
      </c>
    </row>
    <row r="45" spans="1:5">
      <c r="A45" s="6">
        <f t="shared" si="0"/>
        <v>1042</v>
      </c>
      <c r="B45" s="6">
        <v>42</v>
      </c>
      <c r="C45" s="8">
        <v>2032500</v>
      </c>
      <c r="D45" s="8">
        <v>1</v>
      </c>
      <c r="E45" s="7" t="str">
        <f>主角属性配置!N43</f>
        <v>[{"1":48},{"4":31},{"5":31},{"12":5341},{"7":8},{"6":0},{"8":10},{"9":0}]</v>
      </c>
    </row>
    <row r="46" spans="1:5">
      <c r="A46" s="6">
        <f t="shared" si="0"/>
        <v>1043</v>
      </c>
      <c r="B46" s="6">
        <v>43</v>
      </c>
      <c r="C46" s="8">
        <v>2282000</v>
      </c>
      <c r="D46" s="8">
        <v>1</v>
      </c>
      <c r="E46" s="7" t="str">
        <f>主角属性配置!N44</f>
        <v>[{"1":48},{"4":31},{"5":31},{"12":5459},{"7":8},{"6":0},{"8":10},{"9":0}]</v>
      </c>
    </row>
    <row r="47" spans="1:5">
      <c r="A47" s="6">
        <f t="shared" si="0"/>
        <v>1044</v>
      </c>
      <c r="B47" s="6">
        <v>44</v>
      </c>
      <c r="C47" s="8">
        <v>2561500</v>
      </c>
      <c r="D47" s="8">
        <v>1</v>
      </c>
      <c r="E47" s="7" t="str">
        <f>主角属性配置!N45</f>
        <v>[{"1":48},{"4":31},{"5":31},{"12":5575},{"7":8},{"6":0},{"8":10},{"9":0}]</v>
      </c>
    </row>
    <row r="48" spans="1:5">
      <c r="A48" s="6">
        <f t="shared" si="0"/>
        <v>1045</v>
      </c>
      <c r="B48" s="6">
        <v>45</v>
      </c>
      <c r="C48" s="8">
        <v>2871000</v>
      </c>
      <c r="D48" s="8">
        <v>1</v>
      </c>
      <c r="E48" s="7" t="str">
        <f>主角属性配置!N46</f>
        <v>[{"1":49},{"4":32},{"5":32},{"12":5693},{"7":8},{"6":0},{"8":10},{"9":0}]</v>
      </c>
    </row>
    <row r="49" spans="1:5">
      <c r="A49" s="6">
        <f t="shared" si="0"/>
        <v>1046</v>
      </c>
      <c r="B49" s="6">
        <v>46</v>
      </c>
      <c r="C49" s="8">
        <v>3230500</v>
      </c>
      <c r="D49" s="8">
        <v>1</v>
      </c>
      <c r="E49" s="7" t="str">
        <f>主角属性配置!N47</f>
        <v>[{"1":49},{"4":32},{"5":32},{"12":5811},{"7":8},{"6":0},{"8":10},{"9":0}]</v>
      </c>
    </row>
    <row r="50" spans="1:5">
      <c r="A50" s="6">
        <f t="shared" si="0"/>
        <v>1047</v>
      </c>
      <c r="B50" s="6">
        <v>47</v>
      </c>
      <c r="C50" s="8">
        <v>3640000</v>
      </c>
      <c r="D50" s="8">
        <v>1</v>
      </c>
      <c r="E50" s="7" t="str">
        <f>主角属性配置!N48</f>
        <v>[{"1":49},{"4":32},{"5":32},{"12":5928},{"7":8},{"6":0},{"8":10},{"9":0}]</v>
      </c>
    </row>
    <row r="51" spans="1:5">
      <c r="A51" s="6">
        <f t="shared" si="0"/>
        <v>1048</v>
      </c>
      <c r="B51" s="6">
        <v>48</v>
      </c>
      <c r="C51" s="8">
        <v>4099500</v>
      </c>
      <c r="D51" s="8">
        <v>1</v>
      </c>
      <c r="E51" s="7" t="str">
        <f>主角属性配置!N49</f>
        <v>[{"1":49},{"4":32},{"5":32},{"12":6046},{"7":8},{"6":0},{"8":10},{"9":0}]</v>
      </c>
    </row>
    <row r="52" spans="1:5">
      <c r="A52" s="6">
        <f t="shared" si="0"/>
        <v>1049</v>
      </c>
      <c r="B52" s="6">
        <v>49</v>
      </c>
      <c r="C52" s="8">
        <v>4609000</v>
      </c>
      <c r="D52" s="8">
        <v>1</v>
      </c>
      <c r="E52" s="7" t="str">
        <f>主角属性配置!N50</f>
        <v>[{"1":49},{"4":32},{"5":32},{"12":6164},{"7":8},{"6":0},{"8":10},{"9":0}]</v>
      </c>
    </row>
    <row r="53" spans="1:5">
      <c r="A53" s="6">
        <f t="shared" si="0"/>
        <v>1050</v>
      </c>
      <c r="B53" s="6">
        <v>50</v>
      </c>
      <c r="C53" s="8">
        <v>5168500</v>
      </c>
      <c r="D53" s="8">
        <v>1</v>
      </c>
      <c r="E53" s="7" t="str">
        <f>主角属性配置!N51</f>
        <v>[{"1":50},{"4":33},{"5":33},{"12":7800},{"7":8},{"6":0},{"8":10},{"9":0}]</v>
      </c>
    </row>
    <row r="54" spans="1:5">
      <c r="A54" s="6">
        <f t="shared" si="0"/>
        <v>1051</v>
      </c>
      <c r="B54" s="6">
        <v>51</v>
      </c>
      <c r="C54" s="8">
        <v>5808000</v>
      </c>
      <c r="D54" s="8">
        <v>1</v>
      </c>
      <c r="E54" s="7" t="str">
        <f>主角属性配置!N52</f>
        <v>[{"1":50},{"4":33},{"5":33},{"12":7948},{"7":8},{"6":0},{"8":10},{"9":0}]</v>
      </c>
    </row>
    <row r="55" spans="1:5">
      <c r="A55" s="6">
        <f t="shared" si="0"/>
        <v>1052</v>
      </c>
      <c r="B55" s="6">
        <v>52</v>
      </c>
      <c r="C55" s="8">
        <v>6527500</v>
      </c>
      <c r="D55" s="8">
        <v>1</v>
      </c>
      <c r="E55" s="7" t="str">
        <f>主角属性配置!N53</f>
        <v>[{"1":50},{"4":33},{"5":33},{"12":8096},{"7":8},{"6":0},{"8":10},{"9":0}]</v>
      </c>
    </row>
    <row r="56" spans="1:5">
      <c r="A56" s="6">
        <f t="shared" si="0"/>
        <v>1053</v>
      </c>
      <c r="B56" s="6">
        <v>53</v>
      </c>
      <c r="C56" s="8">
        <v>7327000</v>
      </c>
      <c r="D56" s="8">
        <v>1</v>
      </c>
      <c r="E56" s="7" t="str">
        <f>主角属性配置!N54</f>
        <v>[{"1":50},{"4":33},{"5":33},{"12":8244},{"7":8},{"6":0},{"8":10},{"9":0}]</v>
      </c>
    </row>
    <row r="57" spans="1:5">
      <c r="A57" s="6">
        <f t="shared" si="0"/>
        <v>1054</v>
      </c>
      <c r="B57" s="6">
        <v>54</v>
      </c>
      <c r="C57" s="8">
        <v>8206500</v>
      </c>
      <c r="D57" s="8">
        <v>1</v>
      </c>
      <c r="E57" s="7" t="str">
        <f>主角属性配置!N55</f>
        <v>[{"1":50},{"4":33},{"5":33},{"12":8391},{"7":8},{"6":0},{"8":10},{"9":0}]</v>
      </c>
    </row>
    <row r="58" spans="1:5">
      <c r="A58" s="6">
        <f t="shared" si="0"/>
        <v>1055</v>
      </c>
      <c r="B58" s="6">
        <v>55</v>
      </c>
      <c r="C58" s="8">
        <v>9166000</v>
      </c>
      <c r="D58" s="8">
        <v>1</v>
      </c>
      <c r="E58" s="7" t="str">
        <f>主角属性配置!N56</f>
        <v>[{"1":51},{"4":33},{"5":33},{"12":8539},{"7":8},{"6":0},{"8":10},{"9":0}]</v>
      </c>
    </row>
    <row r="59" spans="1:5">
      <c r="A59" s="6">
        <f t="shared" si="0"/>
        <v>1056</v>
      </c>
      <c r="B59" s="6">
        <v>56</v>
      </c>
      <c r="C59" s="8">
        <v>10225500</v>
      </c>
      <c r="D59" s="8">
        <v>1</v>
      </c>
      <c r="E59" s="7" t="str">
        <f>主角属性配置!N57</f>
        <v>[{"1":51},{"4":33},{"5":33},{"12":8687},{"7":8},{"6":0},{"8":10},{"9":0}]</v>
      </c>
    </row>
    <row r="60" spans="1:5">
      <c r="A60" s="6">
        <f t="shared" si="0"/>
        <v>1057</v>
      </c>
      <c r="B60" s="6">
        <v>57</v>
      </c>
      <c r="C60" s="8">
        <v>11385000</v>
      </c>
      <c r="D60" s="8">
        <v>1</v>
      </c>
      <c r="E60" s="7" t="str">
        <f>主角属性配置!N58</f>
        <v>[{"1":51},{"4":33},{"5":33},{"12":8835},{"7":8},{"6":0},{"8":10},{"9":0}]</v>
      </c>
    </row>
    <row r="61" spans="1:5">
      <c r="A61" s="6">
        <f t="shared" si="0"/>
        <v>1058</v>
      </c>
      <c r="B61" s="6">
        <v>58</v>
      </c>
      <c r="C61" s="8">
        <v>12644500</v>
      </c>
      <c r="D61" s="8">
        <v>1</v>
      </c>
      <c r="E61" s="7" t="str">
        <f>主角属性配置!N59</f>
        <v>[{"1":51},{"4":33},{"5":33},{"12":8983},{"7":8},{"6":0},{"8":10},{"9":0}]</v>
      </c>
    </row>
    <row r="62" spans="1:5">
      <c r="A62" s="6">
        <f t="shared" si="0"/>
        <v>1059</v>
      </c>
      <c r="B62" s="6">
        <v>59</v>
      </c>
      <c r="C62" s="8">
        <v>14004000</v>
      </c>
      <c r="D62" s="8">
        <v>1</v>
      </c>
      <c r="E62" s="7" t="str">
        <f>主角属性配置!N60</f>
        <v>[{"1":51},{"4":33},{"5":33},{"12":9132},{"7":8},{"6":0},{"8":10},{"9":0}]</v>
      </c>
    </row>
    <row r="63" spans="1:5">
      <c r="A63" s="6">
        <f t="shared" si="0"/>
        <v>1060</v>
      </c>
      <c r="B63" s="6">
        <v>60</v>
      </c>
      <c r="C63" s="8">
        <v>15463500</v>
      </c>
      <c r="D63" s="8">
        <v>1</v>
      </c>
      <c r="E63" s="7" t="str">
        <f>主角属性配置!N61</f>
        <v>[{"1":52},{"4":34},{"5":34},{"12":9280},{"7":8},{"6":0},{"8":10},{"9":0}]</v>
      </c>
    </row>
    <row r="64" spans="1:5">
      <c r="A64" s="6">
        <f t="shared" si="0"/>
        <v>1061</v>
      </c>
      <c r="B64" s="6">
        <v>61</v>
      </c>
      <c r="C64" s="8">
        <v>17063000</v>
      </c>
      <c r="D64" s="8">
        <v>1</v>
      </c>
      <c r="E64" s="7" t="str">
        <f>主角属性配置!N62</f>
        <v>[{"1":52},{"4":34},{"5":34},{"12":9428},{"7":8},{"6":0},{"8":10},{"9":0}]</v>
      </c>
    </row>
    <row r="65" spans="1:5">
      <c r="A65" s="6">
        <f t="shared" si="0"/>
        <v>1062</v>
      </c>
      <c r="B65" s="6">
        <v>62</v>
      </c>
      <c r="C65" s="8">
        <v>18802500</v>
      </c>
      <c r="D65" s="8">
        <v>1</v>
      </c>
      <c r="E65" s="7" t="str">
        <f>主角属性配置!N63</f>
        <v>[{"1":52},{"4":34},{"5":34},{"12":9576},{"7":8},{"6":0},{"8":10},{"9":0}]</v>
      </c>
    </row>
    <row r="66" spans="1:5">
      <c r="A66" s="6">
        <f t="shared" si="0"/>
        <v>1063</v>
      </c>
      <c r="B66" s="6">
        <v>63</v>
      </c>
      <c r="C66" s="8">
        <v>20682000</v>
      </c>
      <c r="D66" s="8">
        <v>1</v>
      </c>
      <c r="E66" s="7" t="str">
        <f>主角属性配置!N64</f>
        <v>[{"1":52},{"4":34},{"5":34},{"12":9724},{"7":8},{"6":0},{"8":10},{"9":0}]</v>
      </c>
    </row>
    <row r="67" spans="1:5">
      <c r="A67" s="6">
        <f t="shared" si="0"/>
        <v>1064</v>
      </c>
      <c r="B67" s="6">
        <v>64</v>
      </c>
      <c r="C67" s="8">
        <v>22701500</v>
      </c>
      <c r="D67" s="8">
        <v>1</v>
      </c>
      <c r="E67" s="7" t="str">
        <f>主角属性配置!N65</f>
        <v>[{"1":52},{"4":34},{"5":34},{"12":9871},{"7":8},{"6":0},{"8":10},{"9":0}]</v>
      </c>
    </row>
    <row r="68" spans="1:5">
      <c r="A68" s="6">
        <f t="shared" si="0"/>
        <v>1065</v>
      </c>
      <c r="B68" s="6">
        <v>65</v>
      </c>
      <c r="C68" s="8">
        <v>24861000</v>
      </c>
      <c r="D68" s="8">
        <v>1</v>
      </c>
      <c r="E68" s="7" t="str">
        <f>主角属性配置!N66</f>
        <v>[{"1":53},{"4":35},{"5":35},{"12":10019},{"7":8},{"6":0},{"8":10},{"9":0}]</v>
      </c>
    </row>
    <row r="69" spans="1:5">
      <c r="A69" s="6">
        <f t="shared" ref="A69:A132" si="1">D69*1000+B69</f>
        <v>1066</v>
      </c>
      <c r="B69" s="6">
        <v>66</v>
      </c>
      <c r="C69" s="8">
        <v>27200500</v>
      </c>
      <c r="D69" s="8">
        <v>1</v>
      </c>
      <c r="E69" s="7" t="str">
        <f>主角属性配置!N67</f>
        <v>[{"1":53},{"4":35},{"5":35},{"12":10167},{"7":8},{"6":0},{"8":10},{"9":0}]</v>
      </c>
    </row>
    <row r="70" spans="1:5">
      <c r="A70" s="6">
        <f t="shared" si="1"/>
        <v>1067</v>
      </c>
      <c r="B70" s="6">
        <v>67</v>
      </c>
      <c r="C70" s="8">
        <v>29720000</v>
      </c>
      <c r="D70" s="8">
        <v>1</v>
      </c>
      <c r="E70" s="7" t="str">
        <f>主角属性配置!N68</f>
        <v>[{"1":53},{"4":35},{"5":35},{"12":10315},{"7":8},{"6":0},{"8":10},{"9":0}]</v>
      </c>
    </row>
    <row r="71" spans="1:5">
      <c r="A71" s="6">
        <f t="shared" si="1"/>
        <v>1068</v>
      </c>
      <c r="B71" s="6">
        <v>68</v>
      </c>
      <c r="C71" s="8">
        <v>32419500</v>
      </c>
      <c r="D71" s="8">
        <v>1</v>
      </c>
      <c r="E71" s="7" t="str">
        <f>主角属性配置!N69</f>
        <v>[{"1":53},{"4":35},{"5":35},{"12":10463},{"7":8},{"6":0},{"8":10},{"9":0}]</v>
      </c>
    </row>
    <row r="72" spans="1:5">
      <c r="A72" s="6">
        <f t="shared" si="1"/>
        <v>1069</v>
      </c>
      <c r="B72" s="6">
        <v>69</v>
      </c>
      <c r="C72" s="8">
        <v>35299000</v>
      </c>
      <c r="D72" s="8">
        <v>1</v>
      </c>
      <c r="E72" s="7" t="str">
        <f>主角属性配置!N70</f>
        <v>[{"1":53},{"4":35},{"5":35},{"12":10612},{"7":8},{"6":0},{"8":10},{"9":0}]</v>
      </c>
    </row>
    <row r="73" spans="1:5">
      <c r="A73" s="6">
        <f t="shared" si="1"/>
        <v>1070</v>
      </c>
      <c r="B73" s="6">
        <v>70</v>
      </c>
      <c r="C73" s="8">
        <v>38358500</v>
      </c>
      <c r="D73" s="8">
        <v>1</v>
      </c>
      <c r="E73" s="7" t="str">
        <f>主角属性配置!N71</f>
        <v>[{"1":54},{"4":35},{"5":35},{"12":13682},{"7":8},{"6":0},{"8":10},{"9":0}]</v>
      </c>
    </row>
    <row r="74" spans="1:5">
      <c r="A74" s="6">
        <f t="shared" si="1"/>
        <v>1071</v>
      </c>
      <c r="B74" s="6">
        <v>71</v>
      </c>
      <c r="C74" s="8">
        <v>41668000</v>
      </c>
      <c r="D74" s="8">
        <v>1</v>
      </c>
      <c r="E74" s="7" t="str">
        <f>主角属性配置!N72</f>
        <v>[{"1":54},{"4":35},{"5":35},{"12":13872},{"7":8},{"6":0},{"8":10},{"9":0}]</v>
      </c>
    </row>
    <row r="75" spans="1:5">
      <c r="A75" s="6">
        <f t="shared" si="1"/>
        <v>1072</v>
      </c>
      <c r="B75" s="6">
        <v>72</v>
      </c>
      <c r="C75" s="8">
        <v>45227500</v>
      </c>
      <c r="D75" s="8">
        <v>1</v>
      </c>
      <c r="E75" s="7" t="str">
        <f>主角属性配置!N73</f>
        <v>[{"1":54},{"4":35},{"5":35},{"12":14062},{"7":8},{"6":0},{"8":10},{"9":0}]</v>
      </c>
    </row>
    <row r="76" spans="1:5">
      <c r="A76" s="6">
        <f t="shared" si="1"/>
        <v>1073</v>
      </c>
      <c r="B76" s="6">
        <v>73</v>
      </c>
      <c r="C76" s="8">
        <v>49037000</v>
      </c>
      <c r="D76" s="8">
        <v>1</v>
      </c>
      <c r="E76" s="7" t="str">
        <f>主角属性配置!N74</f>
        <v>[{"1":54},{"4":35},{"5":35},{"12":14252},{"7":8},{"6":0},{"8":10},{"9":0}]</v>
      </c>
    </row>
    <row r="77" spans="1:5">
      <c r="A77" s="6">
        <f t="shared" si="1"/>
        <v>1074</v>
      </c>
      <c r="B77" s="6">
        <v>74</v>
      </c>
      <c r="C77" s="8">
        <v>53096500</v>
      </c>
      <c r="D77" s="8">
        <v>1</v>
      </c>
      <c r="E77" s="7" t="str">
        <f>主角属性配置!N75</f>
        <v>[{"1":54},{"4":35},{"5":35},{"12":14440},{"7":8},{"6":0},{"8":10},{"9":0}]</v>
      </c>
    </row>
    <row r="78" spans="1:5">
      <c r="A78" s="6">
        <f t="shared" si="1"/>
        <v>1075</v>
      </c>
      <c r="B78" s="6">
        <v>75</v>
      </c>
      <c r="C78" s="8">
        <v>57406000</v>
      </c>
      <c r="D78" s="8">
        <v>1</v>
      </c>
      <c r="E78" s="7" t="str">
        <f>主角属性配置!N76</f>
        <v>[{"1":55},{"4":36},{"5":36},{"12":14630},{"7":8},{"6":0},{"8":10},{"9":0}]</v>
      </c>
    </row>
    <row r="79" spans="1:5">
      <c r="A79" s="6">
        <f t="shared" si="1"/>
        <v>1076</v>
      </c>
      <c r="B79" s="6">
        <v>76</v>
      </c>
      <c r="C79" s="8">
        <v>62215500</v>
      </c>
      <c r="D79" s="8">
        <v>1</v>
      </c>
      <c r="E79" s="7" t="str">
        <f>主角属性配置!N77</f>
        <v>[{"1":55},{"4":36},{"5":36},{"12":14820},{"7":8},{"6":0},{"8":10},{"9":0}]</v>
      </c>
    </row>
    <row r="80" spans="1:5">
      <c r="A80" s="6">
        <f t="shared" si="1"/>
        <v>1077</v>
      </c>
      <c r="B80" s="6">
        <v>77</v>
      </c>
      <c r="C80" s="8">
        <v>67525000</v>
      </c>
      <c r="D80" s="8">
        <v>1</v>
      </c>
      <c r="E80" s="7" t="str">
        <f>主角属性配置!N78</f>
        <v>[{"1":55},{"4":36},{"5":36},{"12":15010},{"7":8},{"6":0},{"8":10},{"9":0}]</v>
      </c>
    </row>
    <row r="81" spans="1:5">
      <c r="A81" s="6">
        <f t="shared" si="1"/>
        <v>1078</v>
      </c>
      <c r="B81" s="6">
        <v>78</v>
      </c>
      <c r="C81" s="8">
        <v>73334500</v>
      </c>
      <c r="D81" s="8">
        <v>1</v>
      </c>
      <c r="E81" s="7" t="str">
        <f>主角属性配置!N79</f>
        <v>[{"1":55},{"4":36},{"5":36},{"12":15200},{"7":8},{"6":0},{"8":10},{"9":0}]</v>
      </c>
    </row>
    <row r="82" spans="1:5">
      <c r="A82" s="6">
        <f t="shared" si="1"/>
        <v>1079</v>
      </c>
      <c r="B82" s="6">
        <v>79</v>
      </c>
      <c r="C82" s="8">
        <v>79644000</v>
      </c>
      <c r="D82" s="8">
        <v>1</v>
      </c>
      <c r="E82" s="7" t="str">
        <f>主角属性配置!N80</f>
        <v>[{"1":55},{"4":36},{"5":36},{"12":15390},{"7":8},{"6":0},{"8":10},{"9":0}]</v>
      </c>
    </row>
    <row r="83" spans="1:5">
      <c r="A83" s="6">
        <f t="shared" si="1"/>
        <v>1080</v>
      </c>
      <c r="B83" s="6">
        <v>80</v>
      </c>
      <c r="C83" s="8">
        <v>86453500</v>
      </c>
      <c r="D83" s="8">
        <v>1</v>
      </c>
      <c r="E83" s="7" t="str">
        <f>主角属性配置!N81</f>
        <v>[{"1":56},{"4":37},{"5":37},{"12":15580},{"7":8},{"6":0},{"8":10},{"9":0}]</v>
      </c>
    </row>
    <row r="84" spans="1:5">
      <c r="A84" s="6">
        <f t="shared" si="1"/>
        <v>1081</v>
      </c>
      <c r="B84" s="6">
        <v>81</v>
      </c>
      <c r="C84" s="8">
        <v>94263000</v>
      </c>
      <c r="D84" s="8">
        <v>1</v>
      </c>
      <c r="E84" s="7" t="str">
        <f>主角属性配置!N82</f>
        <v>[{"1":56},{"4":37},{"5":37},{"12":15770},{"7":8},{"6":0},{"8":10},{"9":0}]</v>
      </c>
    </row>
    <row r="85" spans="1:5">
      <c r="A85" s="6">
        <f t="shared" si="1"/>
        <v>1082</v>
      </c>
      <c r="B85" s="6">
        <v>82</v>
      </c>
      <c r="C85" s="8">
        <v>103072500</v>
      </c>
      <c r="D85" s="8">
        <v>1</v>
      </c>
      <c r="E85" s="7" t="str">
        <f>主角属性配置!N83</f>
        <v>[{"1":56},{"4":37},{"5":37},{"12":15960},{"7":8},{"6":0},{"8":10},{"9":0}]</v>
      </c>
    </row>
    <row r="86" spans="1:5">
      <c r="A86" s="6">
        <f t="shared" si="1"/>
        <v>1083</v>
      </c>
      <c r="B86" s="6">
        <v>83</v>
      </c>
      <c r="C86" s="8">
        <v>112882000</v>
      </c>
      <c r="D86" s="8">
        <v>1</v>
      </c>
      <c r="E86" s="7" t="str">
        <f>主角属性配置!N84</f>
        <v>[{"1":56},{"4":37},{"5":37},{"12":16147},{"7":8},{"6":0},{"8":10},{"9":0}]</v>
      </c>
    </row>
    <row r="87" spans="1:5">
      <c r="A87" s="6">
        <f t="shared" si="1"/>
        <v>1084</v>
      </c>
      <c r="B87" s="6">
        <v>84</v>
      </c>
      <c r="C87" s="8">
        <v>123691500</v>
      </c>
      <c r="D87" s="8">
        <v>1</v>
      </c>
      <c r="E87" s="7" t="str">
        <f>主角属性配置!N85</f>
        <v>[{"1":56},{"4":37},{"5":37},{"12":20800},{"7":8},{"6":0},{"8":10},{"9":0}]</v>
      </c>
    </row>
    <row r="88" spans="1:5">
      <c r="A88" s="6">
        <f t="shared" si="1"/>
        <v>1085</v>
      </c>
      <c r="B88" s="6">
        <v>85</v>
      </c>
      <c r="C88" s="8">
        <v>135501000</v>
      </c>
      <c r="D88" s="8">
        <v>1</v>
      </c>
      <c r="E88" s="7" t="str">
        <f>主角属性配置!N86</f>
        <v>[{"1":57},{"4":37},{"5":37},{"12":21043},{"7":8},{"6":0},{"8":10},{"9":0}]</v>
      </c>
    </row>
    <row r="89" spans="1:5">
      <c r="A89" s="6">
        <f t="shared" si="1"/>
        <v>1086</v>
      </c>
      <c r="B89" s="6">
        <v>86</v>
      </c>
      <c r="C89" s="8">
        <v>152310500</v>
      </c>
      <c r="D89" s="8">
        <v>1</v>
      </c>
      <c r="E89" s="7" t="str">
        <f>主角属性配置!N87</f>
        <v>[{"1":57},{"4":37},{"5":37},{"12":21286},{"7":8},{"6":0},{"8":10},{"9":0}]</v>
      </c>
    </row>
    <row r="90" spans="1:5">
      <c r="A90" s="6">
        <f t="shared" si="1"/>
        <v>1087</v>
      </c>
      <c r="B90" s="6">
        <v>87</v>
      </c>
      <c r="C90" s="8">
        <v>174120000</v>
      </c>
      <c r="D90" s="8">
        <v>1</v>
      </c>
      <c r="E90" s="7" t="str">
        <f>主角属性配置!N88</f>
        <v>[{"1":57},{"4":37},{"5":37},{"12":21529},{"7":8},{"6":0},{"8":10},{"9":0}]</v>
      </c>
    </row>
    <row r="91" spans="1:5">
      <c r="A91" s="6">
        <f t="shared" si="1"/>
        <v>1088</v>
      </c>
      <c r="B91" s="6">
        <v>88</v>
      </c>
      <c r="C91" s="8">
        <v>200929500</v>
      </c>
      <c r="D91" s="8">
        <v>1</v>
      </c>
      <c r="E91" s="7" t="str">
        <f>主角属性配置!N89</f>
        <v>[{"1":57},{"4":37},{"5":37},{"12":21772},{"7":8},{"6":0},{"8":10},{"9":0}]</v>
      </c>
    </row>
    <row r="92" spans="1:5">
      <c r="A92" s="6">
        <f t="shared" si="1"/>
        <v>1089</v>
      </c>
      <c r="B92" s="6">
        <v>89</v>
      </c>
      <c r="C92" s="8">
        <v>232739000</v>
      </c>
      <c r="D92" s="8">
        <v>1</v>
      </c>
      <c r="E92" s="7" t="str">
        <f>主角属性配置!N90</f>
        <v>[{"1":57},{"4":37},{"5":37},{"12":22016},{"7":8},{"6":0},{"8":10},{"9":0}]</v>
      </c>
    </row>
    <row r="93" spans="1:5">
      <c r="A93" s="6">
        <f t="shared" si="1"/>
        <v>1090</v>
      </c>
      <c r="B93" s="6">
        <v>90</v>
      </c>
      <c r="C93" s="8">
        <v>269548500</v>
      </c>
      <c r="D93" s="8">
        <v>1</v>
      </c>
      <c r="E93" s="7" t="str">
        <f>主角属性配置!N91</f>
        <v>[{"1":58},{"4":38},{"5":38},{"12":22259},{"7":8},{"6":0},{"8":10},{"9":0}]</v>
      </c>
    </row>
    <row r="94" spans="1:5">
      <c r="A94" s="6">
        <f t="shared" si="1"/>
        <v>1091</v>
      </c>
      <c r="B94" s="6">
        <v>91</v>
      </c>
      <c r="C94" s="8">
        <v>326358000</v>
      </c>
      <c r="D94" s="8">
        <v>1</v>
      </c>
      <c r="E94" s="7" t="str">
        <f>主角属性配置!N92</f>
        <v>[{"1":58},{"4":38},{"5":38},{"12":22502},{"7":8},{"6":0},{"8":10},{"9":0}]</v>
      </c>
    </row>
    <row r="95" spans="1:5">
      <c r="A95" s="6">
        <f t="shared" si="1"/>
        <v>1092</v>
      </c>
      <c r="B95" s="6">
        <v>92</v>
      </c>
      <c r="C95" s="8">
        <v>403167500</v>
      </c>
      <c r="D95" s="8">
        <v>1</v>
      </c>
      <c r="E95" s="7" t="str">
        <f>主角属性配置!N93</f>
        <v>[{"1":58},{"4":38},{"5":38},{"12":22745},{"7":8},{"6":0},{"8":10},{"9":0}]</v>
      </c>
    </row>
    <row r="96" spans="1:5">
      <c r="A96" s="6">
        <f t="shared" si="1"/>
        <v>1093</v>
      </c>
      <c r="B96" s="6">
        <v>93</v>
      </c>
      <c r="C96" s="8">
        <v>499977000</v>
      </c>
      <c r="D96" s="8">
        <v>1</v>
      </c>
      <c r="E96" s="7" t="str">
        <f>主角属性配置!N94</f>
        <v>[{"1":58},{"4":38},{"5":38},{"12":22985},{"7":8},{"6":0},{"8":10},{"9":0}]</v>
      </c>
    </row>
    <row r="97" spans="1:5">
      <c r="A97" s="6">
        <f t="shared" si="1"/>
        <v>1094</v>
      </c>
      <c r="B97" s="6">
        <v>94</v>
      </c>
      <c r="C97" s="8">
        <v>616786500</v>
      </c>
      <c r="D97" s="8">
        <v>1</v>
      </c>
      <c r="E97" s="7" t="str">
        <f>主角属性配置!N95</f>
        <v>[{"1":58},{"4":38},{"5":38},{"12":23228},{"7":8},{"6":0},{"8":10},{"9":0}]</v>
      </c>
    </row>
    <row r="98" spans="1:5">
      <c r="A98" s="6">
        <f t="shared" si="1"/>
        <v>1095</v>
      </c>
      <c r="B98" s="6">
        <v>95</v>
      </c>
      <c r="C98" s="8">
        <v>753596000</v>
      </c>
      <c r="D98" s="8">
        <v>1</v>
      </c>
      <c r="E98" s="7" t="str">
        <f>主角属性配置!N96</f>
        <v>[{"1":59},{"4":39},{"5":39},{"12":23472},{"7":8},{"6":0},{"8":10},{"9":0}]</v>
      </c>
    </row>
    <row r="99" spans="1:5">
      <c r="A99" s="6">
        <f t="shared" si="1"/>
        <v>1096</v>
      </c>
      <c r="B99" s="6">
        <v>96</v>
      </c>
      <c r="C99" s="8">
        <v>920405500</v>
      </c>
      <c r="D99" s="8">
        <v>1</v>
      </c>
      <c r="E99" s="7" t="str">
        <f>主角属性配置!N97</f>
        <v>[{"1":59},{"4":39},{"5":39},{"12":23715},{"7":8},{"6":0},{"8":10},{"9":0}]</v>
      </c>
    </row>
    <row r="100" spans="1:5">
      <c r="A100" s="6">
        <f t="shared" si="1"/>
        <v>1097</v>
      </c>
      <c r="B100" s="6">
        <v>97</v>
      </c>
      <c r="C100" s="8">
        <v>1117215000</v>
      </c>
      <c r="D100" s="8">
        <v>1</v>
      </c>
      <c r="E100" s="7" t="str">
        <f>主角属性配置!N98</f>
        <v>[{"1":59},{"4":39},{"5":39},{"12":23958},{"7":8},{"6":0},{"8":10},{"9":0}]</v>
      </c>
    </row>
    <row r="101" spans="1:5">
      <c r="A101" s="6">
        <f t="shared" si="1"/>
        <v>1098</v>
      </c>
      <c r="B101" s="6">
        <v>98</v>
      </c>
      <c r="C101" s="8">
        <v>1344024500</v>
      </c>
      <c r="D101" s="8">
        <v>1</v>
      </c>
      <c r="E101" s="7" t="str">
        <f>主角属性配置!N99</f>
        <v>[{"1":59},{"4":39},{"5":39},{"12":24201},{"7":8},{"6":0},{"8":10},{"9":0}]</v>
      </c>
    </row>
    <row r="102" spans="1:5">
      <c r="A102" s="6">
        <f t="shared" si="1"/>
        <v>1099</v>
      </c>
      <c r="B102" s="6">
        <v>99</v>
      </c>
      <c r="C102" s="8">
        <v>1600834000</v>
      </c>
      <c r="D102" s="8">
        <v>1</v>
      </c>
      <c r="E102" s="7" t="str">
        <f>主角属性配置!N100</f>
        <v>[{"1":59},{"4":39},{"5":39},{"12":24444},{"7":8},{"6":0},{"8":10},{"9":0}]</v>
      </c>
    </row>
    <row r="103" spans="1:5">
      <c r="A103" s="6">
        <f t="shared" si="1"/>
        <v>1100</v>
      </c>
      <c r="B103" s="6">
        <v>100</v>
      </c>
      <c r="C103" s="8">
        <v>1887643500</v>
      </c>
      <c r="D103" s="8">
        <v>1</v>
      </c>
      <c r="E103" s="7" t="str">
        <f>主角属性配置!N101</f>
        <v>[{"1":61},{"4":40},{"5":40},{"12":24688},{"7":8},{"6":0},{"8":10},{"9":0}]</v>
      </c>
    </row>
    <row r="104" spans="1:5">
      <c r="A104" s="6">
        <f t="shared" si="1"/>
        <v>1101</v>
      </c>
      <c r="B104" s="6">
        <v>101</v>
      </c>
      <c r="C104" s="8">
        <v>2214453000</v>
      </c>
      <c r="D104" s="8">
        <v>1</v>
      </c>
      <c r="E104" s="7" t="str">
        <f>主角属性配置!N102</f>
        <v>[{"1":61},{"4":40},{"5":40},{"12":24931},{"7":8},{"6":0},{"8":10},{"9":0}]</v>
      </c>
    </row>
    <row r="105" spans="1:5">
      <c r="A105" s="6">
        <f t="shared" si="1"/>
        <v>1102</v>
      </c>
      <c r="B105" s="6">
        <v>102</v>
      </c>
      <c r="C105" s="8">
        <v>2581262500</v>
      </c>
      <c r="D105" s="8">
        <v>1</v>
      </c>
      <c r="E105" s="7" t="str">
        <f>主角属性配置!N103</f>
        <v>[{"1":61},{"4":40},{"5":40},{"12":25174},{"7":8},{"6":0},{"8":10},{"9":0}]</v>
      </c>
    </row>
    <row r="106" spans="1:5">
      <c r="A106" s="6">
        <f t="shared" si="1"/>
        <v>1103</v>
      </c>
      <c r="B106" s="6">
        <v>103</v>
      </c>
      <c r="C106" s="8">
        <v>2988072000</v>
      </c>
      <c r="D106" s="8">
        <v>1</v>
      </c>
      <c r="E106" s="7" t="str">
        <f>主角属性配置!N104</f>
        <v>[{"1":61},{"4":40},{"5":40},{"12":25414},{"7":8},{"6":0},{"8":10},{"9":0}]</v>
      </c>
    </row>
    <row r="107" spans="1:5">
      <c r="A107" s="6">
        <f t="shared" si="1"/>
        <v>1104</v>
      </c>
      <c r="B107" s="6">
        <v>104</v>
      </c>
      <c r="C107" s="8">
        <v>3434881500</v>
      </c>
      <c r="D107" s="8">
        <v>1</v>
      </c>
      <c r="E107" s="7" t="str">
        <f>主角属性配置!N105</f>
        <v>[{"1":61},{"4":40},{"5":40},{"12":25657},{"7":8},{"6":0},{"8":10},{"9":0}]</v>
      </c>
    </row>
    <row r="108" spans="1:5">
      <c r="A108" s="6">
        <f t="shared" si="1"/>
        <v>1105</v>
      </c>
      <c r="B108" s="6">
        <v>105</v>
      </c>
      <c r="C108" s="8">
        <v>3921691000</v>
      </c>
      <c r="D108" s="8">
        <v>1</v>
      </c>
      <c r="E108" s="7" t="str">
        <f>主角属性配置!N106</f>
        <v>[{"1":61},{"4":40},{"5":40},{"12":25900},{"7":8},{"6":0},{"8":10},{"9":0}]</v>
      </c>
    </row>
    <row r="109" spans="1:5">
      <c r="A109" s="6">
        <f t="shared" si="1"/>
        <v>1106</v>
      </c>
      <c r="B109" s="6">
        <v>106</v>
      </c>
      <c r="C109" s="8">
        <v>4458500500</v>
      </c>
      <c r="D109" s="8">
        <v>1</v>
      </c>
      <c r="E109" s="7" t="str">
        <f>主角属性配置!N107</f>
        <v>[{"1":61},{"4":40},{"5":40},{"12":26144},{"7":8},{"6":0},{"8":10},{"9":0}]</v>
      </c>
    </row>
    <row r="110" spans="1:5">
      <c r="A110" s="6">
        <f t="shared" si="1"/>
        <v>1107</v>
      </c>
      <c r="B110" s="6">
        <v>107</v>
      </c>
      <c r="C110" s="8">
        <v>5045310000</v>
      </c>
      <c r="D110" s="8">
        <v>1</v>
      </c>
      <c r="E110" s="7" t="str">
        <f>主角属性配置!N108</f>
        <v>[{"1":61},{"4":40},{"5":40},{"12":26387},{"7":8},{"6":0},{"8":10},{"9":0}]</v>
      </c>
    </row>
    <row r="111" spans="1:5">
      <c r="A111" s="6">
        <f t="shared" si="1"/>
        <v>1108</v>
      </c>
      <c r="B111" s="6">
        <v>108</v>
      </c>
      <c r="C111" s="8">
        <v>5682119500</v>
      </c>
      <c r="D111" s="8">
        <v>1</v>
      </c>
      <c r="E111" s="7" t="str">
        <f>主角属性配置!N109</f>
        <v>[{"1":61},{"4":40},{"5":40},{"12":26630},{"7":8},{"6":0},{"8":10},{"9":0}]</v>
      </c>
    </row>
    <row r="112" spans="1:5">
      <c r="A112" s="6">
        <f t="shared" si="1"/>
        <v>1109</v>
      </c>
      <c r="B112" s="6">
        <v>109</v>
      </c>
      <c r="C112" s="8">
        <v>6368929000</v>
      </c>
      <c r="D112" s="8">
        <v>1</v>
      </c>
      <c r="E112" s="7" t="str">
        <f>主角属性配置!N110</f>
        <v>[{"1":61},{"4":40},{"5":40},{"12":26873},{"7":8},{"6":0},{"8":10},{"9":0}]</v>
      </c>
    </row>
    <row r="113" spans="1:5">
      <c r="A113" s="6">
        <f t="shared" si="1"/>
        <v>1110</v>
      </c>
      <c r="B113" s="6">
        <v>110</v>
      </c>
      <c r="C113" s="8">
        <v>7105738500</v>
      </c>
      <c r="D113" s="8">
        <v>1</v>
      </c>
      <c r="E113" s="7" t="str">
        <f>主角属性配置!N111</f>
        <v>[{"1":63},{"4":41},{"5":41},{"12":27116},{"7":8},{"6":0},{"8":10},{"9":0}]</v>
      </c>
    </row>
    <row r="114" spans="1:5">
      <c r="A114" s="6">
        <f t="shared" si="1"/>
        <v>1111</v>
      </c>
      <c r="B114" s="6">
        <v>111</v>
      </c>
      <c r="C114" s="8">
        <v>7902548000</v>
      </c>
      <c r="D114" s="8">
        <v>1</v>
      </c>
      <c r="E114" s="7" t="str">
        <f>主角属性配置!N112</f>
        <v>[{"1":63},{"4":41},{"5":41},{"12":27360},{"7":8},{"6":0},{"8":10},{"9":0}]</v>
      </c>
    </row>
    <row r="115" spans="1:5">
      <c r="A115" s="6">
        <f t="shared" si="1"/>
        <v>1112</v>
      </c>
      <c r="B115" s="6">
        <v>112</v>
      </c>
      <c r="C115" s="8">
        <v>8759357500</v>
      </c>
      <c r="D115" s="8">
        <v>1</v>
      </c>
      <c r="E115" s="7" t="str">
        <f>主角属性配置!N113</f>
        <v>[{"1":63},{"4":41},{"5":41},{"12":27603},{"7":8},{"6":0},{"8":10},{"9":0}]</v>
      </c>
    </row>
    <row r="116" spans="1:5">
      <c r="A116" s="6">
        <f t="shared" si="1"/>
        <v>1113</v>
      </c>
      <c r="B116" s="6">
        <v>113</v>
      </c>
      <c r="C116" s="8">
        <v>9676167000</v>
      </c>
      <c r="D116" s="8">
        <v>1</v>
      </c>
      <c r="E116" s="7" t="str">
        <f>主角属性配置!N114</f>
        <v>[{"1":63},{"4":41},{"5":41},{"12":27843},{"7":8},{"6":0},{"8":10},{"9":0}]</v>
      </c>
    </row>
    <row r="117" spans="1:5">
      <c r="A117" s="6">
        <f t="shared" si="1"/>
        <v>1114</v>
      </c>
      <c r="B117" s="6">
        <v>114</v>
      </c>
      <c r="C117" s="8">
        <v>10652976500</v>
      </c>
      <c r="D117" s="8">
        <v>1</v>
      </c>
      <c r="E117" s="7" t="str">
        <f>主角属性配置!N115</f>
        <v>[{"1":63},{"4":41},{"5":41},{"12":28086},{"7":8},{"6":0},{"8":10},{"9":0}]</v>
      </c>
    </row>
    <row r="118" spans="1:5">
      <c r="A118" s="6">
        <f t="shared" si="1"/>
        <v>1115</v>
      </c>
      <c r="B118" s="6">
        <v>115</v>
      </c>
      <c r="C118" s="8">
        <v>11689786000</v>
      </c>
      <c r="D118" s="8">
        <v>1</v>
      </c>
      <c r="E118" s="7" t="str">
        <f>主角属性配置!N116</f>
        <v>[{"1":63},{"4":42},{"5":42},{"12":28329},{"7":8},{"6":0},{"8":10},{"9":0}]</v>
      </c>
    </row>
    <row r="119" spans="1:5">
      <c r="A119" s="6">
        <f t="shared" si="1"/>
        <v>1116</v>
      </c>
      <c r="B119" s="6">
        <v>116</v>
      </c>
      <c r="C119" s="8">
        <v>12796595500</v>
      </c>
      <c r="D119" s="8">
        <v>1</v>
      </c>
      <c r="E119" s="7" t="str">
        <f>主角属性配置!N117</f>
        <v>[{"1":63},{"4":42},{"5":42},{"12":28572},{"7":8},{"6":0},{"8":10},{"9":0}]</v>
      </c>
    </row>
    <row r="120" spans="1:5">
      <c r="A120" s="6">
        <f t="shared" si="1"/>
        <v>1117</v>
      </c>
      <c r="B120" s="6">
        <v>117</v>
      </c>
      <c r="C120" s="8">
        <v>13973405000</v>
      </c>
      <c r="D120" s="8">
        <v>1</v>
      </c>
      <c r="E120" s="7" t="str">
        <f>主角属性配置!N118</f>
        <v>[{"1":63},{"4":42},{"5":42},{"12":28816},{"7":8},{"6":0},{"8":10},{"9":0}]</v>
      </c>
    </row>
    <row r="121" spans="1:5">
      <c r="A121" s="6">
        <f t="shared" si="1"/>
        <v>1118</v>
      </c>
      <c r="B121" s="6">
        <v>118</v>
      </c>
      <c r="C121" s="8">
        <v>15220214500</v>
      </c>
      <c r="D121" s="8">
        <v>1</v>
      </c>
      <c r="E121" s="7" t="str">
        <f>主角属性配置!N119</f>
        <v>[{"1":63},{"4":42},{"5":42},{"12":29059},{"7":8},{"6":0},{"8":10},{"9":0}]</v>
      </c>
    </row>
    <row r="122" spans="1:5">
      <c r="A122" s="6">
        <f t="shared" si="1"/>
        <v>1119</v>
      </c>
      <c r="B122" s="6">
        <v>119</v>
      </c>
      <c r="C122" s="8">
        <v>16537024000</v>
      </c>
      <c r="D122" s="8">
        <v>1</v>
      </c>
      <c r="E122" s="7" t="str">
        <f>主角属性配置!N120</f>
        <v>[{"1":63},{"4":42},{"5":42},{"12":29302},{"7":8},{"6":0},{"8":10},{"9":0}]</v>
      </c>
    </row>
    <row r="123" spans="1:5">
      <c r="A123" s="6">
        <f t="shared" si="1"/>
        <v>1120</v>
      </c>
      <c r="B123" s="6">
        <v>120</v>
      </c>
      <c r="C123" s="8">
        <v>17923833500</v>
      </c>
      <c r="D123" s="8">
        <v>1</v>
      </c>
      <c r="E123" s="7" t="str">
        <f>主角属性配置!N121</f>
        <v>[{"1":65},{"4":42},{"5":42},{"12":29545},{"7":8},{"6":0},{"8":10},{"9":0}]</v>
      </c>
    </row>
    <row r="124" spans="1:5">
      <c r="A124" s="6">
        <f t="shared" si="1"/>
        <v>1121</v>
      </c>
      <c r="B124" s="6">
        <v>121</v>
      </c>
      <c r="C124" s="8">
        <v>19390643000</v>
      </c>
      <c r="D124" s="8">
        <v>1</v>
      </c>
      <c r="E124" s="7" t="str">
        <f>主角属性配置!N122</f>
        <v>[{"1":65},{"4":42},{"5":42},{"12":29788},{"7":8},{"6":0},{"8":10},{"9":0}]</v>
      </c>
    </row>
    <row r="125" spans="1:5">
      <c r="A125" s="6">
        <f t="shared" si="1"/>
        <v>1122</v>
      </c>
      <c r="B125" s="6">
        <v>122</v>
      </c>
      <c r="C125" s="8">
        <v>20937452500</v>
      </c>
      <c r="D125" s="8">
        <v>1</v>
      </c>
      <c r="E125" s="7" t="str">
        <f>主角属性配置!N123</f>
        <v>[{"1":65},{"4":42},{"5":42},{"12":30028},{"7":8},{"6":0},{"8":10},{"9":0}]</v>
      </c>
    </row>
    <row r="126" spans="1:5">
      <c r="A126" s="6">
        <f t="shared" si="1"/>
        <v>1123</v>
      </c>
      <c r="B126" s="6">
        <v>123</v>
      </c>
      <c r="C126" s="8">
        <v>22564262000</v>
      </c>
      <c r="D126" s="8">
        <v>1</v>
      </c>
      <c r="E126" s="7" t="str">
        <f>主角属性配置!N124</f>
        <v>[{"1":65},{"4":42},{"5":42},{"12":30272},{"7":8},{"6":0},{"8":10},{"9":0}]</v>
      </c>
    </row>
    <row r="127" spans="1:5">
      <c r="A127" s="6">
        <f t="shared" si="1"/>
        <v>1124</v>
      </c>
      <c r="B127" s="6">
        <v>124</v>
      </c>
      <c r="C127" s="8">
        <v>24271071500</v>
      </c>
      <c r="D127" s="8">
        <v>1</v>
      </c>
      <c r="E127" s="7" t="str">
        <f>主角属性配置!N125</f>
        <v>[{"1":65},{"4":42},{"5":42},{"12":30515},{"7":8},{"6":0},{"8":10},{"9":0}]</v>
      </c>
    </row>
    <row r="128" spans="1:5">
      <c r="A128" s="6">
        <f t="shared" si="1"/>
        <v>1125</v>
      </c>
      <c r="B128" s="6">
        <v>125</v>
      </c>
      <c r="C128" s="8">
        <v>26057881000</v>
      </c>
      <c r="D128" s="8">
        <v>1</v>
      </c>
      <c r="E128" s="7" t="str">
        <f>主角属性配置!N126</f>
        <v>[{"1":66},{"4":43},{"5":43},{"12":30758},{"7":8},{"6":0},{"8":10},{"9":0}]</v>
      </c>
    </row>
    <row r="129" spans="1:5">
      <c r="A129" s="6">
        <f t="shared" si="1"/>
        <v>1126</v>
      </c>
      <c r="B129" s="6">
        <v>126</v>
      </c>
      <c r="C129" s="8">
        <v>27934690500</v>
      </c>
      <c r="D129" s="8">
        <v>1</v>
      </c>
      <c r="E129" s="7" t="str">
        <f>主角属性配置!N127</f>
        <v>[{"1":66},{"4":43},{"5":43},{"12":31001},{"7":8},{"6":0},{"8":10},{"9":0}]</v>
      </c>
    </row>
    <row r="130" spans="1:5">
      <c r="A130" s="6">
        <f t="shared" si="1"/>
        <v>1127</v>
      </c>
      <c r="B130" s="6">
        <v>127</v>
      </c>
      <c r="C130" s="8">
        <v>29901500000</v>
      </c>
      <c r="D130" s="8">
        <v>1</v>
      </c>
      <c r="E130" s="7" t="str">
        <f>主角属性配置!N128</f>
        <v>[{"1":66},{"4":43},{"5":43},{"12":31244},{"7":8},{"6":0},{"8":10},{"9":0}]</v>
      </c>
    </row>
    <row r="131" spans="1:5">
      <c r="A131" s="6">
        <f t="shared" si="1"/>
        <v>1128</v>
      </c>
      <c r="B131" s="6">
        <v>128</v>
      </c>
      <c r="C131" s="8">
        <v>31958309500</v>
      </c>
      <c r="D131" s="8">
        <v>1</v>
      </c>
      <c r="E131" s="7" t="str">
        <f>主角属性配置!N129</f>
        <v>[{"1":66},{"4":43},{"5":43},{"12":31488},{"7":8},{"6":0},{"8":10},{"9":0}]</v>
      </c>
    </row>
    <row r="132" spans="1:5">
      <c r="A132" s="6">
        <f t="shared" si="1"/>
        <v>1129</v>
      </c>
      <c r="B132" s="6">
        <v>129</v>
      </c>
      <c r="C132" s="8">
        <v>34105119000</v>
      </c>
      <c r="D132" s="8">
        <v>1</v>
      </c>
      <c r="E132" s="7" t="str">
        <f>主角属性配置!N130</f>
        <v>[{"1":66},{"4":43},{"5":43},{"12":31731},{"7":8},{"6":0},{"8":10},{"9":0}]</v>
      </c>
    </row>
    <row r="133" spans="1:5">
      <c r="A133" s="6">
        <f t="shared" ref="A133:A196" si="2">D133*1000+B133</f>
        <v>1130</v>
      </c>
      <c r="B133" s="6">
        <v>130</v>
      </c>
      <c r="C133" s="8">
        <v>36341928500</v>
      </c>
      <c r="D133" s="8">
        <v>1</v>
      </c>
      <c r="E133" s="7" t="str">
        <f>主角属性配置!N131</f>
        <v>[{"1":67},{"4":44},{"5":44},{"12":41841},{"7":8},{"6":0},{"8":10},{"9":0}]</v>
      </c>
    </row>
    <row r="134" spans="1:5">
      <c r="A134" s="6">
        <f t="shared" si="2"/>
        <v>1131</v>
      </c>
      <c r="B134" s="6">
        <v>131</v>
      </c>
      <c r="C134" s="8">
        <v>38678738000</v>
      </c>
      <c r="D134" s="8">
        <v>1</v>
      </c>
      <c r="E134" s="7" t="str">
        <f>主角属性配置!N132</f>
        <v>[{"1":67},{"4":44},{"5":44},{"12":42160},{"7":8},{"6":0},{"8":10},{"9":0}]</v>
      </c>
    </row>
    <row r="135" spans="1:5">
      <c r="A135" s="6">
        <f t="shared" si="2"/>
        <v>1132</v>
      </c>
      <c r="B135" s="6">
        <v>132</v>
      </c>
      <c r="C135" s="8">
        <v>41115547500</v>
      </c>
      <c r="D135" s="8">
        <v>1</v>
      </c>
      <c r="E135" s="7" t="str">
        <f>主角属性配置!N133</f>
        <v>[{"1":67},{"4":44},{"5":44},{"12":42475},{"7":8},{"6":0},{"8":10},{"9":0}]</v>
      </c>
    </row>
    <row r="136" spans="1:5">
      <c r="A136" s="6">
        <f t="shared" si="2"/>
        <v>1133</v>
      </c>
      <c r="B136" s="6">
        <v>133</v>
      </c>
      <c r="C136" s="8">
        <v>43652357000</v>
      </c>
      <c r="D136" s="8">
        <v>1</v>
      </c>
      <c r="E136" s="7" t="str">
        <f>主角属性配置!N134</f>
        <v>[{"1":67},{"4":44},{"5":44},{"12":42794},{"7":8},{"6":0},{"8":10},{"9":0}]</v>
      </c>
    </row>
    <row r="137" spans="1:5">
      <c r="A137" s="6">
        <f t="shared" si="2"/>
        <v>1134</v>
      </c>
      <c r="B137" s="6">
        <v>134</v>
      </c>
      <c r="C137" s="8">
        <v>46289166500</v>
      </c>
      <c r="D137" s="8">
        <v>1</v>
      </c>
      <c r="E137" s="7" t="str">
        <f>主角属性配置!N135</f>
        <v>[{"1":67},{"4":44},{"5":44},{"12":43114},{"7":8},{"6":0},{"8":10},{"9":0}]</v>
      </c>
    </row>
    <row r="138" spans="1:5">
      <c r="A138" s="6">
        <f t="shared" si="2"/>
        <v>1135</v>
      </c>
      <c r="B138" s="6">
        <v>135</v>
      </c>
      <c r="C138" s="8">
        <v>49025976000</v>
      </c>
      <c r="D138" s="8">
        <v>1</v>
      </c>
      <c r="E138" s="7" t="str">
        <f>主角属性配置!N136</f>
        <v>[{"1":68},{"4":44},{"5":44},{"12":43433},{"7":8},{"6":0},{"8":10},{"9":0}]</v>
      </c>
    </row>
    <row r="139" spans="1:5">
      <c r="A139" s="6">
        <f t="shared" si="2"/>
        <v>1136</v>
      </c>
      <c r="B139" s="6">
        <v>136</v>
      </c>
      <c r="C139" s="8">
        <v>51872785500</v>
      </c>
      <c r="D139" s="8">
        <v>1</v>
      </c>
      <c r="E139" s="7" t="str">
        <f>主角属性配置!N137</f>
        <v>[{"1":68},{"4":44},{"5":44},{"12":43752},{"7":8},{"6":0},{"8":10},{"9":0}]</v>
      </c>
    </row>
    <row r="140" spans="1:5">
      <c r="A140" s="6">
        <f t="shared" si="2"/>
        <v>1137</v>
      </c>
      <c r="B140" s="6">
        <v>137</v>
      </c>
      <c r="C140" s="8">
        <v>54829595000</v>
      </c>
      <c r="D140" s="8">
        <v>1</v>
      </c>
      <c r="E140" s="7" t="str">
        <f>主角属性配置!N138</f>
        <v>[{"1":68},{"4":44},{"5":44},{"12":44071},{"7":8},{"6":0},{"8":10},{"9":0}]</v>
      </c>
    </row>
    <row r="141" spans="1:5">
      <c r="A141" s="6">
        <f t="shared" si="2"/>
        <v>1138</v>
      </c>
      <c r="B141" s="6">
        <v>138</v>
      </c>
      <c r="C141" s="8">
        <v>57896404500</v>
      </c>
      <c r="D141" s="8">
        <v>1</v>
      </c>
      <c r="E141" s="7" t="str">
        <f>主角属性配置!N139</f>
        <v>[{"1":68},{"4":44},{"5":44},{"12":44390},{"7":8},{"6":0},{"8":10},{"9":0}]</v>
      </c>
    </row>
    <row r="142" spans="1:5">
      <c r="A142" s="6">
        <f t="shared" si="2"/>
        <v>1139</v>
      </c>
      <c r="B142" s="6">
        <v>139</v>
      </c>
      <c r="C142" s="8">
        <v>61073214000</v>
      </c>
      <c r="D142" s="8">
        <v>1</v>
      </c>
      <c r="E142" s="7" t="str">
        <f>主角属性配置!N140</f>
        <v>[{"1":68},{"4":44},{"5":44},{"12":44710},{"7":8},{"6":0},{"8":10},{"9":0}]</v>
      </c>
    </row>
    <row r="143" spans="1:5">
      <c r="A143" s="6">
        <f t="shared" si="2"/>
        <v>1140</v>
      </c>
      <c r="B143" s="6">
        <v>140</v>
      </c>
      <c r="C143" s="8">
        <v>64360023500</v>
      </c>
      <c r="D143" s="8">
        <v>1</v>
      </c>
      <c r="E143" s="7" t="str">
        <f>主角属性配置!N141</f>
        <v>[{"1":69},{"4":45},{"5":45},{"12":45029},{"7":8},{"6":0},{"8":10},{"9":0}]</v>
      </c>
    </row>
    <row r="144" spans="1:5">
      <c r="A144" s="6">
        <f t="shared" si="2"/>
        <v>1141</v>
      </c>
      <c r="B144" s="6">
        <v>141</v>
      </c>
      <c r="C144" s="8">
        <v>67766833000</v>
      </c>
      <c r="D144" s="8">
        <v>1</v>
      </c>
      <c r="E144" s="7" t="str">
        <f>主角属性配置!N142</f>
        <v>[{"1":69},{"4":45},{"5":45},{"12":45348},{"7":8},{"6":0},{"8":10},{"9":0}]</v>
      </c>
    </row>
    <row r="145" spans="1:5">
      <c r="A145" s="6">
        <f t="shared" si="2"/>
        <v>1142</v>
      </c>
      <c r="B145" s="6">
        <v>142</v>
      </c>
      <c r="C145" s="8">
        <v>71293642500</v>
      </c>
      <c r="D145" s="8">
        <v>1</v>
      </c>
      <c r="E145" s="7" t="str">
        <f>主角属性配置!N143</f>
        <v>[{"1":69},{"4":45},{"5":45},{"12":45663},{"7":8},{"6":0},{"8":10},{"9":0}]</v>
      </c>
    </row>
    <row r="146" spans="1:5">
      <c r="A146" s="6">
        <f t="shared" si="2"/>
        <v>1143</v>
      </c>
      <c r="B146" s="6">
        <v>143</v>
      </c>
      <c r="C146" s="8">
        <v>74940452000</v>
      </c>
      <c r="D146" s="8">
        <v>1</v>
      </c>
      <c r="E146" s="7" t="str">
        <f>主角属性配置!N144</f>
        <v>[{"1":69},{"4":45},{"5":45},{"12":45982},{"7":8},{"6":0},{"8":10},{"9":0}]</v>
      </c>
    </row>
    <row r="147" spans="1:5">
      <c r="A147" s="6">
        <f t="shared" si="2"/>
        <v>1144</v>
      </c>
      <c r="B147" s="6">
        <v>144</v>
      </c>
      <c r="C147" s="8">
        <v>78707261500</v>
      </c>
      <c r="D147" s="8">
        <v>1</v>
      </c>
      <c r="E147" s="7" t="str">
        <f>主角属性配置!N145</f>
        <v>[{"1":69},{"4":45},{"5":45},{"12":46301},{"7":8},{"6":0},{"8":10},{"9":0}]</v>
      </c>
    </row>
    <row r="148" spans="1:5">
      <c r="A148" s="6">
        <f t="shared" si="2"/>
        <v>1145</v>
      </c>
      <c r="B148" s="6">
        <v>145</v>
      </c>
      <c r="C148" s="8">
        <v>82594071000</v>
      </c>
      <c r="D148" s="8">
        <v>1</v>
      </c>
      <c r="E148" s="7" t="str">
        <f>主角属性配置!N146</f>
        <v>[{"1":70},{"4":46},{"5":46},{"12":46621},{"7":8},{"6":0},{"8":10},{"9":0}]</v>
      </c>
    </row>
    <row r="149" spans="1:5">
      <c r="A149" s="6">
        <f t="shared" si="2"/>
        <v>1146</v>
      </c>
      <c r="B149" s="6">
        <v>146</v>
      </c>
      <c r="C149" s="8">
        <v>86610880500</v>
      </c>
      <c r="D149" s="8">
        <v>1</v>
      </c>
      <c r="E149" s="7" t="str">
        <f>主角属性配置!N147</f>
        <v>[{"1":70},{"4":46},{"5":46},{"12":46940},{"7":8},{"6":0},{"8":10},{"9":0}]</v>
      </c>
    </row>
    <row r="150" spans="1:5">
      <c r="A150" s="6">
        <f t="shared" si="2"/>
        <v>1147</v>
      </c>
      <c r="B150" s="6">
        <v>147</v>
      </c>
      <c r="C150" s="8">
        <v>90757690000</v>
      </c>
      <c r="D150" s="8">
        <v>1</v>
      </c>
      <c r="E150" s="7" t="str">
        <f>主角属性配置!N148</f>
        <v>[{"1":70},{"4":46},{"5":46},{"12":47259},{"7":8},{"6":0},{"8":10},{"9":0}]</v>
      </c>
    </row>
    <row r="151" spans="1:5">
      <c r="A151" s="6">
        <f t="shared" si="2"/>
        <v>1148</v>
      </c>
      <c r="B151" s="6">
        <v>148</v>
      </c>
      <c r="C151" s="8">
        <v>95034499500</v>
      </c>
      <c r="D151" s="8">
        <v>1</v>
      </c>
      <c r="E151" s="7" t="str">
        <f>主角属性配置!N149</f>
        <v>[{"1":70},{"4":46},{"5":46},{"12":47578},{"7":8},{"6":0},{"8":10},{"9":0}]</v>
      </c>
    </row>
    <row r="152" spans="1:5">
      <c r="A152" s="6">
        <f t="shared" si="2"/>
        <v>1149</v>
      </c>
      <c r="B152" s="6">
        <v>149</v>
      </c>
      <c r="C152" s="8">
        <v>99441309000</v>
      </c>
      <c r="D152" s="8">
        <v>1</v>
      </c>
      <c r="E152" s="7" t="str">
        <f>主角属性配置!N150</f>
        <v>[{"1":70},{"4":46},{"5":46},{"12":47897},{"7":8},{"6":0},{"8":10},{"9":0}]</v>
      </c>
    </row>
    <row r="153" spans="1:5">
      <c r="A153" s="6">
        <f t="shared" si="2"/>
        <v>1150</v>
      </c>
      <c r="B153" s="6">
        <v>150</v>
      </c>
      <c r="C153" s="8">
        <v>103978118500</v>
      </c>
      <c r="D153" s="8">
        <v>1</v>
      </c>
      <c r="E153" s="7" t="str">
        <f>主角属性配置!N151</f>
        <v>[{"1":71},{"4":47},{"5":47},{"12":48217},{"7":8},{"6":0},{"8":10},{"9":0}]</v>
      </c>
    </row>
    <row r="154" spans="1:5">
      <c r="A154" s="6">
        <f t="shared" si="2"/>
        <v>2001</v>
      </c>
      <c r="B154" s="6">
        <f>B4</f>
        <v>1</v>
      </c>
      <c r="C154" s="6">
        <f>C4</f>
        <v>1000</v>
      </c>
      <c r="D154" s="6">
        <v>2</v>
      </c>
      <c r="E154" s="7" t="str">
        <f>主角属性配置!W2</f>
        <v>[{"2":32},{"4":26},{"5":26},{"12":158},{"7":8},{"6":0},{"8":10},{"9":0}]</v>
      </c>
    </row>
    <row r="155" spans="1:5">
      <c r="A155" s="6">
        <f t="shared" si="2"/>
        <v>2002</v>
      </c>
      <c r="B155" s="6">
        <f t="shared" ref="B155:B171" si="3">B5</f>
        <v>2</v>
      </c>
      <c r="C155" s="6">
        <f t="shared" ref="C155:C218" si="4">C5</f>
        <v>1500</v>
      </c>
      <c r="D155" s="6">
        <v>2</v>
      </c>
      <c r="E155" s="7" t="str">
        <f>主角属性配置!W3</f>
        <v>[{"2":32},{"4":26},{"5":26},{"12":184},{"7":8},{"6":0},{"8":10},{"9":0}]</v>
      </c>
    </row>
    <row r="156" spans="1:5">
      <c r="A156" s="6">
        <f t="shared" si="2"/>
        <v>2003</v>
      </c>
      <c r="B156" s="6">
        <f t="shared" si="3"/>
        <v>3</v>
      </c>
      <c r="C156" s="6">
        <f t="shared" si="4"/>
        <v>2500</v>
      </c>
      <c r="D156" s="6">
        <v>2</v>
      </c>
      <c r="E156" s="7" t="str">
        <f>主角属性配置!W4</f>
        <v>[{"2":32},{"4":26},{"5":26},{"12":209},{"7":8},{"6":0},{"8":10},{"9":0}]</v>
      </c>
    </row>
    <row r="157" spans="1:5">
      <c r="A157" s="6">
        <f t="shared" si="2"/>
        <v>2004</v>
      </c>
      <c r="B157" s="6">
        <f t="shared" si="3"/>
        <v>4</v>
      </c>
      <c r="C157" s="6">
        <f t="shared" si="4"/>
        <v>4000</v>
      </c>
      <c r="D157" s="6">
        <v>2</v>
      </c>
      <c r="E157" s="7" t="str">
        <f>主角属性配置!W5</f>
        <v>[{"2":32},{"4":26},{"5":26},{"12":234},{"7":8},{"6":0},{"8":10},{"9":0}]</v>
      </c>
    </row>
    <row r="158" spans="1:5">
      <c r="A158" s="6">
        <f t="shared" si="2"/>
        <v>2005</v>
      </c>
      <c r="B158" s="6">
        <f t="shared" si="3"/>
        <v>5</v>
      </c>
      <c r="C158" s="6">
        <f t="shared" si="4"/>
        <v>6000</v>
      </c>
      <c r="D158" s="6">
        <v>2</v>
      </c>
      <c r="E158" s="7" t="str">
        <f>主角属性配置!W6</f>
        <v>[{"2":32},{"4":26},{"5":26},{"12":259},{"7":8},{"6":0},{"8":10},{"9":0}]</v>
      </c>
    </row>
    <row r="159" spans="1:5">
      <c r="A159" s="6">
        <f t="shared" si="2"/>
        <v>2006</v>
      </c>
      <c r="B159" s="6">
        <f t="shared" si="3"/>
        <v>6</v>
      </c>
      <c r="C159" s="6">
        <f t="shared" si="4"/>
        <v>8500</v>
      </c>
      <c r="D159" s="6">
        <v>2</v>
      </c>
      <c r="E159" s="7" t="str">
        <f>主角属性配置!W7</f>
        <v>[{"2":32},{"4":26},{"5":26},{"12":285},{"7":8},{"6":0},{"8":10},{"9":0}]</v>
      </c>
    </row>
    <row r="160" spans="1:5">
      <c r="A160" s="6">
        <f t="shared" si="2"/>
        <v>2007</v>
      </c>
      <c r="B160" s="6">
        <f t="shared" si="3"/>
        <v>7</v>
      </c>
      <c r="C160" s="6">
        <f t="shared" si="4"/>
        <v>11500</v>
      </c>
      <c r="D160" s="6">
        <v>2</v>
      </c>
      <c r="E160" s="7" t="str">
        <f>主角属性配置!W8</f>
        <v>[{"2":32},{"4":26},{"5":26},{"12":310},{"7":8},{"6":0},{"8":10},{"9":0}]</v>
      </c>
    </row>
    <row r="161" spans="1:5">
      <c r="A161" s="6">
        <f t="shared" si="2"/>
        <v>2008</v>
      </c>
      <c r="B161" s="6">
        <f t="shared" si="3"/>
        <v>8</v>
      </c>
      <c r="C161" s="6">
        <f t="shared" si="4"/>
        <v>15000</v>
      </c>
      <c r="D161" s="6">
        <v>2</v>
      </c>
      <c r="E161" s="7" t="str">
        <f>主角属性配置!W9</f>
        <v>[{"2":32},{"4":26},{"5":26},{"12":335},{"7":8},{"6":0},{"8":10},{"9":0}]</v>
      </c>
    </row>
    <row r="162" spans="1:5">
      <c r="A162" s="6">
        <f t="shared" si="2"/>
        <v>2009</v>
      </c>
      <c r="B162" s="6">
        <f t="shared" si="3"/>
        <v>9</v>
      </c>
      <c r="C162" s="6">
        <f t="shared" si="4"/>
        <v>19000</v>
      </c>
      <c r="D162" s="6">
        <v>2</v>
      </c>
      <c r="E162" s="7" t="str">
        <f>主角属性配置!W10</f>
        <v>[{"2":32},{"4":26},{"5":26},{"12":361},{"7":8},{"6":0},{"8":10},{"9":0}]</v>
      </c>
    </row>
    <row r="163" spans="1:5">
      <c r="A163" s="6">
        <f t="shared" si="2"/>
        <v>2010</v>
      </c>
      <c r="B163" s="6">
        <f t="shared" si="3"/>
        <v>10</v>
      </c>
      <c r="C163" s="6">
        <f t="shared" si="4"/>
        <v>23500</v>
      </c>
      <c r="D163" s="6">
        <v>2</v>
      </c>
      <c r="E163" s="7" t="str">
        <f>主角属性配置!W11</f>
        <v>[{"2":34},{"4":27},{"5":27},{"12":386},{"7":8},{"6":0},{"8":10},{"9":0}]</v>
      </c>
    </row>
    <row r="164" spans="1:5">
      <c r="A164" s="6">
        <f t="shared" si="2"/>
        <v>2011</v>
      </c>
      <c r="B164" s="6">
        <f t="shared" si="3"/>
        <v>11</v>
      </c>
      <c r="C164" s="6">
        <f t="shared" si="4"/>
        <v>29000</v>
      </c>
      <c r="D164" s="6">
        <v>2</v>
      </c>
      <c r="E164" s="7" t="str">
        <f>主角属性配置!W12</f>
        <v>[{"2":34},{"4":27},{"5":27},{"12":411},{"7":8},{"6":0},{"8":10},{"9":0}]</v>
      </c>
    </row>
    <row r="165" spans="1:5">
      <c r="A165" s="6">
        <f t="shared" si="2"/>
        <v>2012</v>
      </c>
      <c r="B165" s="6">
        <f t="shared" si="3"/>
        <v>12</v>
      </c>
      <c r="C165" s="6">
        <f t="shared" si="4"/>
        <v>35500</v>
      </c>
      <c r="D165" s="6">
        <v>2</v>
      </c>
      <c r="E165" s="7" t="str">
        <f>主角属性配置!W13</f>
        <v>[{"2":34},{"4":27},{"5":27},{"12":437},{"7":8},{"6":0},{"8":10},{"9":0}]</v>
      </c>
    </row>
    <row r="166" spans="1:5">
      <c r="A166" s="6">
        <f t="shared" si="2"/>
        <v>2013</v>
      </c>
      <c r="B166" s="6">
        <f t="shared" si="3"/>
        <v>13</v>
      </c>
      <c r="C166" s="6">
        <f t="shared" si="4"/>
        <v>43000</v>
      </c>
      <c r="D166" s="6">
        <v>2</v>
      </c>
      <c r="E166" s="7" t="str">
        <f>主角属性配置!W14</f>
        <v>[{"2":34},{"4":27},{"5":27},{"12":462},{"7":8},{"6":0},{"8":10},{"9":0}]</v>
      </c>
    </row>
    <row r="167" spans="1:5">
      <c r="A167" s="6">
        <f t="shared" si="2"/>
        <v>2014</v>
      </c>
      <c r="B167" s="6">
        <f t="shared" si="3"/>
        <v>14</v>
      </c>
      <c r="C167" s="6">
        <f t="shared" si="4"/>
        <v>51500</v>
      </c>
      <c r="D167" s="6">
        <v>2</v>
      </c>
      <c r="E167" s="7" t="str">
        <f>主角属性配置!W15</f>
        <v>[{"2":34},{"4":27},{"5":27},{"12":487},{"7":8},{"6":0},{"8":10},{"9":0}]</v>
      </c>
    </row>
    <row r="168" spans="1:5">
      <c r="A168" s="6">
        <f t="shared" si="2"/>
        <v>2015</v>
      </c>
      <c r="B168" s="6">
        <f t="shared" si="3"/>
        <v>15</v>
      </c>
      <c r="C168" s="6">
        <f t="shared" si="4"/>
        <v>61000</v>
      </c>
      <c r="D168" s="6">
        <v>2</v>
      </c>
      <c r="E168" s="7" t="str">
        <f>主角属性配置!W16</f>
        <v>[{"2":34},{"4":28},{"5":28},{"12":512},{"7":8},{"6":0},{"8":10},{"9":0}]</v>
      </c>
    </row>
    <row r="169" spans="1:5">
      <c r="A169" s="6">
        <f t="shared" si="2"/>
        <v>2016</v>
      </c>
      <c r="B169" s="6">
        <f t="shared" si="3"/>
        <v>16</v>
      </c>
      <c r="C169" s="6">
        <f t="shared" si="4"/>
        <v>72500</v>
      </c>
      <c r="D169" s="6">
        <v>2</v>
      </c>
      <c r="E169" s="7" t="str">
        <f>主角属性配置!W17</f>
        <v>[{"2":34},{"4":28},{"5":28},{"12":538},{"7":8},{"6":0},{"8":10},{"9":0}]</v>
      </c>
    </row>
    <row r="170" spans="1:5">
      <c r="A170" s="6">
        <f t="shared" si="2"/>
        <v>2017</v>
      </c>
      <c r="B170" s="6">
        <f t="shared" si="3"/>
        <v>17</v>
      </c>
      <c r="C170" s="6">
        <f t="shared" si="4"/>
        <v>86000</v>
      </c>
      <c r="D170" s="6">
        <v>2</v>
      </c>
      <c r="E170" s="7" t="str">
        <f>主角属性配置!W18</f>
        <v>[{"2":34},{"4":28},{"5":28},{"12":563},{"7":8},{"6":0},{"8":10},{"9":0}]</v>
      </c>
    </row>
    <row r="171" spans="1:5">
      <c r="A171" s="6">
        <f t="shared" si="2"/>
        <v>2018</v>
      </c>
      <c r="B171" s="6">
        <f t="shared" si="3"/>
        <v>18</v>
      </c>
      <c r="C171" s="6">
        <f t="shared" si="4"/>
        <v>101500</v>
      </c>
      <c r="D171" s="6">
        <v>2</v>
      </c>
      <c r="E171" s="7" t="str">
        <f>主角属性配置!W19</f>
        <v>[{"2":34},{"4":28},{"5":28},{"12":588},{"7":8},{"6":0},{"8":10},{"9":0}]</v>
      </c>
    </row>
    <row r="172" spans="1:5">
      <c r="A172" s="6">
        <f t="shared" si="2"/>
        <v>2019</v>
      </c>
      <c r="B172" s="6">
        <f t="shared" ref="B172:B203" si="5">B22</f>
        <v>19</v>
      </c>
      <c r="C172" s="6">
        <f t="shared" si="4"/>
        <v>119000</v>
      </c>
      <c r="D172" s="6">
        <v>2</v>
      </c>
      <c r="E172" s="7" t="str">
        <f>主角属性配置!W20</f>
        <v>[{"2":34},{"4":28},{"5":28},{"12":614},{"7":8},{"6":0},{"8":10},{"9":0}]</v>
      </c>
    </row>
    <row r="173" spans="1:5">
      <c r="A173" s="6">
        <f t="shared" si="2"/>
        <v>2020</v>
      </c>
      <c r="B173" s="6">
        <f t="shared" si="5"/>
        <v>20</v>
      </c>
      <c r="C173" s="6">
        <f t="shared" si="4"/>
        <v>138500</v>
      </c>
      <c r="D173" s="6">
        <v>2</v>
      </c>
      <c r="E173" s="7" t="str">
        <f>主角属性配置!W21</f>
        <v>[{"2":36},{"4":28},{"5":28},{"12":765},{"7":8},{"6":0},{"8":10},{"9":0}]</v>
      </c>
    </row>
    <row r="174" spans="1:5">
      <c r="A174" s="6">
        <f t="shared" si="2"/>
        <v>2021</v>
      </c>
      <c r="B174" s="6">
        <f t="shared" si="5"/>
        <v>21</v>
      </c>
      <c r="C174" s="6">
        <f t="shared" si="4"/>
        <v>161000</v>
      </c>
      <c r="D174" s="6">
        <v>2</v>
      </c>
      <c r="E174" s="7" t="str">
        <f>主角属性配置!W22</f>
        <v>[{"2":36},{"4":28},{"5":28},{"12":797},{"7":8},{"6":0},{"8":10},{"9":0}]</v>
      </c>
    </row>
    <row r="175" spans="1:5">
      <c r="A175" s="6">
        <f t="shared" si="2"/>
        <v>2022</v>
      </c>
      <c r="B175" s="6">
        <f t="shared" si="5"/>
        <v>22</v>
      </c>
      <c r="C175" s="6">
        <f t="shared" si="4"/>
        <v>186500</v>
      </c>
      <c r="D175" s="6">
        <v>2</v>
      </c>
      <c r="E175" s="7" t="str">
        <f>主角属性配置!W23</f>
        <v>[{"2":36},{"4":28},{"5":28},{"12":829},{"7":8},{"6":0},{"8":10},{"9":0}]</v>
      </c>
    </row>
    <row r="176" spans="1:5">
      <c r="A176" s="6">
        <f t="shared" si="2"/>
        <v>2023</v>
      </c>
      <c r="B176" s="6">
        <f t="shared" si="5"/>
        <v>23</v>
      </c>
      <c r="C176" s="6">
        <f t="shared" si="4"/>
        <v>215000</v>
      </c>
      <c r="D176" s="6">
        <v>2</v>
      </c>
      <c r="E176" s="7" t="str">
        <f>主角属性配置!W24</f>
        <v>[{"2":36},{"4":28},{"5":28},{"12":860},{"7":8},{"6":0},{"8":10},{"9":0}]</v>
      </c>
    </row>
    <row r="177" spans="1:5">
      <c r="A177" s="6">
        <f t="shared" si="2"/>
        <v>2024</v>
      </c>
      <c r="B177" s="6">
        <f t="shared" si="5"/>
        <v>24</v>
      </c>
      <c r="C177" s="6">
        <f t="shared" si="4"/>
        <v>246500</v>
      </c>
      <c r="D177" s="6">
        <v>2</v>
      </c>
      <c r="E177" s="7" t="str">
        <f>主角属性配置!W25</f>
        <v>[{"2":36},{"4":28},{"5":28},{"12":892},{"7":8},{"6":0},{"8":10},{"9":0}]</v>
      </c>
    </row>
    <row r="178" spans="1:5">
      <c r="A178" s="6">
        <f t="shared" si="2"/>
        <v>2025</v>
      </c>
      <c r="B178" s="6">
        <f t="shared" si="5"/>
        <v>25</v>
      </c>
      <c r="C178" s="6">
        <f t="shared" si="4"/>
        <v>281000</v>
      </c>
      <c r="D178" s="6">
        <v>2</v>
      </c>
      <c r="E178" s="7" t="str">
        <f>主角属性配置!W26</f>
        <v>[{"2":36},{"4":29},{"5":29},{"12":923},{"7":8},{"6":0},{"8":10},{"9":0}]</v>
      </c>
    </row>
    <row r="179" spans="1:5">
      <c r="A179" s="6">
        <f t="shared" si="2"/>
        <v>2026</v>
      </c>
      <c r="B179" s="6">
        <f t="shared" si="5"/>
        <v>26</v>
      </c>
      <c r="C179" s="6">
        <f t="shared" si="4"/>
        <v>320500</v>
      </c>
      <c r="D179" s="6">
        <v>2</v>
      </c>
      <c r="E179" s="7" t="str">
        <f>主角属性配置!W27</f>
        <v>[{"2":36},{"4":29},{"5":29},{"12":955},{"7":8},{"6":0},{"8":10},{"9":0}]</v>
      </c>
    </row>
    <row r="180" spans="1:5">
      <c r="A180" s="6">
        <f t="shared" si="2"/>
        <v>2027</v>
      </c>
      <c r="B180" s="6">
        <f t="shared" si="5"/>
        <v>27</v>
      </c>
      <c r="C180" s="6">
        <f t="shared" si="4"/>
        <v>365000</v>
      </c>
      <c r="D180" s="6">
        <v>2</v>
      </c>
      <c r="E180" s="7" t="str">
        <f>主角属性配置!W28</f>
        <v>[{"2":36},{"4":29},{"5":29},{"12":987},{"7":8},{"6":0},{"8":10},{"9":0}]</v>
      </c>
    </row>
    <row r="181" spans="1:5">
      <c r="A181" s="6">
        <f t="shared" si="2"/>
        <v>2028</v>
      </c>
      <c r="B181" s="6">
        <f t="shared" si="5"/>
        <v>28</v>
      </c>
      <c r="C181" s="6">
        <f t="shared" si="4"/>
        <v>414500</v>
      </c>
      <c r="D181" s="6">
        <v>2</v>
      </c>
      <c r="E181" s="7" t="str">
        <f>主角属性配置!W29</f>
        <v>[{"2":36},{"4":29},{"5":29},{"12":1018},{"7":8},{"6":0},{"8":10},{"9":0}]</v>
      </c>
    </row>
    <row r="182" spans="1:5">
      <c r="A182" s="6">
        <f t="shared" si="2"/>
        <v>2029</v>
      </c>
      <c r="B182" s="6">
        <f t="shared" si="5"/>
        <v>29</v>
      </c>
      <c r="C182" s="6">
        <f t="shared" si="4"/>
        <v>469000</v>
      </c>
      <c r="D182" s="6">
        <v>2</v>
      </c>
      <c r="E182" s="7" t="str">
        <f>主角属性配置!W30</f>
        <v>[{"2":36},{"4":29},{"5":29},{"12":1050},{"7":8},{"6":0},{"8":10},{"9":0}]</v>
      </c>
    </row>
    <row r="183" spans="1:5">
      <c r="A183" s="6">
        <f t="shared" si="2"/>
        <v>2030</v>
      </c>
      <c r="B183" s="6">
        <f t="shared" si="5"/>
        <v>30</v>
      </c>
      <c r="C183" s="6">
        <f t="shared" si="4"/>
        <v>528500</v>
      </c>
      <c r="D183" s="6">
        <v>2</v>
      </c>
      <c r="E183" s="7" t="str">
        <f>主角属性配置!W31</f>
        <v>[{"2":37},{"4":30},{"5":30},{"12":1309},{"7":8},{"6":0},{"8":10},{"9":0}]</v>
      </c>
    </row>
    <row r="184" spans="1:5">
      <c r="A184" s="6">
        <f t="shared" si="2"/>
        <v>2031</v>
      </c>
      <c r="B184" s="6">
        <f t="shared" si="5"/>
        <v>31</v>
      </c>
      <c r="C184" s="6">
        <f t="shared" si="4"/>
        <v>596000</v>
      </c>
      <c r="D184" s="6">
        <v>2</v>
      </c>
      <c r="E184" s="7" t="str">
        <f>主角属性配置!W32</f>
        <v>[{"2":37},{"4":30},{"5":30},{"12":1349},{"7":8},{"6":0},{"8":10},{"9":0}]</v>
      </c>
    </row>
    <row r="185" spans="1:5">
      <c r="A185" s="6">
        <f t="shared" si="2"/>
        <v>2032</v>
      </c>
      <c r="B185" s="6">
        <f t="shared" si="5"/>
        <v>32</v>
      </c>
      <c r="C185" s="6">
        <f t="shared" si="4"/>
        <v>671500</v>
      </c>
      <c r="D185" s="6">
        <v>2</v>
      </c>
      <c r="E185" s="7" t="str">
        <f>主角属性配置!W33</f>
        <v>[{"2":37},{"4":30},{"5":30},{"12":1388},{"7":8},{"6":0},{"8":10},{"9":0}]</v>
      </c>
    </row>
    <row r="186" spans="1:5">
      <c r="A186" s="6">
        <f t="shared" si="2"/>
        <v>2033</v>
      </c>
      <c r="B186" s="6">
        <f t="shared" si="5"/>
        <v>33</v>
      </c>
      <c r="C186" s="6">
        <f t="shared" si="4"/>
        <v>755000</v>
      </c>
      <c r="D186" s="6">
        <v>2</v>
      </c>
      <c r="E186" s="7" t="str">
        <f>主角属性配置!W34</f>
        <v>[{"2":37},{"4":30},{"5":30},{"12":1427},{"7":8},{"6":0},{"8":10},{"9":0}]</v>
      </c>
    </row>
    <row r="187" spans="1:5">
      <c r="A187" s="6">
        <f t="shared" si="2"/>
        <v>2034</v>
      </c>
      <c r="B187" s="6">
        <f t="shared" si="5"/>
        <v>34</v>
      </c>
      <c r="C187" s="6">
        <f t="shared" si="4"/>
        <v>846500</v>
      </c>
      <c r="D187" s="6">
        <v>2</v>
      </c>
      <c r="E187" s="7" t="str">
        <f>主角属性配置!W35</f>
        <v>[{"2":37},{"4":30},{"5":30},{"12":1466},{"7":8},{"6":0},{"8":10},{"9":0}]</v>
      </c>
    </row>
    <row r="188" spans="1:5">
      <c r="A188" s="6">
        <f t="shared" si="2"/>
        <v>2035</v>
      </c>
      <c r="B188" s="6">
        <f t="shared" si="5"/>
        <v>35</v>
      </c>
      <c r="C188" s="6">
        <f t="shared" si="4"/>
        <v>946000</v>
      </c>
      <c r="D188" s="6">
        <v>2</v>
      </c>
      <c r="E188" s="7" t="str">
        <f>主角属性配置!W36</f>
        <v>[{"2":38},{"4":30},{"5":30},{"12":1505},{"7":8},{"6":0},{"8":10},{"9":0}]</v>
      </c>
    </row>
    <row r="189" spans="1:5">
      <c r="A189" s="6">
        <f t="shared" si="2"/>
        <v>2036</v>
      </c>
      <c r="B189" s="6">
        <f t="shared" si="5"/>
        <v>36</v>
      </c>
      <c r="C189" s="6">
        <f t="shared" si="4"/>
        <v>1057500</v>
      </c>
      <c r="D189" s="6">
        <v>2</v>
      </c>
      <c r="E189" s="7" t="str">
        <f>主角属性配置!W37</f>
        <v>[{"2":38},{"4":30},{"5":30},{"12":1544},{"7":8},{"6":0},{"8":10},{"9":0}]</v>
      </c>
    </row>
    <row r="190" spans="1:5">
      <c r="A190" s="6">
        <f t="shared" si="2"/>
        <v>2037</v>
      </c>
      <c r="B190" s="6">
        <f t="shared" si="5"/>
        <v>37</v>
      </c>
      <c r="C190" s="6">
        <f t="shared" si="4"/>
        <v>1181000</v>
      </c>
      <c r="D190" s="6">
        <v>2</v>
      </c>
      <c r="E190" s="7" t="str">
        <f>主角属性配置!W38</f>
        <v>[{"2":38},{"4":30},{"5":30},{"12":1584},{"7":8},{"6":0},{"8":10},{"9":0}]</v>
      </c>
    </row>
    <row r="191" spans="1:5">
      <c r="A191" s="6">
        <f t="shared" si="2"/>
        <v>2038</v>
      </c>
      <c r="B191" s="6">
        <f t="shared" si="5"/>
        <v>38</v>
      </c>
      <c r="C191" s="6">
        <f t="shared" si="4"/>
        <v>1316500</v>
      </c>
      <c r="D191" s="6">
        <v>2</v>
      </c>
      <c r="E191" s="7" t="str">
        <f>主角属性配置!W39</f>
        <v>[{"2":38},{"4":30},{"5":30},{"12":1623},{"7":8},{"6":0},{"8":10},{"9":0}]</v>
      </c>
    </row>
    <row r="192" spans="1:5">
      <c r="A192" s="6">
        <f t="shared" si="2"/>
        <v>2039</v>
      </c>
      <c r="B192" s="6">
        <f t="shared" si="5"/>
        <v>39</v>
      </c>
      <c r="C192" s="6">
        <f t="shared" si="4"/>
        <v>1464000</v>
      </c>
      <c r="D192" s="6">
        <v>2</v>
      </c>
      <c r="E192" s="7" t="str">
        <f>主角属性配置!W40</f>
        <v>[{"2":38},{"4":30},{"5":30},{"12":1662},{"7":8},{"6":0},{"8":10},{"9":0}]</v>
      </c>
    </row>
    <row r="193" spans="1:5">
      <c r="A193" s="6">
        <f t="shared" si="2"/>
        <v>2040</v>
      </c>
      <c r="B193" s="6">
        <f t="shared" si="5"/>
        <v>40</v>
      </c>
      <c r="C193" s="6">
        <f t="shared" si="4"/>
        <v>1623500</v>
      </c>
      <c r="D193" s="6">
        <v>2</v>
      </c>
      <c r="E193" s="7" t="str">
        <f>主角属性配置!W41</f>
        <v>[{"2":39},{"4":31},{"5":31},{"12":1701},{"7":8},{"6":0},{"8":10},{"9":0}]</v>
      </c>
    </row>
    <row r="194" spans="1:5">
      <c r="A194" s="6">
        <f t="shared" si="2"/>
        <v>2041</v>
      </c>
      <c r="B194" s="6">
        <f t="shared" si="5"/>
        <v>41</v>
      </c>
      <c r="C194" s="6">
        <f t="shared" si="4"/>
        <v>1813000</v>
      </c>
      <c r="D194" s="6">
        <v>2</v>
      </c>
      <c r="E194" s="7" t="str">
        <f>主角属性配置!W42</f>
        <v>[{"2":39},{"4":31},{"5":31},{"12":1741},{"7":8},{"6":0},{"8":10},{"9":0}]</v>
      </c>
    </row>
    <row r="195" spans="1:5">
      <c r="A195" s="6">
        <f t="shared" si="2"/>
        <v>2042</v>
      </c>
      <c r="B195" s="6">
        <f t="shared" si="5"/>
        <v>42</v>
      </c>
      <c r="C195" s="6">
        <f t="shared" si="4"/>
        <v>2032500</v>
      </c>
      <c r="D195" s="6">
        <v>2</v>
      </c>
      <c r="E195" s="7" t="str">
        <f>主角属性配置!W43</f>
        <v>[{"2":39},{"4":31},{"5":31},{"12":1780},{"7":8},{"6":0},{"8":10},{"9":0}]</v>
      </c>
    </row>
    <row r="196" spans="1:5">
      <c r="A196" s="6">
        <f t="shared" si="2"/>
        <v>2043</v>
      </c>
      <c r="B196" s="6">
        <f t="shared" si="5"/>
        <v>43</v>
      </c>
      <c r="C196" s="6">
        <f t="shared" si="4"/>
        <v>2282000</v>
      </c>
      <c r="D196" s="6">
        <v>2</v>
      </c>
      <c r="E196" s="7" t="str">
        <f>主角属性配置!W44</f>
        <v>[{"2":39},{"4":31},{"5":31},{"12":1819},{"7":8},{"6":0},{"8":10},{"9":0}]</v>
      </c>
    </row>
    <row r="197" spans="1:5">
      <c r="A197" s="6">
        <f t="shared" ref="A197:A260" si="6">D197*1000+B197</f>
        <v>2044</v>
      </c>
      <c r="B197" s="6">
        <f t="shared" si="5"/>
        <v>44</v>
      </c>
      <c r="C197" s="6">
        <f t="shared" si="4"/>
        <v>2561500</v>
      </c>
      <c r="D197" s="6">
        <v>2</v>
      </c>
      <c r="E197" s="7" t="str">
        <f>主角属性配置!W45</f>
        <v>[{"2":39},{"4":31},{"5":31},{"12":1858},{"7":8},{"6":0},{"8":10},{"9":0}]</v>
      </c>
    </row>
    <row r="198" spans="1:5">
      <c r="A198" s="6">
        <f t="shared" si="6"/>
        <v>2045</v>
      </c>
      <c r="B198" s="6">
        <f t="shared" si="5"/>
        <v>45</v>
      </c>
      <c r="C198" s="6">
        <f t="shared" si="4"/>
        <v>2871000</v>
      </c>
      <c r="D198" s="6">
        <v>2</v>
      </c>
      <c r="E198" s="7" t="str">
        <f>主角属性配置!W46</f>
        <v>[{"2":40},{"4":32},{"5":32},{"12":1897},{"7":8},{"6":0},{"8":10},{"9":0}]</v>
      </c>
    </row>
    <row r="199" spans="1:5">
      <c r="A199" s="6">
        <f t="shared" si="6"/>
        <v>2046</v>
      </c>
      <c r="B199" s="6">
        <f t="shared" si="5"/>
        <v>46</v>
      </c>
      <c r="C199" s="6">
        <f t="shared" si="4"/>
        <v>3230500</v>
      </c>
      <c r="D199" s="6">
        <v>2</v>
      </c>
      <c r="E199" s="7" t="str">
        <f>主角属性配置!W47</f>
        <v>[{"2":40},{"4":32},{"5":32},{"12":1937},{"7":8},{"6":0},{"8":10},{"9":0}]</v>
      </c>
    </row>
    <row r="200" spans="1:5">
      <c r="A200" s="6">
        <f t="shared" si="6"/>
        <v>2047</v>
      </c>
      <c r="B200" s="6">
        <f t="shared" si="5"/>
        <v>47</v>
      </c>
      <c r="C200" s="6">
        <f t="shared" si="4"/>
        <v>3640000</v>
      </c>
      <c r="D200" s="6">
        <v>2</v>
      </c>
      <c r="E200" s="7" t="str">
        <f>主角属性配置!W48</f>
        <v>[{"2":40},{"4":32},{"5":32},{"12":1976},{"7":8},{"6":0},{"8":10},{"9":0}]</v>
      </c>
    </row>
    <row r="201" spans="1:5">
      <c r="A201" s="6">
        <f t="shared" si="6"/>
        <v>2048</v>
      </c>
      <c r="B201" s="6">
        <f t="shared" si="5"/>
        <v>48</v>
      </c>
      <c r="C201" s="6">
        <f t="shared" si="4"/>
        <v>4099500</v>
      </c>
      <c r="D201" s="6">
        <v>2</v>
      </c>
      <c r="E201" s="7" t="str">
        <f>主角属性配置!W49</f>
        <v>[{"2":40},{"4":32},{"5":32},{"12":2015},{"7":8},{"6":0},{"8":10},{"9":0}]</v>
      </c>
    </row>
    <row r="202" spans="1:5">
      <c r="A202" s="6">
        <f t="shared" si="6"/>
        <v>2049</v>
      </c>
      <c r="B202" s="6">
        <f t="shared" si="5"/>
        <v>49</v>
      </c>
      <c r="C202" s="6">
        <f t="shared" si="4"/>
        <v>4609000</v>
      </c>
      <c r="D202" s="6">
        <v>2</v>
      </c>
      <c r="E202" s="7" t="str">
        <f>主角属性配置!W50</f>
        <v>[{"2":40},{"4":32},{"5":32},{"12":2054},{"7":8},{"6":0},{"8":10},{"9":0}]</v>
      </c>
    </row>
    <row r="203" spans="1:5">
      <c r="A203" s="6">
        <f t="shared" si="6"/>
        <v>2050</v>
      </c>
      <c r="B203" s="6">
        <f t="shared" si="5"/>
        <v>50</v>
      </c>
      <c r="C203" s="6">
        <f t="shared" si="4"/>
        <v>5168500</v>
      </c>
      <c r="D203" s="6">
        <v>2</v>
      </c>
      <c r="E203" s="7" t="str">
        <f>主角属性配置!W51</f>
        <v>[{"2":41},{"4":33},{"5":33},{"12":2600},{"7":8},{"6":0},{"8":10},{"9":0}]</v>
      </c>
    </row>
    <row r="204" spans="1:5">
      <c r="A204" s="6">
        <f t="shared" si="6"/>
        <v>2051</v>
      </c>
      <c r="B204" s="6">
        <f t="shared" ref="B204:B238" si="7">B54</f>
        <v>51</v>
      </c>
      <c r="C204" s="6">
        <f t="shared" si="4"/>
        <v>5808000</v>
      </c>
      <c r="D204" s="6">
        <v>2</v>
      </c>
      <c r="E204" s="7" t="str">
        <f>主角属性配置!W52</f>
        <v>[{"2":41},{"4":33},{"5":33},{"12":2649},{"7":8},{"6":0},{"8":10},{"9":0}]</v>
      </c>
    </row>
    <row r="205" spans="1:5">
      <c r="A205" s="6">
        <f t="shared" si="6"/>
        <v>2052</v>
      </c>
      <c r="B205" s="6">
        <f t="shared" si="7"/>
        <v>52</v>
      </c>
      <c r="C205" s="6">
        <f t="shared" si="4"/>
        <v>6527500</v>
      </c>
      <c r="D205" s="6">
        <v>2</v>
      </c>
      <c r="E205" s="7" t="str">
        <f>主角属性配置!W53</f>
        <v>[{"2":41},{"4":33},{"5":33},{"12":2698},{"7":8},{"6":0},{"8":10},{"9":0}]</v>
      </c>
    </row>
    <row r="206" spans="1:5">
      <c r="A206" s="6">
        <f t="shared" si="6"/>
        <v>2053</v>
      </c>
      <c r="B206" s="6">
        <f t="shared" si="7"/>
        <v>53</v>
      </c>
      <c r="C206" s="6">
        <f t="shared" si="4"/>
        <v>7327000</v>
      </c>
      <c r="D206" s="6">
        <v>2</v>
      </c>
      <c r="E206" s="7" t="str">
        <f>主角属性配置!W54</f>
        <v>[{"2":41},{"4":33},{"5":33},{"12":2748},{"7":8},{"6":0},{"8":10},{"9":0}]</v>
      </c>
    </row>
    <row r="207" spans="1:5">
      <c r="A207" s="6">
        <f t="shared" si="6"/>
        <v>2054</v>
      </c>
      <c r="B207" s="6">
        <f t="shared" si="7"/>
        <v>54</v>
      </c>
      <c r="C207" s="6">
        <f t="shared" si="4"/>
        <v>8206500</v>
      </c>
      <c r="D207" s="6">
        <v>2</v>
      </c>
      <c r="E207" s="7" t="str">
        <f>主角属性配置!W55</f>
        <v>[{"2":41},{"4":33},{"5":33},{"12":2797},{"7":8},{"6":0},{"8":10},{"9":0}]</v>
      </c>
    </row>
    <row r="208" spans="1:5">
      <c r="A208" s="6">
        <f t="shared" si="6"/>
        <v>2055</v>
      </c>
      <c r="B208" s="6">
        <f t="shared" si="7"/>
        <v>55</v>
      </c>
      <c r="C208" s="6">
        <f t="shared" si="4"/>
        <v>9166000</v>
      </c>
      <c r="D208" s="6">
        <v>2</v>
      </c>
      <c r="E208" s="7" t="str">
        <f>主角属性配置!W56</f>
        <v>[{"2":41},{"4":33},{"5":33},{"12":2846},{"7":8},{"6":0},{"8":10},{"9":0}]</v>
      </c>
    </row>
    <row r="209" spans="1:5">
      <c r="A209" s="6">
        <f t="shared" si="6"/>
        <v>2056</v>
      </c>
      <c r="B209" s="6">
        <f t="shared" si="7"/>
        <v>56</v>
      </c>
      <c r="C209" s="6">
        <f t="shared" si="4"/>
        <v>10225500</v>
      </c>
      <c r="D209" s="6">
        <v>2</v>
      </c>
      <c r="E209" s="7" t="str">
        <f>主角属性配置!W57</f>
        <v>[{"2":41},{"4":33},{"5":33},{"12":2895},{"7":8},{"6":0},{"8":10},{"9":0}]</v>
      </c>
    </row>
    <row r="210" spans="1:5">
      <c r="A210" s="6">
        <f t="shared" si="6"/>
        <v>2057</v>
      </c>
      <c r="B210" s="6">
        <f t="shared" si="7"/>
        <v>57</v>
      </c>
      <c r="C210" s="6">
        <f t="shared" si="4"/>
        <v>11385000</v>
      </c>
      <c r="D210" s="6">
        <v>2</v>
      </c>
      <c r="E210" s="7" t="str">
        <f>主角属性配置!W58</f>
        <v>[{"2":41},{"4":33},{"5":33},{"12":2945},{"7":8},{"6":0},{"8":10},{"9":0}]</v>
      </c>
    </row>
    <row r="211" spans="1:5">
      <c r="A211" s="6">
        <f t="shared" si="6"/>
        <v>2058</v>
      </c>
      <c r="B211" s="6">
        <f t="shared" si="7"/>
        <v>58</v>
      </c>
      <c r="C211" s="6">
        <f t="shared" si="4"/>
        <v>12644500</v>
      </c>
      <c r="D211" s="6">
        <v>2</v>
      </c>
      <c r="E211" s="7" t="str">
        <f>主角属性配置!W59</f>
        <v>[{"2":41},{"4":33},{"5":33},{"12":2994},{"7":8},{"6":0},{"8":10},{"9":0}]</v>
      </c>
    </row>
    <row r="212" spans="1:5">
      <c r="A212" s="6">
        <f t="shared" si="6"/>
        <v>2059</v>
      </c>
      <c r="B212" s="6">
        <f t="shared" si="7"/>
        <v>59</v>
      </c>
      <c r="C212" s="6">
        <f t="shared" si="4"/>
        <v>14004000</v>
      </c>
      <c r="D212" s="6">
        <v>2</v>
      </c>
      <c r="E212" s="7" t="str">
        <f>主角属性配置!W60</f>
        <v>[{"2":41},{"4":33},{"5":33},{"12":3044},{"7":8},{"6":0},{"8":10},{"9":0}]</v>
      </c>
    </row>
    <row r="213" spans="1:5">
      <c r="A213" s="6">
        <f t="shared" si="6"/>
        <v>2060</v>
      </c>
      <c r="B213" s="6">
        <f t="shared" si="7"/>
        <v>60</v>
      </c>
      <c r="C213" s="6">
        <f t="shared" si="4"/>
        <v>15463500</v>
      </c>
      <c r="D213" s="6">
        <v>2</v>
      </c>
      <c r="E213" s="7" t="str">
        <f>主角属性配置!W61</f>
        <v>[{"2":42},{"4":34},{"5":34},{"12":3093},{"7":8},{"6":0},{"8":10},{"9":0}]</v>
      </c>
    </row>
    <row r="214" spans="1:5">
      <c r="A214" s="6">
        <f t="shared" si="6"/>
        <v>2061</v>
      </c>
      <c r="B214" s="6">
        <f t="shared" si="7"/>
        <v>61</v>
      </c>
      <c r="C214" s="6">
        <f t="shared" si="4"/>
        <v>17063000</v>
      </c>
      <c r="D214" s="6">
        <v>2</v>
      </c>
      <c r="E214" s="7" t="str">
        <f>主角属性配置!W62</f>
        <v>[{"2":42},{"4":34},{"5":34},{"12":3142},{"7":8},{"6":0},{"8":10},{"9":0}]</v>
      </c>
    </row>
    <row r="215" spans="1:5">
      <c r="A215" s="6">
        <f t="shared" si="6"/>
        <v>2062</v>
      </c>
      <c r="B215" s="6">
        <f t="shared" si="7"/>
        <v>62</v>
      </c>
      <c r="C215" s="6">
        <f t="shared" si="4"/>
        <v>18802500</v>
      </c>
      <c r="D215" s="6">
        <v>2</v>
      </c>
      <c r="E215" s="7" t="str">
        <f>主角属性配置!W63</f>
        <v>[{"2":42},{"4":34},{"5":34},{"12":3192},{"7":8},{"6":0},{"8":10},{"9":0}]</v>
      </c>
    </row>
    <row r="216" spans="1:5">
      <c r="A216" s="6">
        <f t="shared" si="6"/>
        <v>2063</v>
      </c>
      <c r="B216" s="6">
        <f t="shared" si="7"/>
        <v>63</v>
      </c>
      <c r="C216" s="6">
        <f t="shared" si="4"/>
        <v>20682000</v>
      </c>
      <c r="D216" s="6">
        <v>2</v>
      </c>
      <c r="E216" s="7" t="str">
        <f>主角属性配置!W64</f>
        <v>[{"2":42},{"4":34},{"5":34},{"12":3241},{"7":8},{"6":0},{"8":10},{"9":0}]</v>
      </c>
    </row>
    <row r="217" spans="1:5">
      <c r="A217" s="6">
        <f t="shared" si="6"/>
        <v>2064</v>
      </c>
      <c r="B217" s="6">
        <f t="shared" si="7"/>
        <v>64</v>
      </c>
      <c r="C217" s="6">
        <f t="shared" si="4"/>
        <v>22701500</v>
      </c>
      <c r="D217" s="6">
        <v>2</v>
      </c>
      <c r="E217" s="7" t="str">
        <f>主角属性配置!W65</f>
        <v>[{"2":42},{"4":34},{"5":34},{"12":3290},{"7":8},{"6":0},{"8":10},{"9":0}]</v>
      </c>
    </row>
    <row r="218" spans="1:5">
      <c r="A218" s="6">
        <f t="shared" si="6"/>
        <v>2065</v>
      </c>
      <c r="B218" s="6">
        <f t="shared" si="7"/>
        <v>65</v>
      </c>
      <c r="C218" s="6">
        <f t="shared" si="4"/>
        <v>24861000</v>
      </c>
      <c r="D218" s="6">
        <v>2</v>
      </c>
      <c r="E218" s="7" t="str">
        <f>主角属性配置!W66</f>
        <v>[{"2":43},{"4":35},{"5":35},{"12":3339},{"7":8},{"6":0},{"8":10},{"9":0}]</v>
      </c>
    </row>
    <row r="219" spans="1:5">
      <c r="A219" s="6">
        <f t="shared" si="6"/>
        <v>2066</v>
      </c>
      <c r="B219" s="6">
        <f t="shared" si="7"/>
        <v>66</v>
      </c>
      <c r="C219" s="6">
        <f t="shared" ref="C219:C282" si="8">C69</f>
        <v>27200500</v>
      </c>
      <c r="D219" s="6">
        <v>2</v>
      </c>
      <c r="E219" s="7" t="str">
        <f>主角属性配置!W67</f>
        <v>[{"2":43},{"4":35},{"5":35},{"12":3389},{"7":8},{"6":0},{"8":10},{"9":0}]</v>
      </c>
    </row>
    <row r="220" spans="1:5">
      <c r="A220" s="6">
        <f t="shared" si="6"/>
        <v>2067</v>
      </c>
      <c r="B220" s="6">
        <f t="shared" si="7"/>
        <v>67</v>
      </c>
      <c r="C220" s="6">
        <f t="shared" si="8"/>
        <v>29720000</v>
      </c>
      <c r="D220" s="6">
        <v>2</v>
      </c>
      <c r="E220" s="7" t="str">
        <f>主角属性配置!W68</f>
        <v>[{"2":43},{"4":35},{"5":35},{"12":3438},{"7":8},{"6":0},{"8":10},{"9":0}]</v>
      </c>
    </row>
    <row r="221" spans="1:5">
      <c r="A221" s="6">
        <f t="shared" si="6"/>
        <v>2068</v>
      </c>
      <c r="B221" s="6">
        <f t="shared" si="7"/>
        <v>68</v>
      </c>
      <c r="C221" s="6">
        <f t="shared" si="8"/>
        <v>32419500</v>
      </c>
      <c r="D221" s="6">
        <v>2</v>
      </c>
      <c r="E221" s="7" t="str">
        <f>主角属性配置!W69</f>
        <v>[{"2":43},{"4":35},{"5":35},{"12":3487},{"7":8},{"6":0},{"8":10},{"9":0}]</v>
      </c>
    </row>
    <row r="222" spans="1:5">
      <c r="A222" s="6">
        <f t="shared" si="6"/>
        <v>2069</v>
      </c>
      <c r="B222" s="6">
        <f t="shared" si="7"/>
        <v>69</v>
      </c>
      <c r="C222" s="6">
        <f t="shared" si="8"/>
        <v>35299000</v>
      </c>
      <c r="D222" s="6">
        <v>2</v>
      </c>
      <c r="E222" s="7" t="str">
        <f>主角属性配置!W70</f>
        <v>[{"2":43},{"4":35},{"5":35},{"12":3537},{"7":8},{"6":0},{"8":10},{"9":0}]</v>
      </c>
    </row>
    <row r="223" spans="1:5">
      <c r="A223" s="6">
        <f t="shared" si="6"/>
        <v>2070</v>
      </c>
      <c r="B223" s="6">
        <f t="shared" si="7"/>
        <v>70</v>
      </c>
      <c r="C223" s="6">
        <f t="shared" si="8"/>
        <v>38358500</v>
      </c>
      <c r="D223" s="6">
        <v>2</v>
      </c>
      <c r="E223" s="7" t="str">
        <f>主角属性配置!W71</f>
        <v>[{"2":44},{"4":35},{"5":35},{"12":4560},{"7":8},{"6":0},{"8":10},{"9":0}]</v>
      </c>
    </row>
    <row r="224" spans="1:5">
      <c r="A224" s="6">
        <f t="shared" si="6"/>
        <v>2071</v>
      </c>
      <c r="B224" s="6">
        <f t="shared" si="7"/>
        <v>71</v>
      </c>
      <c r="C224" s="6">
        <f t="shared" si="8"/>
        <v>41668000</v>
      </c>
      <c r="D224" s="6">
        <v>2</v>
      </c>
      <c r="E224" s="7" t="str">
        <f>主角属性配置!W72</f>
        <v>[{"2":44},{"4":35},{"5":35},{"12":4624},{"7":8},{"6":0},{"8":10},{"9":0}]</v>
      </c>
    </row>
    <row r="225" spans="1:5">
      <c r="A225" s="6">
        <f t="shared" si="6"/>
        <v>2072</v>
      </c>
      <c r="B225" s="6">
        <f t="shared" si="7"/>
        <v>72</v>
      </c>
      <c r="C225" s="6">
        <f t="shared" si="8"/>
        <v>45227500</v>
      </c>
      <c r="D225" s="6">
        <v>2</v>
      </c>
      <c r="E225" s="7" t="str">
        <f>主角属性配置!W73</f>
        <v>[{"2":44},{"4":35},{"5":35},{"12":4687},{"7":8},{"6":0},{"8":10},{"9":0}]</v>
      </c>
    </row>
    <row r="226" spans="1:5">
      <c r="A226" s="6">
        <f t="shared" si="6"/>
        <v>2073</v>
      </c>
      <c r="B226" s="6">
        <f t="shared" si="7"/>
        <v>73</v>
      </c>
      <c r="C226" s="6">
        <f t="shared" si="8"/>
        <v>49037000</v>
      </c>
      <c r="D226" s="6">
        <v>2</v>
      </c>
      <c r="E226" s="7" t="str">
        <f>主角属性配置!W74</f>
        <v>[{"2":44},{"4":35},{"5":35},{"12":4750},{"7":8},{"6":0},{"8":10},{"9":0}]</v>
      </c>
    </row>
    <row r="227" spans="1:5">
      <c r="A227" s="6">
        <f t="shared" si="6"/>
        <v>2074</v>
      </c>
      <c r="B227" s="6">
        <f t="shared" si="7"/>
        <v>74</v>
      </c>
      <c r="C227" s="6">
        <f t="shared" si="8"/>
        <v>53096500</v>
      </c>
      <c r="D227" s="6">
        <v>2</v>
      </c>
      <c r="E227" s="7" t="str">
        <f>主角属性配置!W75</f>
        <v>[{"2":44},{"4":35},{"5":35},{"12":4813},{"7":8},{"6":0},{"8":10},{"9":0}]</v>
      </c>
    </row>
    <row r="228" spans="1:5">
      <c r="A228" s="6">
        <f t="shared" si="6"/>
        <v>2075</v>
      </c>
      <c r="B228" s="6">
        <f t="shared" si="7"/>
        <v>75</v>
      </c>
      <c r="C228" s="6">
        <f t="shared" si="8"/>
        <v>57406000</v>
      </c>
      <c r="D228" s="6">
        <v>2</v>
      </c>
      <c r="E228" s="7" t="str">
        <f>主角属性配置!W76</f>
        <v>[{"2":45},{"4":36},{"5":36},{"12":4876},{"7":8},{"6":0},{"8":10},{"9":0}]</v>
      </c>
    </row>
    <row r="229" spans="1:5">
      <c r="A229" s="6">
        <f t="shared" si="6"/>
        <v>2076</v>
      </c>
      <c r="B229" s="6">
        <f t="shared" si="7"/>
        <v>76</v>
      </c>
      <c r="C229" s="6">
        <f t="shared" si="8"/>
        <v>62215500</v>
      </c>
      <c r="D229" s="6">
        <v>2</v>
      </c>
      <c r="E229" s="7" t="str">
        <f>主角属性配置!W77</f>
        <v>[{"2":45},{"4":36},{"5":36},{"12":4940},{"7":8},{"6":0},{"8":10},{"9":0}]</v>
      </c>
    </row>
    <row r="230" spans="1:5">
      <c r="A230" s="6">
        <f t="shared" si="6"/>
        <v>2077</v>
      </c>
      <c r="B230" s="6">
        <f t="shared" si="7"/>
        <v>77</v>
      </c>
      <c r="C230" s="6">
        <f t="shared" si="8"/>
        <v>67525000</v>
      </c>
      <c r="D230" s="6">
        <v>2</v>
      </c>
      <c r="E230" s="7" t="str">
        <f>主角属性配置!W78</f>
        <v>[{"2":45},{"4":36},{"5":36},{"12":5003},{"7":8},{"6":0},{"8":10},{"9":0}]</v>
      </c>
    </row>
    <row r="231" spans="1:5">
      <c r="A231" s="6">
        <f t="shared" si="6"/>
        <v>2078</v>
      </c>
      <c r="B231" s="6">
        <f t="shared" si="7"/>
        <v>78</v>
      </c>
      <c r="C231" s="6">
        <f t="shared" si="8"/>
        <v>73334500</v>
      </c>
      <c r="D231" s="6">
        <v>2</v>
      </c>
      <c r="E231" s="7" t="str">
        <f>主角属性配置!W79</f>
        <v>[{"2":45},{"4":36},{"5":36},{"12":5066},{"7":8},{"6":0},{"8":10},{"9":0}]</v>
      </c>
    </row>
    <row r="232" spans="1:5">
      <c r="A232" s="6">
        <f t="shared" si="6"/>
        <v>2079</v>
      </c>
      <c r="B232" s="6">
        <f t="shared" si="7"/>
        <v>79</v>
      </c>
      <c r="C232" s="6">
        <f t="shared" si="8"/>
        <v>79644000</v>
      </c>
      <c r="D232" s="6">
        <v>2</v>
      </c>
      <c r="E232" s="7" t="str">
        <f>主角属性配置!W80</f>
        <v>[{"2":45},{"4":36},{"5":36},{"12":5130},{"7":8},{"6":0},{"8":10},{"9":0}]</v>
      </c>
    </row>
    <row r="233" spans="1:5">
      <c r="A233" s="6">
        <f t="shared" si="6"/>
        <v>2080</v>
      </c>
      <c r="B233" s="6">
        <f t="shared" si="7"/>
        <v>80</v>
      </c>
      <c r="C233" s="6">
        <f t="shared" si="8"/>
        <v>86453500</v>
      </c>
      <c r="D233" s="6">
        <v>2</v>
      </c>
      <c r="E233" s="7" t="str">
        <f>主角属性配置!W81</f>
        <v>[{"2":45},{"4":37},{"5":37},{"12":5193},{"7":8},{"6":0},{"8":10},{"9":0}]</v>
      </c>
    </row>
    <row r="234" spans="1:5">
      <c r="A234" s="6">
        <f t="shared" si="6"/>
        <v>2081</v>
      </c>
      <c r="B234" s="6">
        <f t="shared" si="7"/>
        <v>81</v>
      </c>
      <c r="C234" s="6">
        <f t="shared" si="8"/>
        <v>94263000</v>
      </c>
      <c r="D234" s="6">
        <v>2</v>
      </c>
      <c r="E234" s="7" t="str">
        <f>主角属性配置!W82</f>
        <v>[{"2":45},{"4":37},{"5":37},{"12":5256},{"7":8},{"6":0},{"8":10},{"9":0}]</v>
      </c>
    </row>
    <row r="235" spans="1:5">
      <c r="A235" s="6">
        <f t="shared" si="6"/>
        <v>2082</v>
      </c>
      <c r="B235" s="6">
        <f t="shared" si="7"/>
        <v>82</v>
      </c>
      <c r="C235" s="6">
        <f t="shared" si="8"/>
        <v>103072500</v>
      </c>
      <c r="D235" s="6">
        <v>2</v>
      </c>
      <c r="E235" s="7" t="str">
        <f>主角属性配置!W83</f>
        <v>[{"2":45},{"4":37},{"5":37},{"12":5320},{"7":8},{"6":0},{"8":10},{"9":0}]</v>
      </c>
    </row>
    <row r="236" spans="1:5">
      <c r="A236" s="6">
        <f t="shared" si="6"/>
        <v>2083</v>
      </c>
      <c r="B236" s="6">
        <f t="shared" si="7"/>
        <v>83</v>
      </c>
      <c r="C236" s="6">
        <f t="shared" si="8"/>
        <v>112882000</v>
      </c>
      <c r="D236" s="6">
        <v>2</v>
      </c>
      <c r="E236" s="7" t="str">
        <f>主角属性配置!W84</f>
        <v>[{"2":45},{"4":37},{"5":37},{"12":5382},{"7":8},{"6":0},{"8":10},{"9":0}]</v>
      </c>
    </row>
    <row r="237" spans="1:5">
      <c r="A237" s="6">
        <f t="shared" si="6"/>
        <v>2084</v>
      </c>
      <c r="B237" s="6">
        <f t="shared" si="7"/>
        <v>84</v>
      </c>
      <c r="C237" s="6">
        <f t="shared" si="8"/>
        <v>123691500</v>
      </c>
      <c r="D237" s="6">
        <v>2</v>
      </c>
      <c r="E237" s="7" t="str">
        <f>主角属性配置!W85</f>
        <v>[{"2":45},{"4":37},{"5":37},{"12":6933},{"7":8},{"6":0},{"8":10},{"9":0}]</v>
      </c>
    </row>
    <row r="238" spans="1:5">
      <c r="A238" s="6">
        <f t="shared" si="6"/>
        <v>2085</v>
      </c>
      <c r="B238" s="6">
        <f t="shared" si="7"/>
        <v>85</v>
      </c>
      <c r="C238" s="6">
        <f t="shared" si="8"/>
        <v>135501000</v>
      </c>
      <c r="D238" s="6">
        <v>2</v>
      </c>
      <c r="E238" s="7" t="str">
        <f>主角属性配置!W86</f>
        <v>[{"2":46},{"4":37},{"5":37},{"12":7014},{"7":8},{"6":0},{"8":10},{"9":0}]</v>
      </c>
    </row>
    <row r="239" spans="1:5">
      <c r="A239" s="6">
        <f t="shared" si="6"/>
        <v>2086</v>
      </c>
      <c r="B239" s="6">
        <f t="shared" ref="B239:B270" si="9">B89</f>
        <v>86</v>
      </c>
      <c r="C239" s="6">
        <f t="shared" si="8"/>
        <v>152310500</v>
      </c>
      <c r="D239" s="6">
        <v>2</v>
      </c>
      <c r="E239" s="7" t="str">
        <f>主角属性配置!W87</f>
        <v>[{"2":46},{"4":37},{"5":37},{"12":7095},{"7":8},{"6":0},{"8":10},{"9":0}]</v>
      </c>
    </row>
    <row r="240" spans="1:5">
      <c r="A240" s="6">
        <f t="shared" si="6"/>
        <v>2087</v>
      </c>
      <c r="B240" s="6">
        <f t="shared" si="9"/>
        <v>87</v>
      </c>
      <c r="C240" s="6">
        <f t="shared" si="8"/>
        <v>174120000</v>
      </c>
      <c r="D240" s="6">
        <v>2</v>
      </c>
      <c r="E240" s="7" t="str">
        <f>主角属性配置!W88</f>
        <v>[{"2":46},{"4":37},{"5":37},{"12":7176},{"7":8},{"6":0},{"8":10},{"9":0}]</v>
      </c>
    </row>
    <row r="241" spans="1:5">
      <c r="A241" s="6">
        <f t="shared" si="6"/>
        <v>2088</v>
      </c>
      <c r="B241" s="6">
        <f t="shared" si="9"/>
        <v>88</v>
      </c>
      <c r="C241" s="6">
        <f t="shared" si="8"/>
        <v>200929500</v>
      </c>
      <c r="D241" s="6">
        <v>2</v>
      </c>
      <c r="E241" s="7" t="str">
        <f>主角属性配置!W89</f>
        <v>[{"2":46},{"4":37},{"5":37},{"12":7257},{"7":8},{"6":0},{"8":10},{"9":0}]</v>
      </c>
    </row>
    <row r="242" spans="1:5">
      <c r="A242" s="6">
        <f t="shared" si="6"/>
        <v>2089</v>
      </c>
      <c r="B242" s="6">
        <f t="shared" si="9"/>
        <v>89</v>
      </c>
      <c r="C242" s="6">
        <f t="shared" si="8"/>
        <v>232739000</v>
      </c>
      <c r="D242" s="6">
        <v>2</v>
      </c>
      <c r="E242" s="7" t="str">
        <f>主角属性配置!W90</f>
        <v>[{"2":46},{"4":37},{"5":37},{"12":7338},{"7":8},{"6":0},{"8":10},{"9":0}]</v>
      </c>
    </row>
    <row r="243" spans="1:5">
      <c r="A243" s="6">
        <f t="shared" si="6"/>
        <v>2090</v>
      </c>
      <c r="B243" s="6">
        <f t="shared" si="9"/>
        <v>90</v>
      </c>
      <c r="C243" s="6">
        <f t="shared" si="8"/>
        <v>269548500</v>
      </c>
      <c r="D243" s="6">
        <v>2</v>
      </c>
      <c r="E243" s="7" t="str">
        <f>主角属性配置!W91</f>
        <v>[{"2":47},{"4":38},{"5":38},{"12":7419},{"7":8},{"6":0},{"8":10},{"9":0}]</v>
      </c>
    </row>
    <row r="244" spans="1:5">
      <c r="A244" s="6">
        <f t="shared" si="6"/>
        <v>2091</v>
      </c>
      <c r="B244" s="6">
        <f t="shared" si="9"/>
        <v>91</v>
      </c>
      <c r="C244" s="6">
        <f t="shared" si="8"/>
        <v>326358000</v>
      </c>
      <c r="D244" s="6">
        <v>2</v>
      </c>
      <c r="E244" s="7" t="str">
        <f>主角属性配置!W92</f>
        <v>[{"2":47},{"4":38},{"5":38},{"12":7500},{"7":8},{"6":0},{"8":10},{"9":0}]</v>
      </c>
    </row>
    <row r="245" spans="1:5">
      <c r="A245" s="6">
        <f t="shared" si="6"/>
        <v>2092</v>
      </c>
      <c r="B245" s="6">
        <f t="shared" si="9"/>
        <v>92</v>
      </c>
      <c r="C245" s="6">
        <f t="shared" si="8"/>
        <v>403167500</v>
      </c>
      <c r="D245" s="6">
        <v>2</v>
      </c>
      <c r="E245" s="7" t="str">
        <f>主角属性配置!W93</f>
        <v>[{"2":47},{"4":38},{"5":38},{"12":7581},{"7":8},{"6":0},{"8":10},{"9":0}]</v>
      </c>
    </row>
    <row r="246" spans="1:5">
      <c r="A246" s="6">
        <f t="shared" si="6"/>
        <v>2093</v>
      </c>
      <c r="B246" s="6">
        <f t="shared" si="9"/>
        <v>93</v>
      </c>
      <c r="C246" s="6">
        <f t="shared" si="8"/>
        <v>499977000</v>
      </c>
      <c r="D246" s="6">
        <v>2</v>
      </c>
      <c r="E246" s="7" t="str">
        <f>主角属性配置!W94</f>
        <v>[{"2":47},{"4":38},{"5":38},{"12":7661},{"7":8},{"6":0},{"8":10},{"9":0}]</v>
      </c>
    </row>
    <row r="247" spans="1:5">
      <c r="A247" s="6">
        <f t="shared" si="6"/>
        <v>2094</v>
      </c>
      <c r="B247" s="6">
        <f t="shared" si="9"/>
        <v>94</v>
      </c>
      <c r="C247" s="6">
        <f t="shared" si="8"/>
        <v>616786500</v>
      </c>
      <c r="D247" s="6">
        <v>2</v>
      </c>
      <c r="E247" s="7" t="str">
        <f>主角属性配置!W95</f>
        <v>[{"2":47},{"4":38},{"5":38},{"12":7742},{"7":8},{"6":0},{"8":10},{"9":0}]</v>
      </c>
    </row>
    <row r="248" spans="1:5">
      <c r="A248" s="6">
        <f t="shared" si="6"/>
        <v>2095</v>
      </c>
      <c r="B248" s="6">
        <f t="shared" si="9"/>
        <v>95</v>
      </c>
      <c r="C248" s="6">
        <f t="shared" si="8"/>
        <v>753596000</v>
      </c>
      <c r="D248" s="6">
        <v>2</v>
      </c>
      <c r="E248" s="7" t="str">
        <f>主角属性配置!W96</f>
        <v>[{"2":48},{"4":39},{"5":39},{"12":7824},{"7":8},{"6":0},{"8":10},{"9":0}]</v>
      </c>
    </row>
    <row r="249" spans="1:5">
      <c r="A249" s="6">
        <f t="shared" si="6"/>
        <v>2096</v>
      </c>
      <c r="B249" s="6">
        <f t="shared" si="9"/>
        <v>96</v>
      </c>
      <c r="C249" s="6">
        <f t="shared" si="8"/>
        <v>920405500</v>
      </c>
      <c r="D249" s="6">
        <v>2</v>
      </c>
      <c r="E249" s="7" t="str">
        <f>主角属性配置!W97</f>
        <v>[{"2":48},{"4":39},{"5":39},{"12":7905},{"7":8},{"6":0},{"8":10},{"9":0}]</v>
      </c>
    </row>
    <row r="250" spans="1:5">
      <c r="A250" s="6">
        <f t="shared" si="6"/>
        <v>2097</v>
      </c>
      <c r="B250" s="6">
        <f t="shared" si="9"/>
        <v>97</v>
      </c>
      <c r="C250" s="6">
        <f t="shared" si="8"/>
        <v>1117215000</v>
      </c>
      <c r="D250" s="6">
        <v>2</v>
      </c>
      <c r="E250" s="7" t="str">
        <f>主角属性配置!W98</f>
        <v>[{"2":48},{"4":39},{"5":39},{"12":7986},{"7":8},{"6":0},{"8":10},{"9":0}]</v>
      </c>
    </row>
    <row r="251" spans="1:5">
      <c r="A251" s="6">
        <f t="shared" si="6"/>
        <v>2098</v>
      </c>
      <c r="B251" s="6">
        <f t="shared" si="9"/>
        <v>98</v>
      </c>
      <c r="C251" s="6">
        <f t="shared" si="8"/>
        <v>1344024500</v>
      </c>
      <c r="D251" s="6">
        <v>2</v>
      </c>
      <c r="E251" s="7" t="str">
        <f>主角属性配置!W99</f>
        <v>[{"2":48},{"4":39},{"5":39},{"12":8067},{"7":8},{"6":0},{"8":10},{"9":0}]</v>
      </c>
    </row>
    <row r="252" spans="1:5">
      <c r="A252" s="6">
        <f t="shared" si="6"/>
        <v>2099</v>
      </c>
      <c r="B252" s="6">
        <f t="shared" si="9"/>
        <v>99</v>
      </c>
      <c r="C252" s="6">
        <f t="shared" si="8"/>
        <v>1600834000</v>
      </c>
      <c r="D252" s="6">
        <v>2</v>
      </c>
      <c r="E252" s="7" t="str">
        <f>主角属性配置!W100</f>
        <v>[{"2":48},{"4":39},{"5":39},{"12":8148},{"7":8},{"6":0},{"8":10},{"9":0}]</v>
      </c>
    </row>
    <row r="253" spans="1:5">
      <c r="A253" s="6">
        <f t="shared" si="6"/>
        <v>2100</v>
      </c>
      <c r="B253" s="6">
        <f t="shared" si="9"/>
        <v>100</v>
      </c>
      <c r="C253" s="6">
        <f t="shared" si="8"/>
        <v>1887643500</v>
      </c>
      <c r="D253" s="6">
        <v>2</v>
      </c>
      <c r="E253" s="7" t="str">
        <f>主角属性配置!W101</f>
        <v>[{"2":50},{"4":40},{"5":40},{"12":8229},{"7":8},{"6":0},{"8":10},{"9":0}]</v>
      </c>
    </row>
    <row r="254" spans="1:5">
      <c r="A254" s="6">
        <f t="shared" si="6"/>
        <v>2101</v>
      </c>
      <c r="B254" s="6">
        <f t="shared" si="9"/>
        <v>101</v>
      </c>
      <c r="C254" s="6">
        <f t="shared" si="8"/>
        <v>2214453000</v>
      </c>
      <c r="D254" s="6">
        <v>2</v>
      </c>
      <c r="E254" s="7" t="str">
        <f>主角属性配置!W102</f>
        <v>[{"2":50},{"4":40},{"5":40},{"12":8310},{"7":8},{"6":0},{"8":10},{"9":0}]</v>
      </c>
    </row>
    <row r="255" spans="1:5">
      <c r="A255" s="6">
        <f t="shared" si="6"/>
        <v>2102</v>
      </c>
      <c r="B255" s="6">
        <f t="shared" si="9"/>
        <v>102</v>
      </c>
      <c r="C255" s="6">
        <f t="shared" si="8"/>
        <v>2581262500</v>
      </c>
      <c r="D255" s="6">
        <v>2</v>
      </c>
      <c r="E255" s="7" t="str">
        <f>主角属性配置!W103</f>
        <v>[{"2":50},{"4":40},{"5":40},{"12":8391},{"7":8},{"6":0},{"8":10},{"9":0}]</v>
      </c>
    </row>
    <row r="256" spans="1:5">
      <c r="A256" s="6">
        <f t="shared" si="6"/>
        <v>2103</v>
      </c>
      <c r="B256" s="6">
        <f t="shared" si="9"/>
        <v>103</v>
      </c>
      <c r="C256" s="6">
        <f t="shared" si="8"/>
        <v>2988072000</v>
      </c>
      <c r="D256" s="6">
        <v>2</v>
      </c>
      <c r="E256" s="7" t="str">
        <f>主角属性配置!W104</f>
        <v>[{"2":50},{"4":40},{"5":40},{"12":8471},{"7":8},{"6":0},{"8":10},{"9":0}]</v>
      </c>
    </row>
    <row r="257" spans="1:5">
      <c r="A257" s="6">
        <f t="shared" si="6"/>
        <v>2104</v>
      </c>
      <c r="B257" s="6">
        <f t="shared" si="9"/>
        <v>104</v>
      </c>
      <c r="C257" s="6">
        <f t="shared" si="8"/>
        <v>3434881500</v>
      </c>
      <c r="D257" s="6">
        <v>2</v>
      </c>
      <c r="E257" s="7" t="str">
        <f>主角属性配置!W105</f>
        <v>[{"2":50},{"4":40},{"5":40},{"12":8552},{"7":8},{"6":0},{"8":10},{"9":0}]</v>
      </c>
    </row>
    <row r="258" spans="1:5">
      <c r="A258" s="6">
        <f t="shared" si="6"/>
        <v>2105</v>
      </c>
      <c r="B258" s="6">
        <f t="shared" si="9"/>
        <v>105</v>
      </c>
      <c r="C258" s="6">
        <f t="shared" si="8"/>
        <v>3921691000</v>
      </c>
      <c r="D258" s="6">
        <v>2</v>
      </c>
      <c r="E258" s="7" t="str">
        <f>主角属性配置!W106</f>
        <v>[{"2":50},{"4":40},{"5":40},{"12":8633},{"7":8},{"6":0},{"8":10},{"9":0}]</v>
      </c>
    </row>
    <row r="259" spans="1:5">
      <c r="A259" s="6">
        <f t="shared" si="6"/>
        <v>2106</v>
      </c>
      <c r="B259" s="6">
        <f t="shared" si="9"/>
        <v>106</v>
      </c>
      <c r="C259" s="6">
        <f t="shared" si="8"/>
        <v>4458500500</v>
      </c>
      <c r="D259" s="6">
        <v>2</v>
      </c>
      <c r="E259" s="7" t="str">
        <f>主角属性配置!W107</f>
        <v>[{"2":50},{"4":40},{"5":40},{"12":8714},{"7":8},{"6":0},{"8":10},{"9":0}]</v>
      </c>
    </row>
    <row r="260" spans="1:5">
      <c r="A260" s="6">
        <f t="shared" si="6"/>
        <v>2107</v>
      </c>
      <c r="B260" s="6">
        <f t="shared" si="9"/>
        <v>107</v>
      </c>
      <c r="C260" s="6">
        <f t="shared" si="8"/>
        <v>5045310000</v>
      </c>
      <c r="D260" s="6">
        <v>2</v>
      </c>
      <c r="E260" s="7" t="str">
        <f>主角属性配置!W108</f>
        <v>[{"2":50},{"4":40},{"5":40},{"12":8795},{"7":8},{"6":0},{"8":10},{"9":0}]</v>
      </c>
    </row>
    <row r="261" spans="1:5">
      <c r="A261" s="6">
        <f t="shared" ref="A261:A324" si="10">D261*1000+B261</f>
        <v>2108</v>
      </c>
      <c r="B261" s="6">
        <f t="shared" si="9"/>
        <v>108</v>
      </c>
      <c r="C261" s="6">
        <f t="shared" si="8"/>
        <v>5682119500</v>
      </c>
      <c r="D261" s="6">
        <v>2</v>
      </c>
      <c r="E261" s="7" t="str">
        <f>主角属性配置!W109</f>
        <v>[{"2":50},{"4":40},{"5":40},{"12":8876},{"7":8},{"6":0},{"8":10},{"9":0}]</v>
      </c>
    </row>
    <row r="262" spans="1:5">
      <c r="A262" s="6">
        <f t="shared" si="10"/>
        <v>2109</v>
      </c>
      <c r="B262" s="6">
        <f t="shared" si="9"/>
        <v>109</v>
      </c>
      <c r="C262" s="6">
        <f t="shared" si="8"/>
        <v>6368929000</v>
      </c>
      <c r="D262" s="6">
        <v>2</v>
      </c>
      <c r="E262" s="7" t="str">
        <f>主角属性配置!W110</f>
        <v>[{"2":50},{"4":40},{"5":40},{"12":8957},{"7":8},{"6":0},{"8":10},{"9":0}]</v>
      </c>
    </row>
    <row r="263" spans="1:5">
      <c r="A263" s="6">
        <f t="shared" si="10"/>
        <v>2110</v>
      </c>
      <c r="B263" s="6">
        <f t="shared" si="9"/>
        <v>110</v>
      </c>
      <c r="C263" s="6">
        <f t="shared" si="8"/>
        <v>7105738500</v>
      </c>
      <c r="D263" s="6">
        <v>2</v>
      </c>
      <c r="E263" s="7" t="str">
        <f>主角属性配置!W111</f>
        <v>[{"2":51},{"4":41},{"5":41},{"12":9038},{"7":8},{"6":0},{"8":10},{"9":0}]</v>
      </c>
    </row>
    <row r="264" spans="1:5">
      <c r="A264" s="6">
        <f t="shared" si="10"/>
        <v>2111</v>
      </c>
      <c r="B264" s="6">
        <f t="shared" si="9"/>
        <v>111</v>
      </c>
      <c r="C264" s="6">
        <f t="shared" si="8"/>
        <v>7902548000</v>
      </c>
      <c r="D264" s="6">
        <v>2</v>
      </c>
      <c r="E264" s="7" t="str">
        <f>主角属性配置!W112</f>
        <v>[{"2":51},{"4":41},{"5":41},{"12":9120},{"7":8},{"6":0},{"8":10},{"9":0}]</v>
      </c>
    </row>
    <row r="265" spans="1:5">
      <c r="A265" s="6">
        <f t="shared" si="10"/>
        <v>2112</v>
      </c>
      <c r="B265" s="6">
        <f t="shared" si="9"/>
        <v>112</v>
      </c>
      <c r="C265" s="6">
        <f t="shared" si="8"/>
        <v>8759357500</v>
      </c>
      <c r="D265" s="6">
        <v>2</v>
      </c>
      <c r="E265" s="7" t="str">
        <f>主角属性配置!W113</f>
        <v>[{"2":51},{"4":41},{"5":41},{"12":9201},{"7":8},{"6":0},{"8":10},{"9":0}]</v>
      </c>
    </row>
    <row r="266" spans="1:5">
      <c r="A266" s="6">
        <f t="shared" si="10"/>
        <v>2113</v>
      </c>
      <c r="B266" s="6">
        <f t="shared" si="9"/>
        <v>113</v>
      </c>
      <c r="C266" s="6">
        <f t="shared" si="8"/>
        <v>9676167000</v>
      </c>
      <c r="D266" s="6">
        <v>2</v>
      </c>
      <c r="E266" s="7" t="str">
        <f>主角属性配置!W114</f>
        <v>[{"2":51},{"4":41},{"5":41},{"12":9281},{"7":8},{"6":0},{"8":10},{"9":0}]</v>
      </c>
    </row>
    <row r="267" spans="1:5">
      <c r="A267" s="6">
        <f t="shared" si="10"/>
        <v>2114</v>
      </c>
      <c r="B267" s="6">
        <f t="shared" si="9"/>
        <v>114</v>
      </c>
      <c r="C267" s="6">
        <f t="shared" si="8"/>
        <v>10652976500</v>
      </c>
      <c r="D267" s="6">
        <v>2</v>
      </c>
      <c r="E267" s="7" t="str">
        <f>主角属性配置!W115</f>
        <v>[{"2":51},{"4":41},{"5":41},{"12":9362},{"7":8},{"6":0},{"8":10},{"9":0}]</v>
      </c>
    </row>
    <row r="268" spans="1:5">
      <c r="A268" s="6">
        <f t="shared" si="10"/>
        <v>2115</v>
      </c>
      <c r="B268" s="6">
        <f t="shared" si="9"/>
        <v>115</v>
      </c>
      <c r="C268" s="6">
        <f t="shared" si="8"/>
        <v>11689786000</v>
      </c>
      <c r="D268" s="6">
        <v>2</v>
      </c>
      <c r="E268" s="7" t="str">
        <f>主角属性配置!W116</f>
        <v>[{"2":51},{"4":42},{"5":42},{"12":9443},{"7":8},{"6":0},{"8":10},{"9":0}]</v>
      </c>
    </row>
    <row r="269" spans="1:5">
      <c r="A269" s="6">
        <f t="shared" si="10"/>
        <v>2116</v>
      </c>
      <c r="B269" s="6">
        <f t="shared" si="9"/>
        <v>116</v>
      </c>
      <c r="C269" s="6">
        <f t="shared" si="8"/>
        <v>12796595500</v>
      </c>
      <c r="D269" s="6">
        <v>2</v>
      </c>
      <c r="E269" s="7" t="str">
        <f>主角属性配置!W117</f>
        <v>[{"2":51},{"4":42},{"5":42},{"12":9524},{"7":8},{"6":0},{"8":10},{"9":0}]</v>
      </c>
    </row>
    <row r="270" spans="1:5">
      <c r="A270" s="6">
        <f t="shared" si="10"/>
        <v>2117</v>
      </c>
      <c r="B270" s="6">
        <f t="shared" si="9"/>
        <v>117</v>
      </c>
      <c r="C270" s="6">
        <f t="shared" si="8"/>
        <v>13973405000</v>
      </c>
      <c r="D270" s="6">
        <v>2</v>
      </c>
      <c r="E270" s="7" t="str">
        <f>主角属性配置!W118</f>
        <v>[{"2":51},{"4":42},{"5":42},{"12":9605},{"7":8},{"6":0},{"8":10},{"9":0}]</v>
      </c>
    </row>
    <row r="271" spans="1:5">
      <c r="A271" s="6">
        <f t="shared" si="10"/>
        <v>2118</v>
      </c>
      <c r="B271" s="6">
        <f t="shared" ref="B271:B305" si="11">B121</f>
        <v>118</v>
      </c>
      <c r="C271" s="6">
        <f t="shared" si="8"/>
        <v>15220214500</v>
      </c>
      <c r="D271" s="6">
        <v>2</v>
      </c>
      <c r="E271" s="7" t="str">
        <f>主角属性配置!W119</f>
        <v>[{"2":51},{"4":42},{"5":42},{"12":9686},{"7":8},{"6":0},{"8":10},{"9":0}]</v>
      </c>
    </row>
    <row r="272" spans="1:5">
      <c r="A272" s="6">
        <f t="shared" si="10"/>
        <v>2119</v>
      </c>
      <c r="B272" s="6">
        <f t="shared" si="11"/>
        <v>119</v>
      </c>
      <c r="C272" s="6">
        <f t="shared" si="8"/>
        <v>16537024000</v>
      </c>
      <c r="D272" s="6">
        <v>2</v>
      </c>
      <c r="E272" s="7" t="str">
        <f>主角属性配置!W120</f>
        <v>[{"2":51},{"4":42},{"5":42},{"12":9767},{"7":8},{"6":0},{"8":10},{"9":0}]</v>
      </c>
    </row>
    <row r="273" spans="1:5">
      <c r="A273" s="6">
        <f t="shared" si="10"/>
        <v>2120</v>
      </c>
      <c r="B273" s="6">
        <f t="shared" si="11"/>
        <v>120</v>
      </c>
      <c r="C273" s="6">
        <f t="shared" si="8"/>
        <v>17923833500</v>
      </c>
      <c r="D273" s="6">
        <v>2</v>
      </c>
      <c r="E273" s="7" t="str">
        <f>主角属性配置!W121</f>
        <v>[{"2":53},{"4":42},{"5":42},{"12":9848},{"7":8},{"6":0},{"8":10},{"9":0}]</v>
      </c>
    </row>
    <row r="274" spans="1:5">
      <c r="A274" s="6">
        <f t="shared" si="10"/>
        <v>2121</v>
      </c>
      <c r="B274" s="6">
        <f t="shared" si="11"/>
        <v>121</v>
      </c>
      <c r="C274" s="6">
        <f t="shared" si="8"/>
        <v>19390643000</v>
      </c>
      <c r="D274" s="6">
        <v>2</v>
      </c>
      <c r="E274" s="7" t="str">
        <f>主角属性配置!W122</f>
        <v>[{"2":53},{"4":42},{"5":42},{"12":9929},{"7":8},{"6":0},{"8":10},{"9":0}]</v>
      </c>
    </row>
    <row r="275" spans="1:5">
      <c r="A275" s="6">
        <f t="shared" si="10"/>
        <v>2122</v>
      </c>
      <c r="B275" s="6">
        <f t="shared" si="11"/>
        <v>122</v>
      </c>
      <c r="C275" s="6">
        <f t="shared" si="8"/>
        <v>20937452500</v>
      </c>
      <c r="D275" s="6">
        <v>2</v>
      </c>
      <c r="E275" s="7" t="str">
        <f>主角属性配置!W123</f>
        <v>[{"2":53},{"4":42},{"5":42},{"12":10009},{"7":8},{"6":0},{"8":10},{"9":0}]</v>
      </c>
    </row>
    <row r="276" spans="1:5">
      <c r="A276" s="6">
        <f t="shared" si="10"/>
        <v>2123</v>
      </c>
      <c r="B276" s="6">
        <f t="shared" si="11"/>
        <v>123</v>
      </c>
      <c r="C276" s="6">
        <f t="shared" si="8"/>
        <v>22564262000</v>
      </c>
      <c r="D276" s="6">
        <v>2</v>
      </c>
      <c r="E276" s="7" t="str">
        <f>主角属性配置!W124</f>
        <v>[{"2":53},{"4":42},{"5":42},{"12":10090},{"7":8},{"6":0},{"8":10},{"9":0}]</v>
      </c>
    </row>
    <row r="277" spans="1:5">
      <c r="A277" s="6">
        <f t="shared" si="10"/>
        <v>2124</v>
      </c>
      <c r="B277" s="6">
        <f t="shared" si="11"/>
        <v>124</v>
      </c>
      <c r="C277" s="6">
        <f t="shared" si="8"/>
        <v>24271071500</v>
      </c>
      <c r="D277" s="6">
        <v>2</v>
      </c>
      <c r="E277" s="7" t="str">
        <f>主角属性配置!W125</f>
        <v>[{"2":53},{"4":42},{"5":42},{"12":10171},{"7":8},{"6":0},{"8":10},{"9":0}]</v>
      </c>
    </row>
    <row r="278" spans="1:5">
      <c r="A278" s="6">
        <f t="shared" si="10"/>
        <v>2125</v>
      </c>
      <c r="B278" s="6">
        <f t="shared" si="11"/>
        <v>125</v>
      </c>
      <c r="C278" s="6">
        <f t="shared" si="8"/>
        <v>26057881000</v>
      </c>
      <c r="D278" s="6">
        <v>2</v>
      </c>
      <c r="E278" s="7" t="str">
        <f>主角属性配置!W126</f>
        <v>[{"2":54},{"4":43},{"5":43},{"12":10252},{"7":8},{"6":0},{"8":10},{"9":0}]</v>
      </c>
    </row>
    <row r="279" spans="1:5">
      <c r="A279" s="6">
        <f t="shared" si="10"/>
        <v>2126</v>
      </c>
      <c r="B279" s="6">
        <f t="shared" si="11"/>
        <v>126</v>
      </c>
      <c r="C279" s="6">
        <f t="shared" si="8"/>
        <v>27934690500</v>
      </c>
      <c r="D279" s="6">
        <v>2</v>
      </c>
      <c r="E279" s="7" t="str">
        <f>主角属性配置!W127</f>
        <v>[{"2":54},{"4":43},{"5":43},{"12":10333},{"7":8},{"6":0},{"8":10},{"9":0}]</v>
      </c>
    </row>
    <row r="280" spans="1:5">
      <c r="A280" s="6">
        <f t="shared" si="10"/>
        <v>2127</v>
      </c>
      <c r="B280" s="6">
        <f t="shared" si="11"/>
        <v>127</v>
      </c>
      <c r="C280" s="6">
        <f t="shared" si="8"/>
        <v>29901500000</v>
      </c>
      <c r="D280" s="6">
        <v>2</v>
      </c>
      <c r="E280" s="7" t="str">
        <f>主角属性配置!W128</f>
        <v>[{"2":54},{"4":43},{"5":43},{"12":10414},{"7":8},{"6":0},{"8":10},{"9":0}]</v>
      </c>
    </row>
    <row r="281" spans="1:5">
      <c r="A281" s="6">
        <f t="shared" si="10"/>
        <v>2128</v>
      </c>
      <c r="B281" s="6">
        <f t="shared" si="11"/>
        <v>128</v>
      </c>
      <c r="C281" s="6">
        <f t="shared" si="8"/>
        <v>31958309500</v>
      </c>
      <c r="D281" s="6">
        <v>2</v>
      </c>
      <c r="E281" s="7" t="str">
        <f>主角属性配置!W129</f>
        <v>[{"2":54},{"4":43},{"5":43},{"12":10496},{"7":8},{"6":0},{"8":10},{"9":0}]</v>
      </c>
    </row>
    <row r="282" spans="1:5">
      <c r="A282" s="6">
        <f t="shared" si="10"/>
        <v>2129</v>
      </c>
      <c r="B282" s="6">
        <f t="shared" si="11"/>
        <v>129</v>
      </c>
      <c r="C282" s="6">
        <f t="shared" si="8"/>
        <v>34105119000</v>
      </c>
      <c r="D282" s="6">
        <v>2</v>
      </c>
      <c r="E282" s="7" t="str">
        <f>主角属性配置!W130</f>
        <v>[{"2":54},{"4":43},{"5":43},{"12":10577},{"7":8},{"6":0},{"8":10},{"9":0}]</v>
      </c>
    </row>
    <row r="283" spans="1:5">
      <c r="A283" s="6">
        <f t="shared" si="10"/>
        <v>2130</v>
      </c>
      <c r="B283" s="6">
        <f t="shared" si="11"/>
        <v>130</v>
      </c>
      <c r="C283" s="6">
        <f t="shared" ref="C283:C346" si="12">C133</f>
        <v>36341928500</v>
      </c>
      <c r="D283" s="6">
        <v>2</v>
      </c>
      <c r="E283" s="7" t="str">
        <f>主角属性配置!W131</f>
        <v>[{"2":54},{"4":44},{"5":44},{"12":13947},{"7":8},{"6":0},{"8":10},{"9":0}]</v>
      </c>
    </row>
    <row r="284" spans="1:5">
      <c r="A284" s="6">
        <f t="shared" si="10"/>
        <v>2131</v>
      </c>
      <c r="B284" s="6">
        <f t="shared" si="11"/>
        <v>131</v>
      </c>
      <c r="C284" s="6">
        <f t="shared" si="12"/>
        <v>38678738000</v>
      </c>
      <c r="D284" s="6">
        <v>2</v>
      </c>
      <c r="E284" s="7" t="str">
        <f>主角属性配置!W132</f>
        <v>[{"2":54},{"4":44},{"5":44},{"12":14053},{"7":8},{"6":0},{"8":10},{"9":0}]</v>
      </c>
    </row>
    <row r="285" spans="1:5">
      <c r="A285" s="6">
        <f t="shared" si="10"/>
        <v>2132</v>
      </c>
      <c r="B285" s="6">
        <f t="shared" si="11"/>
        <v>132</v>
      </c>
      <c r="C285" s="6">
        <f t="shared" si="12"/>
        <v>41115547500</v>
      </c>
      <c r="D285" s="6">
        <v>2</v>
      </c>
      <c r="E285" s="7" t="str">
        <f>主角属性配置!W133</f>
        <v>[{"2":54},{"4":44},{"5":44},{"12":14158},{"7":8},{"6":0},{"8":10},{"9":0}]</v>
      </c>
    </row>
    <row r="286" spans="1:5">
      <c r="A286" s="6">
        <f t="shared" si="10"/>
        <v>2133</v>
      </c>
      <c r="B286" s="6">
        <f t="shared" si="11"/>
        <v>133</v>
      </c>
      <c r="C286" s="6">
        <f t="shared" si="12"/>
        <v>43652357000</v>
      </c>
      <c r="D286" s="6">
        <v>2</v>
      </c>
      <c r="E286" s="7" t="str">
        <f>主角属性配置!W134</f>
        <v>[{"2":54},{"4":44},{"5":44},{"12":14264},{"7":8},{"6":0},{"8":10},{"9":0}]</v>
      </c>
    </row>
    <row r="287" spans="1:5">
      <c r="A287" s="6">
        <f t="shared" si="10"/>
        <v>2134</v>
      </c>
      <c r="B287" s="6">
        <f t="shared" si="11"/>
        <v>134</v>
      </c>
      <c r="C287" s="6">
        <f t="shared" si="12"/>
        <v>46289166500</v>
      </c>
      <c r="D287" s="6">
        <v>2</v>
      </c>
      <c r="E287" s="7" t="str">
        <f>主角属性配置!W135</f>
        <v>[{"2":54},{"4":44},{"5":44},{"12":14371},{"7":8},{"6":0},{"8":10},{"9":0}]</v>
      </c>
    </row>
    <row r="288" spans="1:5">
      <c r="A288" s="6">
        <f t="shared" si="10"/>
        <v>2135</v>
      </c>
      <c r="B288" s="6">
        <f t="shared" si="11"/>
        <v>135</v>
      </c>
      <c r="C288" s="6">
        <f t="shared" si="12"/>
        <v>49025976000</v>
      </c>
      <c r="D288" s="6">
        <v>2</v>
      </c>
      <c r="E288" s="7" t="str">
        <f>主角属性配置!W136</f>
        <v>[{"2":55},{"4":44},{"5":44},{"12":14477},{"7":8},{"6":0},{"8":10},{"9":0}]</v>
      </c>
    </row>
    <row r="289" spans="1:5">
      <c r="A289" s="6">
        <f t="shared" si="10"/>
        <v>2136</v>
      </c>
      <c r="B289" s="6">
        <f t="shared" si="11"/>
        <v>136</v>
      </c>
      <c r="C289" s="6">
        <f t="shared" si="12"/>
        <v>51872785500</v>
      </c>
      <c r="D289" s="6">
        <v>2</v>
      </c>
      <c r="E289" s="7" t="str">
        <f>主角属性配置!W137</f>
        <v>[{"2":55},{"4":44},{"5":44},{"12":14584},{"7":8},{"6":0},{"8":10},{"9":0}]</v>
      </c>
    </row>
    <row r="290" spans="1:5">
      <c r="A290" s="6">
        <f t="shared" si="10"/>
        <v>2137</v>
      </c>
      <c r="B290" s="6">
        <f t="shared" si="11"/>
        <v>137</v>
      </c>
      <c r="C290" s="6">
        <f t="shared" si="12"/>
        <v>54829595000</v>
      </c>
      <c r="D290" s="6">
        <v>2</v>
      </c>
      <c r="E290" s="7" t="str">
        <f>主角属性配置!W138</f>
        <v>[{"2":55},{"4":44},{"5":44},{"12":14690},{"7":8},{"6":0},{"8":10},{"9":0}]</v>
      </c>
    </row>
    <row r="291" spans="1:5">
      <c r="A291" s="6">
        <f t="shared" si="10"/>
        <v>2138</v>
      </c>
      <c r="B291" s="6">
        <f t="shared" si="11"/>
        <v>138</v>
      </c>
      <c r="C291" s="6">
        <f t="shared" si="12"/>
        <v>57896404500</v>
      </c>
      <c r="D291" s="6">
        <v>2</v>
      </c>
      <c r="E291" s="7" t="str">
        <f>主角属性配置!W139</f>
        <v>[{"2":55},{"4":44},{"5":44},{"12":14796},{"7":8},{"6":0},{"8":10},{"9":0}]</v>
      </c>
    </row>
    <row r="292" spans="1:5">
      <c r="A292" s="6">
        <f t="shared" si="10"/>
        <v>2139</v>
      </c>
      <c r="B292" s="6">
        <f t="shared" si="11"/>
        <v>139</v>
      </c>
      <c r="C292" s="6">
        <f t="shared" si="12"/>
        <v>61073214000</v>
      </c>
      <c r="D292" s="6">
        <v>2</v>
      </c>
      <c r="E292" s="7" t="str">
        <f>主角属性配置!W140</f>
        <v>[{"2":55},{"4":44},{"5":44},{"12":14903},{"7":8},{"6":0},{"8":10},{"9":0}]</v>
      </c>
    </row>
    <row r="293" spans="1:5">
      <c r="A293" s="6">
        <f t="shared" si="10"/>
        <v>2140</v>
      </c>
      <c r="B293" s="6">
        <f t="shared" si="11"/>
        <v>140</v>
      </c>
      <c r="C293" s="6">
        <f t="shared" si="12"/>
        <v>64360023500</v>
      </c>
      <c r="D293" s="6">
        <v>2</v>
      </c>
      <c r="E293" s="7" t="str">
        <f>主角属性配置!W141</f>
        <v>[{"2":56},{"4":45},{"5":45},{"12":15009},{"7":8},{"6":0},{"8":10},{"9":0}]</v>
      </c>
    </row>
    <row r="294" spans="1:5">
      <c r="A294" s="6">
        <f t="shared" si="10"/>
        <v>2141</v>
      </c>
      <c r="B294" s="6">
        <f t="shared" si="11"/>
        <v>141</v>
      </c>
      <c r="C294" s="6">
        <f t="shared" si="12"/>
        <v>67766833000</v>
      </c>
      <c r="D294" s="6">
        <v>2</v>
      </c>
      <c r="E294" s="7" t="str">
        <f>主角属性配置!W142</f>
        <v>[{"2":56},{"4":45},{"5":45},{"12":15116},{"7":8},{"6":0},{"8":10},{"9":0}]</v>
      </c>
    </row>
    <row r="295" spans="1:5">
      <c r="A295" s="6">
        <f t="shared" si="10"/>
        <v>2142</v>
      </c>
      <c r="B295" s="6">
        <f t="shared" si="11"/>
        <v>142</v>
      </c>
      <c r="C295" s="6">
        <f t="shared" si="12"/>
        <v>71293642500</v>
      </c>
      <c r="D295" s="6">
        <v>2</v>
      </c>
      <c r="E295" s="7" t="str">
        <f>主角属性配置!W143</f>
        <v>[{"2":56},{"4":45},{"5":45},{"12":15221},{"7":8},{"6":0},{"8":10},{"9":0}]</v>
      </c>
    </row>
    <row r="296" spans="1:5">
      <c r="A296" s="6">
        <f t="shared" si="10"/>
        <v>2143</v>
      </c>
      <c r="B296" s="6">
        <f t="shared" si="11"/>
        <v>143</v>
      </c>
      <c r="C296" s="6">
        <f t="shared" si="12"/>
        <v>74940452000</v>
      </c>
      <c r="D296" s="6">
        <v>2</v>
      </c>
      <c r="E296" s="7" t="str">
        <f>主角属性配置!W144</f>
        <v>[{"2":56},{"4":45},{"5":45},{"12":15327},{"7":8},{"6":0},{"8":10},{"9":0}]</v>
      </c>
    </row>
    <row r="297" spans="1:5">
      <c r="A297" s="6">
        <f t="shared" si="10"/>
        <v>2144</v>
      </c>
      <c r="B297" s="6">
        <f t="shared" si="11"/>
        <v>144</v>
      </c>
      <c r="C297" s="6">
        <f t="shared" si="12"/>
        <v>78707261500</v>
      </c>
      <c r="D297" s="6">
        <v>2</v>
      </c>
      <c r="E297" s="7" t="str">
        <f>主角属性配置!W145</f>
        <v>[{"2":56},{"4":45},{"5":45},{"12":15433},{"7":8},{"6":0},{"8":10},{"9":0}]</v>
      </c>
    </row>
    <row r="298" spans="1:5">
      <c r="A298" s="6">
        <f t="shared" si="10"/>
        <v>2145</v>
      </c>
      <c r="B298" s="6">
        <f t="shared" si="11"/>
        <v>145</v>
      </c>
      <c r="C298" s="6">
        <f t="shared" si="12"/>
        <v>82594071000</v>
      </c>
      <c r="D298" s="6">
        <v>2</v>
      </c>
      <c r="E298" s="7" t="str">
        <f>主角属性配置!W146</f>
        <v>[{"2":57},{"4":46},{"5":46},{"12":15540},{"7":8},{"6":0},{"8":10},{"9":0}]</v>
      </c>
    </row>
    <row r="299" spans="1:5">
      <c r="A299" s="6">
        <f t="shared" si="10"/>
        <v>2146</v>
      </c>
      <c r="B299" s="6">
        <f t="shared" si="11"/>
        <v>146</v>
      </c>
      <c r="C299" s="6">
        <f t="shared" si="12"/>
        <v>86610880500</v>
      </c>
      <c r="D299" s="6">
        <v>2</v>
      </c>
      <c r="E299" s="7" t="str">
        <f>主角属性配置!W147</f>
        <v>[{"2":57},{"4":46},{"5":46},{"12":15646},{"7":8},{"6":0},{"8":10},{"9":0}]</v>
      </c>
    </row>
    <row r="300" spans="1:5">
      <c r="A300" s="6">
        <f t="shared" si="10"/>
        <v>2147</v>
      </c>
      <c r="B300" s="6">
        <f t="shared" si="11"/>
        <v>147</v>
      </c>
      <c r="C300" s="6">
        <f t="shared" si="12"/>
        <v>90757690000</v>
      </c>
      <c r="D300" s="6">
        <v>2</v>
      </c>
      <c r="E300" s="7" t="str">
        <f>主角属性配置!W148</f>
        <v>[{"2":57},{"4":46},{"5":46},{"12":15753},{"7":8},{"6":0},{"8":10},{"9":0}]</v>
      </c>
    </row>
    <row r="301" spans="1:5">
      <c r="A301" s="6">
        <f t="shared" si="10"/>
        <v>2148</v>
      </c>
      <c r="B301" s="6">
        <f t="shared" si="11"/>
        <v>148</v>
      </c>
      <c r="C301" s="6">
        <f t="shared" si="12"/>
        <v>95034499500</v>
      </c>
      <c r="D301" s="6">
        <v>2</v>
      </c>
      <c r="E301" s="7" t="str">
        <f>主角属性配置!W149</f>
        <v>[{"2":57},{"4":46},{"5":46},{"12":15859},{"7":8},{"6":0},{"8":10},{"9":0}]</v>
      </c>
    </row>
    <row r="302" spans="1:5">
      <c r="A302" s="6">
        <f t="shared" si="10"/>
        <v>2149</v>
      </c>
      <c r="B302" s="6">
        <f t="shared" si="11"/>
        <v>149</v>
      </c>
      <c r="C302" s="6">
        <f t="shared" si="12"/>
        <v>99441309000</v>
      </c>
      <c r="D302" s="6">
        <v>2</v>
      </c>
      <c r="E302" s="7" t="str">
        <f>主角属性配置!W150</f>
        <v>[{"2":57},{"4":46},{"5":46},{"12":15965},{"7":8},{"6":0},{"8":10},{"9":0}]</v>
      </c>
    </row>
    <row r="303" spans="1:5">
      <c r="A303" s="6">
        <f t="shared" si="10"/>
        <v>2150</v>
      </c>
      <c r="B303" s="6">
        <f t="shared" si="11"/>
        <v>150</v>
      </c>
      <c r="C303" s="6">
        <f t="shared" si="12"/>
        <v>103978118500</v>
      </c>
      <c r="D303" s="6">
        <v>2</v>
      </c>
      <c r="E303" s="7" t="str">
        <f>主角属性配置!W151</f>
        <v>[{"2":58},{"4":47},{"5":47},{"12":16072},{"7":8},{"6":0},{"8":10},{"9":0}]</v>
      </c>
    </row>
    <row r="304" spans="1:5">
      <c r="A304" s="6">
        <f t="shared" si="10"/>
        <v>3001</v>
      </c>
      <c r="B304" s="6">
        <f t="shared" si="11"/>
        <v>1</v>
      </c>
      <c r="C304" s="6">
        <f t="shared" si="12"/>
        <v>1000</v>
      </c>
      <c r="D304" s="6">
        <v>3</v>
      </c>
      <c r="E304" s="7" t="str">
        <f>主角属性配置!AE2</f>
        <v>[{"2":32},{"4":26},{"5":26},{"12":238},{"7":8},{"6":0},{"8":10},{"9":0}]</v>
      </c>
    </row>
    <row r="305" spans="1:5">
      <c r="A305" s="6">
        <f t="shared" si="10"/>
        <v>3002</v>
      </c>
      <c r="B305" s="6">
        <f t="shared" si="11"/>
        <v>2</v>
      </c>
      <c r="C305" s="6">
        <f t="shared" si="12"/>
        <v>1500</v>
      </c>
      <c r="D305" s="6">
        <v>3</v>
      </c>
      <c r="E305" s="7" t="str">
        <f>主角属性配置!AE3</f>
        <v>[{"2":32},{"4":26},{"5":26},{"12":276},{"7":8},{"6":0},{"8":10},{"9":0}]</v>
      </c>
    </row>
    <row r="306" spans="1:5">
      <c r="A306" s="6">
        <f t="shared" si="10"/>
        <v>3003</v>
      </c>
      <c r="B306" s="6">
        <f t="shared" ref="B306:B337" si="13">B156</f>
        <v>3</v>
      </c>
      <c r="C306" s="6">
        <f t="shared" si="12"/>
        <v>2500</v>
      </c>
      <c r="D306" s="6">
        <v>3</v>
      </c>
      <c r="E306" s="7" t="str">
        <f>主角属性配置!AE4</f>
        <v>[{"2":32},{"4":26},{"5":26},{"12":314},{"7":8},{"6":0},{"8":10},{"9":0}]</v>
      </c>
    </row>
    <row r="307" spans="1:5">
      <c r="A307" s="6">
        <f t="shared" si="10"/>
        <v>3004</v>
      </c>
      <c r="B307" s="6">
        <f t="shared" si="13"/>
        <v>4</v>
      </c>
      <c r="C307" s="6">
        <f t="shared" si="12"/>
        <v>4000</v>
      </c>
      <c r="D307" s="6">
        <v>3</v>
      </c>
      <c r="E307" s="7" t="str">
        <f>主角属性配置!AE5</f>
        <v>[{"2":32},{"4":26},{"5":26},{"12":352},{"7":8},{"6":0},{"8":10},{"9":0}]</v>
      </c>
    </row>
    <row r="308" spans="1:5">
      <c r="A308" s="6">
        <f t="shared" si="10"/>
        <v>3005</v>
      </c>
      <c r="B308" s="6">
        <f t="shared" si="13"/>
        <v>5</v>
      </c>
      <c r="C308" s="6">
        <f t="shared" si="12"/>
        <v>6000</v>
      </c>
      <c r="D308" s="6">
        <v>3</v>
      </c>
      <c r="E308" s="7" t="str">
        <f>主角属性配置!AE6</f>
        <v>[{"2":32},{"4":26},{"5":26},{"12":390},{"7":8},{"6":0},{"8":10},{"9":0}]</v>
      </c>
    </row>
    <row r="309" spans="1:5">
      <c r="A309" s="6">
        <f t="shared" si="10"/>
        <v>3006</v>
      </c>
      <c r="B309" s="6">
        <f t="shared" si="13"/>
        <v>6</v>
      </c>
      <c r="C309" s="6">
        <f t="shared" si="12"/>
        <v>8500</v>
      </c>
      <c r="D309" s="6">
        <v>3</v>
      </c>
      <c r="E309" s="7" t="str">
        <f>主角属性配置!AE7</f>
        <v>[{"2":32},{"4":26},{"5":26},{"12":428},{"7":8},{"6":0},{"8":10},{"9":0}]</v>
      </c>
    </row>
    <row r="310" spans="1:5">
      <c r="A310" s="6">
        <f t="shared" si="10"/>
        <v>3007</v>
      </c>
      <c r="B310" s="6">
        <f t="shared" si="13"/>
        <v>7</v>
      </c>
      <c r="C310" s="6">
        <f t="shared" si="12"/>
        <v>11500</v>
      </c>
      <c r="D310" s="6">
        <v>3</v>
      </c>
      <c r="E310" s="7" t="str">
        <f>主角属性配置!AE8</f>
        <v>[{"2":32},{"4":26},{"5":26},{"12":466},{"7":8},{"6":0},{"8":10},{"9":0}]</v>
      </c>
    </row>
    <row r="311" spans="1:5">
      <c r="A311" s="6">
        <f t="shared" si="10"/>
        <v>3008</v>
      </c>
      <c r="B311" s="6">
        <f t="shared" si="13"/>
        <v>8</v>
      </c>
      <c r="C311" s="6">
        <f t="shared" si="12"/>
        <v>15000</v>
      </c>
      <c r="D311" s="6">
        <v>3</v>
      </c>
      <c r="E311" s="7" t="str">
        <f>主角属性配置!AE9</f>
        <v>[{"2":32},{"4":26},{"5":26},{"12":504},{"7":8},{"6":0},{"8":10},{"9":0}]</v>
      </c>
    </row>
    <row r="312" spans="1:5">
      <c r="A312" s="6">
        <f t="shared" si="10"/>
        <v>3009</v>
      </c>
      <c r="B312" s="6">
        <f t="shared" si="13"/>
        <v>9</v>
      </c>
      <c r="C312" s="6">
        <f t="shared" si="12"/>
        <v>19000</v>
      </c>
      <c r="D312" s="6">
        <v>3</v>
      </c>
      <c r="E312" s="7" t="str">
        <f>主角属性配置!AE10</f>
        <v>[{"2":32},{"4":26},{"5":26},{"12":542},{"7":8},{"6":0},{"8":10},{"9":0}]</v>
      </c>
    </row>
    <row r="313" spans="1:5">
      <c r="A313" s="6">
        <f t="shared" si="10"/>
        <v>3010</v>
      </c>
      <c r="B313" s="6">
        <f t="shared" si="13"/>
        <v>10</v>
      </c>
      <c r="C313" s="6">
        <f t="shared" si="12"/>
        <v>23500</v>
      </c>
      <c r="D313" s="6">
        <v>3</v>
      </c>
      <c r="E313" s="7" t="str">
        <f>主角属性配置!AE11</f>
        <v>[{"2":34},{"4":27},{"5":27},{"12":580},{"7":8},{"6":0},{"8":10},{"9":0}]</v>
      </c>
    </row>
    <row r="314" spans="1:5">
      <c r="A314" s="6">
        <f t="shared" si="10"/>
        <v>3011</v>
      </c>
      <c r="B314" s="6">
        <f t="shared" si="13"/>
        <v>11</v>
      </c>
      <c r="C314" s="6">
        <f t="shared" si="12"/>
        <v>29000</v>
      </c>
      <c r="D314" s="6">
        <v>3</v>
      </c>
      <c r="E314" s="7" t="str">
        <f>主角属性配置!AE12</f>
        <v>[{"2":34},{"4":27},{"5":27},{"12":618},{"7":8},{"6":0},{"8":10},{"9":0}]</v>
      </c>
    </row>
    <row r="315" spans="1:5">
      <c r="A315" s="6">
        <f t="shared" si="10"/>
        <v>3012</v>
      </c>
      <c r="B315" s="6">
        <f t="shared" si="13"/>
        <v>12</v>
      </c>
      <c r="C315" s="6">
        <f t="shared" si="12"/>
        <v>35500</v>
      </c>
      <c r="D315" s="6">
        <v>3</v>
      </c>
      <c r="E315" s="7" t="str">
        <f>主角属性配置!AE13</f>
        <v>[{"2":34},{"4":27},{"5":27},{"12":656},{"7":8},{"6":0},{"8":10},{"9":0}]</v>
      </c>
    </row>
    <row r="316" spans="1:5">
      <c r="A316" s="6">
        <f t="shared" si="10"/>
        <v>3013</v>
      </c>
      <c r="B316" s="6">
        <f t="shared" si="13"/>
        <v>13</v>
      </c>
      <c r="C316" s="6">
        <f t="shared" si="12"/>
        <v>43000</v>
      </c>
      <c r="D316" s="6">
        <v>3</v>
      </c>
      <c r="E316" s="7" t="str">
        <f>主角属性配置!AE14</f>
        <v>[{"2":34},{"4":27},{"5":27},{"12":694},{"7":8},{"6":0},{"8":10},{"9":0}]</v>
      </c>
    </row>
    <row r="317" spans="1:5">
      <c r="A317" s="6">
        <f t="shared" si="10"/>
        <v>3014</v>
      </c>
      <c r="B317" s="6">
        <f t="shared" si="13"/>
        <v>14</v>
      </c>
      <c r="C317" s="6">
        <f t="shared" si="12"/>
        <v>51500</v>
      </c>
      <c r="D317" s="6">
        <v>3</v>
      </c>
      <c r="E317" s="7" t="str">
        <f>主角属性配置!AE15</f>
        <v>[{"2":34},{"4":27},{"5":27},{"12":732},{"7":8},{"6":0},{"8":10},{"9":0}]</v>
      </c>
    </row>
    <row r="318" spans="1:5">
      <c r="A318" s="6">
        <f t="shared" si="10"/>
        <v>3015</v>
      </c>
      <c r="B318" s="6">
        <f t="shared" si="13"/>
        <v>15</v>
      </c>
      <c r="C318" s="6">
        <f t="shared" si="12"/>
        <v>61000</v>
      </c>
      <c r="D318" s="6">
        <v>3</v>
      </c>
      <c r="E318" s="7" t="str">
        <f>主角属性配置!AE16</f>
        <v>[{"2":34},{"4":28},{"5":28},{"12":769},{"7":8},{"6":0},{"8":10},{"9":0}]</v>
      </c>
    </row>
    <row r="319" spans="1:5">
      <c r="A319" s="6">
        <f t="shared" si="10"/>
        <v>3016</v>
      </c>
      <c r="B319" s="6">
        <f t="shared" si="13"/>
        <v>16</v>
      </c>
      <c r="C319" s="6">
        <f t="shared" si="12"/>
        <v>72500</v>
      </c>
      <c r="D319" s="6">
        <v>3</v>
      </c>
      <c r="E319" s="7" t="str">
        <f>主角属性配置!AE17</f>
        <v>[{"2":34},{"4":28},{"5":28},{"12":807},{"7":8},{"6":0},{"8":10},{"9":0}]</v>
      </c>
    </row>
    <row r="320" spans="1:5">
      <c r="A320" s="6">
        <f t="shared" si="10"/>
        <v>3017</v>
      </c>
      <c r="B320" s="6">
        <f t="shared" si="13"/>
        <v>17</v>
      </c>
      <c r="C320" s="6">
        <f t="shared" si="12"/>
        <v>86000</v>
      </c>
      <c r="D320" s="6">
        <v>3</v>
      </c>
      <c r="E320" s="7" t="str">
        <f>主角属性配置!AE18</f>
        <v>[{"2":34},{"4":28},{"5":28},{"12":845},{"7":8},{"6":0},{"8":10},{"9":0}]</v>
      </c>
    </row>
    <row r="321" spans="1:5">
      <c r="A321" s="6">
        <f t="shared" si="10"/>
        <v>3018</v>
      </c>
      <c r="B321" s="6">
        <f t="shared" si="13"/>
        <v>18</v>
      </c>
      <c r="C321" s="6">
        <f t="shared" si="12"/>
        <v>101500</v>
      </c>
      <c r="D321" s="6">
        <v>3</v>
      </c>
      <c r="E321" s="7" t="str">
        <f>主角属性配置!AE19</f>
        <v>[{"2":34},{"4":28},{"5":28},{"12":883},{"7":8},{"6":0},{"8":10},{"9":0}]</v>
      </c>
    </row>
    <row r="322" spans="1:5">
      <c r="A322" s="6">
        <f t="shared" si="10"/>
        <v>3019</v>
      </c>
      <c r="B322" s="6">
        <f t="shared" si="13"/>
        <v>19</v>
      </c>
      <c r="C322" s="6">
        <f t="shared" si="12"/>
        <v>119000</v>
      </c>
      <c r="D322" s="6">
        <v>3</v>
      </c>
      <c r="E322" s="7" t="str">
        <f>主角属性配置!AE20</f>
        <v>[{"2":34},{"4":28},{"5":28},{"12":921},{"7":8},{"6":0},{"8":10},{"9":0}]</v>
      </c>
    </row>
    <row r="323" spans="1:5">
      <c r="A323" s="6">
        <f t="shared" si="10"/>
        <v>3020</v>
      </c>
      <c r="B323" s="6">
        <f t="shared" si="13"/>
        <v>20</v>
      </c>
      <c r="C323" s="6">
        <f t="shared" si="12"/>
        <v>138500</v>
      </c>
      <c r="D323" s="6">
        <v>3</v>
      </c>
      <c r="E323" s="7" t="str">
        <f>主角属性配置!AE21</f>
        <v>[{"2":36},{"4":28},{"5":28},{"12":1149},{"7":8},{"6":0},{"8":10},{"9":0}]</v>
      </c>
    </row>
    <row r="324" spans="1:5">
      <c r="A324" s="6">
        <f t="shared" si="10"/>
        <v>3021</v>
      </c>
      <c r="B324" s="6">
        <f t="shared" si="13"/>
        <v>21</v>
      </c>
      <c r="C324" s="6">
        <f t="shared" si="12"/>
        <v>161000</v>
      </c>
      <c r="D324" s="6">
        <v>3</v>
      </c>
      <c r="E324" s="7" t="str">
        <f>主角属性配置!AE22</f>
        <v>[{"2":36},{"4":28},{"5":28},{"12":1196},{"7":8},{"6":0},{"8":10},{"9":0}]</v>
      </c>
    </row>
    <row r="325" spans="1:5">
      <c r="A325" s="6">
        <f t="shared" ref="A325:A388" si="14">D325*1000+B325</f>
        <v>3022</v>
      </c>
      <c r="B325" s="6">
        <f t="shared" si="13"/>
        <v>22</v>
      </c>
      <c r="C325" s="6">
        <f t="shared" si="12"/>
        <v>186500</v>
      </c>
      <c r="D325" s="6">
        <v>3</v>
      </c>
      <c r="E325" s="7" t="str">
        <f>主角属性配置!AE23</f>
        <v>[{"2":36},{"4":28},{"5":28},{"12":1244},{"7":8},{"6":0},{"8":10},{"9":0}]</v>
      </c>
    </row>
    <row r="326" spans="1:5">
      <c r="A326" s="6">
        <f t="shared" si="14"/>
        <v>3023</v>
      </c>
      <c r="B326" s="6">
        <f t="shared" si="13"/>
        <v>23</v>
      </c>
      <c r="C326" s="6">
        <f t="shared" si="12"/>
        <v>215000</v>
      </c>
      <c r="D326" s="6">
        <v>3</v>
      </c>
      <c r="E326" s="7" t="str">
        <f>主角属性配置!AE24</f>
        <v>[{"2":36},{"4":28},{"5":28},{"12":1291},{"7":8},{"6":0},{"8":10},{"9":0}]</v>
      </c>
    </row>
    <row r="327" spans="1:5">
      <c r="A327" s="6">
        <f t="shared" si="14"/>
        <v>3024</v>
      </c>
      <c r="B327" s="6">
        <f t="shared" si="13"/>
        <v>24</v>
      </c>
      <c r="C327" s="6">
        <f t="shared" si="12"/>
        <v>246500</v>
      </c>
      <c r="D327" s="6">
        <v>3</v>
      </c>
      <c r="E327" s="7" t="str">
        <f>主角属性配置!AE25</f>
        <v>[{"2":36},{"4":28},{"5":28},{"12":1339},{"7":8},{"6":0},{"8":10},{"9":0}]</v>
      </c>
    </row>
    <row r="328" spans="1:5">
      <c r="A328" s="6">
        <f t="shared" si="14"/>
        <v>3025</v>
      </c>
      <c r="B328" s="6">
        <f t="shared" si="13"/>
        <v>25</v>
      </c>
      <c r="C328" s="6">
        <f t="shared" si="12"/>
        <v>281000</v>
      </c>
      <c r="D328" s="6">
        <v>3</v>
      </c>
      <c r="E328" s="7" t="str">
        <f>主角属性配置!AE26</f>
        <v>[{"2":36},{"4":29},{"5":29},{"12":1386},{"7":8},{"6":0},{"8":10},{"9":0}]</v>
      </c>
    </row>
    <row r="329" spans="1:5">
      <c r="A329" s="6">
        <f t="shared" si="14"/>
        <v>3026</v>
      </c>
      <c r="B329" s="6">
        <f t="shared" si="13"/>
        <v>26</v>
      </c>
      <c r="C329" s="6">
        <f t="shared" si="12"/>
        <v>320500</v>
      </c>
      <c r="D329" s="6">
        <v>3</v>
      </c>
      <c r="E329" s="7" t="str">
        <f>主角属性配置!AE27</f>
        <v>[{"2":36},{"4":29},{"5":29},{"12":1433},{"7":8},{"6":0},{"8":10},{"9":0}]</v>
      </c>
    </row>
    <row r="330" spans="1:5">
      <c r="A330" s="6">
        <f t="shared" si="14"/>
        <v>3027</v>
      </c>
      <c r="B330" s="6">
        <f t="shared" si="13"/>
        <v>27</v>
      </c>
      <c r="C330" s="6">
        <f t="shared" si="12"/>
        <v>365000</v>
      </c>
      <c r="D330" s="6">
        <v>3</v>
      </c>
      <c r="E330" s="7" t="str">
        <f>主角属性配置!AE28</f>
        <v>[{"2":36},{"4":29},{"5":29},{"12":1481},{"7":8},{"6":0},{"8":10},{"9":0}]</v>
      </c>
    </row>
    <row r="331" spans="1:5">
      <c r="A331" s="6">
        <f t="shared" si="14"/>
        <v>3028</v>
      </c>
      <c r="B331" s="6">
        <f t="shared" si="13"/>
        <v>28</v>
      </c>
      <c r="C331" s="6">
        <f t="shared" si="12"/>
        <v>414500</v>
      </c>
      <c r="D331" s="6">
        <v>3</v>
      </c>
      <c r="E331" s="7" t="str">
        <f>主角属性配置!AE29</f>
        <v>[{"2":36},{"4":29},{"5":29},{"12":1528},{"7":8},{"6":0},{"8":10},{"9":0}]</v>
      </c>
    </row>
    <row r="332" spans="1:5">
      <c r="A332" s="6">
        <f t="shared" si="14"/>
        <v>3029</v>
      </c>
      <c r="B332" s="6">
        <f t="shared" si="13"/>
        <v>29</v>
      </c>
      <c r="C332" s="6">
        <f t="shared" si="12"/>
        <v>469000</v>
      </c>
      <c r="D332" s="6">
        <v>3</v>
      </c>
      <c r="E332" s="7" t="str">
        <f>主角属性配置!AE30</f>
        <v>[{"2":36},{"4":29},{"5":29},{"12":1576},{"7":8},{"6":0},{"8":10},{"9":0}]</v>
      </c>
    </row>
    <row r="333" spans="1:5">
      <c r="A333" s="6">
        <f t="shared" si="14"/>
        <v>3030</v>
      </c>
      <c r="B333" s="6">
        <f t="shared" si="13"/>
        <v>30</v>
      </c>
      <c r="C333" s="6">
        <f t="shared" si="12"/>
        <v>528500</v>
      </c>
      <c r="D333" s="6">
        <v>3</v>
      </c>
      <c r="E333" s="7" t="str">
        <f>主角属性配置!AE31</f>
        <v>[{"2":37},{"4":30},{"5":30},{"12":1965},{"7":8},{"6":0},{"8":10},{"9":0}]</v>
      </c>
    </row>
    <row r="334" spans="1:5">
      <c r="A334" s="6">
        <f t="shared" si="14"/>
        <v>3031</v>
      </c>
      <c r="B334" s="6">
        <f t="shared" si="13"/>
        <v>31</v>
      </c>
      <c r="C334" s="6">
        <f t="shared" si="12"/>
        <v>596000</v>
      </c>
      <c r="D334" s="6">
        <v>3</v>
      </c>
      <c r="E334" s="7" t="str">
        <f>主角属性配置!AE32</f>
        <v>[{"2":37},{"4":30},{"5":30},{"12":2024},{"7":8},{"6":0},{"8":10},{"9":0}]</v>
      </c>
    </row>
    <row r="335" spans="1:5">
      <c r="A335" s="6">
        <f t="shared" si="14"/>
        <v>3032</v>
      </c>
      <c r="B335" s="6">
        <f t="shared" si="13"/>
        <v>32</v>
      </c>
      <c r="C335" s="6">
        <f t="shared" si="12"/>
        <v>671500</v>
      </c>
      <c r="D335" s="6">
        <v>3</v>
      </c>
      <c r="E335" s="7" t="str">
        <f>主角属性配置!AE33</f>
        <v>[{"2":37},{"4":30},{"5":30},{"12":2082},{"7":8},{"6":0},{"8":10},{"9":0}]</v>
      </c>
    </row>
    <row r="336" spans="1:5">
      <c r="A336" s="6">
        <f t="shared" si="14"/>
        <v>3033</v>
      </c>
      <c r="B336" s="6">
        <f t="shared" si="13"/>
        <v>33</v>
      </c>
      <c r="C336" s="6">
        <f t="shared" si="12"/>
        <v>755000</v>
      </c>
      <c r="D336" s="6">
        <v>3</v>
      </c>
      <c r="E336" s="7" t="str">
        <f>主角属性配置!AE34</f>
        <v>[{"2":37},{"4":30},{"5":30},{"12":2141},{"7":8},{"6":0},{"8":10},{"9":0}]</v>
      </c>
    </row>
    <row r="337" spans="1:5">
      <c r="A337" s="6">
        <f t="shared" si="14"/>
        <v>3034</v>
      </c>
      <c r="B337" s="6">
        <f t="shared" si="13"/>
        <v>34</v>
      </c>
      <c r="C337" s="6">
        <f t="shared" si="12"/>
        <v>846500</v>
      </c>
      <c r="D337" s="6">
        <v>3</v>
      </c>
      <c r="E337" s="7" t="str">
        <f>主角属性配置!AE35</f>
        <v>[{"2":37},{"4":30},{"5":30},{"12":2200},{"7":8},{"6":0},{"8":10},{"9":0}]</v>
      </c>
    </row>
    <row r="338" spans="1:5">
      <c r="A338" s="6">
        <f t="shared" si="14"/>
        <v>3035</v>
      </c>
      <c r="B338" s="6">
        <f t="shared" ref="B338:B359" si="15">B188</f>
        <v>35</v>
      </c>
      <c r="C338" s="6">
        <f t="shared" si="12"/>
        <v>946000</v>
      </c>
      <c r="D338" s="6">
        <v>3</v>
      </c>
      <c r="E338" s="7" t="str">
        <f>主角属性配置!AE36</f>
        <v>[{"2":38},{"4":30},{"5":30},{"12":2258},{"7":8},{"6":0},{"8":10},{"9":0}]</v>
      </c>
    </row>
    <row r="339" spans="1:5">
      <c r="A339" s="6">
        <f t="shared" si="14"/>
        <v>3036</v>
      </c>
      <c r="B339" s="6">
        <f t="shared" si="15"/>
        <v>36</v>
      </c>
      <c r="C339" s="6">
        <f t="shared" si="12"/>
        <v>1057500</v>
      </c>
      <c r="D339" s="6">
        <v>3</v>
      </c>
      <c r="E339" s="7" t="str">
        <f>主角属性配置!AE37</f>
        <v>[{"2":38},{"4":30},{"5":30},{"12":2317},{"7":8},{"6":0},{"8":10},{"9":0}]</v>
      </c>
    </row>
    <row r="340" spans="1:5">
      <c r="A340" s="6">
        <f t="shared" si="14"/>
        <v>3037</v>
      </c>
      <c r="B340" s="6">
        <f t="shared" si="15"/>
        <v>37</v>
      </c>
      <c r="C340" s="6">
        <f t="shared" si="12"/>
        <v>1181000</v>
      </c>
      <c r="D340" s="6">
        <v>3</v>
      </c>
      <c r="E340" s="7" t="str">
        <f>主角属性配置!AE38</f>
        <v>[{"2":38},{"4":30},{"5":30},{"12":2376},{"7":8},{"6":0},{"8":10},{"9":0}]</v>
      </c>
    </row>
    <row r="341" spans="1:5">
      <c r="A341" s="6">
        <f t="shared" si="14"/>
        <v>3038</v>
      </c>
      <c r="B341" s="6">
        <f t="shared" si="15"/>
        <v>38</v>
      </c>
      <c r="C341" s="6">
        <f t="shared" si="12"/>
        <v>1316500</v>
      </c>
      <c r="D341" s="6">
        <v>3</v>
      </c>
      <c r="E341" s="7" t="str">
        <f>主角属性配置!AE39</f>
        <v>[{"2":38},{"4":30},{"5":30},{"12":2435},{"7":8},{"6":0},{"8":10},{"9":0}]</v>
      </c>
    </row>
    <row r="342" spans="1:5">
      <c r="A342" s="6">
        <f t="shared" si="14"/>
        <v>3039</v>
      </c>
      <c r="B342" s="6">
        <f t="shared" si="15"/>
        <v>39</v>
      </c>
      <c r="C342" s="6">
        <f t="shared" si="12"/>
        <v>1464000</v>
      </c>
      <c r="D342" s="6">
        <v>3</v>
      </c>
      <c r="E342" s="7" t="str">
        <f>主角属性配置!AE40</f>
        <v>[{"2":38},{"4":30},{"5":30},{"12":2494},{"7":8},{"6":0},{"8":10},{"9":0}]</v>
      </c>
    </row>
    <row r="343" spans="1:5">
      <c r="A343" s="6">
        <f t="shared" si="14"/>
        <v>3040</v>
      </c>
      <c r="B343" s="6">
        <f t="shared" si="15"/>
        <v>40</v>
      </c>
      <c r="C343" s="6">
        <f t="shared" si="12"/>
        <v>1623500</v>
      </c>
      <c r="D343" s="6">
        <v>3</v>
      </c>
      <c r="E343" s="7" t="str">
        <f>主角属性配置!AE41</f>
        <v>[{"2":39},{"4":31},{"5":31},{"12":2553},{"7":8},{"6":0},{"8":10},{"9":0}]</v>
      </c>
    </row>
    <row r="344" spans="1:5">
      <c r="A344" s="6">
        <f t="shared" si="14"/>
        <v>3041</v>
      </c>
      <c r="B344" s="6">
        <f t="shared" si="15"/>
        <v>41</v>
      </c>
      <c r="C344" s="6">
        <f t="shared" si="12"/>
        <v>1813000</v>
      </c>
      <c r="D344" s="6">
        <v>3</v>
      </c>
      <c r="E344" s="7" t="str">
        <f>主角属性配置!AE42</f>
        <v>[{"2":39},{"4":31},{"5":31},{"12":2612},{"7":8},{"6":0},{"8":10},{"9":0}]</v>
      </c>
    </row>
    <row r="345" spans="1:5">
      <c r="A345" s="6">
        <f t="shared" si="14"/>
        <v>3042</v>
      </c>
      <c r="B345" s="6">
        <f t="shared" si="15"/>
        <v>42</v>
      </c>
      <c r="C345" s="6">
        <f t="shared" si="12"/>
        <v>2032500</v>
      </c>
      <c r="D345" s="6">
        <v>3</v>
      </c>
      <c r="E345" s="7" t="str">
        <f>主角属性配置!AE43</f>
        <v>[{"2":39},{"4":31},{"5":31},{"12":2671},{"7":8},{"6":0},{"8":10},{"9":0}]</v>
      </c>
    </row>
    <row r="346" spans="1:5">
      <c r="A346" s="6">
        <f t="shared" si="14"/>
        <v>3043</v>
      </c>
      <c r="B346" s="6">
        <f t="shared" si="15"/>
        <v>43</v>
      </c>
      <c r="C346" s="6">
        <f t="shared" si="12"/>
        <v>2282000</v>
      </c>
      <c r="D346" s="6">
        <v>3</v>
      </c>
      <c r="E346" s="7" t="str">
        <f>主角属性配置!AE44</f>
        <v>[{"2":39},{"4":31},{"5":31},{"12":2730},{"7":8},{"6":0},{"8":10},{"9":0}]</v>
      </c>
    </row>
    <row r="347" spans="1:5">
      <c r="A347" s="6">
        <f t="shared" si="14"/>
        <v>3044</v>
      </c>
      <c r="B347" s="6">
        <f t="shared" si="15"/>
        <v>44</v>
      </c>
      <c r="C347" s="6">
        <f t="shared" ref="C347:C410" si="16">C197</f>
        <v>2561500</v>
      </c>
      <c r="D347" s="6">
        <v>3</v>
      </c>
      <c r="E347" s="7" t="str">
        <f>主角属性配置!AE45</f>
        <v>[{"2":39},{"4":31},{"5":31},{"12":2788},{"7":8},{"6":0},{"8":10},{"9":0}]</v>
      </c>
    </row>
    <row r="348" spans="1:5">
      <c r="A348" s="6">
        <f t="shared" si="14"/>
        <v>3045</v>
      </c>
      <c r="B348" s="6">
        <f t="shared" si="15"/>
        <v>45</v>
      </c>
      <c r="C348" s="6">
        <f t="shared" si="16"/>
        <v>2871000</v>
      </c>
      <c r="D348" s="6">
        <v>3</v>
      </c>
      <c r="E348" s="7" t="str">
        <f>主角属性配置!AE46</f>
        <v>[{"2":40},{"4":32},{"5":32},{"12":2847},{"7":8},{"6":0},{"8":10},{"9":0}]</v>
      </c>
    </row>
    <row r="349" spans="1:5">
      <c r="A349" s="6">
        <f t="shared" si="14"/>
        <v>3046</v>
      </c>
      <c r="B349" s="6">
        <f t="shared" si="15"/>
        <v>46</v>
      </c>
      <c r="C349" s="6">
        <f t="shared" si="16"/>
        <v>3230500</v>
      </c>
      <c r="D349" s="6">
        <v>3</v>
      </c>
      <c r="E349" s="7" t="str">
        <f>主角属性配置!AE47</f>
        <v>[{"2":40},{"4":32},{"5":32},{"12":2906},{"7":8},{"6":0},{"8":10},{"9":0}]</v>
      </c>
    </row>
    <row r="350" spans="1:5">
      <c r="A350" s="6">
        <f t="shared" si="14"/>
        <v>3047</v>
      </c>
      <c r="B350" s="6">
        <f t="shared" si="15"/>
        <v>47</v>
      </c>
      <c r="C350" s="6">
        <f t="shared" si="16"/>
        <v>3640000</v>
      </c>
      <c r="D350" s="6">
        <v>3</v>
      </c>
      <c r="E350" s="7" t="str">
        <f>主角属性配置!AE48</f>
        <v>[{"2":40},{"4":32},{"5":32},{"12":2964},{"7":8},{"6":0},{"8":10},{"9":0}]</v>
      </c>
    </row>
    <row r="351" spans="1:5">
      <c r="A351" s="6">
        <f t="shared" si="14"/>
        <v>3048</v>
      </c>
      <c r="B351" s="6">
        <f t="shared" si="15"/>
        <v>48</v>
      </c>
      <c r="C351" s="6">
        <f t="shared" si="16"/>
        <v>4099500</v>
      </c>
      <c r="D351" s="6">
        <v>3</v>
      </c>
      <c r="E351" s="7" t="str">
        <f>主角属性配置!AE49</f>
        <v>[{"2":40},{"4":32},{"5":32},{"12":3023},{"7":8},{"6":0},{"8":10},{"9":0}]</v>
      </c>
    </row>
    <row r="352" spans="1:5">
      <c r="A352" s="6">
        <f t="shared" si="14"/>
        <v>3049</v>
      </c>
      <c r="B352" s="6">
        <f t="shared" si="15"/>
        <v>49</v>
      </c>
      <c r="C352" s="6">
        <f t="shared" si="16"/>
        <v>4609000</v>
      </c>
      <c r="D352" s="6">
        <v>3</v>
      </c>
      <c r="E352" s="7" t="str">
        <f>主角属性配置!AE50</f>
        <v>[{"2":40},{"4":32},{"5":32},{"12":3082},{"7":8},{"6":0},{"8":10},{"9":0}]</v>
      </c>
    </row>
    <row r="353" spans="1:5">
      <c r="A353" s="6">
        <f t="shared" si="14"/>
        <v>3050</v>
      </c>
      <c r="B353" s="6">
        <f t="shared" si="15"/>
        <v>50</v>
      </c>
      <c r="C353" s="6">
        <f t="shared" si="16"/>
        <v>5168500</v>
      </c>
      <c r="D353" s="6">
        <v>3</v>
      </c>
      <c r="E353" s="7" t="str">
        <f>主角属性配置!AE51</f>
        <v>[{"2":41},{"4":33},{"5":33},{"12":3900},{"7":8},{"6":0},{"8":10},{"9":0}]</v>
      </c>
    </row>
    <row r="354" spans="1:5">
      <c r="A354" s="6">
        <f t="shared" si="14"/>
        <v>3051</v>
      </c>
      <c r="B354" s="6">
        <f t="shared" si="15"/>
        <v>51</v>
      </c>
      <c r="C354" s="6">
        <f t="shared" si="16"/>
        <v>5808000</v>
      </c>
      <c r="D354" s="6">
        <v>3</v>
      </c>
      <c r="E354" s="7" t="str">
        <f>主角属性配置!AE52</f>
        <v>[{"2":41},{"4":33},{"5":33},{"12":3974},{"7":8},{"6":0},{"8":10},{"9":0}]</v>
      </c>
    </row>
    <row r="355" spans="1:5">
      <c r="A355" s="6">
        <f t="shared" si="14"/>
        <v>3052</v>
      </c>
      <c r="B355" s="6">
        <f t="shared" si="15"/>
        <v>52</v>
      </c>
      <c r="C355" s="6">
        <f t="shared" si="16"/>
        <v>6527500</v>
      </c>
      <c r="D355" s="6">
        <v>3</v>
      </c>
      <c r="E355" s="7" t="str">
        <f>主角属性配置!AE53</f>
        <v>[{"2":41},{"4":33},{"5":33},{"12":4048},{"7":8},{"6":0},{"8":10},{"9":0}]</v>
      </c>
    </row>
    <row r="356" spans="1:5">
      <c r="A356" s="6">
        <f t="shared" si="14"/>
        <v>3053</v>
      </c>
      <c r="B356" s="6">
        <f t="shared" si="15"/>
        <v>53</v>
      </c>
      <c r="C356" s="6">
        <f t="shared" si="16"/>
        <v>7327000</v>
      </c>
      <c r="D356" s="6">
        <v>3</v>
      </c>
      <c r="E356" s="7" t="str">
        <f>主角属性配置!AE54</f>
        <v>[{"2":41},{"4":33},{"5":33},{"12":4122},{"7":8},{"6":0},{"8":10},{"9":0}]</v>
      </c>
    </row>
    <row r="357" spans="1:5">
      <c r="A357" s="6">
        <f t="shared" si="14"/>
        <v>3054</v>
      </c>
      <c r="B357" s="6">
        <f t="shared" si="15"/>
        <v>54</v>
      </c>
      <c r="C357" s="6">
        <f t="shared" si="16"/>
        <v>8206500</v>
      </c>
      <c r="D357" s="6">
        <v>3</v>
      </c>
      <c r="E357" s="7" t="str">
        <f>主角属性配置!AE55</f>
        <v>[{"2":41},{"4":33},{"5":33},{"12":4196},{"7":8},{"6":0},{"8":10},{"9":0}]</v>
      </c>
    </row>
    <row r="358" spans="1:5">
      <c r="A358" s="6">
        <f t="shared" si="14"/>
        <v>3055</v>
      </c>
      <c r="B358" s="6">
        <f t="shared" si="15"/>
        <v>55</v>
      </c>
      <c r="C358" s="6">
        <f t="shared" si="16"/>
        <v>9166000</v>
      </c>
      <c r="D358" s="6">
        <v>3</v>
      </c>
      <c r="E358" s="7" t="str">
        <f>主角属性配置!AE56</f>
        <v>[{"2":41},{"4":33},{"5":33},{"12":4270},{"7":8},{"6":0},{"8":10},{"9":0}]</v>
      </c>
    </row>
    <row r="359" spans="1:5">
      <c r="A359" s="6">
        <f t="shared" si="14"/>
        <v>3056</v>
      </c>
      <c r="B359" s="6">
        <f t="shared" si="15"/>
        <v>56</v>
      </c>
      <c r="C359" s="6">
        <f t="shared" si="16"/>
        <v>10225500</v>
      </c>
      <c r="D359" s="6">
        <v>3</v>
      </c>
      <c r="E359" s="7" t="str">
        <f>主角属性配置!AE57</f>
        <v>[{"2":41},{"4":33},{"5":33},{"12":4344},{"7":8},{"6":0},{"8":10},{"9":0}]</v>
      </c>
    </row>
    <row r="360" spans="1:5">
      <c r="A360" s="6">
        <f t="shared" si="14"/>
        <v>3057</v>
      </c>
      <c r="B360" s="6">
        <f t="shared" ref="B360:B391" si="17">B210</f>
        <v>57</v>
      </c>
      <c r="C360" s="6">
        <f t="shared" si="16"/>
        <v>11385000</v>
      </c>
      <c r="D360" s="6">
        <v>3</v>
      </c>
      <c r="E360" s="7" t="str">
        <f>主角属性配置!AE58</f>
        <v>[{"2":41},{"4":33},{"5":33},{"12":4418},{"7":8},{"6":0},{"8":10},{"9":0}]</v>
      </c>
    </row>
    <row r="361" spans="1:5">
      <c r="A361" s="6">
        <f t="shared" si="14"/>
        <v>3058</v>
      </c>
      <c r="B361" s="6">
        <f t="shared" si="17"/>
        <v>58</v>
      </c>
      <c r="C361" s="6">
        <f t="shared" si="16"/>
        <v>12644500</v>
      </c>
      <c r="D361" s="6">
        <v>3</v>
      </c>
      <c r="E361" s="7" t="str">
        <f>主角属性配置!AE59</f>
        <v>[{"2":41},{"4":33},{"5":33},{"12":4492},{"7":8},{"6":0},{"8":10},{"9":0}]</v>
      </c>
    </row>
    <row r="362" spans="1:5">
      <c r="A362" s="6">
        <f t="shared" si="14"/>
        <v>3059</v>
      </c>
      <c r="B362" s="6">
        <f t="shared" si="17"/>
        <v>59</v>
      </c>
      <c r="C362" s="6">
        <f t="shared" si="16"/>
        <v>14004000</v>
      </c>
      <c r="D362" s="6">
        <v>3</v>
      </c>
      <c r="E362" s="7" t="str">
        <f>主角属性配置!AE60</f>
        <v>[{"2":41},{"4":33},{"5":33},{"12":4566},{"7":8},{"6":0},{"8":10},{"9":0}]</v>
      </c>
    </row>
    <row r="363" spans="1:5">
      <c r="A363" s="6">
        <f t="shared" si="14"/>
        <v>3060</v>
      </c>
      <c r="B363" s="6">
        <f t="shared" si="17"/>
        <v>60</v>
      </c>
      <c r="C363" s="6">
        <f t="shared" si="16"/>
        <v>15463500</v>
      </c>
      <c r="D363" s="6">
        <v>3</v>
      </c>
      <c r="E363" s="7" t="str">
        <f>主角属性配置!AE61</f>
        <v>[{"2":42},{"4":34},{"5":34},{"12":4640},{"7":8},{"6":0},{"8":10},{"9":0}]</v>
      </c>
    </row>
    <row r="364" spans="1:5">
      <c r="A364" s="6">
        <f t="shared" si="14"/>
        <v>3061</v>
      </c>
      <c r="B364" s="6">
        <f t="shared" si="17"/>
        <v>61</v>
      </c>
      <c r="C364" s="6">
        <f t="shared" si="16"/>
        <v>17063000</v>
      </c>
      <c r="D364" s="6">
        <v>3</v>
      </c>
      <c r="E364" s="7" t="str">
        <f>主角属性配置!AE62</f>
        <v>[{"2":42},{"4":34},{"5":34},{"12":4714},{"7":8},{"6":0},{"8":10},{"9":0}]</v>
      </c>
    </row>
    <row r="365" spans="1:5">
      <c r="A365" s="6">
        <f t="shared" si="14"/>
        <v>3062</v>
      </c>
      <c r="B365" s="6">
        <f t="shared" si="17"/>
        <v>62</v>
      </c>
      <c r="C365" s="6">
        <f t="shared" si="16"/>
        <v>18802500</v>
      </c>
      <c r="D365" s="6">
        <v>3</v>
      </c>
      <c r="E365" s="7" t="str">
        <f>主角属性配置!AE63</f>
        <v>[{"2":42},{"4":34},{"5":34},{"12":4788},{"7":8},{"6":0},{"8":10},{"9":0}]</v>
      </c>
    </row>
    <row r="366" spans="1:5">
      <c r="A366" s="6">
        <f t="shared" si="14"/>
        <v>3063</v>
      </c>
      <c r="B366" s="6">
        <f t="shared" si="17"/>
        <v>63</v>
      </c>
      <c r="C366" s="6">
        <f t="shared" si="16"/>
        <v>20682000</v>
      </c>
      <c r="D366" s="6">
        <v>3</v>
      </c>
      <c r="E366" s="7" t="str">
        <f>主角属性配置!AE64</f>
        <v>[{"2":42},{"4":34},{"5":34},{"12":4862},{"7":8},{"6":0},{"8":10},{"9":0}]</v>
      </c>
    </row>
    <row r="367" spans="1:5">
      <c r="A367" s="6">
        <f t="shared" si="14"/>
        <v>3064</v>
      </c>
      <c r="B367" s="6">
        <f t="shared" si="17"/>
        <v>64</v>
      </c>
      <c r="C367" s="6">
        <f t="shared" si="16"/>
        <v>22701500</v>
      </c>
      <c r="D367" s="6">
        <v>3</v>
      </c>
      <c r="E367" s="7" t="str">
        <f>主角属性配置!AE65</f>
        <v>[{"2":42},{"4":34},{"5":34},{"12":4936},{"7":8},{"6":0},{"8":10},{"9":0}]</v>
      </c>
    </row>
    <row r="368" spans="1:5">
      <c r="A368" s="6">
        <f t="shared" si="14"/>
        <v>3065</v>
      </c>
      <c r="B368" s="6">
        <f t="shared" si="17"/>
        <v>65</v>
      </c>
      <c r="C368" s="6">
        <f t="shared" si="16"/>
        <v>24861000</v>
      </c>
      <c r="D368" s="6">
        <v>3</v>
      </c>
      <c r="E368" s="7" t="str">
        <f>主角属性配置!AE66</f>
        <v>[{"2":43},{"4":35},{"5":35},{"12":5010},{"7":8},{"6":0},{"8":10},{"9":0}]</v>
      </c>
    </row>
    <row r="369" spans="1:5">
      <c r="A369" s="6">
        <f t="shared" si="14"/>
        <v>3066</v>
      </c>
      <c r="B369" s="6">
        <f t="shared" si="17"/>
        <v>66</v>
      </c>
      <c r="C369" s="6">
        <f t="shared" si="16"/>
        <v>27200500</v>
      </c>
      <c r="D369" s="6">
        <v>3</v>
      </c>
      <c r="E369" s="7" t="str">
        <f>主角属性配置!AE67</f>
        <v>[{"2":43},{"4":35},{"5":35},{"12":5084},{"7":8},{"6":0},{"8":10},{"9":0}]</v>
      </c>
    </row>
    <row r="370" spans="1:5">
      <c r="A370" s="6">
        <f t="shared" si="14"/>
        <v>3067</v>
      </c>
      <c r="B370" s="6">
        <f t="shared" si="17"/>
        <v>67</v>
      </c>
      <c r="C370" s="6">
        <f t="shared" si="16"/>
        <v>29720000</v>
      </c>
      <c r="D370" s="6">
        <v>3</v>
      </c>
      <c r="E370" s="7" t="str">
        <f>主角属性配置!AE68</f>
        <v>[{"2":43},{"4":35},{"5":35},{"12":5158},{"7":8},{"6":0},{"8":10},{"9":0}]</v>
      </c>
    </row>
    <row r="371" spans="1:5">
      <c r="A371" s="6">
        <f t="shared" si="14"/>
        <v>3068</v>
      </c>
      <c r="B371" s="6">
        <f t="shared" si="17"/>
        <v>68</v>
      </c>
      <c r="C371" s="6">
        <f t="shared" si="16"/>
        <v>32419500</v>
      </c>
      <c r="D371" s="6">
        <v>3</v>
      </c>
      <c r="E371" s="7" t="str">
        <f>主角属性配置!AE69</f>
        <v>[{"2":43},{"4":35},{"5":35},{"12":5232},{"7":8},{"6":0},{"8":10},{"9":0}]</v>
      </c>
    </row>
    <row r="372" spans="1:5">
      <c r="A372" s="6">
        <f t="shared" si="14"/>
        <v>3069</v>
      </c>
      <c r="B372" s="6">
        <f t="shared" si="17"/>
        <v>69</v>
      </c>
      <c r="C372" s="6">
        <f t="shared" si="16"/>
        <v>35299000</v>
      </c>
      <c r="D372" s="6">
        <v>3</v>
      </c>
      <c r="E372" s="7" t="str">
        <f>主角属性配置!AE70</f>
        <v>[{"2":43},{"4":35},{"5":35},{"12":5306},{"7":8},{"6":0},{"8":10},{"9":0}]</v>
      </c>
    </row>
    <row r="373" spans="1:5">
      <c r="A373" s="6">
        <f t="shared" si="14"/>
        <v>3070</v>
      </c>
      <c r="B373" s="6">
        <f t="shared" si="17"/>
        <v>70</v>
      </c>
      <c r="C373" s="6">
        <f t="shared" si="16"/>
        <v>38358500</v>
      </c>
      <c r="D373" s="6">
        <v>3</v>
      </c>
      <c r="E373" s="7" t="str">
        <f>主角属性配置!AE71</f>
        <v>[{"2":44},{"4":35},{"5":35},{"12":6841},{"7":8},{"6":0},{"8":10},{"9":0}]</v>
      </c>
    </row>
    <row r="374" spans="1:5">
      <c r="A374" s="6">
        <f t="shared" si="14"/>
        <v>3071</v>
      </c>
      <c r="B374" s="6">
        <f t="shared" si="17"/>
        <v>71</v>
      </c>
      <c r="C374" s="6">
        <f t="shared" si="16"/>
        <v>41668000</v>
      </c>
      <c r="D374" s="6">
        <v>3</v>
      </c>
      <c r="E374" s="7" t="str">
        <f>主角属性配置!AE72</f>
        <v>[{"2":44},{"4":35},{"5":35},{"12":6936},{"7":8},{"6":0},{"8":10},{"9":0}]</v>
      </c>
    </row>
    <row r="375" spans="1:5">
      <c r="A375" s="6">
        <f t="shared" si="14"/>
        <v>3072</v>
      </c>
      <c r="B375" s="6">
        <f t="shared" si="17"/>
        <v>72</v>
      </c>
      <c r="C375" s="6">
        <f t="shared" si="16"/>
        <v>45227500</v>
      </c>
      <c r="D375" s="6">
        <v>3</v>
      </c>
      <c r="E375" s="7" t="str">
        <f>主角属性配置!AE73</f>
        <v>[{"2":44},{"4":35},{"5":35},{"12":7031},{"7":8},{"6":0},{"8":10},{"9":0}]</v>
      </c>
    </row>
    <row r="376" spans="1:5">
      <c r="A376" s="6">
        <f t="shared" si="14"/>
        <v>3073</v>
      </c>
      <c r="B376" s="6">
        <f t="shared" si="17"/>
        <v>73</v>
      </c>
      <c r="C376" s="6">
        <f t="shared" si="16"/>
        <v>49037000</v>
      </c>
      <c r="D376" s="6">
        <v>3</v>
      </c>
      <c r="E376" s="7" t="str">
        <f>主角属性配置!AE74</f>
        <v>[{"2":44},{"4":35},{"5":35},{"12":7126},{"7":8},{"6":0},{"8":10},{"9":0}]</v>
      </c>
    </row>
    <row r="377" spans="1:5">
      <c r="A377" s="6">
        <f t="shared" si="14"/>
        <v>3074</v>
      </c>
      <c r="B377" s="6">
        <f t="shared" si="17"/>
        <v>74</v>
      </c>
      <c r="C377" s="6">
        <f t="shared" si="16"/>
        <v>53096500</v>
      </c>
      <c r="D377" s="6">
        <v>3</v>
      </c>
      <c r="E377" s="7" t="str">
        <f>主角属性配置!AE75</f>
        <v>[{"2":44},{"4":35},{"5":35},{"12":7220},{"7":8},{"6":0},{"8":10},{"9":0}]</v>
      </c>
    </row>
    <row r="378" spans="1:5">
      <c r="A378" s="6">
        <f t="shared" si="14"/>
        <v>3075</v>
      </c>
      <c r="B378" s="6">
        <f t="shared" si="17"/>
        <v>75</v>
      </c>
      <c r="C378" s="6">
        <f t="shared" si="16"/>
        <v>57406000</v>
      </c>
      <c r="D378" s="6">
        <v>3</v>
      </c>
      <c r="E378" s="7" t="str">
        <f>主角属性配置!AE76</f>
        <v>[{"2":45},{"4":36},{"5":36},{"12":7315},{"7":8},{"6":0},{"8":10},{"9":0}]</v>
      </c>
    </row>
    <row r="379" spans="1:5">
      <c r="A379" s="6">
        <f t="shared" si="14"/>
        <v>3076</v>
      </c>
      <c r="B379" s="6">
        <f t="shared" si="17"/>
        <v>76</v>
      </c>
      <c r="C379" s="6">
        <f t="shared" si="16"/>
        <v>62215500</v>
      </c>
      <c r="D379" s="6">
        <v>3</v>
      </c>
      <c r="E379" s="7" t="str">
        <f>主角属性配置!AE77</f>
        <v>[{"2":45},{"4":36},{"5":36},{"12":7410},{"7":8},{"6":0},{"8":10},{"9":0}]</v>
      </c>
    </row>
    <row r="380" spans="1:5">
      <c r="A380" s="6">
        <f t="shared" si="14"/>
        <v>3077</v>
      </c>
      <c r="B380" s="6">
        <f t="shared" si="17"/>
        <v>77</v>
      </c>
      <c r="C380" s="6">
        <f t="shared" si="16"/>
        <v>67525000</v>
      </c>
      <c r="D380" s="6">
        <v>3</v>
      </c>
      <c r="E380" s="7" t="str">
        <f>主角属性配置!AE78</f>
        <v>[{"2":45},{"4":36},{"5":36},{"12":7505},{"7":8},{"6":0},{"8":10},{"9":0}]</v>
      </c>
    </row>
    <row r="381" spans="1:5">
      <c r="A381" s="6">
        <f t="shared" si="14"/>
        <v>3078</v>
      </c>
      <c r="B381" s="6">
        <f t="shared" si="17"/>
        <v>78</v>
      </c>
      <c r="C381" s="6">
        <f t="shared" si="16"/>
        <v>73334500</v>
      </c>
      <c r="D381" s="6">
        <v>3</v>
      </c>
      <c r="E381" s="7" t="str">
        <f>主角属性配置!AE79</f>
        <v>[{"2":45},{"4":36},{"5":36},{"12":7600},{"7":8},{"6":0},{"8":10},{"9":0}]</v>
      </c>
    </row>
    <row r="382" spans="1:5">
      <c r="A382" s="6">
        <f t="shared" si="14"/>
        <v>3079</v>
      </c>
      <c r="B382" s="6">
        <f t="shared" si="17"/>
        <v>79</v>
      </c>
      <c r="C382" s="6">
        <f t="shared" si="16"/>
        <v>79644000</v>
      </c>
      <c r="D382" s="6">
        <v>3</v>
      </c>
      <c r="E382" s="7" t="str">
        <f>主角属性配置!AE80</f>
        <v>[{"2":45},{"4":36},{"5":36},{"12":7695},{"7":8},{"6":0},{"8":10},{"9":0}]</v>
      </c>
    </row>
    <row r="383" spans="1:5">
      <c r="A383" s="6">
        <f t="shared" si="14"/>
        <v>3080</v>
      </c>
      <c r="B383" s="6">
        <f t="shared" si="17"/>
        <v>80</v>
      </c>
      <c r="C383" s="6">
        <f t="shared" si="16"/>
        <v>86453500</v>
      </c>
      <c r="D383" s="6">
        <v>3</v>
      </c>
      <c r="E383" s="7" t="str">
        <f>主角属性配置!AE81</f>
        <v>[{"2":45},{"4":37},{"5":37},{"12":7790},{"7":8},{"6":0},{"8":10},{"9":0}]</v>
      </c>
    </row>
    <row r="384" spans="1:5">
      <c r="A384" s="6">
        <f t="shared" si="14"/>
        <v>3081</v>
      </c>
      <c r="B384" s="6">
        <f t="shared" si="17"/>
        <v>81</v>
      </c>
      <c r="C384" s="6">
        <f t="shared" si="16"/>
        <v>94263000</v>
      </c>
      <c r="D384" s="6">
        <v>3</v>
      </c>
      <c r="E384" s="7" t="str">
        <f>主角属性配置!AE82</f>
        <v>[{"2":45},{"4":37},{"5":37},{"12":7885},{"7":8},{"6":0},{"8":10},{"9":0}]</v>
      </c>
    </row>
    <row r="385" spans="1:5">
      <c r="A385" s="6">
        <f t="shared" si="14"/>
        <v>3082</v>
      </c>
      <c r="B385" s="6">
        <f t="shared" si="17"/>
        <v>82</v>
      </c>
      <c r="C385" s="6">
        <f t="shared" si="16"/>
        <v>103072500</v>
      </c>
      <c r="D385" s="6">
        <v>3</v>
      </c>
      <c r="E385" s="7" t="str">
        <f>主角属性配置!AE83</f>
        <v>[{"2":45},{"4":37},{"5":37},{"12":7980},{"7":8},{"6":0},{"8":10},{"9":0}]</v>
      </c>
    </row>
    <row r="386" spans="1:5">
      <c r="A386" s="6">
        <f t="shared" si="14"/>
        <v>3083</v>
      </c>
      <c r="B386" s="6">
        <f t="shared" si="17"/>
        <v>83</v>
      </c>
      <c r="C386" s="6">
        <f t="shared" si="16"/>
        <v>112882000</v>
      </c>
      <c r="D386" s="6">
        <v>3</v>
      </c>
      <c r="E386" s="7" t="str">
        <f>主角属性配置!AE84</f>
        <v>[{"2":45},{"4":37},{"5":37},{"12":8074},{"7":8},{"6":0},{"8":10},{"9":0}]</v>
      </c>
    </row>
    <row r="387" spans="1:5">
      <c r="A387" s="6">
        <f t="shared" si="14"/>
        <v>3084</v>
      </c>
      <c r="B387" s="6">
        <f t="shared" si="17"/>
        <v>84</v>
      </c>
      <c r="C387" s="6">
        <f t="shared" si="16"/>
        <v>123691500</v>
      </c>
      <c r="D387" s="6">
        <v>3</v>
      </c>
      <c r="E387" s="7" t="str">
        <f>主角属性配置!AE85</f>
        <v>[{"2":45},{"4":37},{"5":37},{"12":10400},{"7":8},{"6":0},{"8":10},{"9":0}]</v>
      </c>
    </row>
    <row r="388" spans="1:5">
      <c r="A388" s="6">
        <f t="shared" si="14"/>
        <v>3085</v>
      </c>
      <c r="B388" s="6">
        <f t="shared" si="17"/>
        <v>85</v>
      </c>
      <c r="C388" s="6">
        <f t="shared" si="16"/>
        <v>135501000</v>
      </c>
      <c r="D388" s="6">
        <v>3</v>
      </c>
      <c r="E388" s="7" t="str">
        <f>主角属性配置!AE86</f>
        <v>[{"2":46},{"4":37},{"5":37},{"12":10522},{"7":8},{"6":0},{"8":10},{"9":0}]</v>
      </c>
    </row>
    <row r="389" spans="1:5">
      <c r="A389" s="6">
        <f t="shared" ref="A389:A452" si="18">D389*1000+B389</f>
        <v>3086</v>
      </c>
      <c r="B389" s="6">
        <f t="shared" si="17"/>
        <v>86</v>
      </c>
      <c r="C389" s="6">
        <f t="shared" si="16"/>
        <v>152310500</v>
      </c>
      <c r="D389" s="6">
        <v>3</v>
      </c>
      <c r="E389" s="7" t="str">
        <f>主角属性配置!AE87</f>
        <v>[{"2":46},{"4":37},{"5":37},{"12":10643},{"7":8},{"6":0},{"8":10},{"9":0}]</v>
      </c>
    </row>
    <row r="390" spans="1:5">
      <c r="A390" s="6">
        <f t="shared" si="18"/>
        <v>3087</v>
      </c>
      <c r="B390" s="6">
        <f t="shared" si="17"/>
        <v>87</v>
      </c>
      <c r="C390" s="6">
        <f t="shared" si="16"/>
        <v>174120000</v>
      </c>
      <c r="D390" s="6">
        <v>3</v>
      </c>
      <c r="E390" s="7" t="str">
        <f>主角属性配置!AE88</f>
        <v>[{"2":46},{"4":37},{"5":37},{"12":10765},{"7":8},{"6":0},{"8":10},{"9":0}]</v>
      </c>
    </row>
    <row r="391" spans="1:5">
      <c r="A391" s="6">
        <f t="shared" si="18"/>
        <v>3088</v>
      </c>
      <c r="B391" s="6">
        <f t="shared" si="17"/>
        <v>88</v>
      </c>
      <c r="C391" s="6">
        <f t="shared" si="16"/>
        <v>200929500</v>
      </c>
      <c r="D391" s="6">
        <v>3</v>
      </c>
      <c r="E391" s="7" t="str">
        <f>主角属性配置!AE89</f>
        <v>[{"2":46},{"4":37},{"5":37},{"12":10886},{"7":8},{"6":0},{"8":10},{"9":0}]</v>
      </c>
    </row>
    <row r="392" spans="1:5">
      <c r="A392" s="6">
        <f t="shared" si="18"/>
        <v>3089</v>
      </c>
      <c r="B392" s="6">
        <f t="shared" ref="B392:B421" si="19">B242</f>
        <v>89</v>
      </c>
      <c r="C392" s="6">
        <f t="shared" si="16"/>
        <v>232739000</v>
      </c>
      <c r="D392" s="6">
        <v>3</v>
      </c>
      <c r="E392" s="7" t="str">
        <f>主角属性配置!AE90</f>
        <v>[{"2":46},{"4":37},{"5":37},{"12":11008},{"7":8},{"6":0},{"8":10},{"9":0}]</v>
      </c>
    </row>
    <row r="393" spans="1:5">
      <c r="A393" s="6">
        <f t="shared" si="18"/>
        <v>3090</v>
      </c>
      <c r="B393" s="6">
        <f t="shared" si="19"/>
        <v>90</v>
      </c>
      <c r="C393" s="6">
        <f t="shared" si="16"/>
        <v>269548500</v>
      </c>
      <c r="D393" s="6">
        <v>3</v>
      </c>
      <c r="E393" s="7" t="str">
        <f>主角属性配置!AE91</f>
        <v>[{"2":47},{"4":38},{"5":38},{"12":11130},{"7":8},{"6":0},{"8":10},{"9":0}]</v>
      </c>
    </row>
    <row r="394" spans="1:5">
      <c r="A394" s="6">
        <f t="shared" si="18"/>
        <v>3091</v>
      </c>
      <c r="B394" s="6">
        <f t="shared" si="19"/>
        <v>91</v>
      </c>
      <c r="C394" s="6">
        <f t="shared" si="16"/>
        <v>326358000</v>
      </c>
      <c r="D394" s="6">
        <v>3</v>
      </c>
      <c r="E394" s="7" t="str">
        <f>主角属性配置!AE92</f>
        <v>[{"2":47},{"4":38},{"5":38},{"12":11251},{"7":8},{"6":0},{"8":10},{"9":0}]</v>
      </c>
    </row>
    <row r="395" spans="1:5">
      <c r="A395" s="6">
        <f t="shared" si="18"/>
        <v>3092</v>
      </c>
      <c r="B395" s="6">
        <f t="shared" si="19"/>
        <v>92</v>
      </c>
      <c r="C395" s="6">
        <f t="shared" si="16"/>
        <v>403167500</v>
      </c>
      <c r="D395" s="6">
        <v>3</v>
      </c>
      <c r="E395" s="7" t="str">
        <f>主角属性配置!AE93</f>
        <v>[{"2":47},{"4":38},{"5":38},{"12":11373},{"7":8},{"6":0},{"8":10},{"9":0}]</v>
      </c>
    </row>
    <row r="396" spans="1:5">
      <c r="A396" s="6">
        <f t="shared" si="18"/>
        <v>3093</v>
      </c>
      <c r="B396" s="6">
        <f t="shared" si="19"/>
        <v>93</v>
      </c>
      <c r="C396" s="6">
        <f t="shared" si="16"/>
        <v>499977000</v>
      </c>
      <c r="D396" s="6">
        <v>3</v>
      </c>
      <c r="E396" s="7" t="str">
        <f>主角属性配置!AE94</f>
        <v>[{"2":47},{"4":38},{"5":38},{"12":11493},{"7":8},{"6":0},{"8":10},{"9":0}]</v>
      </c>
    </row>
    <row r="397" spans="1:5">
      <c r="A397" s="6">
        <f t="shared" si="18"/>
        <v>3094</v>
      </c>
      <c r="B397" s="6">
        <f t="shared" si="19"/>
        <v>94</v>
      </c>
      <c r="C397" s="6">
        <f t="shared" si="16"/>
        <v>616786500</v>
      </c>
      <c r="D397" s="6">
        <v>3</v>
      </c>
      <c r="E397" s="7" t="str">
        <f>主角属性配置!AE95</f>
        <v>[{"2":47},{"4":38},{"5":38},{"12":11614},{"7":8},{"6":0},{"8":10},{"9":0}]</v>
      </c>
    </row>
    <row r="398" spans="1:5">
      <c r="A398" s="6">
        <f t="shared" si="18"/>
        <v>3095</v>
      </c>
      <c r="B398" s="6">
        <f t="shared" si="19"/>
        <v>95</v>
      </c>
      <c r="C398" s="6">
        <f t="shared" si="16"/>
        <v>753596000</v>
      </c>
      <c r="D398" s="6">
        <v>3</v>
      </c>
      <c r="E398" s="7" t="str">
        <f>主角属性配置!AE96</f>
        <v>[{"2":48},{"4":39},{"5":39},{"12":11736},{"7":8},{"6":0},{"8":10},{"9":0}]</v>
      </c>
    </row>
    <row r="399" spans="1:5">
      <c r="A399" s="6">
        <f t="shared" si="18"/>
        <v>3096</v>
      </c>
      <c r="B399" s="6">
        <f t="shared" si="19"/>
        <v>96</v>
      </c>
      <c r="C399" s="6">
        <f t="shared" si="16"/>
        <v>920405500</v>
      </c>
      <c r="D399" s="6">
        <v>3</v>
      </c>
      <c r="E399" s="7" t="str">
        <f>主角属性配置!AE97</f>
        <v>[{"2":48},{"4":39},{"5":39},{"12":11858},{"7":8},{"6":0},{"8":10},{"9":0}]</v>
      </c>
    </row>
    <row r="400" spans="1:5">
      <c r="A400" s="6">
        <f t="shared" si="18"/>
        <v>3097</v>
      </c>
      <c r="B400" s="6">
        <f t="shared" si="19"/>
        <v>97</v>
      </c>
      <c r="C400" s="6">
        <f t="shared" si="16"/>
        <v>1117215000</v>
      </c>
      <c r="D400" s="6">
        <v>3</v>
      </c>
      <c r="E400" s="7" t="str">
        <f>主角属性配置!AE98</f>
        <v>[{"2":48},{"4":39},{"5":39},{"12":11979},{"7":8},{"6":0},{"8":10},{"9":0}]</v>
      </c>
    </row>
    <row r="401" spans="1:5">
      <c r="A401" s="6">
        <f t="shared" si="18"/>
        <v>3098</v>
      </c>
      <c r="B401" s="6">
        <f t="shared" si="19"/>
        <v>98</v>
      </c>
      <c r="C401" s="6">
        <f t="shared" si="16"/>
        <v>1344024500</v>
      </c>
      <c r="D401" s="6">
        <v>3</v>
      </c>
      <c r="E401" s="7" t="str">
        <f>主角属性配置!AE99</f>
        <v>[{"2":48},{"4":39},{"5":39},{"12":12101},{"7":8},{"6":0},{"8":10},{"9":0}]</v>
      </c>
    </row>
    <row r="402" spans="1:5">
      <c r="A402" s="6">
        <f t="shared" si="18"/>
        <v>3099</v>
      </c>
      <c r="B402" s="6">
        <f t="shared" si="19"/>
        <v>99</v>
      </c>
      <c r="C402" s="6">
        <f t="shared" si="16"/>
        <v>1600834000</v>
      </c>
      <c r="D402" s="6">
        <v>3</v>
      </c>
      <c r="E402" s="7" t="str">
        <f>主角属性配置!AE100</f>
        <v>[{"2":48},{"4":39},{"5":39},{"12":12222},{"7":8},{"6":0},{"8":10},{"9":0}]</v>
      </c>
    </row>
    <row r="403" spans="1:5">
      <c r="A403" s="6">
        <f t="shared" si="18"/>
        <v>3100</v>
      </c>
      <c r="B403" s="6">
        <f t="shared" si="19"/>
        <v>100</v>
      </c>
      <c r="C403" s="6">
        <f t="shared" si="16"/>
        <v>1887643500</v>
      </c>
      <c r="D403" s="6">
        <v>3</v>
      </c>
      <c r="E403" s="7" t="str">
        <f>主角属性配置!AE101</f>
        <v>[{"2":50},{"4":40},{"5":40},{"12":12344},{"7":8},{"6":0},{"8":10},{"9":0}]</v>
      </c>
    </row>
    <row r="404" spans="1:5">
      <c r="A404" s="6">
        <f t="shared" si="18"/>
        <v>3101</v>
      </c>
      <c r="B404" s="6">
        <f t="shared" si="19"/>
        <v>101</v>
      </c>
      <c r="C404" s="6">
        <f t="shared" si="16"/>
        <v>2214453000</v>
      </c>
      <c r="D404" s="6">
        <v>3</v>
      </c>
      <c r="E404" s="7" t="str">
        <f>主角属性配置!AE102</f>
        <v>[{"2":50},{"4":40},{"5":40},{"12":12466},{"7":8},{"6":0},{"8":10},{"9":0}]</v>
      </c>
    </row>
    <row r="405" spans="1:5">
      <c r="A405" s="6">
        <f t="shared" si="18"/>
        <v>3102</v>
      </c>
      <c r="B405" s="6">
        <f t="shared" si="19"/>
        <v>102</v>
      </c>
      <c r="C405" s="6">
        <f t="shared" si="16"/>
        <v>2581262500</v>
      </c>
      <c r="D405" s="6">
        <v>3</v>
      </c>
      <c r="E405" s="7" t="str">
        <f>主角属性配置!AE103</f>
        <v>[{"2":50},{"4":40},{"5":40},{"12":12587},{"7":8},{"6":0},{"8":10},{"9":0}]</v>
      </c>
    </row>
    <row r="406" spans="1:5">
      <c r="A406" s="6">
        <f t="shared" si="18"/>
        <v>3103</v>
      </c>
      <c r="B406" s="6">
        <f t="shared" si="19"/>
        <v>103</v>
      </c>
      <c r="C406" s="6">
        <f t="shared" si="16"/>
        <v>2988072000</v>
      </c>
      <c r="D406" s="6">
        <v>3</v>
      </c>
      <c r="E406" s="7" t="str">
        <f>主角属性配置!AE104</f>
        <v>[{"2":50},{"4":40},{"5":40},{"12":12707},{"7":8},{"6":0},{"8":10},{"9":0}]</v>
      </c>
    </row>
    <row r="407" spans="1:5">
      <c r="A407" s="6">
        <f t="shared" si="18"/>
        <v>3104</v>
      </c>
      <c r="B407" s="6">
        <f t="shared" si="19"/>
        <v>104</v>
      </c>
      <c r="C407" s="6">
        <f t="shared" si="16"/>
        <v>3434881500</v>
      </c>
      <c r="D407" s="6">
        <v>3</v>
      </c>
      <c r="E407" s="7" t="str">
        <f>主角属性配置!AE105</f>
        <v>[{"2":50},{"4":40},{"5":40},{"12":12829},{"7":8},{"6":0},{"8":10},{"9":0}]</v>
      </c>
    </row>
    <row r="408" spans="1:5">
      <c r="A408" s="6">
        <f t="shared" si="18"/>
        <v>3105</v>
      </c>
      <c r="B408" s="6">
        <f t="shared" si="19"/>
        <v>105</v>
      </c>
      <c r="C408" s="6">
        <f t="shared" si="16"/>
        <v>3921691000</v>
      </c>
      <c r="D408" s="6">
        <v>3</v>
      </c>
      <c r="E408" s="7" t="str">
        <f>主角属性配置!AE106</f>
        <v>[{"2":50},{"4":40},{"5":40},{"12":12950},{"7":8},{"6":0},{"8":10},{"9":0}]</v>
      </c>
    </row>
    <row r="409" spans="1:5">
      <c r="A409" s="6">
        <f t="shared" si="18"/>
        <v>3106</v>
      </c>
      <c r="B409" s="6">
        <f t="shared" si="19"/>
        <v>106</v>
      </c>
      <c r="C409" s="6">
        <f t="shared" si="16"/>
        <v>4458500500</v>
      </c>
      <c r="D409" s="6">
        <v>3</v>
      </c>
      <c r="E409" s="7" t="str">
        <f>主角属性配置!AE107</f>
        <v>[{"2":50},{"4":40},{"5":40},{"12":13072},{"7":8},{"6":0},{"8":10},{"9":0}]</v>
      </c>
    </row>
    <row r="410" spans="1:5">
      <c r="A410" s="6">
        <f t="shared" si="18"/>
        <v>3107</v>
      </c>
      <c r="B410" s="6">
        <f t="shared" si="19"/>
        <v>107</v>
      </c>
      <c r="C410" s="6">
        <f t="shared" si="16"/>
        <v>5045310000</v>
      </c>
      <c r="D410" s="6">
        <v>3</v>
      </c>
      <c r="E410" s="7" t="str">
        <f>主角属性配置!AE108</f>
        <v>[{"2":50},{"4":40},{"5":40},{"12":13194},{"7":8},{"6":0},{"8":10},{"9":0}]</v>
      </c>
    </row>
    <row r="411" spans="1:5">
      <c r="A411" s="6">
        <f t="shared" si="18"/>
        <v>3108</v>
      </c>
      <c r="B411" s="6">
        <f t="shared" si="19"/>
        <v>108</v>
      </c>
      <c r="C411" s="6">
        <f t="shared" ref="C411:C474" si="20">C261</f>
        <v>5682119500</v>
      </c>
      <c r="D411" s="6">
        <v>3</v>
      </c>
      <c r="E411" s="7" t="str">
        <f>主角属性配置!AE109</f>
        <v>[{"2":50},{"4":40},{"5":40},{"12":13315},{"7":8},{"6":0},{"8":10},{"9":0}]</v>
      </c>
    </row>
    <row r="412" spans="1:5">
      <c r="A412" s="6">
        <f t="shared" si="18"/>
        <v>3109</v>
      </c>
      <c r="B412" s="6">
        <f t="shared" si="19"/>
        <v>109</v>
      </c>
      <c r="C412" s="6">
        <f t="shared" si="20"/>
        <v>6368929000</v>
      </c>
      <c r="D412" s="6">
        <v>3</v>
      </c>
      <c r="E412" s="7" t="str">
        <f>主角属性配置!AE110</f>
        <v>[{"2":50},{"4":40},{"5":40},{"12":13437},{"7":8},{"6":0},{"8":10},{"9":0}]</v>
      </c>
    </row>
    <row r="413" spans="1:5">
      <c r="A413" s="6">
        <f t="shared" si="18"/>
        <v>3110</v>
      </c>
      <c r="B413" s="6">
        <f t="shared" si="19"/>
        <v>110</v>
      </c>
      <c r="C413" s="6">
        <f t="shared" si="20"/>
        <v>7105738500</v>
      </c>
      <c r="D413" s="6">
        <v>3</v>
      </c>
      <c r="E413" s="7" t="str">
        <f>主角属性配置!AE111</f>
        <v>[{"2":51},{"4":41},{"5":41},{"12":13558},{"7":8},{"6":0},{"8":10},{"9":0}]</v>
      </c>
    </row>
    <row r="414" spans="1:5">
      <c r="A414" s="6">
        <f t="shared" si="18"/>
        <v>3111</v>
      </c>
      <c r="B414" s="6">
        <f t="shared" si="19"/>
        <v>111</v>
      </c>
      <c r="C414" s="6">
        <f t="shared" si="20"/>
        <v>7902548000</v>
      </c>
      <c r="D414" s="6">
        <v>3</v>
      </c>
      <c r="E414" s="7" t="str">
        <f>主角属性配置!AE112</f>
        <v>[{"2":51},{"4":41},{"5":41},{"12":13680},{"7":8},{"6":0},{"8":10},{"9":0}]</v>
      </c>
    </row>
    <row r="415" spans="1:5">
      <c r="A415" s="6">
        <f t="shared" si="18"/>
        <v>3112</v>
      </c>
      <c r="B415" s="6">
        <f t="shared" si="19"/>
        <v>112</v>
      </c>
      <c r="C415" s="6">
        <f t="shared" si="20"/>
        <v>8759357500</v>
      </c>
      <c r="D415" s="6">
        <v>3</v>
      </c>
      <c r="E415" s="7" t="str">
        <f>主角属性配置!AE113</f>
        <v>[{"2":51},{"4":41},{"5":41},{"12":13802},{"7":8},{"6":0},{"8":10},{"9":0}]</v>
      </c>
    </row>
    <row r="416" spans="1:5">
      <c r="A416" s="6">
        <f t="shared" si="18"/>
        <v>3113</v>
      </c>
      <c r="B416" s="6">
        <f t="shared" si="19"/>
        <v>113</v>
      </c>
      <c r="C416" s="6">
        <f t="shared" si="20"/>
        <v>9676167000</v>
      </c>
      <c r="D416" s="6">
        <v>3</v>
      </c>
      <c r="E416" s="7" t="str">
        <f>主角属性配置!AE114</f>
        <v>[{"2":51},{"4":41},{"5":41},{"12":13922},{"7":8},{"6":0},{"8":10},{"9":0}]</v>
      </c>
    </row>
    <row r="417" spans="1:5">
      <c r="A417" s="6">
        <f t="shared" si="18"/>
        <v>3114</v>
      </c>
      <c r="B417" s="6">
        <f t="shared" si="19"/>
        <v>114</v>
      </c>
      <c r="C417" s="6">
        <f t="shared" si="20"/>
        <v>10652976500</v>
      </c>
      <c r="D417" s="6">
        <v>3</v>
      </c>
      <c r="E417" s="7" t="str">
        <f>主角属性配置!AE115</f>
        <v>[{"2":51},{"4":41},{"5":41},{"12":14043},{"7":8},{"6":0},{"8":10},{"9":0}]</v>
      </c>
    </row>
    <row r="418" spans="1:5">
      <c r="A418" s="6">
        <f t="shared" si="18"/>
        <v>3115</v>
      </c>
      <c r="B418" s="6">
        <f t="shared" si="19"/>
        <v>115</v>
      </c>
      <c r="C418" s="6">
        <f t="shared" si="20"/>
        <v>11689786000</v>
      </c>
      <c r="D418" s="6">
        <v>3</v>
      </c>
      <c r="E418" s="7" t="str">
        <f>主角属性配置!AE116</f>
        <v>[{"2":51},{"4":42},{"5":42},{"12":14165},{"7":8},{"6":0},{"8":10},{"9":0}]</v>
      </c>
    </row>
    <row r="419" spans="1:5">
      <c r="A419" s="6">
        <f t="shared" si="18"/>
        <v>3116</v>
      </c>
      <c r="B419" s="6">
        <f t="shared" si="19"/>
        <v>116</v>
      </c>
      <c r="C419" s="6">
        <f t="shared" si="20"/>
        <v>12796595500</v>
      </c>
      <c r="D419" s="6">
        <v>3</v>
      </c>
      <c r="E419" s="7" t="str">
        <f>主角属性配置!AE117</f>
        <v>[{"2":51},{"4":42},{"5":42},{"12":14286},{"7":8},{"6":0},{"8":10},{"9":0}]</v>
      </c>
    </row>
    <row r="420" spans="1:5">
      <c r="A420" s="6">
        <f t="shared" si="18"/>
        <v>3117</v>
      </c>
      <c r="B420" s="6">
        <f t="shared" si="19"/>
        <v>117</v>
      </c>
      <c r="C420" s="6">
        <f t="shared" si="20"/>
        <v>13973405000</v>
      </c>
      <c r="D420" s="6">
        <v>3</v>
      </c>
      <c r="E420" s="7" t="str">
        <f>主角属性配置!AE118</f>
        <v>[{"2":51},{"4":42},{"5":42},{"12":14408},{"7":8},{"6":0},{"8":10},{"9":0}]</v>
      </c>
    </row>
    <row r="421" spans="1:5">
      <c r="A421" s="6">
        <f t="shared" si="18"/>
        <v>3118</v>
      </c>
      <c r="B421" s="6">
        <f t="shared" si="19"/>
        <v>118</v>
      </c>
      <c r="C421" s="6">
        <f t="shared" si="20"/>
        <v>15220214500</v>
      </c>
      <c r="D421" s="6">
        <v>3</v>
      </c>
      <c r="E421" s="7" t="str">
        <f>主角属性配置!AE119</f>
        <v>[{"2":51},{"4":42},{"5":42},{"12":14530},{"7":8},{"6":0},{"8":10},{"9":0}]</v>
      </c>
    </row>
    <row r="422" spans="1:5">
      <c r="A422" s="6">
        <f t="shared" si="18"/>
        <v>3119</v>
      </c>
      <c r="B422" s="6">
        <f t="shared" ref="B422:B452" si="21">B272</f>
        <v>119</v>
      </c>
      <c r="C422" s="6">
        <f t="shared" si="20"/>
        <v>16537024000</v>
      </c>
      <c r="D422" s="6">
        <v>3</v>
      </c>
      <c r="E422" s="7" t="str">
        <f>主角属性配置!AE120</f>
        <v>[{"2":51},{"4":42},{"5":42},{"12":14651},{"7":8},{"6":0},{"8":10},{"9":0}]</v>
      </c>
    </row>
    <row r="423" spans="1:5">
      <c r="A423" s="6">
        <f t="shared" si="18"/>
        <v>3120</v>
      </c>
      <c r="B423" s="6">
        <f t="shared" si="21"/>
        <v>120</v>
      </c>
      <c r="C423" s="6">
        <f t="shared" si="20"/>
        <v>17923833500</v>
      </c>
      <c r="D423" s="6">
        <v>3</v>
      </c>
      <c r="E423" s="7" t="str">
        <f>主角属性配置!AE121</f>
        <v>[{"2":53},{"4":42},{"5":42},{"12":14773},{"7":8},{"6":0},{"8":10},{"9":0}]</v>
      </c>
    </row>
    <row r="424" spans="1:5">
      <c r="A424" s="6">
        <f t="shared" si="18"/>
        <v>3121</v>
      </c>
      <c r="B424" s="6">
        <f t="shared" si="21"/>
        <v>121</v>
      </c>
      <c r="C424" s="6">
        <f t="shared" si="20"/>
        <v>19390643000</v>
      </c>
      <c r="D424" s="6">
        <v>3</v>
      </c>
      <c r="E424" s="7" t="str">
        <f>主角属性配置!AE122</f>
        <v>[{"2":53},{"4":42},{"5":42},{"12":14894},{"7":8},{"6":0},{"8":10},{"9":0}]</v>
      </c>
    </row>
    <row r="425" spans="1:5">
      <c r="A425" s="6">
        <f t="shared" si="18"/>
        <v>3122</v>
      </c>
      <c r="B425" s="6">
        <f t="shared" si="21"/>
        <v>122</v>
      </c>
      <c r="C425" s="6">
        <f t="shared" si="20"/>
        <v>20937452500</v>
      </c>
      <c r="D425" s="6">
        <v>3</v>
      </c>
      <c r="E425" s="7" t="str">
        <f>主角属性配置!AE123</f>
        <v>[{"2":53},{"4":42},{"5":42},{"12":15014},{"7":8},{"6":0},{"8":10},{"9":0}]</v>
      </c>
    </row>
    <row r="426" spans="1:5">
      <c r="A426" s="6">
        <f t="shared" si="18"/>
        <v>3123</v>
      </c>
      <c r="B426" s="6">
        <f t="shared" si="21"/>
        <v>123</v>
      </c>
      <c r="C426" s="6">
        <f t="shared" si="20"/>
        <v>22564262000</v>
      </c>
      <c r="D426" s="6">
        <v>3</v>
      </c>
      <c r="E426" s="7" t="str">
        <f>主角属性配置!AE124</f>
        <v>[{"2":53},{"4":42},{"5":42},{"12":15136},{"7":8},{"6":0},{"8":10},{"9":0}]</v>
      </c>
    </row>
    <row r="427" spans="1:5">
      <c r="A427" s="6">
        <f t="shared" si="18"/>
        <v>3124</v>
      </c>
      <c r="B427" s="6">
        <f t="shared" si="21"/>
        <v>124</v>
      </c>
      <c r="C427" s="6">
        <f t="shared" si="20"/>
        <v>24271071500</v>
      </c>
      <c r="D427" s="6">
        <v>3</v>
      </c>
      <c r="E427" s="7" t="str">
        <f>主角属性配置!AE125</f>
        <v>[{"2":53},{"4":42},{"5":42},{"12":15258},{"7":8},{"6":0},{"8":10},{"9":0}]</v>
      </c>
    </row>
    <row r="428" spans="1:5">
      <c r="A428" s="6">
        <f t="shared" si="18"/>
        <v>3125</v>
      </c>
      <c r="B428" s="6">
        <f t="shared" si="21"/>
        <v>125</v>
      </c>
      <c r="C428" s="6">
        <f t="shared" si="20"/>
        <v>26057881000</v>
      </c>
      <c r="D428" s="6">
        <v>3</v>
      </c>
      <c r="E428" s="7" t="str">
        <f>主角属性配置!AE126</f>
        <v>[{"2":54},{"4":43},{"5":43},{"12":15379},{"7":8},{"6":0},{"8":10},{"9":0}]</v>
      </c>
    </row>
    <row r="429" spans="1:5">
      <c r="A429" s="6">
        <f t="shared" si="18"/>
        <v>3126</v>
      </c>
      <c r="B429" s="6">
        <f t="shared" si="21"/>
        <v>126</v>
      </c>
      <c r="C429" s="6">
        <f t="shared" si="20"/>
        <v>27934690500</v>
      </c>
      <c r="D429" s="6">
        <v>3</v>
      </c>
      <c r="E429" s="7" t="str">
        <f>主角属性配置!AE127</f>
        <v>[{"2":54},{"4":43},{"5":43},{"12":15501},{"7":8},{"6":0},{"8":10},{"9":0}]</v>
      </c>
    </row>
    <row r="430" spans="1:5">
      <c r="A430" s="6">
        <f t="shared" si="18"/>
        <v>3127</v>
      </c>
      <c r="B430" s="6">
        <f t="shared" si="21"/>
        <v>127</v>
      </c>
      <c r="C430" s="6">
        <f t="shared" si="20"/>
        <v>29901500000</v>
      </c>
      <c r="D430" s="6">
        <v>3</v>
      </c>
      <c r="E430" s="7" t="str">
        <f>主角属性配置!AE128</f>
        <v>[{"2":54},{"4":43},{"5":43},{"12":15622},{"7":8},{"6":0},{"8":10},{"9":0}]</v>
      </c>
    </row>
    <row r="431" spans="1:5">
      <c r="A431" s="6">
        <f t="shared" si="18"/>
        <v>3128</v>
      </c>
      <c r="B431" s="6">
        <f t="shared" si="21"/>
        <v>128</v>
      </c>
      <c r="C431" s="6">
        <f t="shared" si="20"/>
        <v>31958309500</v>
      </c>
      <c r="D431" s="6">
        <v>3</v>
      </c>
      <c r="E431" s="7" t="str">
        <f>主角属性配置!AE129</f>
        <v>[{"2":54},{"4":43},{"5":43},{"12":15744},{"7":8},{"6":0},{"8":10},{"9":0}]</v>
      </c>
    </row>
    <row r="432" spans="1:5">
      <c r="A432" s="6">
        <f t="shared" si="18"/>
        <v>3129</v>
      </c>
      <c r="B432" s="6">
        <f t="shared" si="21"/>
        <v>129</v>
      </c>
      <c r="C432" s="6">
        <f t="shared" si="20"/>
        <v>34105119000</v>
      </c>
      <c r="D432" s="6">
        <v>3</v>
      </c>
      <c r="E432" s="7" t="str">
        <f>主角属性配置!AE130</f>
        <v>[{"2":54},{"4":43},{"5":43},{"12":15866},{"7":8},{"6":0},{"8":10},{"9":0}]</v>
      </c>
    </row>
    <row r="433" spans="1:5">
      <c r="A433" s="6">
        <f t="shared" si="18"/>
        <v>3130</v>
      </c>
      <c r="B433" s="6">
        <f t="shared" si="21"/>
        <v>130</v>
      </c>
      <c r="C433" s="6">
        <f t="shared" si="20"/>
        <v>36341928500</v>
      </c>
      <c r="D433" s="6">
        <v>3</v>
      </c>
      <c r="E433" s="7" t="str">
        <f>主角属性配置!AE131</f>
        <v>[{"2":54},{"4":44},{"5":44},{"12":20921},{"7":8},{"6":0},{"8":10},{"9":0}]</v>
      </c>
    </row>
    <row r="434" spans="1:5">
      <c r="A434" s="6">
        <f t="shared" si="18"/>
        <v>3131</v>
      </c>
      <c r="B434" s="6">
        <f t="shared" si="21"/>
        <v>131</v>
      </c>
      <c r="C434" s="6">
        <f t="shared" si="20"/>
        <v>38678738000</v>
      </c>
      <c r="D434" s="6">
        <v>3</v>
      </c>
      <c r="E434" s="7" t="str">
        <f>主角属性配置!AE132</f>
        <v>[{"2":54},{"4":44},{"5":44},{"12":21080},{"7":8},{"6":0},{"8":10},{"9":0}]</v>
      </c>
    </row>
    <row r="435" spans="1:5">
      <c r="A435" s="6">
        <f t="shared" si="18"/>
        <v>3132</v>
      </c>
      <c r="B435" s="6">
        <f t="shared" si="21"/>
        <v>132</v>
      </c>
      <c r="C435" s="6">
        <f t="shared" si="20"/>
        <v>41115547500</v>
      </c>
      <c r="D435" s="6">
        <v>3</v>
      </c>
      <c r="E435" s="7" t="str">
        <f>主角属性配置!AE133</f>
        <v>[{"2":54},{"4":44},{"5":44},{"12":21238},{"7":8},{"6":0},{"8":10},{"9":0}]</v>
      </c>
    </row>
    <row r="436" spans="1:5">
      <c r="A436" s="6">
        <f t="shared" si="18"/>
        <v>3133</v>
      </c>
      <c r="B436" s="6">
        <f t="shared" si="21"/>
        <v>133</v>
      </c>
      <c r="C436" s="6">
        <f t="shared" si="20"/>
        <v>43652357000</v>
      </c>
      <c r="D436" s="6">
        <v>3</v>
      </c>
      <c r="E436" s="7" t="str">
        <f>主角属性配置!AE134</f>
        <v>[{"2":54},{"4":44},{"5":44},{"12":21397},{"7":8},{"6":0},{"8":10},{"9":0}]</v>
      </c>
    </row>
    <row r="437" spans="1:5">
      <c r="A437" s="6">
        <f t="shared" si="18"/>
        <v>3134</v>
      </c>
      <c r="B437" s="6">
        <f t="shared" si="21"/>
        <v>134</v>
      </c>
      <c r="C437" s="6">
        <f t="shared" si="20"/>
        <v>46289166500</v>
      </c>
      <c r="D437" s="6">
        <v>3</v>
      </c>
      <c r="E437" s="7" t="str">
        <f>主角属性配置!AE135</f>
        <v>[{"2":54},{"4":44},{"5":44},{"12":21557},{"7":8},{"6":0},{"8":10},{"9":0}]</v>
      </c>
    </row>
    <row r="438" spans="1:5">
      <c r="A438" s="6">
        <f t="shared" si="18"/>
        <v>3135</v>
      </c>
      <c r="B438" s="6">
        <f t="shared" si="21"/>
        <v>135</v>
      </c>
      <c r="C438" s="6">
        <f t="shared" si="20"/>
        <v>49025976000</v>
      </c>
      <c r="D438" s="6">
        <v>3</v>
      </c>
      <c r="E438" s="7" t="str">
        <f>主角属性配置!AE136</f>
        <v>[{"2":55},{"4":44},{"5":44},{"12":21717},{"7":8},{"6":0},{"8":10},{"9":0}]</v>
      </c>
    </row>
    <row r="439" spans="1:5">
      <c r="A439" s="6">
        <f t="shared" si="18"/>
        <v>3136</v>
      </c>
      <c r="B439" s="6">
        <f t="shared" si="21"/>
        <v>136</v>
      </c>
      <c r="C439" s="6">
        <f t="shared" si="20"/>
        <v>51872785500</v>
      </c>
      <c r="D439" s="6">
        <v>3</v>
      </c>
      <c r="E439" s="7" t="str">
        <f>主角属性配置!AE137</f>
        <v>[{"2":55},{"4":44},{"5":44},{"12":21876},{"7":8},{"6":0},{"8":10},{"9":0}]</v>
      </c>
    </row>
    <row r="440" spans="1:5">
      <c r="A440" s="6">
        <f t="shared" si="18"/>
        <v>3137</v>
      </c>
      <c r="B440" s="6">
        <f t="shared" si="21"/>
        <v>137</v>
      </c>
      <c r="C440" s="6">
        <f t="shared" si="20"/>
        <v>54829595000</v>
      </c>
      <c r="D440" s="6">
        <v>3</v>
      </c>
      <c r="E440" s="7" t="str">
        <f>主角属性配置!AE138</f>
        <v>[{"2":55},{"4":44},{"5":44},{"12":22036},{"7":8},{"6":0},{"8":10},{"9":0}]</v>
      </c>
    </row>
    <row r="441" spans="1:5">
      <c r="A441" s="6">
        <f t="shared" si="18"/>
        <v>3138</v>
      </c>
      <c r="B441" s="6">
        <f t="shared" si="21"/>
        <v>138</v>
      </c>
      <c r="C441" s="6">
        <f t="shared" si="20"/>
        <v>57896404500</v>
      </c>
      <c r="D441" s="6">
        <v>3</v>
      </c>
      <c r="E441" s="7" t="str">
        <f>主角属性配置!AE139</f>
        <v>[{"2":55},{"4":44},{"5":44},{"12":22195},{"7":8},{"6":0},{"8":10},{"9":0}]</v>
      </c>
    </row>
    <row r="442" spans="1:5">
      <c r="A442" s="6">
        <f t="shared" si="18"/>
        <v>3139</v>
      </c>
      <c r="B442" s="6">
        <f t="shared" si="21"/>
        <v>139</v>
      </c>
      <c r="C442" s="6">
        <f t="shared" si="20"/>
        <v>61073214000</v>
      </c>
      <c r="D442" s="6">
        <v>3</v>
      </c>
      <c r="E442" s="7" t="str">
        <f>主角属性配置!AE140</f>
        <v>[{"2":55},{"4":44},{"5":44},{"12":22355},{"7":8},{"6":0},{"8":10},{"9":0}]</v>
      </c>
    </row>
    <row r="443" spans="1:5">
      <c r="A443" s="6">
        <f t="shared" si="18"/>
        <v>3140</v>
      </c>
      <c r="B443" s="6">
        <f t="shared" si="21"/>
        <v>140</v>
      </c>
      <c r="C443" s="6">
        <f t="shared" si="20"/>
        <v>64360023500</v>
      </c>
      <c r="D443" s="6">
        <v>3</v>
      </c>
      <c r="E443" s="7" t="str">
        <f>主角属性配置!AE141</f>
        <v>[{"2":56},{"4":45},{"5":45},{"12":22515},{"7":8},{"6":0},{"8":10},{"9":0}]</v>
      </c>
    </row>
    <row r="444" spans="1:5">
      <c r="A444" s="6">
        <f t="shared" si="18"/>
        <v>3141</v>
      </c>
      <c r="B444" s="6">
        <f t="shared" si="21"/>
        <v>141</v>
      </c>
      <c r="C444" s="6">
        <f t="shared" si="20"/>
        <v>67766833000</v>
      </c>
      <c r="D444" s="6">
        <v>3</v>
      </c>
      <c r="E444" s="7" t="str">
        <f>主角属性配置!AE142</f>
        <v>[{"2":56},{"4":45},{"5":45},{"12":22674},{"7":8},{"6":0},{"8":10},{"9":0}]</v>
      </c>
    </row>
    <row r="445" spans="1:5">
      <c r="A445" s="6">
        <f t="shared" si="18"/>
        <v>3142</v>
      </c>
      <c r="B445" s="6">
        <f t="shared" si="21"/>
        <v>142</v>
      </c>
      <c r="C445" s="6">
        <f t="shared" si="20"/>
        <v>71293642500</v>
      </c>
      <c r="D445" s="6">
        <v>3</v>
      </c>
      <c r="E445" s="7" t="str">
        <f>主角属性配置!AE143</f>
        <v>[{"2":56},{"4":45},{"5":45},{"12":22832},{"7":8},{"6":0},{"8":10},{"9":0}]</v>
      </c>
    </row>
    <row r="446" spans="1:5">
      <c r="A446" s="6">
        <f t="shared" si="18"/>
        <v>3143</v>
      </c>
      <c r="B446" s="6">
        <f t="shared" si="21"/>
        <v>143</v>
      </c>
      <c r="C446" s="6">
        <f t="shared" si="20"/>
        <v>74940452000</v>
      </c>
      <c r="D446" s="6">
        <v>3</v>
      </c>
      <c r="E446" s="7" t="str">
        <f>主角属性配置!AE144</f>
        <v>[{"2":56},{"4":45},{"5":45},{"12":22991},{"7":8},{"6":0},{"8":10},{"9":0}]</v>
      </c>
    </row>
    <row r="447" spans="1:5">
      <c r="A447" s="6">
        <f t="shared" si="18"/>
        <v>3144</v>
      </c>
      <c r="B447" s="6">
        <f t="shared" si="21"/>
        <v>144</v>
      </c>
      <c r="C447" s="6">
        <f t="shared" si="20"/>
        <v>78707261500</v>
      </c>
      <c r="D447" s="6">
        <v>3</v>
      </c>
      <c r="E447" s="7" t="str">
        <f>主角属性配置!AE145</f>
        <v>[{"2":56},{"4":45},{"5":45},{"12":23151},{"7":8},{"6":0},{"8":10},{"9":0}]</v>
      </c>
    </row>
    <row r="448" spans="1:5">
      <c r="A448" s="6">
        <f t="shared" si="18"/>
        <v>3145</v>
      </c>
      <c r="B448" s="6">
        <f t="shared" si="21"/>
        <v>145</v>
      </c>
      <c r="C448" s="6">
        <f t="shared" si="20"/>
        <v>82594071000</v>
      </c>
      <c r="D448" s="6">
        <v>3</v>
      </c>
      <c r="E448" s="7" t="str">
        <f>主角属性配置!AE146</f>
        <v>[{"2":57},{"4":46},{"5":46},{"12":23311},{"7":8},{"6":0},{"8":10},{"9":0}]</v>
      </c>
    </row>
    <row r="449" spans="1:5">
      <c r="A449" s="6">
        <f t="shared" si="18"/>
        <v>3146</v>
      </c>
      <c r="B449" s="6">
        <f t="shared" si="21"/>
        <v>146</v>
      </c>
      <c r="C449" s="6">
        <f t="shared" si="20"/>
        <v>86610880500</v>
      </c>
      <c r="D449" s="6">
        <v>3</v>
      </c>
      <c r="E449" s="7" t="str">
        <f>主角属性配置!AE147</f>
        <v>[{"2":57},{"4":46},{"5":46},{"12":23470},{"7":8},{"6":0},{"8":10},{"9":0}]</v>
      </c>
    </row>
    <row r="450" spans="1:5">
      <c r="A450" s="6">
        <f t="shared" si="18"/>
        <v>3147</v>
      </c>
      <c r="B450" s="6">
        <f t="shared" si="21"/>
        <v>147</v>
      </c>
      <c r="C450" s="6">
        <f t="shared" si="20"/>
        <v>90757690000</v>
      </c>
      <c r="D450" s="6">
        <v>3</v>
      </c>
      <c r="E450" s="7" t="str">
        <f>主角属性配置!AE148</f>
        <v>[{"2":57},{"4":46},{"5":46},{"12":23630},{"7":8},{"6":0},{"8":10},{"9":0}]</v>
      </c>
    </row>
    <row r="451" spans="1:5">
      <c r="A451" s="6">
        <f t="shared" si="18"/>
        <v>3148</v>
      </c>
      <c r="B451" s="6">
        <f t="shared" si="21"/>
        <v>148</v>
      </c>
      <c r="C451" s="6">
        <f t="shared" si="20"/>
        <v>95034499500</v>
      </c>
      <c r="D451" s="6">
        <v>3</v>
      </c>
      <c r="E451" s="7" t="str">
        <f>主角属性配置!AE149</f>
        <v>[{"2":57},{"4":46},{"5":46},{"12":23789},{"7":8},{"6":0},{"8":10},{"9":0}]</v>
      </c>
    </row>
    <row r="452" spans="1:5">
      <c r="A452" s="6">
        <f t="shared" si="18"/>
        <v>3149</v>
      </c>
      <c r="B452" s="6">
        <f t="shared" si="21"/>
        <v>149</v>
      </c>
      <c r="C452" s="6">
        <f t="shared" si="20"/>
        <v>99441309000</v>
      </c>
      <c r="D452" s="6">
        <v>3</v>
      </c>
      <c r="E452" s="7" t="str">
        <f>主角属性配置!AE150</f>
        <v>[{"2":57},{"4":46},{"5":46},{"12":23949},{"7":8},{"6":0},{"8":10},{"9":0}]</v>
      </c>
    </row>
    <row r="453" spans="1:5">
      <c r="A453" s="6">
        <f t="shared" ref="A453:A516" si="22">D453*1000+B453</f>
        <v>3150</v>
      </c>
      <c r="B453" s="6">
        <f t="shared" ref="B453:B464" si="23">B303</f>
        <v>150</v>
      </c>
      <c r="C453" s="6">
        <f t="shared" si="20"/>
        <v>103978118500</v>
      </c>
      <c r="D453" s="6">
        <v>3</v>
      </c>
      <c r="E453" s="7" t="str">
        <f>主角属性配置!AE151</f>
        <v>[{"2":58},{"4":47},{"5":47},{"12":24109},{"7":8},{"6":0},{"8":10},{"9":0}]</v>
      </c>
    </row>
    <row r="454" spans="1:5">
      <c r="A454" s="6">
        <f t="shared" si="22"/>
        <v>11001</v>
      </c>
      <c r="B454" s="6">
        <f t="shared" si="23"/>
        <v>1</v>
      </c>
      <c r="C454" s="6">
        <f t="shared" si="20"/>
        <v>1000</v>
      </c>
      <c r="D454" s="6">
        <v>11</v>
      </c>
      <c r="E454" s="7" t="str">
        <f>伙伴属性配置!N2</f>
        <v>[{"1":101},{"4":66},{"5":66},{"12":658},{"7":8},{"6":0},{"8":10},{"9":0}]</v>
      </c>
    </row>
    <row r="455" spans="1:5">
      <c r="A455" s="6">
        <f t="shared" si="22"/>
        <v>11002</v>
      </c>
      <c r="B455" s="6">
        <f t="shared" si="23"/>
        <v>2</v>
      </c>
      <c r="C455" s="6">
        <f t="shared" si="20"/>
        <v>1500</v>
      </c>
      <c r="D455" s="6">
        <v>11</v>
      </c>
      <c r="E455" s="7" t="str">
        <f>伙伴属性配置!N3</f>
        <v>[{"1":102},{"4":67},{"5":67},{"12":684},{"7":8},{"6":0},{"8":10},{"9":0}]</v>
      </c>
    </row>
    <row r="456" spans="1:5">
      <c r="A456" s="6">
        <f t="shared" si="22"/>
        <v>11003</v>
      </c>
      <c r="B456" s="6">
        <f t="shared" si="23"/>
        <v>3</v>
      </c>
      <c r="C456" s="6">
        <f t="shared" si="20"/>
        <v>2500</v>
      </c>
      <c r="D456" s="6">
        <v>11</v>
      </c>
      <c r="E456" s="7" t="str">
        <f>伙伴属性配置!N4</f>
        <v>[{"1":103},{"4":68},{"5":68},{"12":709},{"7":8},{"6":0},{"8":10},{"9":0}]</v>
      </c>
    </row>
    <row r="457" spans="1:5">
      <c r="A457" s="6">
        <f t="shared" si="22"/>
        <v>11004</v>
      </c>
      <c r="B457" s="6">
        <f t="shared" si="23"/>
        <v>4</v>
      </c>
      <c r="C457" s="6">
        <f t="shared" si="20"/>
        <v>4000</v>
      </c>
      <c r="D457" s="6">
        <v>11</v>
      </c>
      <c r="E457" s="7" t="str">
        <f>伙伴属性配置!N5</f>
        <v>[{"1":104},{"4":68},{"5":68},{"12":734},{"7":8},{"6":0},{"8":10},{"9":0}]</v>
      </c>
    </row>
    <row r="458" spans="1:5">
      <c r="A458" s="6">
        <f t="shared" si="22"/>
        <v>11005</v>
      </c>
      <c r="B458" s="6">
        <f t="shared" si="23"/>
        <v>5</v>
      </c>
      <c r="C458" s="6">
        <f t="shared" si="20"/>
        <v>6000</v>
      </c>
      <c r="D458" s="6">
        <v>11</v>
      </c>
      <c r="E458" s="7" t="str">
        <f>伙伴属性配置!N6</f>
        <v>[{"1":105},{"4":69},{"5":69},{"12":759},{"7":8},{"6":0},{"8":10},{"9":0}]</v>
      </c>
    </row>
    <row r="459" spans="1:5">
      <c r="A459" s="6">
        <f t="shared" si="22"/>
        <v>11006</v>
      </c>
      <c r="B459" s="6">
        <f t="shared" si="23"/>
        <v>6</v>
      </c>
      <c r="C459" s="6">
        <f t="shared" si="20"/>
        <v>8500</v>
      </c>
      <c r="D459" s="6">
        <v>11</v>
      </c>
      <c r="E459" s="7" t="str">
        <f>伙伴属性配置!N7</f>
        <v>[{"1":106},{"4":70},{"5":70},{"12":785},{"7":8},{"6":0},{"8":10},{"9":0}]</v>
      </c>
    </row>
    <row r="460" spans="1:5">
      <c r="A460" s="6">
        <f t="shared" si="22"/>
        <v>11007</v>
      </c>
      <c r="B460" s="6">
        <f t="shared" si="23"/>
        <v>7</v>
      </c>
      <c r="C460" s="6">
        <f t="shared" si="20"/>
        <v>11500</v>
      </c>
      <c r="D460" s="6">
        <v>11</v>
      </c>
      <c r="E460" s="7" t="str">
        <f>伙伴属性配置!N8</f>
        <v>[{"1":107},{"4":70},{"5":70},{"12":810},{"7":8},{"6":0},{"8":10},{"9":0}]</v>
      </c>
    </row>
    <row r="461" spans="1:5">
      <c r="A461" s="6">
        <f t="shared" si="22"/>
        <v>11008</v>
      </c>
      <c r="B461" s="6">
        <f t="shared" si="23"/>
        <v>8</v>
      </c>
      <c r="C461" s="6">
        <f t="shared" si="20"/>
        <v>15000</v>
      </c>
      <c r="D461" s="6">
        <v>11</v>
      </c>
      <c r="E461" s="7" t="str">
        <f>伙伴属性配置!N9</f>
        <v>[{"1":108},{"4":71},{"5":71},{"12":835},{"7":8},{"6":0},{"8":10},{"9":0}]</v>
      </c>
    </row>
    <row r="462" spans="1:5">
      <c r="A462" s="6">
        <f t="shared" si="22"/>
        <v>11009</v>
      </c>
      <c r="B462" s="6">
        <f t="shared" si="23"/>
        <v>9</v>
      </c>
      <c r="C462" s="6">
        <f t="shared" si="20"/>
        <v>19000</v>
      </c>
      <c r="D462" s="6">
        <v>11</v>
      </c>
      <c r="E462" s="7" t="str">
        <f>伙伴属性配置!N10</f>
        <v>[{"1":109},{"4":72},{"5":72},{"12":861},{"7":8},{"6":0},{"8":10},{"9":0}]</v>
      </c>
    </row>
    <row r="463" spans="1:5">
      <c r="A463" s="6">
        <f t="shared" si="22"/>
        <v>11010</v>
      </c>
      <c r="B463" s="6">
        <f t="shared" si="23"/>
        <v>10</v>
      </c>
      <c r="C463" s="6">
        <f t="shared" si="20"/>
        <v>23500</v>
      </c>
      <c r="D463" s="6">
        <v>11</v>
      </c>
      <c r="E463" s="7" t="str">
        <f>伙伴属性配置!N11</f>
        <v>[{"1":110},{"4":72},{"5":72},{"12":886},{"7":8},{"6":0},{"8":10},{"9":0}]</v>
      </c>
    </row>
    <row r="464" spans="1:5">
      <c r="A464" s="6">
        <f t="shared" si="22"/>
        <v>11011</v>
      </c>
      <c r="B464" s="6">
        <f t="shared" si="23"/>
        <v>11</v>
      </c>
      <c r="C464" s="6">
        <f t="shared" si="20"/>
        <v>29000</v>
      </c>
      <c r="D464" s="6">
        <v>11</v>
      </c>
      <c r="E464" s="7" t="str">
        <f>伙伴属性配置!N12</f>
        <v>[{"1":111},{"4":73},{"5":73},{"12":911},{"7":8},{"6":0},{"8":10},{"9":0}]</v>
      </c>
    </row>
    <row r="465" spans="1:5">
      <c r="A465" s="6">
        <f t="shared" si="22"/>
        <v>11012</v>
      </c>
      <c r="B465" s="6">
        <f t="shared" ref="B465:B496" si="24">B315</f>
        <v>12</v>
      </c>
      <c r="C465" s="6">
        <f t="shared" si="20"/>
        <v>35500</v>
      </c>
      <c r="D465" s="6">
        <v>11</v>
      </c>
      <c r="E465" s="7" t="str">
        <f>伙伴属性配置!N13</f>
        <v>[{"1":112},{"4":74},{"5":74},{"12":937},{"7":8},{"6":0},{"8":10},{"9":0}]</v>
      </c>
    </row>
    <row r="466" spans="1:5">
      <c r="A466" s="6">
        <f t="shared" si="22"/>
        <v>11013</v>
      </c>
      <c r="B466" s="6">
        <f t="shared" si="24"/>
        <v>13</v>
      </c>
      <c r="C466" s="6">
        <f t="shared" si="20"/>
        <v>43000</v>
      </c>
      <c r="D466" s="6">
        <v>11</v>
      </c>
      <c r="E466" s="7" t="str">
        <f>伙伴属性配置!N14</f>
        <v>[{"1":113},{"4":74},{"5":74},{"12":962},{"7":8},{"6":0},{"8":10},{"9":0}]</v>
      </c>
    </row>
    <row r="467" spans="1:5">
      <c r="A467" s="6">
        <f t="shared" si="22"/>
        <v>11014</v>
      </c>
      <c r="B467" s="6">
        <f t="shared" si="24"/>
        <v>14</v>
      </c>
      <c r="C467" s="6">
        <f t="shared" si="20"/>
        <v>51500</v>
      </c>
      <c r="D467" s="6">
        <v>11</v>
      </c>
      <c r="E467" s="7" t="str">
        <f>伙伴属性配置!N15</f>
        <v>[{"1":114},{"4":75},{"5":75},{"12":987},{"7":8},{"6":0},{"8":10},{"9":0}]</v>
      </c>
    </row>
    <row r="468" spans="1:5">
      <c r="A468" s="6">
        <f t="shared" si="22"/>
        <v>11015</v>
      </c>
      <c r="B468" s="6">
        <f t="shared" si="24"/>
        <v>15</v>
      </c>
      <c r="C468" s="6">
        <f t="shared" si="20"/>
        <v>61000</v>
      </c>
      <c r="D468" s="6">
        <v>11</v>
      </c>
      <c r="E468" s="7" t="str">
        <f>伙伴属性配置!N16</f>
        <v>[{"1":115},{"4":76},{"5":76},{"12":1012},{"7":8},{"6":0},{"8":10},{"9":0}]</v>
      </c>
    </row>
    <row r="469" spans="1:5">
      <c r="A469" s="6">
        <f t="shared" si="22"/>
        <v>11016</v>
      </c>
      <c r="B469" s="6">
        <f t="shared" si="24"/>
        <v>16</v>
      </c>
      <c r="C469" s="6">
        <f t="shared" si="20"/>
        <v>72500</v>
      </c>
      <c r="D469" s="6">
        <v>11</v>
      </c>
      <c r="E469" s="7" t="str">
        <f>伙伴属性配置!N17</f>
        <v>[{"1":116},{"4":76},{"5":76},{"12":1038},{"7":8},{"6":0},{"8":10},{"9":0}]</v>
      </c>
    </row>
    <row r="470" spans="1:5">
      <c r="A470" s="6">
        <f t="shared" si="22"/>
        <v>11017</v>
      </c>
      <c r="B470" s="6">
        <f t="shared" si="24"/>
        <v>17</v>
      </c>
      <c r="C470" s="6">
        <f t="shared" si="20"/>
        <v>86000</v>
      </c>
      <c r="D470" s="6">
        <v>11</v>
      </c>
      <c r="E470" s="7" t="str">
        <f>伙伴属性配置!N18</f>
        <v>[{"1":117},{"4":77},{"5":77},{"12":1063},{"7":8},{"6":0},{"8":10},{"9":0}]</v>
      </c>
    </row>
    <row r="471" spans="1:5">
      <c r="A471" s="6">
        <f t="shared" si="22"/>
        <v>11018</v>
      </c>
      <c r="B471" s="6">
        <f t="shared" si="24"/>
        <v>18</v>
      </c>
      <c r="C471" s="6">
        <f t="shared" si="20"/>
        <v>101500</v>
      </c>
      <c r="D471" s="6">
        <v>11</v>
      </c>
      <c r="E471" s="7" t="str">
        <f>伙伴属性配置!N19</f>
        <v>[{"1":118},{"4":78},{"5":78},{"12":1088},{"7":8},{"6":0},{"8":10},{"9":0}]</v>
      </c>
    </row>
    <row r="472" spans="1:5">
      <c r="A472" s="6">
        <f t="shared" si="22"/>
        <v>11019</v>
      </c>
      <c r="B472" s="6">
        <f t="shared" si="24"/>
        <v>19</v>
      </c>
      <c r="C472" s="6">
        <f t="shared" si="20"/>
        <v>119000</v>
      </c>
      <c r="D472" s="6">
        <v>11</v>
      </c>
      <c r="E472" s="7" t="str">
        <f>伙伴属性配置!N20</f>
        <v>[{"1":119},{"4":78},{"5":78},{"12":1114},{"7":8},{"6":0},{"8":10},{"9":0}]</v>
      </c>
    </row>
    <row r="473" spans="1:5">
      <c r="A473" s="6">
        <f t="shared" si="22"/>
        <v>11020</v>
      </c>
      <c r="B473" s="6">
        <f t="shared" si="24"/>
        <v>20</v>
      </c>
      <c r="C473" s="6">
        <f t="shared" si="20"/>
        <v>138500</v>
      </c>
      <c r="D473" s="6">
        <v>11</v>
      </c>
      <c r="E473" s="7" t="str">
        <f>伙伴属性配置!N21</f>
        <v>[{"1":120},{"4":79},{"5":79},{"12":1265},{"7":8},{"6":0},{"8":10},{"9":0}]</v>
      </c>
    </row>
    <row r="474" spans="1:5">
      <c r="A474" s="6">
        <f t="shared" si="22"/>
        <v>11021</v>
      </c>
      <c r="B474" s="6">
        <f t="shared" si="24"/>
        <v>21</v>
      </c>
      <c r="C474" s="6">
        <f t="shared" si="20"/>
        <v>161000</v>
      </c>
      <c r="D474" s="6">
        <v>11</v>
      </c>
      <c r="E474" s="7" t="str">
        <f>伙伴属性配置!N22</f>
        <v>[{"1":121},{"4":80},{"5":80},{"12":1297},{"7":8},{"6":0},{"8":10},{"9":0}]</v>
      </c>
    </row>
    <row r="475" spans="1:5">
      <c r="A475" s="6">
        <f t="shared" si="22"/>
        <v>11022</v>
      </c>
      <c r="B475" s="6">
        <f t="shared" si="24"/>
        <v>22</v>
      </c>
      <c r="C475" s="6">
        <f t="shared" ref="C475:C538" si="25">C325</f>
        <v>186500</v>
      </c>
      <c r="D475" s="6">
        <v>11</v>
      </c>
      <c r="E475" s="7" t="str">
        <f>伙伴属性配置!N23</f>
        <v>[{"1":122},{"4":80},{"5":80},{"12":1329},{"7":8},{"6":0},{"8":10},{"9":0}]</v>
      </c>
    </row>
    <row r="476" spans="1:5">
      <c r="A476" s="6">
        <f t="shared" si="22"/>
        <v>11023</v>
      </c>
      <c r="B476" s="6">
        <f t="shared" si="24"/>
        <v>23</v>
      </c>
      <c r="C476" s="6">
        <f t="shared" si="25"/>
        <v>215000</v>
      </c>
      <c r="D476" s="6">
        <v>11</v>
      </c>
      <c r="E476" s="7" t="str">
        <f>伙伴属性配置!N24</f>
        <v>[{"1":123},{"4":81},{"5":81},{"12":1360},{"7":8},{"6":0},{"8":10},{"9":0}]</v>
      </c>
    </row>
    <row r="477" spans="1:5">
      <c r="A477" s="6">
        <f t="shared" si="22"/>
        <v>11024</v>
      </c>
      <c r="B477" s="6">
        <f t="shared" si="24"/>
        <v>24</v>
      </c>
      <c r="C477" s="6">
        <f t="shared" si="25"/>
        <v>246500</v>
      </c>
      <c r="D477" s="6">
        <v>11</v>
      </c>
      <c r="E477" s="7" t="str">
        <f>伙伴属性配置!N25</f>
        <v>[{"1":124},{"4":82},{"5":82},{"12":1392},{"7":8},{"6":0},{"8":10},{"9":0}]</v>
      </c>
    </row>
    <row r="478" spans="1:5">
      <c r="A478" s="6">
        <f t="shared" si="22"/>
        <v>11025</v>
      </c>
      <c r="B478" s="6">
        <f t="shared" si="24"/>
        <v>25</v>
      </c>
      <c r="C478" s="6">
        <f t="shared" si="25"/>
        <v>281000</v>
      </c>
      <c r="D478" s="6">
        <v>11</v>
      </c>
      <c r="E478" s="7" t="str">
        <f>伙伴属性配置!N26</f>
        <v>[{"1":125},{"4":82},{"5":82},{"12":1423},{"7":8},{"6":0},{"8":10},{"9":0}]</v>
      </c>
    </row>
    <row r="479" spans="1:5">
      <c r="A479" s="6">
        <f t="shared" si="22"/>
        <v>11026</v>
      </c>
      <c r="B479" s="6">
        <f t="shared" si="24"/>
        <v>26</v>
      </c>
      <c r="C479" s="6">
        <f t="shared" si="25"/>
        <v>320500</v>
      </c>
      <c r="D479" s="6">
        <v>11</v>
      </c>
      <c r="E479" s="7" t="str">
        <f>伙伴属性配置!N27</f>
        <v>[{"1":126},{"4":83},{"5":83},{"12":1455},{"7":8},{"6":0},{"8":10},{"9":0}]</v>
      </c>
    </row>
    <row r="480" spans="1:5">
      <c r="A480" s="6">
        <f t="shared" si="22"/>
        <v>11027</v>
      </c>
      <c r="B480" s="6">
        <f t="shared" si="24"/>
        <v>27</v>
      </c>
      <c r="C480" s="6">
        <f t="shared" si="25"/>
        <v>365000</v>
      </c>
      <c r="D480" s="6">
        <v>11</v>
      </c>
      <c r="E480" s="7" t="str">
        <f>伙伴属性配置!N28</f>
        <v>[{"1":127},{"4":84},{"5":84},{"12":1487},{"7":8},{"6":0},{"8":10},{"9":0}]</v>
      </c>
    </row>
    <row r="481" spans="1:5">
      <c r="A481" s="6">
        <f t="shared" si="22"/>
        <v>11028</v>
      </c>
      <c r="B481" s="6">
        <f t="shared" si="24"/>
        <v>28</v>
      </c>
      <c r="C481" s="6">
        <f t="shared" si="25"/>
        <v>414500</v>
      </c>
      <c r="D481" s="6">
        <v>11</v>
      </c>
      <c r="E481" s="7" t="str">
        <f>伙伴属性配置!N29</f>
        <v>[{"1":128},{"4":84},{"5":84},{"12":1518},{"7":8},{"6":0},{"8":10},{"9":0}]</v>
      </c>
    </row>
    <row r="482" spans="1:5">
      <c r="A482" s="6">
        <f t="shared" si="22"/>
        <v>11029</v>
      </c>
      <c r="B482" s="6">
        <f t="shared" si="24"/>
        <v>29</v>
      </c>
      <c r="C482" s="6">
        <f t="shared" si="25"/>
        <v>469000</v>
      </c>
      <c r="D482" s="6">
        <v>11</v>
      </c>
      <c r="E482" s="7" t="str">
        <f>伙伴属性配置!N30</f>
        <v>[{"1":129},{"4":85},{"5":85},{"12":1550},{"7":8},{"6":0},{"8":10},{"9":0}]</v>
      </c>
    </row>
    <row r="483" spans="1:5">
      <c r="A483" s="6">
        <f t="shared" si="22"/>
        <v>11030</v>
      </c>
      <c r="B483" s="6">
        <f t="shared" si="24"/>
        <v>30</v>
      </c>
      <c r="C483" s="6">
        <f t="shared" si="25"/>
        <v>528500</v>
      </c>
      <c r="D483" s="6">
        <v>11</v>
      </c>
      <c r="E483" s="7" t="str">
        <f>伙伴属性配置!N31</f>
        <v>[{"1":130},{"4":86},{"5":86},{"12":1809},{"7":8},{"6":0},{"8":10},{"9":0}]</v>
      </c>
    </row>
    <row r="484" spans="1:5">
      <c r="A484" s="6">
        <f t="shared" si="22"/>
        <v>11031</v>
      </c>
      <c r="B484" s="6">
        <f t="shared" si="24"/>
        <v>31</v>
      </c>
      <c r="C484" s="6">
        <f t="shared" si="25"/>
        <v>596000</v>
      </c>
      <c r="D484" s="6">
        <v>11</v>
      </c>
      <c r="E484" s="7" t="str">
        <f>伙伴属性配置!N32</f>
        <v>[{"1":131},{"4":86},{"5":86},{"12":1849},{"7":8},{"6":0},{"8":10},{"9":0}]</v>
      </c>
    </row>
    <row r="485" spans="1:5">
      <c r="A485" s="6">
        <f t="shared" si="22"/>
        <v>11032</v>
      </c>
      <c r="B485" s="6">
        <f t="shared" si="24"/>
        <v>32</v>
      </c>
      <c r="C485" s="6">
        <f t="shared" si="25"/>
        <v>671500</v>
      </c>
      <c r="D485" s="6">
        <v>11</v>
      </c>
      <c r="E485" s="7" t="str">
        <f>伙伴属性配置!N33</f>
        <v>[{"1":132},{"4":87},{"5":87},{"12":1888},{"7":8},{"6":0},{"8":10},{"9":0}]</v>
      </c>
    </row>
    <row r="486" spans="1:5">
      <c r="A486" s="6">
        <f t="shared" si="22"/>
        <v>11033</v>
      </c>
      <c r="B486" s="6">
        <f t="shared" si="24"/>
        <v>33</v>
      </c>
      <c r="C486" s="6">
        <f t="shared" si="25"/>
        <v>755000</v>
      </c>
      <c r="D486" s="6">
        <v>11</v>
      </c>
      <c r="E486" s="7" t="str">
        <f>伙伴属性配置!N34</f>
        <v>[{"1":133},{"4":88},{"5":88},{"12":1927},{"7":8},{"6":0},{"8":10},{"9":0}]</v>
      </c>
    </row>
    <row r="487" spans="1:5">
      <c r="A487" s="6">
        <f t="shared" si="22"/>
        <v>11034</v>
      </c>
      <c r="B487" s="6">
        <f t="shared" si="24"/>
        <v>34</v>
      </c>
      <c r="C487" s="6">
        <f t="shared" si="25"/>
        <v>846500</v>
      </c>
      <c r="D487" s="6">
        <v>11</v>
      </c>
      <c r="E487" s="7" t="str">
        <f>伙伴属性配置!N35</f>
        <v>[{"1":134},{"4":88},{"5":88},{"12":1966},{"7":8},{"6":0},{"8":10},{"9":0}]</v>
      </c>
    </row>
    <row r="488" spans="1:5">
      <c r="A488" s="6">
        <f t="shared" si="22"/>
        <v>11035</v>
      </c>
      <c r="B488" s="6">
        <f t="shared" si="24"/>
        <v>35</v>
      </c>
      <c r="C488" s="6">
        <f t="shared" si="25"/>
        <v>946000</v>
      </c>
      <c r="D488" s="6">
        <v>11</v>
      </c>
      <c r="E488" s="7" t="str">
        <f>伙伴属性配置!N36</f>
        <v>[{"1":135},{"4":89},{"5":89},{"12":2005},{"7":8},{"6":0},{"8":10},{"9":0}]</v>
      </c>
    </row>
    <row r="489" spans="1:5">
      <c r="A489" s="6">
        <f t="shared" si="22"/>
        <v>11036</v>
      </c>
      <c r="B489" s="6">
        <f t="shared" si="24"/>
        <v>36</v>
      </c>
      <c r="C489" s="6">
        <f t="shared" si="25"/>
        <v>1057500</v>
      </c>
      <c r="D489" s="6">
        <v>11</v>
      </c>
      <c r="E489" s="7" t="str">
        <f>伙伴属性配置!N37</f>
        <v>[{"1":136},{"4":90},{"5":90},{"12":2044},{"7":8},{"6":0},{"8":10},{"9":0}]</v>
      </c>
    </row>
    <row r="490" spans="1:5">
      <c r="A490" s="6">
        <f t="shared" si="22"/>
        <v>11037</v>
      </c>
      <c r="B490" s="6">
        <f t="shared" si="24"/>
        <v>37</v>
      </c>
      <c r="C490" s="6">
        <f t="shared" si="25"/>
        <v>1181000</v>
      </c>
      <c r="D490" s="6">
        <v>11</v>
      </c>
      <c r="E490" s="7" t="str">
        <f>伙伴属性配置!N38</f>
        <v>[{"1":137},{"4":90},{"5":90},{"12":2084},{"7":8},{"6":0},{"8":10},{"9":0}]</v>
      </c>
    </row>
    <row r="491" spans="1:5">
      <c r="A491" s="6">
        <f t="shared" si="22"/>
        <v>11038</v>
      </c>
      <c r="B491" s="6">
        <f t="shared" si="24"/>
        <v>38</v>
      </c>
      <c r="C491" s="6">
        <f t="shared" si="25"/>
        <v>1316500</v>
      </c>
      <c r="D491" s="6">
        <v>11</v>
      </c>
      <c r="E491" s="7" t="str">
        <f>伙伴属性配置!N39</f>
        <v>[{"1":138},{"4":91},{"5":91},{"12":2123},{"7":8},{"6":0},{"8":10},{"9":0}]</v>
      </c>
    </row>
    <row r="492" spans="1:5">
      <c r="A492" s="6">
        <f t="shared" si="22"/>
        <v>11039</v>
      </c>
      <c r="B492" s="6">
        <f t="shared" si="24"/>
        <v>39</v>
      </c>
      <c r="C492" s="6">
        <f t="shared" si="25"/>
        <v>1464000</v>
      </c>
      <c r="D492" s="6">
        <v>11</v>
      </c>
      <c r="E492" s="7" t="str">
        <f>伙伴属性配置!N40</f>
        <v>[{"1":139},{"4":92},{"5":92},{"12":2162},{"7":8},{"6":0},{"8":10},{"9":0}]</v>
      </c>
    </row>
    <row r="493" spans="1:5">
      <c r="A493" s="6">
        <f t="shared" si="22"/>
        <v>11040</v>
      </c>
      <c r="B493" s="6">
        <f t="shared" si="24"/>
        <v>40</v>
      </c>
      <c r="C493" s="6">
        <f t="shared" si="25"/>
        <v>1623500</v>
      </c>
      <c r="D493" s="6">
        <v>11</v>
      </c>
      <c r="E493" s="7" t="str">
        <f>伙伴属性配置!N41</f>
        <v>[{"1":140},{"4":92},{"5":92},{"12":2201},{"7":8},{"6":0},{"8":10},{"9":0}]</v>
      </c>
    </row>
    <row r="494" spans="1:5">
      <c r="A494" s="6">
        <f t="shared" si="22"/>
        <v>11041</v>
      </c>
      <c r="B494" s="6">
        <f t="shared" si="24"/>
        <v>41</v>
      </c>
      <c r="C494" s="6">
        <f t="shared" si="25"/>
        <v>1813000</v>
      </c>
      <c r="D494" s="6">
        <v>11</v>
      </c>
      <c r="E494" s="7" t="str">
        <f>伙伴属性配置!N42</f>
        <v>[{"1":141},{"4":93},{"5":93},{"12":2241},{"7":8},{"6":0},{"8":10},{"9":0}]</v>
      </c>
    </row>
    <row r="495" spans="1:5">
      <c r="A495" s="6">
        <f t="shared" si="22"/>
        <v>11042</v>
      </c>
      <c r="B495" s="6">
        <f t="shared" si="24"/>
        <v>42</v>
      </c>
      <c r="C495" s="6">
        <f t="shared" si="25"/>
        <v>2032500</v>
      </c>
      <c r="D495" s="6">
        <v>11</v>
      </c>
      <c r="E495" s="7" t="str">
        <f>伙伴属性配置!N43</f>
        <v>[{"1":142},{"4":94},{"5":94},{"12":2280},{"7":8},{"6":0},{"8":10},{"9":0}]</v>
      </c>
    </row>
    <row r="496" spans="1:5">
      <c r="A496" s="6">
        <f t="shared" si="22"/>
        <v>11043</v>
      </c>
      <c r="B496" s="6">
        <f t="shared" si="24"/>
        <v>43</v>
      </c>
      <c r="C496" s="6">
        <f t="shared" si="25"/>
        <v>2282000</v>
      </c>
      <c r="D496" s="6">
        <v>11</v>
      </c>
      <c r="E496" s="7" t="str">
        <f>伙伴属性配置!N44</f>
        <v>[{"1":143},{"4":94},{"5":94},{"12":2319},{"7":8},{"6":0},{"8":10},{"9":0}]</v>
      </c>
    </row>
    <row r="497" spans="1:5">
      <c r="A497" s="6">
        <f t="shared" si="22"/>
        <v>11044</v>
      </c>
      <c r="B497" s="6">
        <f t="shared" ref="B497:B519" si="26">B347</f>
        <v>44</v>
      </c>
      <c r="C497" s="6">
        <f t="shared" si="25"/>
        <v>2561500</v>
      </c>
      <c r="D497" s="6">
        <v>11</v>
      </c>
      <c r="E497" s="7" t="str">
        <f>伙伴属性配置!N45</f>
        <v>[{"1":144},{"4":95},{"5":95},{"12":2358},{"7":8},{"6":0},{"8":10},{"9":0}]</v>
      </c>
    </row>
    <row r="498" spans="1:5">
      <c r="A498" s="6">
        <f t="shared" si="22"/>
        <v>11045</v>
      </c>
      <c r="B498" s="6">
        <f t="shared" si="26"/>
        <v>45</v>
      </c>
      <c r="C498" s="6">
        <f t="shared" si="25"/>
        <v>2871000</v>
      </c>
      <c r="D498" s="6">
        <v>11</v>
      </c>
      <c r="E498" s="7" t="str">
        <f>伙伴属性配置!N46</f>
        <v>[{"1":145},{"4":96},{"5":96},{"12":2397},{"7":8},{"6":0},{"8":10},{"9":0}]</v>
      </c>
    </row>
    <row r="499" spans="1:5">
      <c r="A499" s="6">
        <f t="shared" si="22"/>
        <v>11046</v>
      </c>
      <c r="B499" s="6">
        <f t="shared" si="26"/>
        <v>46</v>
      </c>
      <c r="C499" s="6">
        <f t="shared" si="25"/>
        <v>3230500</v>
      </c>
      <c r="D499" s="6">
        <v>11</v>
      </c>
      <c r="E499" s="7" t="str">
        <f>伙伴属性配置!N47</f>
        <v>[{"1":146},{"4":96},{"5":96},{"12":2437},{"7":8},{"6":0},{"8":10},{"9":0}]</v>
      </c>
    </row>
    <row r="500" spans="1:5">
      <c r="A500" s="6">
        <f t="shared" si="22"/>
        <v>11047</v>
      </c>
      <c r="B500" s="6">
        <f t="shared" si="26"/>
        <v>47</v>
      </c>
      <c r="C500" s="6">
        <f t="shared" si="25"/>
        <v>3640000</v>
      </c>
      <c r="D500" s="6">
        <v>11</v>
      </c>
      <c r="E500" s="7" t="str">
        <f>伙伴属性配置!N48</f>
        <v>[{"1":147},{"4":97},{"5":97},{"12":2476},{"7":8},{"6":0},{"8":10},{"9":0}]</v>
      </c>
    </row>
    <row r="501" spans="1:5">
      <c r="A501" s="6">
        <f t="shared" si="22"/>
        <v>11048</v>
      </c>
      <c r="B501" s="6">
        <f t="shared" si="26"/>
        <v>48</v>
      </c>
      <c r="C501" s="6">
        <f t="shared" si="25"/>
        <v>4099500</v>
      </c>
      <c r="D501" s="6">
        <v>11</v>
      </c>
      <c r="E501" s="7" t="str">
        <f>伙伴属性配置!N49</f>
        <v>[{"1":148},{"4":98},{"5":98},{"12":2515},{"7":8},{"6":0},{"8":10},{"9":0}]</v>
      </c>
    </row>
    <row r="502" spans="1:5">
      <c r="A502" s="6">
        <f t="shared" si="22"/>
        <v>11049</v>
      </c>
      <c r="B502" s="6">
        <f t="shared" si="26"/>
        <v>49</v>
      </c>
      <c r="C502" s="6">
        <f t="shared" si="25"/>
        <v>4609000</v>
      </c>
      <c r="D502" s="6">
        <v>11</v>
      </c>
      <c r="E502" s="7" t="str">
        <f>伙伴属性配置!N50</f>
        <v>[{"1":149},{"4":98},{"5":98},{"12":2554},{"7":8},{"6":0},{"8":10},{"9":0}]</v>
      </c>
    </row>
    <row r="503" spans="1:5">
      <c r="A503" s="6">
        <f t="shared" si="22"/>
        <v>11050</v>
      </c>
      <c r="B503" s="6">
        <f t="shared" si="26"/>
        <v>50</v>
      </c>
      <c r="C503" s="6">
        <f t="shared" si="25"/>
        <v>5168500</v>
      </c>
      <c r="D503" s="6">
        <v>11</v>
      </c>
      <c r="E503" s="7" t="str">
        <f>伙伴属性配置!N51</f>
        <v>[{"1":150},{"4":99},{"5":99},{"12":3100},{"7":8},{"6":0},{"8":10},{"9":0}]</v>
      </c>
    </row>
    <row r="504" spans="1:5">
      <c r="A504" s="6">
        <f t="shared" si="22"/>
        <v>11051</v>
      </c>
      <c r="B504" s="6">
        <f t="shared" si="26"/>
        <v>51</v>
      </c>
      <c r="C504" s="6">
        <f t="shared" si="25"/>
        <v>5808000</v>
      </c>
      <c r="D504" s="6">
        <v>11</v>
      </c>
      <c r="E504" s="7" t="str">
        <f>伙伴属性配置!N52</f>
        <v>[{"1":151},{"4":100},{"5":100},{"12":3149},{"7":8},{"6":0},{"8":10},{"9":0}]</v>
      </c>
    </row>
    <row r="505" spans="1:5">
      <c r="A505" s="6">
        <f t="shared" si="22"/>
        <v>11052</v>
      </c>
      <c r="B505" s="6">
        <f t="shared" si="26"/>
        <v>52</v>
      </c>
      <c r="C505" s="6">
        <f t="shared" si="25"/>
        <v>6527500</v>
      </c>
      <c r="D505" s="6">
        <v>11</v>
      </c>
      <c r="E505" s="7" t="str">
        <f>伙伴属性配置!N53</f>
        <v>[{"1":152},{"4":100},{"5":100},{"12":3198},{"7":8},{"6":0},{"8":10},{"9":0}]</v>
      </c>
    </row>
    <row r="506" spans="1:5">
      <c r="A506" s="6">
        <f t="shared" si="22"/>
        <v>11053</v>
      </c>
      <c r="B506" s="6">
        <f t="shared" si="26"/>
        <v>53</v>
      </c>
      <c r="C506" s="6">
        <f t="shared" si="25"/>
        <v>7327000</v>
      </c>
      <c r="D506" s="6">
        <v>11</v>
      </c>
      <c r="E506" s="7" t="str">
        <f>伙伴属性配置!N54</f>
        <v>[{"1":153},{"4":101},{"5":101},{"12":3248},{"7":8},{"6":0},{"8":10},{"9":0}]</v>
      </c>
    </row>
    <row r="507" spans="1:5">
      <c r="A507" s="6">
        <f t="shared" si="22"/>
        <v>11054</v>
      </c>
      <c r="B507" s="6">
        <f t="shared" si="26"/>
        <v>54</v>
      </c>
      <c r="C507" s="6">
        <f t="shared" si="25"/>
        <v>8206500</v>
      </c>
      <c r="D507" s="6">
        <v>11</v>
      </c>
      <c r="E507" s="7" t="str">
        <f>伙伴属性配置!N55</f>
        <v>[{"1":154},{"4":102},{"5":102},{"12":3297},{"7":8},{"6":0},{"8":10},{"9":0}]</v>
      </c>
    </row>
    <row r="508" spans="1:5">
      <c r="A508" s="6">
        <f t="shared" si="22"/>
        <v>11055</v>
      </c>
      <c r="B508" s="6">
        <f t="shared" si="26"/>
        <v>55</v>
      </c>
      <c r="C508" s="6">
        <f t="shared" si="25"/>
        <v>9166000</v>
      </c>
      <c r="D508" s="6">
        <v>11</v>
      </c>
      <c r="E508" s="7" t="str">
        <f>伙伴属性配置!N56</f>
        <v>[{"1":155},{"4":102},{"5":102},{"12":3346},{"7":8},{"6":0},{"8":10},{"9":0}]</v>
      </c>
    </row>
    <row r="509" spans="1:5">
      <c r="A509" s="6">
        <f t="shared" si="22"/>
        <v>11056</v>
      </c>
      <c r="B509" s="6">
        <f t="shared" si="26"/>
        <v>56</v>
      </c>
      <c r="C509" s="6">
        <f t="shared" si="25"/>
        <v>10225500</v>
      </c>
      <c r="D509" s="6">
        <v>11</v>
      </c>
      <c r="E509" s="7" t="str">
        <f>伙伴属性配置!N57</f>
        <v>[{"1":156},{"4":103},{"5":103},{"12":3395},{"7":8},{"6":0},{"8":10},{"9":0}]</v>
      </c>
    </row>
    <row r="510" spans="1:5">
      <c r="A510" s="6">
        <f t="shared" si="22"/>
        <v>11057</v>
      </c>
      <c r="B510" s="6">
        <f t="shared" si="26"/>
        <v>57</v>
      </c>
      <c r="C510" s="6">
        <f t="shared" si="25"/>
        <v>11385000</v>
      </c>
      <c r="D510" s="6">
        <v>11</v>
      </c>
      <c r="E510" s="7" t="str">
        <f>伙伴属性配置!N58</f>
        <v>[{"1":157},{"4":104},{"5":104},{"12":3445},{"7":8},{"6":0},{"8":10},{"9":0}]</v>
      </c>
    </row>
    <row r="511" spans="1:5">
      <c r="A511" s="6">
        <f t="shared" si="22"/>
        <v>11058</v>
      </c>
      <c r="B511" s="6">
        <f t="shared" si="26"/>
        <v>58</v>
      </c>
      <c r="C511" s="6">
        <f t="shared" si="25"/>
        <v>12644500</v>
      </c>
      <c r="D511" s="6">
        <v>11</v>
      </c>
      <c r="E511" s="7" t="str">
        <f>伙伴属性配置!N59</f>
        <v>[{"1":158},{"4":104},{"5":104},{"12":3494},{"7":8},{"6":0},{"8":10},{"9":0}]</v>
      </c>
    </row>
    <row r="512" spans="1:5">
      <c r="A512" s="6">
        <f t="shared" si="22"/>
        <v>11059</v>
      </c>
      <c r="B512" s="6">
        <f t="shared" si="26"/>
        <v>59</v>
      </c>
      <c r="C512" s="6">
        <f t="shared" si="25"/>
        <v>14004000</v>
      </c>
      <c r="D512" s="6">
        <v>11</v>
      </c>
      <c r="E512" s="7" t="str">
        <f>伙伴属性配置!N60</f>
        <v>[{"1":159},{"4":105},{"5":105},{"12":3544},{"7":8},{"6":0},{"8":10},{"9":0}]</v>
      </c>
    </row>
    <row r="513" spans="1:5">
      <c r="A513" s="6">
        <f t="shared" si="22"/>
        <v>11060</v>
      </c>
      <c r="B513" s="6">
        <f t="shared" si="26"/>
        <v>60</v>
      </c>
      <c r="C513" s="6">
        <f t="shared" si="25"/>
        <v>15463500</v>
      </c>
      <c r="D513" s="6">
        <v>11</v>
      </c>
      <c r="E513" s="7" t="str">
        <f>伙伴属性配置!N61</f>
        <v>[{"1":160},{"4":106},{"5":106},{"12":3593},{"7":8},{"6":0},{"8":10},{"9":0}]</v>
      </c>
    </row>
    <row r="514" spans="1:5">
      <c r="A514" s="6">
        <f t="shared" si="22"/>
        <v>11061</v>
      </c>
      <c r="B514" s="6">
        <f t="shared" si="26"/>
        <v>61</v>
      </c>
      <c r="C514" s="6">
        <f t="shared" si="25"/>
        <v>17063000</v>
      </c>
      <c r="D514" s="6">
        <v>11</v>
      </c>
      <c r="E514" s="7" t="str">
        <f>伙伴属性配置!N62</f>
        <v>[{"1":161},{"4":106},{"5":106},{"12":3642},{"7":8},{"6":0},{"8":10},{"9":0}]</v>
      </c>
    </row>
    <row r="515" spans="1:5">
      <c r="A515" s="6">
        <f t="shared" si="22"/>
        <v>11062</v>
      </c>
      <c r="B515" s="6">
        <f t="shared" si="26"/>
        <v>62</v>
      </c>
      <c r="C515" s="6">
        <f t="shared" si="25"/>
        <v>18802500</v>
      </c>
      <c r="D515" s="6">
        <v>11</v>
      </c>
      <c r="E515" s="7" t="str">
        <f>伙伴属性配置!N63</f>
        <v>[{"1":162},{"4":107},{"5":107},{"12":3692},{"7":8},{"6":0},{"8":10},{"9":0}]</v>
      </c>
    </row>
    <row r="516" spans="1:5">
      <c r="A516" s="6">
        <f t="shared" si="22"/>
        <v>11063</v>
      </c>
      <c r="B516" s="6">
        <f t="shared" si="26"/>
        <v>63</v>
      </c>
      <c r="C516" s="6">
        <f t="shared" si="25"/>
        <v>20682000</v>
      </c>
      <c r="D516" s="6">
        <v>11</v>
      </c>
      <c r="E516" s="7" t="str">
        <f>伙伴属性配置!N64</f>
        <v>[{"1":163},{"4":108},{"5":108},{"12":3741},{"7":8},{"6":0},{"8":10},{"9":0}]</v>
      </c>
    </row>
    <row r="517" spans="1:5">
      <c r="A517" s="6">
        <f t="shared" ref="A517:A580" si="27">D517*1000+B517</f>
        <v>11064</v>
      </c>
      <c r="B517" s="6">
        <f t="shared" si="26"/>
        <v>64</v>
      </c>
      <c r="C517" s="6">
        <f t="shared" si="25"/>
        <v>22701500</v>
      </c>
      <c r="D517" s="6">
        <v>11</v>
      </c>
      <c r="E517" s="7" t="str">
        <f>伙伴属性配置!N65</f>
        <v>[{"1":164},{"4":108},{"5":108},{"12":3790},{"7":8},{"6":0},{"8":10},{"9":0}]</v>
      </c>
    </row>
    <row r="518" spans="1:5">
      <c r="A518" s="6">
        <f t="shared" si="27"/>
        <v>11065</v>
      </c>
      <c r="B518" s="6">
        <f t="shared" si="26"/>
        <v>65</v>
      </c>
      <c r="C518" s="6">
        <f t="shared" si="25"/>
        <v>24861000</v>
      </c>
      <c r="D518" s="6">
        <v>11</v>
      </c>
      <c r="E518" s="7" t="str">
        <f>伙伴属性配置!N66</f>
        <v>[{"1":165},{"4":109},{"5":109},{"12":3839},{"7":8},{"6":0},{"8":10},{"9":0}]</v>
      </c>
    </row>
    <row r="519" spans="1:5">
      <c r="A519" s="6">
        <f t="shared" si="27"/>
        <v>11066</v>
      </c>
      <c r="B519" s="6">
        <f t="shared" si="26"/>
        <v>66</v>
      </c>
      <c r="C519" s="6">
        <f t="shared" si="25"/>
        <v>27200500</v>
      </c>
      <c r="D519" s="6">
        <v>11</v>
      </c>
      <c r="E519" s="7" t="str">
        <f>伙伴属性配置!N67</f>
        <v>[{"1":166},{"4":110},{"5":110},{"12":3889},{"7":8},{"6":0},{"8":10},{"9":0}]</v>
      </c>
    </row>
    <row r="520" spans="1:5">
      <c r="A520" s="6">
        <f t="shared" si="27"/>
        <v>11067</v>
      </c>
      <c r="B520" s="6">
        <f t="shared" ref="B520:B551" si="28">B370</f>
        <v>67</v>
      </c>
      <c r="C520" s="6">
        <f t="shared" si="25"/>
        <v>29720000</v>
      </c>
      <c r="D520" s="6">
        <v>11</v>
      </c>
      <c r="E520" s="7" t="str">
        <f>伙伴属性配置!N68</f>
        <v>[{"1":167},{"4":110},{"5":110},{"12":3938},{"7":8},{"6":0},{"8":10},{"9":0}]</v>
      </c>
    </row>
    <row r="521" spans="1:5">
      <c r="A521" s="6">
        <f t="shared" si="27"/>
        <v>11068</v>
      </c>
      <c r="B521" s="6">
        <f t="shared" si="28"/>
        <v>68</v>
      </c>
      <c r="C521" s="6">
        <f t="shared" si="25"/>
        <v>32419500</v>
      </c>
      <c r="D521" s="6">
        <v>11</v>
      </c>
      <c r="E521" s="7" t="str">
        <f>伙伴属性配置!N69</f>
        <v>[{"1":168},{"4":111},{"5":111},{"12":3987},{"7":8},{"6":0},{"8":10},{"9":0}]</v>
      </c>
    </row>
    <row r="522" spans="1:5">
      <c r="A522" s="6">
        <f t="shared" si="27"/>
        <v>11069</v>
      </c>
      <c r="B522" s="6">
        <f t="shared" si="28"/>
        <v>69</v>
      </c>
      <c r="C522" s="6">
        <f t="shared" si="25"/>
        <v>35299000</v>
      </c>
      <c r="D522" s="6">
        <v>11</v>
      </c>
      <c r="E522" s="7" t="str">
        <f>伙伴属性配置!N70</f>
        <v>[{"1":169},{"4":112},{"5":112},{"12":4037},{"7":8},{"6":0},{"8":10},{"9":0}]</v>
      </c>
    </row>
    <row r="523" spans="1:5">
      <c r="A523" s="6">
        <f t="shared" si="27"/>
        <v>11070</v>
      </c>
      <c r="B523" s="6">
        <f t="shared" si="28"/>
        <v>70</v>
      </c>
      <c r="C523" s="6">
        <f t="shared" si="25"/>
        <v>38358500</v>
      </c>
      <c r="D523" s="6">
        <v>11</v>
      </c>
      <c r="E523" s="7" t="str">
        <f>伙伴属性配置!N71</f>
        <v>[{"1":170},{"4":112},{"5":112},{"12":5060},{"7":8},{"6":0},{"8":10},{"9":0}]</v>
      </c>
    </row>
    <row r="524" spans="1:5">
      <c r="A524" s="6">
        <f t="shared" si="27"/>
        <v>11071</v>
      </c>
      <c r="B524" s="6">
        <f t="shared" si="28"/>
        <v>71</v>
      </c>
      <c r="C524" s="6">
        <f t="shared" si="25"/>
        <v>41668000</v>
      </c>
      <c r="D524" s="6">
        <v>11</v>
      </c>
      <c r="E524" s="7" t="str">
        <f>伙伴属性配置!N72</f>
        <v>[{"1":171},{"4":113},{"5":113},{"12":5124},{"7":8},{"6":0},{"8":10},{"9":0}]</v>
      </c>
    </row>
    <row r="525" spans="1:5">
      <c r="A525" s="6">
        <f t="shared" si="27"/>
        <v>11072</v>
      </c>
      <c r="B525" s="6">
        <f t="shared" si="28"/>
        <v>72</v>
      </c>
      <c r="C525" s="6">
        <f t="shared" si="25"/>
        <v>45227500</v>
      </c>
      <c r="D525" s="6">
        <v>11</v>
      </c>
      <c r="E525" s="7" t="str">
        <f>伙伴属性配置!N73</f>
        <v>[{"1":172},{"4":114},{"5":114},{"12":5187},{"7":8},{"6":0},{"8":10},{"9":0}]</v>
      </c>
    </row>
    <row r="526" spans="1:5">
      <c r="A526" s="6">
        <f t="shared" si="27"/>
        <v>11073</v>
      </c>
      <c r="B526" s="6">
        <f t="shared" si="28"/>
        <v>73</v>
      </c>
      <c r="C526" s="6">
        <f t="shared" si="25"/>
        <v>49037000</v>
      </c>
      <c r="D526" s="6">
        <v>11</v>
      </c>
      <c r="E526" s="7" t="str">
        <f>伙伴属性配置!N74</f>
        <v>[{"1":173},{"4":114},{"5":114},{"12":5250},{"7":8},{"6":0},{"8":10},{"9":0}]</v>
      </c>
    </row>
    <row r="527" spans="1:5">
      <c r="A527" s="6">
        <f t="shared" si="27"/>
        <v>11074</v>
      </c>
      <c r="B527" s="6">
        <f t="shared" si="28"/>
        <v>74</v>
      </c>
      <c r="C527" s="6">
        <f t="shared" si="25"/>
        <v>53096500</v>
      </c>
      <c r="D527" s="6">
        <v>11</v>
      </c>
      <c r="E527" s="7" t="str">
        <f>伙伴属性配置!N75</f>
        <v>[{"1":174},{"4":115},{"5":115},{"12":5313},{"7":8},{"6":0},{"8":10},{"9":0}]</v>
      </c>
    </row>
    <row r="528" spans="1:5">
      <c r="A528" s="6">
        <f t="shared" si="27"/>
        <v>11075</v>
      </c>
      <c r="B528" s="6">
        <f t="shared" si="28"/>
        <v>75</v>
      </c>
      <c r="C528" s="6">
        <f t="shared" si="25"/>
        <v>57406000</v>
      </c>
      <c r="D528" s="6">
        <v>11</v>
      </c>
      <c r="E528" s="7" t="str">
        <f>伙伴属性配置!N76</f>
        <v>[{"1":175},{"4":116},{"5":116},{"12":5376},{"7":8},{"6":0},{"8":10},{"9":0}]</v>
      </c>
    </row>
    <row r="529" spans="1:5">
      <c r="A529" s="6">
        <f t="shared" si="27"/>
        <v>11076</v>
      </c>
      <c r="B529" s="6">
        <f t="shared" si="28"/>
        <v>76</v>
      </c>
      <c r="C529" s="6">
        <f t="shared" si="25"/>
        <v>62215500</v>
      </c>
      <c r="D529" s="6">
        <v>11</v>
      </c>
      <c r="E529" s="7" t="str">
        <f>伙伴属性配置!N77</f>
        <v>[{"1":176},{"4":116},{"5":116},{"12":5440},{"7":8},{"6":0},{"8":10},{"9":0}]</v>
      </c>
    </row>
    <row r="530" spans="1:5">
      <c r="A530" s="6">
        <f t="shared" si="27"/>
        <v>11077</v>
      </c>
      <c r="B530" s="6">
        <f t="shared" si="28"/>
        <v>77</v>
      </c>
      <c r="C530" s="6">
        <f t="shared" si="25"/>
        <v>67525000</v>
      </c>
      <c r="D530" s="6">
        <v>11</v>
      </c>
      <c r="E530" s="7" t="str">
        <f>伙伴属性配置!N78</f>
        <v>[{"1":177},{"4":117},{"5":117},{"12":5503},{"7":8},{"6":0},{"8":10},{"9":0}]</v>
      </c>
    </row>
    <row r="531" spans="1:5">
      <c r="A531" s="6">
        <f t="shared" si="27"/>
        <v>11078</v>
      </c>
      <c r="B531" s="6">
        <f t="shared" si="28"/>
        <v>78</v>
      </c>
      <c r="C531" s="6">
        <f t="shared" si="25"/>
        <v>73334500</v>
      </c>
      <c r="D531" s="6">
        <v>11</v>
      </c>
      <c r="E531" s="7" t="str">
        <f>伙伴属性配置!N79</f>
        <v>[{"1":178},{"4":118},{"5":118},{"12":5566},{"7":8},{"6":0},{"8":10},{"9":0}]</v>
      </c>
    </row>
    <row r="532" spans="1:5">
      <c r="A532" s="6">
        <f t="shared" si="27"/>
        <v>11079</v>
      </c>
      <c r="B532" s="6">
        <f t="shared" si="28"/>
        <v>79</v>
      </c>
      <c r="C532" s="6">
        <f t="shared" si="25"/>
        <v>79644000</v>
      </c>
      <c r="D532" s="6">
        <v>11</v>
      </c>
      <c r="E532" s="7" t="str">
        <f>伙伴属性配置!N80</f>
        <v>[{"1":179},{"4":118},{"5":118},{"12":5630},{"7":8},{"6":0},{"8":10},{"9":0}]</v>
      </c>
    </row>
    <row r="533" spans="1:5">
      <c r="A533" s="6">
        <f t="shared" si="27"/>
        <v>11080</v>
      </c>
      <c r="B533" s="6">
        <f t="shared" si="28"/>
        <v>80</v>
      </c>
      <c r="C533" s="6">
        <f t="shared" si="25"/>
        <v>86453500</v>
      </c>
      <c r="D533" s="6">
        <v>11</v>
      </c>
      <c r="E533" s="7" t="str">
        <f>伙伴属性配置!N81</f>
        <v>[{"1":180},{"4":119},{"5":119},{"12":5693},{"7":8},{"6":0},{"8":10},{"9":0}]</v>
      </c>
    </row>
    <row r="534" spans="1:5">
      <c r="A534" s="6">
        <f t="shared" si="27"/>
        <v>11081</v>
      </c>
      <c r="B534" s="6">
        <f t="shared" si="28"/>
        <v>81</v>
      </c>
      <c r="C534" s="6">
        <f t="shared" si="25"/>
        <v>94263000</v>
      </c>
      <c r="D534" s="6">
        <v>11</v>
      </c>
      <c r="E534" s="7" t="str">
        <f>伙伴属性配置!N82</f>
        <v>[{"1":181},{"4":120},{"5":120},{"12":5756},{"7":8},{"6":0},{"8":10},{"9":0}]</v>
      </c>
    </row>
    <row r="535" spans="1:5">
      <c r="A535" s="6">
        <f t="shared" si="27"/>
        <v>11082</v>
      </c>
      <c r="B535" s="6">
        <f t="shared" si="28"/>
        <v>82</v>
      </c>
      <c r="C535" s="6">
        <f t="shared" si="25"/>
        <v>103072500</v>
      </c>
      <c r="D535" s="6">
        <v>11</v>
      </c>
      <c r="E535" s="7" t="str">
        <f>伙伴属性配置!N83</f>
        <v>[{"1":182},{"4":120},{"5":120},{"12":5820},{"7":8},{"6":0},{"8":10},{"9":0}]</v>
      </c>
    </row>
    <row r="536" spans="1:5">
      <c r="A536" s="6">
        <f t="shared" si="27"/>
        <v>11083</v>
      </c>
      <c r="B536" s="6">
        <f t="shared" si="28"/>
        <v>83</v>
      </c>
      <c r="C536" s="6">
        <f t="shared" si="25"/>
        <v>112882000</v>
      </c>
      <c r="D536" s="6">
        <v>11</v>
      </c>
      <c r="E536" s="7" t="str">
        <f>伙伴属性配置!N84</f>
        <v>[{"1":183},{"4":121},{"5":121},{"12":5882},{"7":8},{"6":0},{"8":10},{"9":0}]</v>
      </c>
    </row>
    <row r="537" spans="1:5">
      <c r="A537" s="6">
        <f t="shared" si="27"/>
        <v>11084</v>
      </c>
      <c r="B537" s="6">
        <f t="shared" si="28"/>
        <v>84</v>
      </c>
      <c r="C537" s="6">
        <f t="shared" si="25"/>
        <v>123691500</v>
      </c>
      <c r="D537" s="6">
        <v>11</v>
      </c>
      <c r="E537" s="7" t="str">
        <f>伙伴属性配置!N85</f>
        <v>[{"1":184},{"4":122},{"5":122},{"12":7433},{"7":8},{"6":0},{"8":10},{"9":0}]</v>
      </c>
    </row>
    <row r="538" spans="1:5">
      <c r="A538" s="6">
        <f t="shared" si="27"/>
        <v>11085</v>
      </c>
      <c r="B538" s="6">
        <f t="shared" si="28"/>
        <v>85</v>
      </c>
      <c r="C538" s="6">
        <f t="shared" si="25"/>
        <v>135501000</v>
      </c>
      <c r="D538" s="6">
        <v>11</v>
      </c>
      <c r="E538" s="7" t="str">
        <f>伙伴属性配置!N86</f>
        <v>[{"1":185},{"4":122},{"5":122},{"12":7514},{"7":8},{"6":0},{"8":10},{"9":0}]</v>
      </c>
    </row>
    <row r="539" spans="1:5">
      <c r="A539" s="6">
        <f t="shared" si="27"/>
        <v>11086</v>
      </c>
      <c r="B539" s="6">
        <f t="shared" si="28"/>
        <v>86</v>
      </c>
      <c r="C539" s="6">
        <f t="shared" ref="C539:C602" si="29">C389</f>
        <v>152310500</v>
      </c>
      <c r="D539" s="6">
        <v>11</v>
      </c>
      <c r="E539" s="7" t="str">
        <f>伙伴属性配置!N87</f>
        <v>[{"1":186},{"4":123},{"5":123},{"12":7595},{"7":8},{"6":0},{"8":10},{"9":0}]</v>
      </c>
    </row>
    <row r="540" spans="1:5">
      <c r="A540" s="6">
        <f t="shared" si="27"/>
        <v>11087</v>
      </c>
      <c r="B540" s="6">
        <f t="shared" si="28"/>
        <v>87</v>
      </c>
      <c r="C540" s="6">
        <f t="shared" si="29"/>
        <v>174120000</v>
      </c>
      <c r="D540" s="6">
        <v>11</v>
      </c>
      <c r="E540" s="7" t="str">
        <f>伙伴属性配置!N88</f>
        <v>[{"1":187},{"4":124},{"5":124},{"12":7676},{"7":8},{"6":0},{"8":10},{"9":0}]</v>
      </c>
    </row>
    <row r="541" spans="1:5">
      <c r="A541" s="6">
        <f t="shared" si="27"/>
        <v>11088</v>
      </c>
      <c r="B541" s="6">
        <f t="shared" si="28"/>
        <v>88</v>
      </c>
      <c r="C541" s="6">
        <f t="shared" si="29"/>
        <v>200929500</v>
      </c>
      <c r="D541" s="6">
        <v>11</v>
      </c>
      <c r="E541" s="7" t="str">
        <f>伙伴属性配置!N89</f>
        <v>[{"1":188},{"4":124},{"5":124},{"12":7757},{"7":8},{"6":0},{"8":10},{"9":0}]</v>
      </c>
    </row>
    <row r="542" spans="1:5">
      <c r="A542" s="6">
        <f t="shared" si="27"/>
        <v>11089</v>
      </c>
      <c r="B542" s="6">
        <f t="shared" si="28"/>
        <v>89</v>
      </c>
      <c r="C542" s="6">
        <f t="shared" si="29"/>
        <v>232739000</v>
      </c>
      <c r="D542" s="6">
        <v>11</v>
      </c>
      <c r="E542" s="7" t="str">
        <f>伙伴属性配置!N90</f>
        <v>[{"1":189},{"4":125},{"5":125},{"12":7838},{"7":8},{"6":0},{"8":10},{"9":0}]</v>
      </c>
    </row>
    <row r="543" spans="1:5">
      <c r="A543" s="6">
        <f t="shared" si="27"/>
        <v>11090</v>
      </c>
      <c r="B543" s="6">
        <f t="shared" si="28"/>
        <v>90</v>
      </c>
      <c r="C543" s="6">
        <f t="shared" si="29"/>
        <v>269548500</v>
      </c>
      <c r="D543" s="6">
        <v>11</v>
      </c>
      <c r="E543" s="7" t="str">
        <f>伙伴属性配置!N91</f>
        <v>[{"1":190},{"4":126},{"5":126},{"12":7919},{"7":8},{"6":0},{"8":10},{"9":0}]</v>
      </c>
    </row>
    <row r="544" spans="1:5">
      <c r="A544" s="6">
        <f t="shared" si="27"/>
        <v>11091</v>
      </c>
      <c r="B544" s="6">
        <f t="shared" si="28"/>
        <v>91</v>
      </c>
      <c r="C544" s="6">
        <f t="shared" si="29"/>
        <v>326358000</v>
      </c>
      <c r="D544" s="6">
        <v>11</v>
      </c>
      <c r="E544" s="7" t="str">
        <f>伙伴属性配置!N92</f>
        <v>[{"1":191},{"4":126},{"5":126},{"12":8000},{"7":8},{"6":0},{"8":10},{"9":0}]</v>
      </c>
    </row>
    <row r="545" spans="1:5">
      <c r="A545" s="6">
        <f t="shared" si="27"/>
        <v>11092</v>
      </c>
      <c r="B545" s="6">
        <f t="shared" si="28"/>
        <v>92</v>
      </c>
      <c r="C545" s="6">
        <f t="shared" si="29"/>
        <v>403167500</v>
      </c>
      <c r="D545" s="6">
        <v>11</v>
      </c>
      <c r="E545" s="7" t="str">
        <f>伙伴属性配置!N93</f>
        <v>[{"1":192},{"4":127},{"5":127},{"12":8081},{"7":8},{"6":0},{"8":10},{"9":0}]</v>
      </c>
    </row>
    <row r="546" spans="1:5">
      <c r="A546" s="6">
        <f t="shared" si="27"/>
        <v>11093</v>
      </c>
      <c r="B546" s="6">
        <f t="shared" si="28"/>
        <v>93</v>
      </c>
      <c r="C546" s="6">
        <f t="shared" si="29"/>
        <v>499977000</v>
      </c>
      <c r="D546" s="6">
        <v>11</v>
      </c>
      <c r="E546" s="7" t="str">
        <f>伙伴属性配置!N94</f>
        <v>[{"1":193},{"4":128},{"5":128},{"12":8161},{"7":8},{"6":0},{"8":10},{"9":0}]</v>
      </c>
    </row>
    <row r="547" spans="1:5">
      <c r="A547" s="6">
        <f t="shared" si="27"/>
        <v>11094</v>
      </c>
      <c r="B547" s="6">
        <f t="shared" si="28"/>
        <v>94</v>
      </c>
      <c r="C547" s="6">
        <f t="shared" si="29"/>
        <v>616786500</v>
      </c>
      <c r="D547" s="6">
        <v>11</v>
      </c>
      <c r="E547" s="7" t="str">
        <f>伙伴属性配置!N95</f>
        <v>[{"1":194},{"4":128},{"5":128},{"12":8242},{"7":8},{"6":0},{"8":10},{"9":0}]</v>
      </c>
    </row>
    <row r="548" spans="1:5">
      <c r="A548" s="6">
        <f t="shared" si="27"/>
        <v>11095</v>
      </c>
      <c r="B548" s="6">
        <f t="shared" si="28"/>
        <v>95</v>
      </c>
      <c r="C548" s="6">
        <f t="shared" si="29"/>
        <v>753596000</v>
      </c>
      <c r="D548" s="6">
        <v>11</v>
      </c>
      <c r="E548" s="7" t="str">
        <f>伙伴属性配置!N96</f>
        <v>[{"1":195},{"4":129},{"5":129},{"12":8324},{"7":8},{"6":0},{"8":10},{"9":0}]</v>
      </c>
    </row>
    <row r="549" spans="1:5">
      <c r="A549" s="6">
        <f t="shared" si="27"/>
        <v>11096</v>
      </c>
      <c r="B549" s="6">
        <f t="shared" si="28"/>
        <v>96</v>
      </c>
      <c r="C549" s="6">
        <f t="shared" si="29"/>
        <v>920405500</v>
      </c>
      <c r="D549" s="6">
        <v>11</v>
      </c>
      <c r="E549" s="7" t="str">
        <f>伙伴属性配置!N97</f>
        <v>[{"1":196},{"4":130},{"5":130},{"12":8405},{"7":8},{"6":0},{"8":10},{"9":0}]</v>
      </c>
    </row>
    <row r="550" spans="1:5">
      <c r="A550" s="6">
        <f t="shared" si="27"/>
        <v>11097</v>
      </c>
      <c r="B550" s="6">
        <f t="shared" si="28"/>
        <v>97</v>
      </c>
      <c r="C550" s="6">
        <f t="shared" si="29"/>
        <v>1117215000</v>
      </c>
      <c r="D550" s="6">
        <v>11</v>
      </c>
      <c r="E550" s="7" t="str">
        <f>伙伴属性配置!N98</f>
        <v>[{"1":197},{"4":130},{"5":130},{"12":8486},{"7":8},{"6":0},{"8":10},{"9":0}]</v>
      </c>
    </row>
    <row r="551" spans="1:5">
      <c r="A551" s="6">
        <f t="shared" si="27"/>
        <v>11098</v>
      </c>
      <c r="B551" s="6">
        <f t="shared" si="28"/>
        <v>98</v>
      </c>
      <c r="C551" s="6">
        <f t="shared" si="29"/>
        <v>1344024500</v>
      </c>
      <c r="D551" s="6">
        <v>11</v>
      </c>
      <c r="E551" s="7" t="str">
        <f>伙伴属性配置!N99</f>
        <v>[{"1":198},{"4":131},{"5":131},{"12":8567},{"7":8},{"6":0},{"8":10},{"9":0}]</v>
      </c>
    </row>
    <row r="552" spans="1:5">
      <c r="A552" s="6">
        <f t="shared" si="27"/>
        <v>11099</v>
      </c>
      <c r="B552" s="6">
        <f t="shared" ref="B552:B583" si="30">B402</f>
        <v>99</v>
      </c>
      <c r="C552" s="6">
        <f t="shared" si="29"/>
        <v>1600834000</v>
      </c>
      <c r="D552" s="6">
        <v>11</v>
      </c>
      <c r="E552" s="7" t="str">
        <f>伙伴属性配置!N100</f>
        <v>[{"1":199},{"4":132},{"5":132},{"12":8648},{"7":8},{"6":0},{"8":10},{"9":0}]</v>
      </c>
    </row>
    <row r="553" spans="1:5">
      <c r="A553" s="6">
        <f t="shared" si="27"/>
        <v>11100</v>
      </c>
      <c r="B553" s="6">
        <f t="shared" si="30"/>
        <v>100</v>
      </c>
      <c r="C553" s="6">
        <f t="shared" si="29"/>
        <v>1887643500</v>
      </c>
      <c r="D553" s="6">
        <v>11</v>
      </c>
      <c r="E553" s="7" t="str">
        <f>伙伴属性配置!N101</f>
        <v>[{"1":200},{"4":132},{"5":132},{"12":8729},{"7":8},{"6":0},{"8":10},{"9":0}]</v>
      </c>
    </row>
    <row r="554" spans="1:5">
      <c r="A554" s="6">
        <f t="shared" si="27"/>
        <v>11101</v>
      </c>
      <c r="B554" s="6">
        <f t="shared" si="30"/>
        <v>101</v>
      </c>
      <c r="C554" s="6">
        <f t="shared" si="29"/>
        <v>2214453000</v>
      </c>
      <c r="D554" s="6">
        <v>11</v>
      </c>
      <c r="E554" s="7" t="str">
        <f>伙伴属性配置!N102</f>
        <v>[{"1":201},{"4":133},{"5":133},{"12":8810},{"7":8},{"6":0},{"8":10},{"9":0}]</v>
      </c>
    </row>
    <row r="555" spans="1:5">
      <c r="A555" s="6">
        <f t="shared" si="27"/>
        <v>11102</v>
      </c>
      <c r="B555" s="6">
        <f t="shared" si="30"/>
        <v>102</v>
      </c>
      <c r="C555" s="6">
        <f t="shared" si="29"/>
        <v>2581262500</v>
      </c>
      <c r="D555" s="6">
        <v>11</v>
      </c>
      <c r="E555" s="7" t="str">
        <f>伙伴属性配置!N103</f>
        <v>[{"1":202},{"4":134},{"5":134},{"12":8891},{"7":8},{"6":0},{"8":10},{"9":0}]</v>
      </c>
    </row>
    <row r="556" spans="1:5">
      <c r="A556" s="6">
        <f t="shared" si="27"/>
        <v>11103</v>
      </c>
      <c r="B556" s="6">
        <f t="shared" si="30"/>
        <v>103</v>
      </c>
      <c r="C556" s="6">
        <f t="shared" si="29"/>
        <v>2988072000</v>
      </c>
      <c r="D556" s="6">
        <v>11</v>
      </c>
      <c r="E556" s="7" t="str">
        <f>伙伴属性配置!N104</f>
        <v>[{"1":203},{"4":134},{"5":134},{"12":8971},{"7":8},{"6":0},{"8":10},{"9":0}]</v>
      </c>
    </row>
    <row r="557" spans="1:5">
      <c r="A557" s="6">
        <f t="shared" si="27"/>
        <v>11104</v>
      </c>
      <c r="B557" s="6">
        <f t="shared" si="30"/>
        <v>104</v>
      </c>
      <c r="C557" s="6">
        <f t="shared" si="29"/>
        <v>3434881500</v>
      </c>
      <c r="D557" s="6">
        <v>11</v>
      </c>
      <c r="E557" s="7" t="str">
        <f>伙伴属性配置!N105</f>
        <v>[{"1":204},{"4":135},{"5":135},{"12":9052},{"7":8},{"6":0},{"8":10},{"9":0}]</v>
      </c>
    </row>
    <row r="558" spans="1:5">
      <c r="A558" s="6">
        <f t="shared" si="27"/>
        <v>11105</v>
      </c>
      <c r="B558" s="6">
        <f t="shared" si="30"/>
        <v>105</v>
      </c>
      <c r="C558" s="6">
        <f t="shared" si="29"/>
        <v>3921691000</v>
      </c>
      <c r="D558" s="6">
        <v>11</v>
      </c>
      <c r="E558" s="7" t="str">
        <f>伙伴属性配置!N106</f>
        <v>[{"1":205},{"4":136},{"5":136},{"12":9133},{"7":8},{"6":0},{"8":10},{"9":0}]</v>
      </c>
    </row>
    <row r="559" spans="1:5">
      <c r="A559" s="6">
        <f t="shared" si="27"/>
        <v>11106</v>
      </c>
      <c r="B559" s="6">
        <f t="shared" si="30"/>
        <v>106</v>
      </c>
      <c r="C559" s="6">
        <f t="shared" si="29"/>
        <v>4458500500</v>
      </c>
      <c r="D559" s="6">
        <v>11</v>
      </c>
      <c r="E559" s="7" t="str">
        <f>伙伴属性配置!N107</f>
        <v>[{"1":206},{"4":136},{"5":136},{"12":9214},{"7":8},{"6":0},{"8":10},{"9":0}]</v>
      </c>
    </row>
    <row r="560" spans="1:5">
      <c r="A560" s="6">
        <f t="shared" si="27"/>
        <v>11107</v>
      </c>
      <c r="B560" s="6">
        <f t="shared" si="30"/>
        <v>107</v>
      </c>
      <c r="C560" s="6">
        <f t="shared" si="29"/>
        <v>5045310000</v>
      </c>
      <c r="D560" s="6">
        <v>11</v>
      </c>
      <c r="E560" s="7" t="str">
        <f>伙伴属性配置!N108</f>
        <v>[{"1":207},{"4":137},{"5":137},{"12":9295},{"7":8},{"6":0},{"8":10},{"9":0}]</v>
      </c>
    </row>
    <row r="561" spans="1:5">
      <c r="A561" s="6">
        <f t="shared" si="27"/>
        <v>11108</v>
      </c>
      <c r="B561" s="6">
        <f t="shared" si="30"/>
        <v>108</v>
      </c>
      <c r="C561" s="6">
        <f t="shared" si="29"/>
        <v>5682119500</v>
      </c>
      <c r="D561" s="6">
        <v>11</v>
      </c>
      <c r="E561" s="7" t="str">
        <f>伙伴属性配置!N109</f>
        <v>[{"1":208},{"4":138},{"5":138},{"12":9376},{"7":8},{"6":0},{"8":10},{"9":0}]</v>
      </c>
    </row>
    <row r="562" spans="1:5">
      <c r="A562" s="6">
        <f t="shared" si="27"/>
        <v>11109</v>
      </c>
      <c r="B562" s="6">
        <f t="shared" si="30"/>
        <v>109</v>
      </c>
      <c r="C562" s="6">
        <f t="shared" si="29"/>
        <v>6368929000</v>
      </c>
      <c r="D562" s="6">
        <v>11</v>
      </c>
      <c r="E562" s="7" t="str">
        <f>伙伴属性配置!N110</f>
        <v>[{"1":209},{"4":138},{"5":138},{"12":9457},{"7":8},{"6":0},{"8":10},{"9":0}]</v>
      </c>
    </row>
    <row r="563" spans="1:5">
      <c r="A563" s="6">
        <f t="shared" si="27"/>
        <v>11110</v>
      </c>
      <c r="B563" s="6">
        <f t="shared" si="30"/>
        <v>110</v>
      </c>
      <c r="C563" s="6">
        <f t="shared" si="29"/>
        <v>7105738500</v>
      </c>
      <c r="D563" s="6">
        <v>11</v>
      </c>
      <c r="E563" s="7" t="str">
        <f>伙伴属性配置!N111</f>
        <v>[{"1":210},{"4":139},{"5":139},{"12":9538},{"7":8},{"6":0},{"8":10},{"9":0}]</v>
      </c>
    </row>
    <row r="564" spans="1:5">
      <c r="A564" s="6">
        <f t="shared" si="27"/>
        <v>11111</v>
      </c>
      <c r="B564" s="6">
        <f t="shared" si="30"/>
        <v>111</v>
      </c>
      <c r="C564" s="6">
        <f t="shared" si="29"/>
        <v>7902548000</v>
      </c>
      <c r="D564" s="6">
        <v>11</v>
      </c>
      <c r="E564" s="7" t="str">
        <f>伙伴属性配置!N112</f>
        <v>[{"1":211},{"4":140},{"5":140},{"12":9620},{"7":8},{"6":0},{"8":10},{"9":0}]</v>
      </c>
    </row>
    <row r="565" spans="1:5">
      <c r="A565" s="6">
        <f t="shared" si="27"/>
        <v>11112</v>
      </c>
      <c r="B565" s="6">
        <f t="shared" si="30"/>
        <v>112</v>
      </c>
      <c r="C565" s="6">
        <f t="shared" si="29"/>
        <v>8759357500</v>
      </c>
      <c r="D565" s="6">
        <v>11</v>
      </c>
      <c r="E565" s="7" t="str">
        <f>伙伴属性配置!N113</f>
        <v>[{"1":212},{"4":140},{"5":140},{"12":9701},{"7":8},{"6":0},{"8":10},{"9":0}]</v>
      </c>
    </row>
    <row r="566" spans="1:5">
      <c r="A566" s="6">
        <f t="shared" si="27"/>
        <v>11113</v>
      </c>
      <c r="B566" s="6">
        <f t="shared" si="30"/>
        <v>113</v>
      </c>
      <c r="C566" s="6">
        <f t="shared" si="29"/>
        <v>9676167000</v>
      </c>
      <c r="D566" s="6">
        <v>11</v>
      </c>
      <c r="E566" s="7" t="str">
        <f>伙伴属性配置!N114</f>
        <v>[{"1":213},{"4":141},{"5":141},{"12":9781},{"7":8},{"6":0},{"8":10},{"9":0}]</v>
      </c>
    </row>
    <row r="567" spans="1:5">
      <c r="A567" s="6">
        <f t="shared" si="27"/>
        <v>11114</v>
      </c>
      <c r="B567" s="6">
        <f t="shared" si="30"/>
        <v>114</v>
      </c>
      <c r="C567" s="6">
        <f t="shared" si="29"/>
        <v>10652976500</v>
      </c>
      <c r="D567" s="6">
        <v>11</v>
      </c>
      <c r="E567" s="7" t="str">
        <f>伙伴属性配置!N115</f>
        <v>[{"1":214},{"4":142},{"5":142},{"12":9862},{"7":8},{"6":0},{"8":10},{"9":0}]</v>
      </c>
    </row>
    <row r="568" spans="1:5">
      <c r="A568" s="6">
        <f t="shared" si="27"/>
        <v>11115</v>
      </c>
      <c r="B568" s="6">
        <f t="shared" si="30"/>
        <v>115</v>
      </c>
      <c r="C568" s="6">
        <f t="shared" si="29"/>
        <v>11689786000</v>
      </c>
      <c r="D568" s="6">
        <v>11</v>
      </c>
      <c r="E568" s="7" t="str">
        <f>伙伴属性配置!N116</f>
        <v>[{"1":215},{"4":142},{"5":142},{"12":9943},{"7":8},{"6":0},{"8":10},{"9":0}]</v>
      </c>
    </row>
    <row r="569" spans="1:5">
      <c r="A569" s="6">
        <f t="shared" si="27"/>
        <v>11116</v>
      </c>
      <c r="B569" s="6">
        <f t="shared" si="30"/>
        <v>116</v>
      </c>
      <c r="C569" s="6">
        <f t="shared" si="29"/>
        <v>12796595500</v>
      </c>
      <c r="D569" s="6">
        <v>11</v>
      </c>
      <c r="E569" s="7" t="str">
        <f>伙伴属性配置!N117</f>
        <v>[{"1":216},{"4":143},{"5":143},{"12":10024},{"7":8},{"6":0},{"8":10},{"9":0}]</v>
      </c>
    </row>
    <row r="570" spans="1:5">
      <c r="A570" s="6">
        <f t="shared" si="27"/>
        <v>11117</v>
      </c>
      <c r="B570" s="6">
        <f t="shared" si="30"/>
        <v>117</v>
      </c>
      <c r="C570" s="6">
        <f t="shared" si="29"/>
        <v>13973405000</v>
      </c>
      <c r="D570" s="6">
        <v>11</v>
      </c>
      <c r="E570" s="7" t="str">
        <f>伙伴属性配置!N118</f>
        <v>[{"1":217},{"4":144},{"5":144},{"12":10105},{"7":8},{"6":0},{"8":10},{"9":0}]</v>
      </c>
    </row>
    <row r="571" spans="1:5">
      <c r="A571" s="6">
        <f t="shared" si="27"/>
        <v>11118</v>
      </c>
      <c r="B571" s="6">
        <f t="shared" si="30"/>
        <v>118</v>
      </c>
      <c r="C571" s="6">
        <f t="shared" si="29"/>
        <v>15220214500</v>
      </c>
      <c r="D571" s="6">
        <v>11</v>
      </c>
      <c r="E571" s="7" t="str">
        <f>伙伴属性配置!N119</f>
        <v>[{"1":218},{"4":144},{"5":144},{"12":10186},{"7":8},{"6":0},{"8":10},{"9":0}]</v>
      </c>
    </row>
    <row r="572" spans="1:5">
      <c r="A572" s="6">
        <f t="shared" si="27"/>
        <v>11119</v>
      </c>
      <c r="B572" s="6">
        <f t="shared" si="30"/>
        <v>119</v>
      </c>
      <c r="C572" s="6">
        <f t="shared" si="29"/>
        <v>16537024000</v>
      </c>
      <c r="D572" s="6">
        <v>11</v>
      </c>
      <c r="E572" s="7" t="str">
        <f>伙伴属性配置!N120</f>
        <v>[{"1":219},{"4":145},{"5":145},{"12":10267},{"7":8},{"6":0},{"8":10},{"9":0}]</v>
      </c>
    </row>
    <row r="573" spans="1:5">
      <c r="A573" s="6">
        <f t="shared" si="27"/>
        <v>11120</v>
      </c>
      <c r="B573" s="6">
        <f t="shared" si="30"/>
        <v>120</v>
      </c>
      <c r="C573" s="6">
        <f t="shared" si="29"/>
        <v>17923833500</v>
      </c>
      <c r="D573" s="6">
        <v>11</v>
      </c>
      <c r="E573" s="7" t="str">
        <f>伙伴属性配置!N121</f>
        <v>[{"1":220},{"4":146},{"5":146},{"12":10348},{"7":8},{"6":0},{"8":10},{"9":0}]</v>
      </c>
    </row>
    <row r="574" spans="1:5">
      <c r="A574" s="6">
        <f t="shared" si="27"/>
        <v>11121</v>
      </c>
      <c r="B574" s="6">
        <f t="shared" si="30"/>
        <v>121</v>
      </c>
      <c r="C574" s="6">
        <f t="shared" si="29"/>
        <v>19390643000</v>
      </c>
      <c r="D574" s="6">
        <v>11</v>
      </c>
      <c r="E574" s="7" t="str">
        <f>伙伴属性配置!N122</f>
        <v>[{"1":221},{"4":146},{"5":146},{"12":10429},{"7":8},{"6":0},{"8":10},{"9":0}]</v>
      </c>
    </row>
    <row r="575" spans="1:5">
      <c r="A575" s="6">
        <f t="shared" si="27"/>
        <v>11122</v>
      </c>
      <c r="B575" s="6">
        <f t="shared" si="30"/>
        <v>122</v>
      </c>
      <c r="C575" s="6">
        <f t="shared" si="29"/>
        <v>20937452500</v>
      </c>
      <c r="D575" s="6">
        <v>11</v>
      </c>
      <c r="E575" s="7" t="str">
        <f>伙伴属性配置!N123</f>
        <v>[{"1":222},{"4":147},{"5":147},{"12":10509},{"7":8},{"6":0},{"8":10},{"9":0}]</v>
      </c>
    </row>
    <row r="576" spans="1:5">
      <c r="A576" s="6">
        <f t="shared" si="27"/>
        <v>11123</v>
      </c>
      <c r="B576" s="6">
        <f t="shared" si="30"/>
        <v>123</v>
      </c>
      <c r="C576" s="6">
        <f t="shared" si="29"/>
        <v>22564262000</v>
      </c>
      <c r="D576" s="6">
        <v>11</v>
      </c>
      <c r="E576" s="7" t="str">
        <f>伙伴属性配置!N124</f>
        <v>[{"1":223},{"4":148},{"5":148},{"12":10590},{"7":8},{"6":0},{"8":10},{"9":0}]</v>
      </c>
    </row>
    <row r="577" spans="1:5">
      <c r="A577" s="6">
        <f t="shared" si="27"/>
        <v>11124</v>
      </c>
      <c r="B577" s="6">
        <f t="shared" si="30"/>
        <v>124</v>
      </c>
      <c r="C577" s="6">
        <f t="shared" si="29"/>
        <v>24271071500</v>
      </c>
      <c r="D577" s="6">
        <v>11</v>
      </c>
      <c r="E577" s="7" t="str">
        <f>伙伴属性配置!N125</f>
        <v>[{"1":224},{"4":148},{"5":148},{"12":10671},{"7":8},{"6":0},{"8":10},{"9":0}]</v>
      </c>
    </row>
    <row r="578" spans="1:5">
      <c r="A578" s="6">
        <f t="shared" si="27"/>
        <v>11125</v>
      </c>
      <c r="B578" s="6">
        <f t="shared" si="30"/>
        <v>125</v>
      </c>
      <c r="C578" s="6">
        <f t="shared" si="29"/>
        <v>26057881000</v>
      </c>
      <c r="D578" s="6">
        <v>11</v>
      </c>
      <c r="E578" s="7" t="str">
        <f>伙伴属性配置!N126</f>
        <v>[{"1":225},{"4":149},{"5":149},{"12":10752},{"7":8},{"6":0},{"8":10},{"9":0}]</v>
      </c>
    </row>
    <row r="579" spans="1:5">
      <c r="A579" s="6">
        <f t="shared" si="27"/>
        <v>11126</v>
      </c>
      <c r="B579" s="6">
        <f t="shared" si="30"/>
        <v>126</v>
      </c>
      <c r="C579" s="6">
        <f t="shared" si="29"/>
        <v>27934690500</v>
      </c>
      <c r="D579" s="6">
        <v>11</v>
      </c>
      <c r="E579" s="7" t="str">
        <f>伙伴属性配置!N127</f>
        <v>[{"1":226},{"4":150},{"5":150},{"12":10833},{"7":8},{"6":0},{"8":10},{"9":0}]</v>
      </c>
    </row>
    <row r="580" spans="1:5">
      <c r="A580" s="6">
        <f t="shared" si="27"/>
        <v>11127</v>
      </c>
      <c r="B580" s="6">
        <f t="shared" si="30"/>
        <v>127</v>
      </c>
      <c r="C580" s="6">
        <f t="shared" si="29"/>
        <v>29901500000</v>
      </c>
      <c r="D580" s="6">
        <v>11</v>
      </c>
      <c r="E580" s="7" t="str">
        <f>伙伴属性配置!N128</f>
        <v>[{"1":227},{"4":150},{"5":150},{"12":10914},{"7":8},{"6":0},{"8":10},{"9":0}]</v>
      </c>
    </row>
    <row r="581" spans="1:5">
      <c r="A581" s="6">
        <f t="shared" ref="A581:A644" si="31">D581*1000+B581</f>
        <v>11128</v>
      </c>
      <c r="B581" s="6">
        <f t="shared" si="30"/>
        <v>128</v>
      </c>
      <c r="C581" s="6">
        <f t="shared" si="29"/>
        <v>31958309500</v>
      </c>
      <c r="D581" s="6">
        <v>11</v>
      </c>
      <c r="E581" s="7" t="str">
        <f>伙伴属性配置!N129</f>
        <v>[{"1":228},{"4":151},{"5":151},{"12":10996},{"7":8},{"6":0},{"8":10},{"9":0}]</v>
      </c>
    </row>
    <row r="582" spans="1:5">
      <c r="A582" s="6">
        <f t="shared" si="31"/>
        <v>11129</v>
      </c>
      <c r="B582" s="6">
        <f t="shared" si="30"/>
        <v>129</v>
      </c>
      <c r="C582" s="6">
        <f t="shared" si="29"/>
        <v>34105119000</v>
      </c>
      <c r="D582" s="6">
        <v>11</v>
      </c>
      <c r="E582" s="7" t="str">
        <f>伙伴属性配置!N130</f>
        <v>[{"1":229},{"4":152},{"5":152},{"12":11077},{"7":8},{"6":0},{"8":10},{"9":0}]</v>
      </c>
    </row>
    <row r="583" spans="1:5">
      <c r="A583" s="6">
        <f t="shared" si="31"/>
        <v>11130</v>
      </c>
      <c r="B583" s="6">
        <f t="shared" si="30"/>
        <v>130</v>
      </c>
      <c r="C583" s="6">
        <f t="shared" si="29"/>
        <v>36341928500</v>
      </c>
      <c r="D583" s="6">
        <v>11</v>
      </c>
      <c r="E583" s="7" t="str">
        <f>伙伴属性配置!N131</f>
        <v>[{"1":230},{"4":152},{"5":152},{"12":14447},{"7":8},{"6":0},{"8":10},{"9":0}]</v>
      </c>
    </row>
    <row r="584" spans="1:5">
      <c r="A584" s="6">
        <f t="shared" si="31"/>
        <v>11131</v>
      </c>
      <c r="B584" s="6">
        <f t="shared" ref="B584:B615" si="32">B434</f>
        <v>131</v>
      </c>
      <c r="C584" s="6">
        <f t="shared" si="29"/>
        <v>38678738000</v>
      </c>
      <c r="D584" s="6">
        <v>11</v>
      </c>
      <c r="E584" s="7" t="str">
        <f>伙伴属性配置!N132</f>
        <v>[{"1":231},{"4":153},{"5":153},{"12":14553},{"7":8},{"6":0},{"8":10},{"9":0}]</v>
      </c>
    </row>
    <row r="585" spans="1:5">
      <c r="A585" s="6">
        <f t="shared" si="31"/>
        <v>11132</v>
      </c>
      <c r="B585" s="6">
        <f t="shared" si="32"/>
        <v>132</v>
      </c>
      <c r="C585" s="6">
        <f t="shared" si="29"/>
        <v>41115547500</v>
      </c>
      <c r="D585" s="6">
        <v>11</v>
      </c>
      <c r="E585" s="7" t="str">
        <f>伙伴属性配置!N133</f>
        <v>[{"1":232},{"4":154},{"5":154},{"12":14658},{"7":8},{"6":0},{"8":10},{"9":0}]</v>
      </c>
    </row>
    <row r="586" spans="1:5">
      <c r="A586" s="6">
        <f t="shared" si="31"/>
        <v>11133</v>
      </c>
      <c r="B586" s="6">
        <f t="shared" si="32"/>
        <v>133</v>
      </c>
      <c r="C586" s="6">
        <f t="shared" si="29"/>
        <v>43652357000</v>
      </c>
      <c r="D586" s="6">
        <v>11</v>
      </c>
      <c r="E586" s="7" t="str">
        <f>伙伴属性配置!N134</f>
        <v>[{"1":233},{"4":154},{"5":154},{"12":14764},{"7":8},{"6":0},{"8":10},{"9":0}]</v>
      </c>
    </row>
    <row r="587" spans="1:5">
      <c r="A587" s="6">
        <f t="shared" si="31"/>
        <v>11134</v>
      </c>
      <c r="B587" s="6">
        <f t="shared" si="32"/>
        <v>134</v>
      </c>
      <c r="C587" s="6">
        <f t="shared" si="29"/>
        <v>46289166500</v>
      </c>
      <c r="D587" s="6">
        <v>11</v>
      </c>
      <c r="E587" s="7" t="str">
        <f>伙伴属性配置!N135</f>
        <v>[{"1":234},{"4":155},{"5":155},{"12":14871},{"7":8},{"6":0},{"8":10},{"9":0}]</v>
      </c>
    </row>
    <row r="588" spans="1:5">
      <c r="A588" s="6">
        <f t="shared" si="31"/>
        <v>11135</v>
      </c>
      <c r="B588" s="6">
        <f t="shared" si="32"/>
        <v>135</v>
      </c>
      <c r="C588" s="6">
        <f t="shared" si="29"/>
        <v>49025976000</v>
      </c>
      <c r="D588" s="6">
        <v>11</v>
      </c>
      <c r="E588" s="7" t="str">
        <f>伙伴属性配置!N136</f>
        <v>[{"1":235},{"4":156},{"5":156},{"12":14977},{"7":8},{"6":0},{"8":10},{"9":0}]</v>
      </c>
    </row>
    <row r="589" spans="1:5">
      <c r="A589" s="6">
        <f t="shared" si="31"/>
        <v>11136</v>
      </c>
      <c r="B589" s="6">
        <f t="shared" si="32"/>
        <v>136</v>
      </c>
      <c r="C589" s="6">
        <f t="shared" si="29"/>
        <v>51872785500</v>
      </c>
      <c r="D589" s="6">
        <v>11</v>
      </c>
      <c r="E589" s="7" t="str">
        <f>伙伴属性配置!N137</f>
        <v>[{"1":236},{"4":156},{"5":156},{"12":15084},{"7":8},{"6":0},{"8":10},{"9":0}]</v>
      </c>
    </row>
    <row r="590" spans="1:5">
      <c r="A590" s="6">
        <f t="shared" si="31"/>
        <v>11137</v>
      </c>
      <c r="B590" s="6">
        <f t="shared" si="32"/>
        <v>137</v>
      </c>
      <c r="C590" s="6">
        <f t="shared" si="29"/>
        <v>54829595000</v>
      </c>
      <c r="D590" s="6">
        <v>11</v>
      </c>
      <c r="E590" s="7" t="str">
        <f>伙伴属性配置!N138</f>
        <v>[{"1":237},{"4":157},{"5":157},{"12":15190},{"7":8},{"6":0},{"8":10},{"9":0}]</v>
      </c>
    </row>
    <row r="591" spans="1:5">
      <c r="A591" s="6">
        <f t="shared" si="31"/>
        <v>11138</v>
      </c>
      <c r="B591" s="6">
        <f t="shared" si="32"/>
        <v>138</v>
      </c>
      <c r="C591" s="6">
        <f t="shared" si="29"/>
        <v>57896404500</v>
      </c>
      <c r="D591" s="6">
        <v>11</v>
      </c>
      <c r="E591" s="7" t="str">
        <f>伙伴属性配置!N139</f>
        <v>[{"1":238},{"4":158},{"5":158},{"12":15296},{"7":8},{"6":0},{"8":10},{"9":0}]</v>
      </c>
    </row>
    <row r="592" spans="1:5">
      <c r="A592" s="6">
        <f t="shared" si="31"/>
        <v>11139</v>
      </c>
      <c r="B592" s="6">
        <f t="shared" si="32"/>
        <v>139</v>
      </c>
      <c r="C592" s="6">
        <f t="shared" si="29"/>
        <v>61073214000</v>
      </c>
      <c r="D592" s="6">
        <v>11</v>
      </c>
      <c r="E592" s="7" t="str">
        <f>伙伴属性配置!N140</f>
        <v>[{"1":239},{"4":158},{"5":158},{"12":15403},{"7":8},{"6":0},{"8":10},{"9":0}]</v>
      </c>
    </row>
    <row r="593" spans="1:5">
      <c r="A593" s="6">
        <f t="shared" si="31"/>
        <v>11140</v>
      </c>
      <c r="B593" s="6">
        <f t="shared" si="32"/>
        <v>140</v>
      </c>
      <c r="C593" s="6">
        <f t="shared" si="29"/>
        <v>64360023500</v>
      </c>
      <c r="D593" s="6">
        <v>11</v>
      </c>
      <c r="E593" s="7" t="str">
        <f>伙伴属性配置!N141</f>
        <v>[{"1":240},{"4":159},{"5":159},{"12":15509},{"7":8},{"6":0},{"8":10},{"9":0}]</v>
      </c>
    </row>
    <row r="594" spans="1:5">
      <c r="A594" s="6">
        <f t="shared" si="31"/>
        <v>11141</v>
      </c>
      <c r="B594" s="6">
        <f t="shared" si="32"/>
        <v>141</v>
      </c>
      <c r="C594" s="6">
        <f t="shared" si="29"/>
        <v>67766833000</v>
      </c>
      <c r="D594" s="6">
        <v>11</v>
      </c>
      <c r="E594" s="7" t="str">
        <f>伙伴属性配置!N142</f>
        <v>[{"1":241},{"4":160},{"5":160},{"12":15616},{"7":8},{"6":0},{"8":10},{"9":0}]</v>
      </c>
    </row>
    <row r="595" spans="1:5">
      <c r="A595" s="6">
        <f t="shared" si="31"/>
        <v>11142</v>
      </c>
      <c r="B595" s="6">
        <f t="shared" si="32"/>
        <v>142</v>
      </c>
      <c r="C595" s="6">
        <f t="shared" si="29"/>
        <v>71293642500</v>
      </c>
      <c r="D595" s="6">
        <v>11</v>
      </c>
      <c r="E595" s="7" t="str">
        <f>伙伴属性配置!N143</f>
        <v>[{"1":242},{"4":160},{"5":160},{"12":15721},{"7":8},{"6":0},{"8":10},{"9":0}]</v>
      </c>
    </row>
    <row r="596" spans="1:5">
      <c r="A596" s="6">
        <f t="shared" si="31"/>
        <v>11143</v>
      </c>
      <c r="B596" s="6">
        <f t="shared" si="32"/>
        <v>143</v>
      </c>
      <c r="C596" s="6">
        <f t="shared" si="29"/>
        <v>74940452000</v>
      </c>
      <c r="D596" s="6">
        <v>11</v>
      </c>
      <c r="E596" s="7" t="str">
        <f>伙伴属性配置!N144</f>
        <v>[{"1":243},{"4":161},{"5":161},{"12":15827},{"7":8},{"6":0},{"8":10},{"9":0}]</v>
      </c>
    </row>
    <row r="597" spans="1:5">
      <c r="A597" s="6">
        <f t="shared" si="31"/>
        <v>11144</v>
      </c>
      <c r="B597" s="6">
        <f t="shared" si="32"/>
        <v>144</v>
      </c>
      <c r="C597" s="6">
        <f t="shared" si="29"/>
        <v>78707261500</v>
      </c>
      <c r="D597" s="6">
        <v>11</v>
      </c>
      <c r="E597" s="7" t="str">
        <f>伙伴属性配置!N145</f>
        <v>[{"1":244},{"4":162},{"5":162},{"12":15933},{"7":8},{"6":0},{"8":10},{"9":0}]</v>
      </c>
    </row>
    <row r="598" spans="1:5">
      <c r="A598" s="6">
        <f t="shared" si="31"/>
        <v>11145</v>
      </c>
      <c r="B598" s="6">
        <f t="shared" si="32"/>
        <v>145</v>
      </c>
      <c r="C598" s="6">
        <f t="shared" si="29"/>
        <v>82594071000</v>
      </c>
      <c r="D598" s="6">
        <v>11</v>
      </c>
      <c r="E598" s="7" t="str">
        <f>伙伴属性配置!N146</f>
        <v>[{"1":245},{"4":162},{"5":162},{"12":16040},{"7":8},{"6":0},{"8":10},{"9":0}]</v>
      </c>
    </row>
    <row r="599" spans="1:5">
      <c r="A599" s="6">
        <f t="shared" si="31"/>
        <v>11146</v>
      </c>
      <c r="B599" s="6">
        <f t="shared" si="32"/>
        <v>146</v>
      </c>
      <c r="C599" s="6">
        <f t="shared" si="29"/>
        <v>86610880500</v>
      </c>
      <c r="D599" s="6">
        <v>11</v>
      </c>
      <c r="E599" s="7" t="str">
        <f>伙伴属性配置!N147</f>
        <v>[{"1":246},{"4":163},{"5":163},{"12":16146},{"7":8},{"6":0},{"8":10},{"9":0}]</v>
      </c>
    </row>
    <row r="600" spans="1:5">
      <c r="A600" s="6">
        <f t="shared" si="31"/>
        <v>11147</v>
      </c>
      <c r="B600" s="6">
        <f t="shared" si="32"/>
        <v>147</v>
      </c>
      <c r="C600" s="6">
        <f t="shared" si="29"/>
        <v>90757690000</v>
      </c>
      <c r="D600" s="6">
        <v>11</v>
      </c>
      <c r="E600" s="7" t="str">
        <f>伙伴属性配置!N148</f>
        <v>[{"1":247},{"4":164},{"5":164},{"12":16253},{"7":8},{"6":0},{"8":10},{"9":0}]</v>
      </c>
    </row>
    <row r="601" spans="1:5">
      <c r="A601" s="6">
        <f t="shared" si="31"/>
        <v>11148</v>
      </c>
      <c r="B601" s="6">
        <f t="shared" si="32"/>
        <v>148</v>
      </c>
      <c r="C601" s="6">
        <f t="shared" si="29"/>
        <v>95034499500</v>
      </c>
      <c r="D601" s="6">
        <v>11</v>
      </c>
      <c r="E601" s="7" t="str">
        <f>伙伴属性配置!N149</f>
        <v>[{"1":248},{"4":164},{"5":164},{"12":16359},{"7":8},{"6":0},{"8":10},{"9":0}]</v>
      </c>
    </row>
    <row r="602" spans="1:5">
      <c r="A602" s="6">
        <f t="shared" si="31"/>
        <v>11149</v>
      </c>
      <c r="B602" s="6">
        <f t="shared" si="32"/>
        <v>149</v>
      </c>
      <c r="C602" s="6">
        <f t="shared" si="29"/>
        <v>99441309000</v>
      </c>
      <c r="D602" s="6">
        <v>11</v>
      </c>
      <c r="E602" s="7" t="str">
        <f>伙伴属性配置!N150</f>
        <v>[{"1":249},{"4":165},{"5":165},{"12":16465},{"7":8},{"6":0},{"8":10},{"9":0}]</v>
      </c>
    </row>
    <row r="603" spans="1:5">
      <c r="A603" s="6">
        <f t="shared" si="31"/>
        <v>11150</v>
      </c>
      <c r="B603" s="6">
        <f t="shared" si="32"/>
        <v>150</v>
      </c>
      <c r="C603" s="6">
        <f t="shared" ref="C603:C666" si="33">C453</f>
        <v>103978118500</v>
      </c>
      <c r="D603" s="6">
        <v>11</v>
      </c>
      <c r="E603" s="7" t="str">
        <f>伙伴属性配置!N151</f>
        <v>[{"1":250},{"4":166},{"5":166},{"12":16572},{"7":8},{"6":0},{"8":10},{"9":0}]</v>
      </c>
    </row>
    <row r="604" spans="1:5">
      <c r="A604" s="6">
        <f t="shared" si="31"/>
        <v>12001</v>
      </c>
      <c r="B604" s="6">
        <f t="shared" si="32"/>
        <v>1</v>
      </c>
      <c r="C604" s="6">
        <f t="shared" si="33"/>
        <v>1000</v>
      </c>
      <c r="D604" s="6">
        <v>12</v>
      </c>
      <c r="E604" s="7" t="str">
        <f>伙伴属性配置!W2</f>
        <v>[{"2":121},{"4":66},{"5":66},{"12":219},{"7":8},{"6":0},{"8":10},{"9":0}]</v>
      </c>
    </row>
    <row r="605" spans="1:5">
      <c r="A605" s="6">
        <f t="shared" si="31"/>
        <v>12002</v>
      </c>
      <c r="B605" s="6">
        <f t="shared" si="32"/>
        <v>2</v>
      </c>
      <c r="C605" s="6">
        <f t="shared" si="33"/>
        <v>1500</v>
      </c>
      <c r="D605" s="6">
        <v>12</v>
      </c>
      <c r="E605" s="7" t="str">
        <f>伙伴属性配置!W3</f>
        <v>[{"2":122},{"4":67},{"5":67},{"12":228},{"7":8},{"6":0},{"8":10},{"9":0}]</v>
      </c>
    </row>
    <row r="606" spans="1:5">
      <c r="A606" s="6">
        <f t="shared" si="31"/>
        <v>12003</v>
      </c>
      <c r="B606" s="6">
        <f t="shared" si="32"/>
        <v>3</v>
      </c>
      <c r="C606" s="6">
        <f t="shared" si="33"/>
        <v>2500</v>
      </c>
      <c r="D606" s="6">
        <v>12</v>
      </c>
      <c r="E606" s="7" t="str">
        <f>伙伴属性配置!W4</f>
        <v>[{"2":123},{"4":68},{"5":68},{"12":236},{"7":8},{"6":0},{"8":10},{"9":0}]</v>
      </c>
    </row>
    <row r="607" spans="1:5">
      <c r="A607" s="6">
        <f t="shared" si="31"/>
        <v>12004</v>
      </c>
      <c r="B607" s="6">
        <f t="shared" si="32"/>
        <v>4</v>
      </c>
      <c r="C607" s="6">
        <f t="shared" si="33"/>
        <v>4000</v>
      </c>
      <c r="D607" s="6">
        <v>12</v>
      </c>
      <c r="E607" s="7" t="str">
        <f>伙伴属性配置!W5</f>
        <v>[{"2":124},{"4":68},{"5":68},{"12":245},{"7":8},{"6":0},{"8":10},{"9":0}]</v>
      </c>
    </row>
    <row r="608" spans="1:5">
      <c r="A608" s="6">
        <f t="shared" si="31"/>
        <v>12005</v>
      </c>
      <c r="B608" s="6">
        <f t="shared" si="32"/>
        <v>5</v>
      </c>
      <c r="C608" s="6">
        <f t="shared" si="33"/>
        <v>6000</v>
      </c>
      <c r="D608" s="6">
        <v>12</v>
      </c>
      <c r="E608" s="7" t="str">
        <f>伙伴属性配置!W6</f>
        <v>[{"2":126},{"4":69},{"5":69},{"12":253},{"7":8},{"6":0},{"8":10},{"9":0}]</v>
      </c>
    </row>
    <row r="609" spans="1:5">
      <c r="A609" s="6">
        <f t="shared" si="31"/>
        <v>12006</v>
      </c>
      <c r="B609" s="6">
        <f t="shared" si="32"/>
        <v>6</v>
      </c>
      <c r="C609" s="6">
        <f t="shared" si="33"/>
        <v>8500</v>
      </c>
      <c r="D609" s="6">
        <v>12</v>
      </c>
      <c r="E609" s="7" t="str">
        <f>伙伴属性配置!W7</f>
        <v>[{"2":127},{"4":70},{"5":70},{"12":262},{"7":8},{"6":0},{"8":10},{"9":0}]</v>
      </c>
    </row>
    <row r="610" spans="1:5">
      <c r="A610" s="6">
        <f t="shared" si="31"/>
        <v>12007</v>
      </c>
      <c r="B610" s="6">
        <f t="shared" si="32"/>
        <v>7</v>
      </c>
      <c r="C610" s="6">
        <f t="shared" si="33"/>
        <v>11500</v>
      </c>
      <c r="D610" s="6">
        <v>12</v>
      </c>
      <c r="E610" s="7" t="str">
        <f>伙伴属性配置!W8</f>
        <v>[{"2":128},{"4":70},{"5":70},{"12":270},{"7":8},{"6":0},{"8":10},{"9":0}]</v>
      </c>
    </row>
    <row r="611" spans="1:5">
      <c r="A611" s="6">
        <f t="shared" si="31"/>
        <v>12008</v>
      </c>
      <c r="B611" s="6">
        <f t="shared" si="32"/>
        <v>8</v>
      </c>
      <c r="C611" s="6">
        <f t="shared" si="33"/>
        <v>15000</v>
      </c>
      <c r="D611" s="6">
        <v>12</v>
      </c>
      <c r="E611" s="7" t="str">
        <f>伙伴属性配置!W9</f>
        <v>[{"2":129},{"4":71},{"5":71},{"12":278},{"7":8},{"6":0},{"8":10},{"9":0}]</v>
      </c>
    </row>
    <row r="612" spans="1:5">
      <c r="A612" s="6">
        <f t="shared" si="31"/>
        <v>12009</v>
      </c>
      <c r="B612" s="6">
        <f t="shared" si="32"/>
        <v>9</v>
      </c>
      <c r="C612" s="6">
        <f t="shared" si="33"/>
        <v>19000</v>
      </c>
      <c r="D612" s="6">
        <v>12</v>
      </c>
      <c r="E612" s="7" t="str">
        <f>伙伴属性配置!W10</f>
        <v>[{"2":130},{"4":72},{"5":72},{"12":287},{"7":8},{"6":0},{"8":10},{"9":0}]</v>
      </c>
    </row>
    <row r="613" spans="1:5">
      <c r="A613" s="6">
        <f t="shared" si="31"/>
        <v>12010</v>
      </c>
      <c r="B613" s="6">
        <f t="shared" si="32"/>
        <v>10</v>
      </c>
      <c r="C613" s="6">
        <f t="shared" si="33"/>
        <v>23500</v>
      </c>
      <c r="D613" s="6">
        <v>12</v>
      </c>
      <c r="E613" s="7" t="str">
        <f>伙伴属性配置!W11</f>
        <v>[{"2":132},{"4":72},{"5":72},{"12":295},{"7":8},{"6":0},{"8":10},{"9":0}]</v>
      </c>
    </row>
    <row r="614" spans="1:5">
      <c r="A614" s="6">
        <f t="shared" si="31"/>
        <v>12011</v>
      </c>
      <c r="B614" s="6">
        <f t="shared" si="32"/>
        <v>11</v>
      </c>
      <c r="C614" s="6">
        <f t="shared" si="33"/>
        <v>29000</v>
      </c>
      <c r="D614" s="6">
        <v>12</v>
      </c>
      <c r="E614" s="7" t="str">
        <f>伙伴属性配置!W12</f>
        <v>[{"2":133},{"4":73},{"5":73},{"12":304},{"7":8},{"6":0},{"8":10},{"9":0}]</v>
      </c>
    </row>
    <row r="615" spans="1:5">
      <c r="A615" s="6">
        <f t="shared" si="31"/>
        <v>12012</v>
      </c>
      <c r="B615" s="6">
        <f t="shared" si="32"/>
        <v>12</v>
      </c>
      <c r="C615" s="6">
        <f t="shared" si="33"/>
        <v>35500</v>
      </c>
      <c r="D615" s="6">
        <v>12</v>
      </c>
      <c r="E615" s="7" t="str">
        <f>伙伴属性配置!W13</f>
        <v>[{"2":134},{"4":74},{"5":74},{"12":312},{"7":8},{"6":0},{"8":10},{"9":0}]</v>
      </c>
    </row>
    <row r="616" spans="1:5">
      <c r="A616" s="6">
        <f t="shared" si="31"/>
        <v>12013</v>
      </c>
      <c r="B616" s="6">
        <f t="shared" ref="B616:B647" si="34">B466</f>
        <v>13</v>
      </c>
      <c r="C616" s="6">
        <f t="shared" si="33"/>
        <v>43000</v>
      </c>
      <c r="D616" s="6">
        <v>12</v>
      </c>
      <c r="E616" s="7" t="str">
        <f>伙伴属性配置!W14</f>
        <v>[{"2":135},{"4":74},{"5":74},{"12":321},{"7":8},{"6":0},{"8":10},{"9":0}]</v>
      </c>
    </row>
    <row r="617" spans="1:5">
      <c r="A617" s="6">
        <f t="shared" si="31"/>
        <v>12014</v>
      </c>
      <c r="B617" s="6">
        <f t="shared" si="34"/>
        <v>14</v>
      </c>
      <c r="C617" s="6">
        <f t="shared" si="33"/>
        <v>51500</v>
      </c>
      <c r="D617" s="6">
        <v>12</v>
      </c>
      <c r="E617" s="7" t="str">
        <f>伙伴属性配置!W15</f>
        <v>[{"2":136},{"4":75},{"5":75},{"12":329},{"7":8},{"6":0},{"8":10},{"9":0}]</v>
      </c>
    </row>
    <row r="618" spans="1:5">
      <c r="A618" s="6">
        <f t="shared" si="31"/>
        <v>12015</v>
      </c>
      <c r="B618" s="6">
        <f t="shared" si="34"/>
        <v>15</v>
      </c>
      <c r="C618" s="6">
        <f t="shared" si="33"/>
        <v>61000</v>
      </c>
      <c r="D618" s="6">
        <v>12</v>
      </c>
      <c r="E618" s="7" t="str">
        <f>伙伴属性配置!W16</f>
        <v>[{"2":138},{"4":76},{"5":76},{"12":337},{"7":8},{"6":0},{"8":10},{"9":0}]</v>
      </c>
    </row>
    <row r="619" spans="1:5">
      <c r="A619" s="6">
        <f t="shared" si="31"/>
        <v>12016</v>
      </c>
      <c r="B619" s="6">
        <f t="shared" si="34"/>
        <v>16</v>
      </c>
      <c r="C619" s="6">
        <f t="shared" si="33"/>
        <v>72500</v>
      </c>
      <c r="D619" s="6">
        <v>12</v>
      </c>
      <c r="E619" s="7" t="str">
        <f>伙伴属性配置!W17</f>
        <v>[{"2":139},{"4":76},{"5":76},{"12":346},{"7":8},{"6":0},{"8":10},{"9":0}]</v>
      </c>
    </row>
    <row r="620" spans="1:5">
      <c r="A620" s="6">
        <f t="shared" si="31"/>
        <v>12017</v>
      </c>
      <c r="B620" s="6">
        <f t="shared" si="34"/>
        <v>17</v>
      </c>
      <c r="C620" s="6">
        <f t="shared" si="33"/>
        <v>86000</v>
      </c>
      <c r="D620" s="6">
        <v>12</v>
      </c>
      <c r="E620" s="7" t="str">
        <f>伙伴属性配置!W18</f>
        <v>[{"2":140},{"4":77},{"5":77},{"12":354},{"7":8},{"6":0},{"8":10},{"9":0}]</v>
      </c>
    </row>
    <row r="621" spans="1:5">
      <c r="A621" s="6">
        <f t="shared" si="31"/>
        <v>12018</v>
      </c>
      <c r="B621" s="6">
        <f t="shared" si="34"/>
        <v>18</v>
      </c>
      <c r="C621" s="6">
        <f t="shared" si="33"/>
        <v>101500</v>
      </c>
      <c r="D621" s="6">
        <v>12</v>
      </c>
      <c r="E621" s="7" t="str">
        <f>伙伴属性配置!W19</f>
        <v>[{"2":141},{"4":78},{"5":78},{"12":363},{"7":8},{"6":0},{"8":10},{"9":0}]</v>
      </c>
    </row>
    <row r="622" spans="1:5">
      <c r="A622" s="6">
        <f t="shared" si="31"/>
        <v>12019</v>
      </c>
      <c r="B622" s="6">
        <f t="shared" si="34"/>
        <v>19</v>
      </c>
      <c r="C622" s="6">
        <f t="shared" si="33"/>
        <v>119000</v>
      </c>
      <c r="D622" s="6">
        <v>12</v>
      </c>
      <c r="E622" s="7" t="str">
        <f>伙伴属性配置!W20</f>
        <v>[{"2":142},{"4":78},{"5":78},{"12":371},{"7":8},{"6":0},{"8":10},{"9":0}]</v>
      </c>
    </row>
    <row r="623" spans="1:5">
      <c r="A623" s="6">
        <f t="shared" si="31"/>
        <v>12020</v>
      </c>
      <c r="B623" s="6">
        <f t="shared" si="34"/>
        <v>20</v>
      </c>
      <c r="C623" s="6">
        <f t="shared" si="33"/>
        <v>138500</v>
      </c>
      <c r="D623" s="6">
        <v>12</v>
      </c>
      <c r="E623" s="7" t="str">
        <f>伙伴属性配置!W21</f>
        <v>[{"2":144},{"4":79},{"5":79},{"12":422},{"7":8},{"6":0},{"8":10},{"9":0}]</v>
      </c>
    </row>
    <row r="624" spans="1:5">
      <c r="A624" s="6">
        <f t="shared" si="31"/>
        <v>12021</v>
      </c>
      <c r="B624" s="6">
        <f t="shared" si="34"/>
        <v>21</v>
      </c>
      <c r="C624" s="6">
        <f t="shared" si="33"/>
        <v>161000</v>
      </c>
      <c r="D624" s="6">
        <v>12</v>
      </c>
      <c r="E624" s="7" t="str">
        <f>伙伴属性配置!W22</f>
        <v>[{"2":145},{"4":80},{"5":80},{"12":432},{"7":8},{"6":0},{"8":10},{"9":0}]</v>
      </c>
    </row>
    <row r="625" spans="1:5">
      <c r="A625" s="6">
        <f t="shared" si="31"/>
        <v>12022</v>
      </c>
      <c r="B625" s="6">
        <f t="shared" si="34"/>
        <v>22</v>
      </c>
      <c r="C625" s="6">
        <f t="shared" si="33"/>
        <v>186500</v>
      </c>
      <c r="D625" s="6">
        <v>12</v>
      </c>
      <c r="E625" s="7" t="str">
        <f>伙伴属性配置!W23</f>
        <v>[{"2":146},{"4":80},{"5":80},{"12":443},{"7":8},{"6":0},{"8":10},{"9":0}]</v>
      </c>
    </row>
    <row r="626" spans="1:5">
      <c r="A626" s="6">
        <f t="shared" si="31"/>
        <v>12023</v>
      </c>
      <c r="B626" s="6">
        <f t="shared" si="34"/>
        <v>23</v>
      </c>
      <c r="C626" s="6">
        <f t="shared" si="33"/>
        <v>215000</v>
      </c>
      <c r="D626" s="6">
        <v>12</v>
      </c>
      <c r="E626" s="7" t="str">
        <f>伙伴属性配置!W24</f>
        <v>[{"2":147},{"4":81},{"5":81},{"12":453},{"7":8},{"6":0},{"8":10},{"9":0}]</v>
      </c>
    </row>
    <row r="627" spans="1:5">
      <c r="A627" s="6">
        <f t="shared" si="31"/>
        <v>12024</v>
      </c>
      <c r="B627" s="6">
        <f t="shared" si="34"/>
        <v>24</v>
      </c>
      <c r="C627" s="6">
        <f t="shared" si="33"/>
        <v>246500</v>
      </c>
      <c r="D627" s="6">
        <v>12</v>
      </c>
      <c r="E627" s="7" t="str">
        <f>伙伴属性配置!W25</f>
        <v>[{"2":148},{"4":82},{"5":82},{"12":464},{"7":8},{"6":0},{"8":10},{"9":0}]</v>
      </c>
    </row>
    <row r="628" spans="1:5">
      <c r="A628" s="6">
        <f t="shared" si="31"/>
        <v>12025</v>
      </c>
      <c r="B628" s="6">
        <f t="shared" si="34"/>
        <v>25</v>
      </c>
      <c r="C628" s="6">
        <f t="shared" si="33"/>
        <v>281000</v>
      </c>
      <c r="D628" s="6">
        <v>12</v>
      </c>
      <c r="E628" s="7" t="str">
        <f>伙伴属性配置!W26</f>
        <v>[{"2":150},{"4":82},{"5":82},{"12":474},{"7":8},{"6":0},{"8":10},{"9":0}]</v>
      </c>
    </row>
    <row r="629" spans="1:5">
      <c r="A629" s="6">
        <f t="shared" si="31"/>
        <v>12026</v>
      </c>
      <c r="B629" s="6">
        <f t="shared" si="34"/>
        <v>26</v>
      </c>
      <c r="C629" s="6">
        <f t="shared" si="33"/>
        <v>320500</v>
      </c>
      <c r="D629" s="6">
        <v>12</v>
      </c>
      <c r="E629" s="7" t="str">
        <f>伙伴属性配置!W27</f>
        <v>[{"2":151},{"4":83},{"5":83},{"12":485},{"7":8},{"6":0},{"8":10},{"9":0}]</v>
      </c>
    </row>
    <row r="630" spans="1:5">
      <c r="A630" s="6">
        <f t="shared" si="31"/>
        <v>12027</v>
      </c>
      <c r="B630" s="6">
        <f t="shared" si="34"/>
        <v>27</v>
      </c>
      <c r="C630" s="6">
        <f t="shared" si="33"/>
        <v>365000</v>
      </c>
      <c r="D630" s="6">
        <v>12</v>
      </c>
      <c r="E630" s="7" t="str">
        <f>伙伴属性配置!W28</f>
        <v>[{"2":152},{"4":84},{"5":84},{"12":496},{"7":8},{"6":0},{"8":10},{"9":0}]</v>
      </c>
    </row>
    <row r="631" spans="1:5">
      <c r="A631" s="6">
        <f t="shared" si="31"/>
        <v>12028</v>
      </c>
      <c r="B631" s="6">
        <f t="shared" si="34"/>
        <v>28</v>
      </c>
      <c r="C631" s="6">
        <f t="shared" si="33"/>
        <v>414500</v>
      </c>
      <c r="D631" s="6">
        <v>12</v>
      </c>
      <c r="E631" s="7" t="str">
        <f>伙伴属性配置!W29</f>
        <v>[{"2":153},{"4":84},{"5":84},{"12":506},{"7":8},{"6":0},{"8":10},{"9":0}]</v>
      </c>
    </row>
    <row r="632" spans="1:5">
      <c r="A632" s="6">
        <f t="shared" si="31"/>
        <v>12029</v>
      </c>
      <c r="B632" s="6">
        <f t="shared" si="34"/>
        <v>29</v>
      </c>
      <c r="C632" s="6">
        <f t="shared" si="33"/>
        <v>469000</v>
      </c>
      <c r="D632" s="6">
        <v>12</v>
      </c>
      <c r="E632" s="7" t="str">
        <f>伙伴属性配置!W30</f>
        <v>[{"2":154},{"4":85},{"5":85},{"12":517},{"7":8},{"6":0},{"8":10},{"9":0}]</v>
      </c>
    </row>
    <row r="633" spans="1:5">
      <c r="A633" s="6">
        <f t="shared" si="31"/>
        <v>12030</v>
      </c>
      <c r="B633" s="6">
        <f t="shared" si="34"/>
        <v>30</v>
      </c>
      <c r="C633" s="6">
        <f t="shared" si="33"/>
        <v>528500</v>
      </c>
      <c r="D633" s="6">
        <v>12</v>
      </c>
      <c r="E633" s="7" t="str">
        <f>伙伴属性配置!W31</f>
        <v>[{"2":156},{"4":86},{"5":86},{"12":603},{"7":8},{"6":0},{"8":10},{"9":0}]</v>
      </c>
    </row>
    <row r="634" spans="1:5">
      <c r="A634" s="6">
        <f t="shared" si="31"/>
        <v>12031</v>
      </c>
      <c r="B634" s="6">
        <f t="shared" si="34"/>
        <v>31</v>
      </c>
      <c r="C634" s="6">
        <f t="shared" si="33"/>
        <v>596000</v>
      </c>
      <c r="D634" s="6">
        <v>12</v>
      </c>
      <c r="E634" s="7" t="str">
        <f>伙伴属性配置!W32</f>
        <v>[{"2":157},{"4":86},{"5":86},{"12":616},{"7":8},{"6":0},{"8":10},{"9":0}]</v>
      </c>
    </row>
    <row r="635" spans="1:5">
      <c r="A635" s="6">
        <f t="shared" si="31"/>
        <v>12032</v>
      </c>
      <c r="B635" s="6">
        <f t="shared" si="34"/>
        <v>32</v>
      </c>
      <c r="C635" s="6">
        <f t="shared" si="33"/>
        <v>671500</v>
      </c>
      <c r="D635" s="6">
        <v>12</v>
      </c>
      <c r="E635" s="7" t="str">
        <f>伙伴属性配置!W33</f>
        <v>[{"2":158},{"4":87},{"5":87},{"12":629},{"7":8},{"6":0},{"8":10},{"9":0}]</v>
      </c>
    </row>
    <row r="636" spans="1:5">
      <c r="A636" s="6">
        <f t="shared" si="31"/>
        <v>12033</v>
      </c>
      <c r="B636" s="6">
        <f t="shared" si="34"/>
        <v>33</v>
      </c>
      <c r="C636" s="6">
        <f t="shared" si="33"/>
        <v>755000</v>
      </c>
      <c r="D636" s="6">
        <v>12</v>
      </c>
      <c r="E636" s="7" t="str">
        <f>伙伴属性配置!W34</f>
        <v>[{"2":159},{"4":88},{"5":88},{"12":642},{"7":8},{"6":0},{"8":10},{"9":0}]</v>
      </c>
    </row>
    <row r="637" spans="1:5">
      <c r="A637" s="6">
        <f t="shared" si="31"/>
        <v>12034</v>
      </c>
      <c r="B637" s="6">
        <f t="shared" si="34"/>
        <v>34</v>
      </c>
      <c r="C637" s="6">
        <f t="shared" si="33"/>
        <v>846500</v>
      </c>
      <c r="D637" s="6">
        <v>12</v>
      </c>
      <c r="E637" s="7" t="str">
        <f>伙伴属性配置!W35</f>
        <v>[{"2":160},{"4":88},{"5":88},{"12":655},{"7":8},{"6":0},{"8":10},{"9":0}]</v>
      </c>
    </row>
    <row r="638" spans="1:5">
      <c r="A638" s="6">
        <f t="shared" si="31"/>
        <v>12035</v>
      </c>
      <c r="B638" s="6">
        <f t="shared" si="34"/>
        <v>35</v>
      </c>
      <c r="C638" s="6">
        <f t="shared" si="33"/>
        <v>946000</v>
      </c>
      <c r="D638" s="6">
        <v>12</v>
      </c>
      <c r="E638" s="7" t="str">
        <f>伙伴属性配置!W36</f>
        <v>[{"2":162},{"4":89},{"5":89},{"12":668},{"7":8},{"6":0},{"8":10},{"9":0}]</v>
      </c>
    </row>
    <row r="639" spans="1:5">
      <c r="A639" s="6">
        <f t="shared" si="31"/>
        <v>12036</v>
      </c>
      <c r="B639" s="6">
        <f t="shared" si="34"/>
        <v>36</v>
      </c>
      <c r="C639" s="6">
        <f t="shared" si="33"/>
        <v>1057500</v>
      </c>
      <c r="D639" s="6">
        <v>12</v>
      </c>
      <c r="E639" s="7" t="str">
        <f>伙伴属性配置!W37</f>
        <v>[{"2":163},{"4":90},{"5":90},{"12":681},{"7":8},{"6":0},{"8":10},{"9":0}]</v>
      </c>
    </row>
    <row r="640" spans="1:5">
      <c r="A640" s="6">
        <f t="shared" si="31"/>
        <v>12037</v>
      </c>
      <c r="B640" s="6">
        <f t="shared" si="34"/>
        <v>37</v>
      </c>
      <c r="C640" s="6">
        <f t="shared" si="33"/>
        <v>1181000</v>
      </c>
      <c r="D640" s="6">
        <v>12</v>
      </c>
      <c r="E640" s="7" t="str">
        <f>伙伴属性配置!W38</f>
        <v>[{"2":164},{"4":90},{"5":90},{"12":695},{"7":8},{"6":0},{"8":10},{"9":0}]</v>
      </c>
    </row>
    <row r="641" spans="1:5">
      <c r="A641" s="6">
        <f t="shared" si="31"/>
        <v>12038</v>
      </c>
      <c r="B641" s="6">
        <f t="shared" si="34"/>
        <v>38</v>
      </c>
      <c r="C641" s="6">
        <f t="shared" si="33"/>
        <v>1316500</v>
      </c>
      <c r="D641" s="6">
        <v>12</v>
      </c>
      <c r="E641" s="7" t="str">
        <f>伙伴属性配置!W39</f>
        <v>[{"2":165},{"4":91},{"5":91},{"12":708},{"7":8},{"6":0},{"8":10},{"9":0}]</v>
      </c>
    </row>
    <row r="642" spans="1:5">
      <c r="A642" s="6">
        <f t="shared" si="31"/>
        <v>12039</v>
      </c>
      <c r="B642" s="6">
        <f t="shared" si="34"/>
        <v>39</v>
      </c>
      <c r="C642" s="6">
        <f t="shared" si="33"/>
        <v>1464000</v>
      </c>
      <c r="D642" s="6">
        <v>12</v>
      </c>
      <c r="E642" s="7" t="str">
        <f>伙伴属性配置!W40</f>
        <v>[{"2":166},{"4":92},{"5":92},{"12":721},{"7":8},{"6":0},{"8":10},{"9":0}]</v>
      </c>
    </row>
    <row r="643" spans="1:5">
      <c r="A643" s="6">
        <f t="shared" si="31"/>
        <v>12040</v>
      </c>
      <c r="B643" s="6">
        <f t="shared" si="34"/>
        <v>40</v>
      </c>
      <c r="C643" s="6">
        <f t="shared" si="33"/>
        <v>1623500</v>
      </c>
      <c r="D643" s="6">
        <v>12</v>
      </c>
      <c r="E643" s="7" t="str">
        <f>伙伴属性配置!W41</f>
        <v>[{"2":168},{"4":92},{"5":92},{"12":734},{"7":8},{"6":0},{"8":10},{"9":0}]</v>
      </c>
    </row>
    <row r="644" spans="1:5">
      <c r="A644" s="6">
        <f t="shared" si="31"/>
        <v>12041</v>
      </c>
      <c r="B644" s="6">
        <f t="shared" si="34"/>
        <v>41</v>
      </c>
      <c r="C644" s="6">
        <f t="shared" si="33"/>
        <v>1813000</v>
      </c>
      <c r="D644" s="6">
        <v>12</v>
      </c>
      <c r="E644" s="7" t="str">
        <f>伙伴属性配置!W42</f>
        <v>[{"2":169},{"4":93},{"5":93},{"12":747},{"7":8},{"6":0},{"8":10},{"9":0}]</v>
      </c>
    </row>
    <row r="645" spans="1:5">
      <c r="A645" s="6">
        <f t="shared" ref="A645:A708" si="35">D645*1000+B645</f>
        <v>12042</v>
      </c>
      <c r="B645" s="6">
        <f t="shared" si="34"/>
        <v>42</v>
      </c>
      <c r="C645" s="6">
        <f t="shared" si="33"/>
        <v>2032500</v>
      </c>
      <c r="D645" s="6">
        <v>12</v>
      </c>
      <c r="E645" s="7" t="str">
        <f>伙伴属性配置!W43</f>
        <v>[{"2":170},{"4":94},{"5":94},{"12":760},{"7":8},{"6":0},{"8":10},{"9":0}]</v>
      </c>
    </row>
    <row r="646" spans="1:5">
      <c r="A646" s="6">
        <f t="shared" si="35"/>
        <v>12043</v>
      </c>
      <c r="B646" s="6">
        <f t="shared" si="34"/>
        <v>43</v>
      </c>
      <c r="C646" s="6">
        <f t="shared" si="33"/>
        <v>2282000</v>
      </c>
      <c r="D646" s="6">
        <v>12</v>
      </c>
      <c r="E646" s="7" t="str">
        <f>伙伴属性配置!W44</f>
        <v>[{"2":171},{"4":94},{"5":94},{"12":773},{"7":8},{"6":0},{"8":10},{"9":0}]</v>
      </c>
    </row>
    <row r="647" spans="1:5">
      <c r="A647" s="6">
        <f t="shared" si="35"/>
        <v>12044</v>
      </c>
      <c r="B647" s="6">
        <f t="shared" si="34"/>
        <v>44</v>
      </c>
      <c r="C647" s="6">
        <f t="shared" si="33"/>
        <v>2561500</v>
      </c>
      <c r="D647" s="6">
        <v>12</v>
      </c>
      <c r="E647" s="7" t="str">
        <f>伙伴属性配置!W45</f>
        <v>[{"2":172},{"4":95},{"5":95},{"12":786},{"7":8},{"6":0},{"8":10},{"9":0}]</v>
      </c>
    </row>
    <row r="648" spans="1:5">
      <c r="A648" s="6">
        <f t="shared" si="35"/>
        <v>12045</v>
      </c>
      <c r="B648" s="6">
        <f t="shared" ref="B648:B681" si="36">B498</f>
        <v>45</v>
      </c>
      <c r="C648" s="6">
        <f t="shared" si="33"/>
        <v>2871000</v>
      </c>
      <c r="D648" s="6">
        <v>12</v>
      </c>
      <c r="E648" s="7" t="str">
        <f>伙伴属性配置!W46</f>
        <v>[{"2":174},{"4":96},{"5":96},{"12":799},{"7":8},{"6":0},{"8":10},{"9":0}]</v>
      </c>
    </row>
    <row r="649" spans="1:5">
      <c r="A649" s="6">
        <f t="shared" si="35"/>
        <v>12046</v>
      </c>
      <c r="B649" s="6">
        <f t="shared" si="36"/>
        <v>46</v>
      </c>
      <c r="C649" s="6">
        <f t="shared" si="33"/>
        <v>3230500</v>
      </c>
      <c r="D649" s="6">
        <v>12</v>
      </c>
      <c r="E649" s="7" t="str">
        <f>伙伴属性配置!W47</f>
        <v>[{"2":175},{"4":96},{"5":96},{"12":812},{"7":8},{"6":0},{"8":10},{"9":0}]</v>
      </c>
    </row>
    <row r="650" spans="1:5">
      <c r="A650" s="6">
        <f t="shared" si="35"/>
        <v>12047</v>
      </c>
      <c r="B650" s="6">
        <f t="shared" si="36"/>
        <v>47</v>
      </c>
      <c r="C650" s="6">
        <f t="shared" si="33"/>
        <v>3640000</v>
      </c>
      <c r="D650" s="6">
        <v>12</v>
      </c>
      <c r="E650" s="7" t="str">
        <f>伙伴属性配置!W48</f>
        <v>[{"2":176},{"4":97},{"5":97},{"12":825},{"7":8},{"6":0},{"8":10},{"9":0}]</v>
      </c>
    </row>
    <row r="651" spans="1:5">
      <c r="A651" s="6">
        <f t="shared" si="35"/>
        <v>12048</v>
      </c>
      <c r="B651" s="6">
        <f t="shared" si="36"/>
        <v>48</v>
      </c>
      <c r="C651" s="6">
        <f t="shared" si="33"/>
        <v>4099500</v>
      </c>
      <c r="D651" s="6">
        <v>12</v>
      </c>
      <c r="E651" s="7" t="str">
        <f>伙伴属性配置!W49</f>
        <v>[{"2":177},{"4":98},{"5":98},{"12":838},{"7":8},{"6":0},{"8":10},{"9":0}]</v>
      </c>
    </row>
    <row r="652" spans="1:5">
      <c r="A652" s="6">
        <f t="shared" si="35"/>
        <v>12049</v>
      </c>
      <c r="B652" s="6">
        <f t="shared" si="36"/>
        <v>49</v>
      </c>
      <c r="C652" s="6">
        <f t="shared" si="33"/>
        <v>4609000</v>
      </c>
      <c r="D652" s="6">
        <v>12</v>
      </c>
      <c r="E652" s="7" t="str">
        <f>伙伴属性配置!W50</f>
        <v>[{"2":178},{"4":98},{"5":98},{"12":851},{"7":8},{"6":0},{"8":10},{"9":0}]</v>
      </c>
    </row>
    <row r="653" spans="1:5">
      <c r="A653" s="6">
        <f t="shared" si="35"/>
        <v>12050</v>
      </c>
      <c r="B653" s="6">
        <f t="shared" si="36"/>
        <v>50</v>
      </c>
      <c r="C653" s="6">
        <f t="shared" si="33"/>
        <v>5168500</v>
      </c>
      <c r="D653" s="6">
        <v>12</v>
      </c>
      <c r="E653" s="7" t="str">
        <f>伙伴属性配置!W51</f>
        <v>[{"2":180},{"4":99},{"5":99},{"12":1033},{"7":8},{"6":0},{"8":10},{"9":0}]</v>
      </c>
    </row>
    <row r="654" spans="1:5">
      <c r="A654" s="6">
        <f t="shared" si="35"/>
        <v>12051</v>
      </c>
      <c r="B654" s="6">
        <f t="shared" si="36"/>
        <v>51</v>
      </c>
      <c r="C654" s="6">
        <f t="shared" si="33"/>
        <v>5808000</v>
      </c>
      <c r="D654" s="6">
        <v>12</v>
      </c>
      <c r="E654" s="7" t="str">
        <f>伙伴属性配置!W52</f>
        <v>[{"2":181},{"4":100},{"5":100},{"12":1050},{"7":8},{"6":0},{"8":10},{"9":0}]</v>
      </c>
    </row>
    <row r="655" spans="1:5">
      <c r="A655" s="6">
        <f t="shared" si="35"/>
        <v>12052</v>
      </c>
      <c r="B655" s="6">
        <f t="shared" si="36"/>
        <v>52</v>
      </c>
      <c r="C655" s="6">
        <f t="shared" si="33"/>
        <v>6527500</v>
      </c>
      <c r="D655" s="6">
        <v>12</v>
      </c>
      <c r="E655" s="7" t="str">
        <f>伙伴属性配置!W53</f>
        <v>[{"2":182},{"4":100},{"5":100},{"12":1066},{"7":8},{"6":0},{"8":10},{"9":0}]</v>
      </c>
    </row>
    <row r="656" spans="1:5">
      <c r="A656" s="6">
        <f t="shared" si="35"/>
        <v>12053</v>
      </c>
      <c r="B656" s="6">
        <f t="shared" si="36"/>
        <v>53</v>
      </c>
      <c r="C656" s="6">
        <f t="shared" si="33"/>
        <v>7327000</v>
      </c>
      <c r="D656" s="6">
        <v>12</v>
      </c>
      <c r="E656" s="7" t="str">
        <f>伙伴属性配置!W54</f>
        <v>[{"2":183},{"4":101},{"5":101},{"12":1083},{"7":8},{"6":0},{"8":10},{"9":0}]</v>
      </c>
    </row>
    <row r="657" spans="1:5">
      <c r="A657" s="6">
        <f t="shared" si="35"/>
        <v>12054</v>
      </c>
      <c r="B657" s="6">
        <f t="shared" si="36"/>
        <v>54</v>
      </c>
      <c r="C657" s="6">
        <f t="shared" si="33"/>
        <v>8206500</v>
      </c>
      <c r="D657" s="6">
        <v>12</v>
      </c>
      <c r="E657" s="7" t="str">
        <f>伙伴属性配置!W55</f>
        <v>[{"2":184},{"4":102},{"5":102},{"12":1099},{"7":8},{"6":0},{"8":10},{"9":0}]</v>
      </c>
    </row>
    <row r="658" spans="1:5">
      <c r="A658" s="6">
        <f t="shared" si="35"/>
        <v>12055</v>
      </c>
      <c r="B658" s="6">
        <f t="shared" si="36"/>
        <v>55</v>
      </c>
      <c r="C658" s="6">
        <f t="shared" si="33"/>
        <v>9166000</v>
      </c>
      <c r="D658" s="6">
        <v>12</v>
      </c>
      <c r="E658" s="7" t="str">
        <f>伙伴属性配置!W56</f>
        <v>[{"2":186},{"4":102},{"5":102},{"12":1115},{"7":8},{"6":0},{"8":10},{"9":0}]</v>
      </c>
    </row>
    <row r="659" spans="1:5">
      <c r="A659" s="6">
        <f t="shared" si="35"/>
        <v>12056</v>
      </c>
      <c r="B659" s="6">
        <f t="shared" si="36"/>
        <v>56</v>
      </c>
      <c r="C659" s="6">
        <f t="shared" si="33"/>
        <v>10225500</v>
      </c>
      <c r="D659" s="6">
        <v>12</v>
      </c>
      <c r="E659" s="7" t="str">
        <f>伙伴属性配置!W57</f>
        <v>[{"2":187},{"4":103},{"5":103},{"12":1132},{"7":8},{"6":0},{"8":10},{"9":0}]</v>
      </c>
    </row>
    <row r="660" spans="1:5">
      <c r="A660" s="6">
        <f t="shared" si="35"/>
        <v>12057</v>
      </c>
      <c r="B660" s="6">
        <f t="shared" si="36"/>
        <v>57</v>
      </c>
      <c r="C660" s="6">
        <f t="shared" si="33"/>
        <v>11385000</v>
      </c>
      <c r="D660" s="6">
        <v>12</v>
      </c>
      <c r="E660" s="7" t="str">
        <f>伙伴属性配置!W58</f>
        <v>[{"2":188},{"4":104},{"5":104},{"12":1148},{"7":8},{"6":0},{"8":10},{"9":0}]</v>
      </c>
    </row>
    <row r="661" spans="1:5">
      <c r="A661" s="6">
        <f t="shared" si="35"/>
        <v>12058</v>
      </c>
      <c r="B661" s="6">
        <f t="shared" si="36"/>
        <v>58</v>
      </c>
      <c r="C661" s="6">
        <f t="shared" si="33"/>
        <v>12644500</v>
      </c>
      <c r="D661" s="6">
        <v>12</v>
      </c>
      <c r="E661" s="7" t="str">
        <f>伙伴属性配置!W59</f>
        <v>[{"2":189},{"4":104},{"5":104},{"12":1165},{"7":8},{"6":0},{"8":10},{"9":0}]</v>
      </c>
    </row>
    <row r="662" spans="1:5">
      <c r="A662" s="6">
        <f t="shared" si="35"/>
        <v>12059</v>
      </c>
      <c r="B662" s="6">
        <f t="shared" si="36"/>
        <v>59</v>
      </c>
      <c r="C662" s="6">
        <f t="shared" si="33"/>
        <v>14004000</v>
      </c>
      <c r="D662" s="6">
        <v>12</v>
      </c>
      <c r="E662" s="7" t="str">
        <f>伙伴属性配置!W60</f>
        <v>[{"2":190},{"4":105},{"5":105},{"12":1181},{"7":8},{"6":0},{"8":10},{"9":0}]</v>
      </c>
    </row>
    <row r="663" spans="1:5">
      <c r="A663" s="6">
        <f t="shared" si="35"/>
        <v>12060</v>
      </c>
      <c r="B663" s="6">
        <f t="shared" si="36"/>
        <v>60</v>
      </c>
      <c r="C663" s="6">
        <f t="shared" si="33"/>
        <v>15463500</v>
      </c>
      <c r="D663" s="6">
        <v>12</v>
      </c>
      <c r="E663" s="7" t="str">
        <f>伙伴属性配置!W61</f>
        <v>[{"2":192},{"4":106},{"5":106},{"12":1198},{"7":8},{"6":0},{"8":10},{"9":0}]</v>
      </c>
    </row>
    <row r="664" spans="1:5">
      <c r="A664" s="6">
        <f t="shared" si="35"/>
        <v>12061</v>
      </c>
      <c r="B664" s="6">
        <f t="shared" si="36"/>
        <v>61</v>
      </c>
      <c r="C664" s="6">
        <f t="shared" si="33"/>
        <v>17063000</v>
      </c>
      <c r="D664" s="6">
        <v>12</v>
      </c>
      <c r="E664" s="7" t="str">
        <f>伙伴属性配置!W62</f>
        <v>[{"2":193},{"4":106},{"5":106},{"12":1214},{"7":8},{"6":0},{"8":10},{"9":0}]</v>
      </c>
    </row>
    <row r="665" spans="1:5">
      <c r="A665" s="6">
        <f t="shared" si="35"/>
        <v>12062</v>
      </c>
      <c r="B665" s="6">
        <f t="shared" si="36"/>
        <v>62</v>
      </c>
      <c r="C665" s="6">
        <f t="shared" si="33"/>
        <v>18802500</v>
      </c>
      <c r="D665" s="6">
        <v>12</v>
      </c>
      <c r="E665" s="7" t="str">
        <f>伙伴属性配置!W63</f>
        <v>[{"2":194},{"4":107},{"5":107},{"12":1231},{"7":8},{"6":0},{"8":10},{"9":0}]</v>
      </c>
    </row>
    <row r="666" spans="1:5">
      <c r="A666" s="6">
        <f t="shared" si="35"/>
        <v>12063</v>
      </c>
      <c r="B666" s="6">
        <f t="shared" si="36"/>
        <v>63</v>
      </c>
      <c r="C666" s="6">
        <f t="shared" si="33"/>
        <v>20682000</v>
      </c>
      <c r="D666" s="6">
        <v>12</v>
      </c>
      <c r="E666" s="7" t="str">
        <f>伙伴属性配置!W64</f>
        <v>[{"2":195},{"4":108},{"5":108},{"12":1247},{"7":8},{"6":0},{"8":10},{"9":0}]</v>
      </c>
    </row>
    <row r="667" spans="1:5">
      <c r="A667" s="6">
        <f t="shared" si="35"/>
        <v>12064</v>
      </c>
      <c r="B667" s="6">
        <f t="shared" si="36"/>
        <v>64</v>
      </c>
      <c r="C667" s="6">
        <f t="shared" ref="C667:C730" si="37">C517</f>
        <v>22701500</v>
      </c>
      <c r="D667" s="6">
        <v>12</v>
      </c>
      <c r="E667" s="7" t="str">
        <f>伙伴属性配置!W65</f>
        <v>[{"2":196},{"4":108},{"5":108},{"12":1263},{"7":8},{"6":0},{"8":10},{"9":0}]</v>
      </c>
    </row>
    <row r="668" spans="1:5">
      <c r="A668" s="6">
        <f t="shared" si="35"/>
        <v>12065</v>
      </c>
      <c r="B668" s="6">
        <f t="shared" si="36"/>
        <v>65</v>
      </c>
      <c r="C668" s="6">
        <f t="shared" si="37"/>
        <v>24861000</v>
      </c>
      <c r="D668" s="6">
        <v>12</v>
      </c>
      <c r="E668" s="7" t="str">
        <f>伙伴属性配置!W66</f>
        <v>[{"2":198},{"4":109},{"5":109},{"12":1280},{"7":8},{"6":0},{"8":10},{"9":0}]</v>
      </c>
    </row>
    <row r="669" spans="1:5">
      <c r="A669" s="6">
        <f t="shared" si="35"/>
        <v>12066</v>
      </c>
      <c r="B669" s="6">
        <f t="shared" si="36"/>
        <v>66</v>
      </c>
      <c r="C669" s="6">
        <f t="shared" si="37"/>
        <v>27200500</v>
      </c>
      <c r="D669" s="6">
        <v>12</v>
      </c>
      <c r="E669" s="7" t="str">
        <f>伙伴属性配置!W67</f>
        <v>[{"2":199},{"4":110},{"5":110},{"12":1296},{"7":8},{"6":0},{"8":10},{"9":0}]</v>
      </c>
    </row>
    <row r="670" spans="1:5">
      <c r="A670" s="6">
        <f t="shared" si="35"/>
        <v>12067</v>
      </c>
      <c r="B670" s="6">
        <f t="shared" si="36"/>
        <v>67</v>
      </c>
      <c r="C670" s="6">
        <f t="shared" si="37"/>
        <v>29720000</v>
      </c>
      <c r="D670" s="6">
        <v>12</v>
      </c>
      <c r="E670" s="7" t="str">
        <f>伙伴属性配置!W68</f>
        <v>[{"2":200},{"4":110},{"5":110},{"12":1313},{"7":8},{"6":0},{"8":10},{"9":0}]</v>
      </c>
    </row>
    <row r="671" spans="1:5">
      <c r="A671" s="6">
        <f t="shared" si="35"/>
        <v>12068</v>
      </c>
      <c r="B671" s="6">
        <f t="shared" si="36"/>
        <v>68</v>
      </c>
      <c r="C671" s="6">
        <f t="shared" si="37"/>
        <v>32419500</v>
      </c>
      <c r="D671" s="6">
        <v>12</v>
      </c>
      <c r="E671" s="7" t="str">
        <f>伙伴属性配置!W69</f>
        <v>[{"2":201},{"4":111},{"5":111},{"12":1329},{"7":8},{"6":0},{"8":10},{"9":0}]</v>
      </c>
    </row>
    <row r="672" spans="1:5">
      <c r="A672" s="6">
        <f t="shared" si="35"/>
        <v>12069</v>
      </c>
      <c r="B672" s="6">
        <f t="shared" si="36"/>
        <v>69</v>
      </c>
      <c r="C672" s="6">
        <f t="shared" si="37"/>
        <v>35299000</v>
      </c>
      <c r="D672" s="6">
        <v>12</v>
      </c>
      <c r="E672" s="7" t="str">
        <f>伙伴属性配置!W70</f>
        <v>[{"2":202},{"4":112},{"5":112},{"12":1346},{"7":8},{"6":0},{"8":10},{"9":0}]</v>
      </c>
    </row>
    <row r="673" spans="1:5">
      <c r="A673" s="6">
        <f t="shared" si="35"/>
        <v>12070</v>
      </c>
      <c r="B673" s="6">
        <f t="shared" si="36"/>
        <v>70</v>
      </c>
      <c r="C673" s="6">
        <f t="shared" si="37"/>
        <v>38358500</v>
      </c>
      <c r="D673" s="6">
        <v>12</v>
      </c>
      <c r="E673" s="7" t="str">
        <f>伙伴属性配置!W71</f>
        <v>[{"2":204},{"4":112},{"5":112},{"12":1687},{"7":8},{"6":0},{"8":10},{"9":0}]</v>
      </c>
    </row>
    <row r="674" spans="1:5">
      <c r="A674" s="6">
        <f t="shared" si="35"/>
        <v>12071</v>
      </c>
      <c r="B674" s="6">
        <f t="shared" si="36"/>
        <v>71</v>
      </c>
      <c r="C674" s="6">
        <f t="shared" si="37"/>
        <v>41668000</v>
      </c>
      <c r="D674" s="6">
        <v>12</v>
      </c>
      <c r="E674" s="7" t="str">
        <f>伙伴属性配置!W72</f>
        <v>[{"2":205},{"4":113},{"5":113},{"12":1708},{"7":8},{"6":0},{"8":10},{"9":0}]</v>
      </c>
    </row>
    <row r="675" spans="1:5">
      <c r="A675" s="6">
        <f t="shared" si="35"/>
        <v>12072</v>
      </c>
      <c r="B675" s="6">
        <f t="shared" si="36"/>
        <v>72</v>
      </c>
      <c r="C675" s="6">
        <f t="shared" si="37"/>
        <v>45227500</v>
      </c>
      <c r="D675" s="6">
        <v>12</v>
      </c>
      <c r="E675" s="7" t="str">
        <f>伙伴属性配置!W73</f>
        <v>[{"2":206},{"4":114},{"5":114},{"12":1729},{"7":8},{"6":0},{"8":10},{"9":0}]</v>
      </c>
    </row>
    <row r="676" spans="1:5">
      <c r="A676" s="6">
        <f t="shared" si="35"/>
        <v>12073</v>
      </c>
      <c r="B676" s="6">
        <f t="shared" si="36"/>
        <v>73</v>
      </c>
      <c r="C676" s="6">
        <f t="shared" si="37"/>
        <v>49037000</v>
      </c>
      <c r="D676" s="6">
        <v>12</v>
      </c>
      <c r="E676" s="7" t="str">
        <f>伙伴属性配置!W74</f>
        <v>[{"2":207},{"4":114},{"5":114},{"12":1750},{"7":8},{"6":0},{"8":10},{"9":0}]</v>
      </c>
    </row>
    <row r="677" spans="1:5">
      <c r="A677" s="6">
        <f t="shared" si="35"/>
        <v>12074</v>
      </c>
      <c r="B677" s="6">
        <f t="shared" si="36"/>
        <v>74</v>
      </c>
      <c r="C677" s="6">
        <f t="shared" si="37"/>
        <v>53096500</v>
      </c>
      <c r="D677" s="6">
        <v>12</v>
      </c>
      <c r="E677" s="7" t="str">
        <f>伙伴属性配置!W75</f>
        <v>[{"2":208},{"4":115},{"5":115},{"12":1771},{"7":8},{"6":0},{"8":10},{"9":0}]</v>
      </c>
    </row>
    <row r="678" spans="1:5">
      <c r="A678" s="6">
        <f t="shared" si="35"/>
        <v>12075</v>
      </c>
      <c r="B678" s="6">
        <f t="shared" si="36"/>
        <v>75</v>
      </c>
      <c r="C678" s="6">
        <f t="shared" si="37"/>
        <v>57406000</v>
      </c>
      <c r="D678" s="6">
        <v>12</v>
      </c>
      <c r="E678" s="7" t="str">
        <f>伙伴属性配置!W76</f>
        <v>[{"2":210},{"4":116},{"5":116},{"12":1792},{"7":8},{"6":0},{"8":10},{"9":0}]</v>
      </c>
    </row>
    <row r="679" spans="1:5">
      <c r="A679" s="6">
        <f t="shared" si="35"/>
        <v>12076</v>
      </c>
      <c r="B679" s="6">
        <f t="shared" si="36"/>
        <v>76</v>
      </c>
      <c r="C679" s="6">
        <f t="shared" si="37"/>
        <v>62215500</v>
      </c>
      <c r="D679" s="6">
        <v>12</v>
      </c>
      <c r="E679" s="7" t="str">
        <f>伙伴属性配置!W77</f>
        <v>[{"2":211},{"4":116},{"5":116},{"12":1813},{"7":8},{"6":0},{"8":10},{"9":0}]</v>
      </c>
    </row>
    <row r="680" spans="1:5">
      <c r="A680" s="6">
        <f t="shared" si="35"/>
        <v>12077</v>
      </c>
      <c r="B680" s="6">
        <f t="shared" si="36"/>
        <v>77</v>
      </c>
      <c r="C680" s="6">
        <f t="shared" si="37"/>
        <v>67525000</v>
      </c>
      <c r="D680" s="6">
        <v>12</v>
      </c>
      <c r="E680" s="7" t="str">
        <f>伙伴属性配置!W78</f>
        <v>[{"2":212},{"4":117},{"5":117},{"12":1834},{"7":8},{"6":0},{"8":10},{"9":0}]</v>
      </c>
    </row>
    <row r="681" spans="1:5">
      <c r="A681" s="6">
        <f t="shared" si="35"/>
        <v>12078</v>
      </c>
      <c r="B681" s="6">
        <f t="shared" si="36"/>
        <v>78</v>
      </c>
      <c r="C681" s="6">
        <f t="shared" si="37"/>
        <v>73334500</v>
      </c>
      <c r="D681" s="6">
        <v>12</v>
      </c>
      <c r="E681" s="7" t="str">
        <f>伙伴属性配置!W79</f>
        <v>[{"2":213},{"4":118},{"5":118},{"12":1855},{"7":8},{"6":0},{"8":10},{"9":0}]</v>
      </c>
    </row>
    <row r="682" spans="1:5">
      <c r="A682" s="6">
        <f t="shared" si="35"/>
        <v>12079</v>
      </c>
      <c r="B682" s="6">
        <f t="shared" ref="B682:B729" si="38">B532</f>
        <v>79</v>
      </c>
      <c r="C682" s="6">
        <f t="shared" si="37"/>
        <v>79644000</v>
      </c>
      <c r="D682" s="6">
        <v>12</v>
      </c>
      <c r="E682" s="7" t="str">
        <f>伙伴属性配置!W80</f>
        <v>[{"2":214},{"4":118},{"5":118},{"12":1877},{"7":8},{"6":0},{"8":10},{"9":0}]</v>
      </c>
    </row>
    <row r="683" spans="1:5">
      <c r="A683" s="6">
        <f t="shared" si="35"/>
        <v>12080</v>
      </c>
      <c r="B683" s="6">
        <f t="shared" si="38"/>
        <v>80</v>
      </c>
      <c r="C683" s="6">
        <f t="shared" si="37"/>
        <v>86453500</v>
      </c>
      <c r="D683" s="6">
        <v>12</v>
      </c>
      <c r="E683" s="7" t="str">
        <f>伙伴属性配置!W81</f>
        <v>[{"2":216},{"4":119},{"5":119},{"12":1898},{"7":8},{"6":0},{"8":10},{"9":0}]</v>
      </c>
    </row>
    <row r="684" spans="1:5">
      <c r="A684" s="6">
        <f t="shared" si="35"/>
        <v>12081</v>
      </c>
      <c r="B684" s="6">
        <f t="shared" si="38"/>
        <v>81</v>
      </c>
      <c r="C684" s="6">
        <f t="shared" si="37"/>
        <v>94263000</v>
      </c>
      <c r="D684" s="6">
        <v>12</v>
      </c>
      <c r="E684" s="7" t="str">
        <f>伙伴属性配置!W82</f>
        <v>[{"2":217},{"4":120},{"5":120},{"12":1919},{"7":8},{"6":0},{"8":10},{"9":0}]</v>
      </c>
    </row>
    <row r="685" spans="1:5">
      <c r="A685" s="6">
        <f t="shared" si="35"/>
        <v>12082</v>
      </c>
      <c r="B685" s="6">
        <f t="shared" si="38"/>
        <v>82</v>
      </c>
      <c r="C685" s="6">
        <f t="shared" si="37"/>
        <v>103072500</v>
      </c>
      <c r="D685" s="6">
        <v>12</v>
      </c>
      <c r="E685" s="7" t="str">
        <f>伙伴属性配置!W83</f>
        <v>[{"2":218},{"4":120},{"5":120},{"12":1940},{"7":8},{"6":0},{"8":10},{"9":0}]</v>
      </c>
    </row>
    <row r="686" spans="1:5">
      <c r="A686" s="6">
        <f t="shared" si="35"/>
        <v>12083</v>
      </c>
      <c r="B686" s="6">
        <f t="shared" si="38"/>
        <v>83</v>
      </c>
      <c r="C686" s="6">
        <f t="shared" si="37"/>
        <v>112882000</v>
      </c>
      <c r="D686" s="6">
        <v>12</v>
      </c>
      <c r="E686" s="7" t="str">
        <f>伙伴属性配置!W84</f>
        <v>[{"2":219},{"4":121},{"5":121},{"12":1961},{"7":8},{"6":0},{"8":10},{"9":0}]</v>
      </c>
    </row>
    <row r="687" spans="1:5">
      <c r="A687" s="6">
        <f t="shared" si="35"/>
        <v>12084</v>
      </c>
      <c r="B687" s="6">
        <f t="shared" si="38"/>
        <v>84</v>
      </c>
      <c r="C687" s="6">
        <f t="shared" si="37"/>
        <v>123691500</v>
      </c>
      <c r="D687" s="6">
        <v>12</v>
      </c>
      <c r="E687" s="7" t="str">
        <f>伙伴属性配置!W85</f>
        <v>[{"2":220},{"4":122},{"5":122},{"12":2478},{"7":8},{"6":0},{"8":10},{"9":0}]</v>
      </c>
    </row>
    <row r="688" spans="1:5">
      <c r="A688" s="6">
        <f t="shared" si="35"/>
        <v>12085</v>
      </c>
      <c r="B688" s="6">
        <f t="shared" si="38"/>
        <v>85</v>
      </c>
      <c r="C688" s="6">
        <f t="shared" si="37"/>
        <v>135501000</v>
      </c>
      <c r="D688" s="6">
        <v>12</v>
      </c>
      <c r="E688" s="7" t="str">
        <f>伙伴属性配置!W86</f>
        <v>[{"2":222},{"4":122},{"5":122},{"12":2505},{"7":8},{"6":0},{"8":10},{"9":0}]</v>
      </c>
    </row>
    <row r="689" spans="1:5">
      <c r="A689" s="6">
        <f t="shared" si="35"/>
        <v>12086</v>
      </c>
      <c r="B689" s="6">
        <f t="shared" si="38"/>
        <v>86</v>
      </c>
      <c r="C689" s="6">
        <f t="shared" si="37"/>
        <v>152310500</v>
      </c>
      <c r="D689" s="6">
        <v>12</v>
      </c>
      <c r="E689" s="7" t="str">
        <f>伙伴属性配置!W87</f>
        <v>[{"2":223},{"4":123},{"5":123},{"12":2532},{"7":8},{"6":0},{"8":10},{"9":0}]</v>
      </c>
    </row>
    <row r="690" spans="1:5">
      <c r="A690" s="6">
        <f t="shared" si="35"/>
        <v>12087</v>
      </c>
      <c r="B690" s="6">
        <f t="shared" si="38"/>
        <v>87</v>
      </c>
      <c r="C690" s="6">
        <f t="shared" si="37"/>
        <v>174120000</v>
      </c>
      <c r="D690" s="6">
        <v>12</v>
      </c>
      <c r="E690" s="7" t="str">
        <f>伙伴属性配置!W88</f>
        <v>[{"2":224},{"4":124},{"5":124},{"12":2559},{"7":8},{"6":0},{"8":10},{"9":0}]</v>
      </c>
    </row>
    <row r="691" spans="1:5">
      <c r="A691" s="6">
        <f t="shared" si="35"/>
        <v>12088</v>
      </c>
      <c r="B691" s="6">
        <f t="shared" si="38"/>
        <v>88</v>
      </c>
      <c r="C691" s="6">
        <f t="shared" si="37"/>
        <v>200929500</v>
      </c>
      <c r="D691" s="6">
        <v>12</v>
      </c>
      <c r="E691" s="7" t="str">
        <f>伙伴属性配置!W89</f>
        <v>[{"2":225},{"4":124},{"5":124},{"12":2586},{"7":8},{"6":0},{"8":10},{"9":0}]</v>
      </c>
    </row>
    <row r="692" spans="1:5">
      <c r="A692" s="6">
        <f t="shared" si="35"/>
        <v>12089</v>
      </c>
      <c r="B692" s="6">
        <f t="shared" si="38"/>
        <v>89</v>
      </c>
      <c r="C692" s="6">
        <f t="shared" si="37"/>
        <v>232739000</v>
      </c>
      <c r="D692" s="6">
        <v>12</v>
      </c>
      <c r="E692" s="7" t="str">
        <f>伙伴属性配置!W90</f>
        <v>[{"2":226},{"4":125},{"5":125},{"12":2613},{"7":8},{"6":0},{"8":10},{"9":0}]</v>
      </c>
    </row>
    <row r="693" spans="1:5">
      <c r="A693" s="6">
        <f t="shared" si="35"/>
        <v>12090</v>
      </c>
      <c r="B693" s="6">
        <f t="shared" si="38"/>
        <v>90</v>
      </c>
      <c r="C693" s="6">
        <f t="shared" si="37"/>
        <v>269548500</v>
      </c>
      <c r="D693" s="6">
        <v>12</v>
      </c>
      <c r="E693" s="7" t="str">
        <f>伙伴属性配置!W91</f>
        <v>[{"2":228},{"4":126},{"5":126},{"12":2640},{"7":8},{"6":0},{"8":10},{"9":0}]</v>
      </c>
    </row>
    <row r="694" spans="1:5">
      <c r="A694" s="6">
        <f t="shared" si="35"/>
        <v>12091</v>
      </c>
      <c r="B694" s="6">
        <f t="shared" si="38"/>
        <v>91</v>
      </c>
      <c r="C694" s="6">
        <f t="shared" si="37"/>
        <v>326358000</v>
      </c>
      <c r="D694" s="6">
        <v>12</v>
      </c>
      <c r="E694" s="7" t="str">
        <f>伙伴属性配置!W92</f>
        <v>[{"2":229},{"4":126},{"5":126},{"12":2667},{"7":8},{"6":0},{"8":10},{"9":0}]</v>
      </c>
    </row>
    <row r="695" spans="1:5">
      <c r="A695" s="6">
        <f t="shared" si="35"/>
        <v>12092</v>
      </c>
      <c r="B695" s="6">
        <f t="shared" si="38"/>
        <v>92</v>
      </c>
      <c r="C695" s="6">
        <f t="shared" si="37"/>
        <v>403167500</v>
      </c>
      <c r="D695" s="6">
        <v>12</v>
      </c>
      <c r="E695" s="7" t="str">
        <f>伙伴属性配置!W93</f>
        <v>[{"2":230},{"4":127},{"5":127},{"12":2694},{"7":8},{"6":0},{"8":10},{"9":0}]</v>
      </c>
    </row>
    <row r="696" spans="1:5">
      <c r="A696" s="6">
        <f t="shared" si="35"/>
        <v>12093</v>
      </c>
      <c r="B696" s="6">
        <f t="shared" si="38"/>
        <v>93</v>
      </c>
      <c r="C696" s="6">
        <f t="shared" si="37"/>
        <v>499977000</v>
      </c>
      <c r="D696" s="6">
        <v>12</v>
      </c>
      <c r="E696" s="7" t="str">
        <f>伙伴属性配置!W94</f>
        <v>[{"2":231},{"4":128},{"5":128},{"12":2720},{"7":8},{"6":0},{"8":10},{"9":0}]</v>
      </c>
    </row>
    <row r="697" spans="1:5">
      <c r="A697" s="6">
        <f t="shared" si="35"/>
        <v>12094</v>
      </c>
      <c r="B697" s="6">
        <f t="shared" si="38"/>
        <v>94</v>
      </c>
      <c r="C697" s="6">
        <f t="shared" si="37"/>
        <v>616786500</v>
      </c>
      <c r="D697" s="6">
        <v>12</v>
      </c>
      <c r="E697" s="7" t="str">
        <f>伙伴属性配置!W95</f>
        <v>[{"2":232},{"4":128},{"5":128},{"12":2747},{"7":8},{"6":0},{"8":10},{"9":0}]</v>
      </c>
    </row>
    <row r="698" spans="1:5">
      <c r="A698" s="6">
        <f t="shared" si="35"/>
        <v>12095</v>
      </c>
      <c r="B698" s="6">
        <f t="shared" si="38"/>
        <v>95</v>
      </c>
      <c r="C698" s="6">
        <f t="shared" si="37"/>
        <v>753596000</v>
      </c>
      <c r="D698" s="6">
        <v>12</v>
      </c>
      <c r="E698" s="7" t="str">
        <f>伙伴属性配置!W96</f>
        <v>[{"2":234},{"4":129},{"5":129},{"12":2775},{"7":8},{"6":0},{"8":10},{"9":0}]</v>
      </c>
    </row>
    <row r="699" spans="1:5">
      <c r="A699" s="6">
        <f t="shared" si="35"/>
        <v>12096</v>
      </c>
      <c r="B699" s="6">
        <f t="shared" si="38"/>
        <v>96</v>
      </c>
      <c r="C699" s="6">
        <f t="shared" si="37"/>
        <v>920405500</v>
      </c>
      <c r="D699" s="6">
        <v>12</v>
      </c>
      <c r="E699" s="7" t="str">
        <f>伙伴属性配置!W97</f>
        <v>[{"2":235},{"4":130},{"5":130},{"12":2802},{"7":8},{"6":0},{"8":10},{"9":0}]</v>
      </c>
    </row>
    <row r="700" spans="1:5">
      <c r="A700" s="6">
        <f t="shared" si="35"/>
        <v>12097</v>
      </c>
      <c r="B700" s="6">
        <f t="shared" si="38"/>
        <v>97</v>
      </c>
      <c r="C700" s="6">
        <f t="shared" si="37"/>
        <v>1117215000</v>
      </c>
      <c r="D700" s="6">
        <v>12</v>
      </c>
      <c r="E700" s="7" t="str">
        <f>伙伴属性配置!W98</f>
        <v>[{"2":236},{"4":130},{"5":130},{"12":2829},{"7":8},{"6":0},{"8":10},{"9":0}]</v>
      </c>
    </row>
    <row r="701" spans="1:5">
      <c r="A701" s="6">
        <f t="shared" si="35"/>
        <v>12098</v>
      </c>
      <c r="B701" s="6">
        <f t="shared" si="38"/>
        <v>98</v>
      </c>
      <c r="C701" s="6">
        <f t="shared" si="37"/>
        <v>1344024500</v>
      </c>
      <c r="D701" s="6">
        <v>12</v>
      </c>
      <c r="E701" s="7" t="str">
        <f>伙伴属性配置!W99</f>
        <v>[{"2":237},{"4":131},{"5":131},{"12":2856},{"7":8},{"6":0},{"8":10},{"9":0}]</v>
      </c>
    </row>
    <row r="702" spans="1:5">
      <c r="A702" s="6">
        <f t="shared" si="35"/>
        <v>12099</v>
      </c>
      <c r="B702" s="6">
        <f t="shared" si="38"/>
        <v>99</v>
      </c>
      <c r="C702" s="6">
        <f t="shared" si="37"/>
        <v>1600834000</v>
      </c>
      <c r="D702" s="6">
        <v>12</v>
      </c>
      <c r="E702" s="7" t="str">
        <f>伙伴属性配置!W100</f>
        <v>[{"2":238},{"4":132},{"5":132},{"12":2883},{"7":8},{"6":0},{"8":10},{"9":0}]</v>
      </c>
    </row>
    <row r="703" spans="1:5">
      <c r="A703" s="6">
        <f t="shared" si="35"/>
        <v>12100</v>
      </c>
      <c r="B703" s="6">
        <f t="shared" si="38"/>
        <v>100</v>
      </c>
      <c r="C703" s="6">
        <f t="shared" si="37"/>
        <v>1887643500</v>
      </c>
      <c r="D703" s="6">
        <v>12</v>
      </c>
      <c r="E703" s="7" t="str">
        <f>伙伴属性配置!W101</f>
        <v>[{"2":240},{"4":132},{"5":132},{"12":2910},{"7":8},{"6":0},{"8":10},{"9":0}]</v>
      </c>
    </row>
    <row r="704" spans="1:5">
      <c r="A704" s="6">
        <f t="shared" si="35"/>
        <v>12101</v>
      </c>
      <c r="B704" s="6">
        <f t="shared" si="38"/>
        <v>101</v>
      </c>
      <c r="C704" s="6">
        <f t="shared" si="37"/>
        <v>2214453000</v>
      </c>
      <c r="D704" s="6">
        <v>12</v>
      </c>
      <c r="E704" s="7" t="str">
        <f>伙伴属性配置!W102</f>
        <v>[{"2":241},{"4":133},{"5":133},{"12":2937},{"7":8},{"6":0},{"8":10},{"9":0}]</v>
      </c>
    </row>
    <row r="705" spans="1:5">
      <c r="A705" s="6">
        <f t="shared" si="35"/>
        <v>12102</v>
      </c>
      <c r="B705" s="6">
        <f t="shared" si="38"/>
        <v>102</v>
      </c>
      <c r="C705" s="6">
        <f t="shared" si="37"/>
        <v>2581262500</v>
      </c>
      <c r="D705" s="6">
        <v>12</v>
      </c>
      <c r="E705" s="7" t="str">
        <f>伙伴属性配置!W103</f>
        <v>[{"2":242},{"4":134},{"5":134},{"12":2964},{"7":8},{"6":0},{"8":10},{"9":0}]</v>
      </c>
    </row>
    <row r="706" spans="1:5">
      <c r="A706" s="6">
        <f t="shared" si="35"/>
        <v>12103</v>
      </c>
      <c r="B706" s="6">
        <f t="shared" si="38"/>
        <v>103</v>
      </c>
      <c r="C706" s="6">
        <f t="shared" si="37"/>
        <v>2988072000</v>
      </c>
      <c r="D706" s="6">
        <v>12</v>
      </c>
      <c r="E706" s="7" t="str">
        <f>伙伴属性配置!W104</f>
        <v>[{"2":243},{"4":134},{"5":134},{"12":2990},{"7":8},{"6":0},{"8":10},{"9":0}]</v>
      </c>
    </row>
    <row r="707" spans="1:5">
      <c r="A707" s="6">
        <f t="shared" si="35"/>
        <v>12104</v>
      </c>
      <c r="B707" s="6">
        <f t="shared" si="38"/>
        <v>104</v>
      </c>
      <c r="C707" s="6">
        <f t="shared" si="37"/>
        <v>3434881500</v>
      </c>
      <c r="D707" s="6">
        <v>12</v>
      </c>
      <c r="E707" s="7" t="str">
        <f>伙伴属性配置!W105</f>
        <v>[{"2":244},{"4":135},{"5":135},{"12":3017},{"7":8},{"6":0},{"8":10},{"9":0}]</v>
      </c>
    </row>
    <row r="708" spans="1:5">
      <c r="A708" s="6">
        <f t="shared" si="35"/>
        <v>12105</v>
      </c>
      <c r="B708" s="6">
        <f t="shared" si="38"/>
        <v>105</v>
      </c>
      <c r="C708" s="6">
        <f t="shared" si="37"/>
        <v>3921691000</v>
      </c>
      <c r="D708" s="6">
        <v>12</v>
      </c>
      <c r="E708" s="7" t="str">
        <f>伙伴属性配置!W106</f>
        <v>[{"2":246},{"4":136},{"5":136},{"12":3044},{"7":8},{"6":0},{"8":10},{"9":0}]</v>
      </c>
    </row>
    <row r="709" spans="1:5">
      <c r="A709" s="6">
        <f t="shared" ref="A709:A772" si="39">D709*1000+B709</f>
        <v>12106</v>
      </c>
      <c r="B709" s="6">
        <f t="shared" si="38"/>
        <v>106</v>
      </c>
      <c r="C709" s="6">
        <f t="shared" si="37"/>
        <v>4458500500</v>
      </c>
      <c r="D709" s="6">
        <v>12</v>
      </c>
      <c r="E709" s="7" t="str">
        <f>伙伴属性配置!W107</f>
        <v>[{"2":247},{"4":136},{"5":136},{"12":3071},{"7":8},{"6":0},{"8":10},{"9":0}]</v>
      </c>
    </row>
    <row r="710" spans="1:5">
      <c r="A710" s="6">
        <f t="shared" si="39"/>
        <v>12107</v>
      </c>
      <c r="B710" s="6">
        <f t="shared" si="38"/>
        <v>107</v>
      </c>
      <c r="C710" s="6">
        <f t="shared" si="37"/>
        <v>5045310000</v>
      </c>
      <c r="D710" s="6">
        <v>12</v>
      </c>
      <c r="E710" s="7" t="str">
        <f>伙伴属性配置!W108</f>
        <v>[{"2":248},{"4":137},{"5":137},{"12":3098},{"7":8},{"6":0},{"8":10},{"9":0}]</v>
      </c>
    </row>
    <row r="711" spans="1:5">
      <c r="A711" s="6">
        <f t="shared" si="39"/>
        <v>12108</v>
      </c>
      <c r="B711" s="6">
        <f t="shared" si="38"/>
        <v>108</v>
      </c>
      <c r="C711" s="6">
        <f t="shared" si="37"/>
        <v>5682119500</v>
      </c>
      <c r="D711" s="6">
        <v>12</v>
      </c>
      <c r="E711" s="7" t="str">
        <f>伙伴属性配置!W109</f>
        <v>[{"2":249},{"4":138},{"5":138},{"12":3125},{"7":8},{"6":0},{"8":10},{"9":0}]</v>
      </c>
    </row>
    <row r="712" spans="1:5">
      <c r="A712" s="6">
        <f t="shared" si="39"/>
        <v>12109</v>
      </c>
      <c r="B712" s="6">
        <f t="shared" si="38"/>
        <v>109</v>
      </c>
      <c r="C712" s="6">
        <f t="shared" si="37"/>
        <v>6368929000</v>
      </c>
      <c r="D712" s="6">
        <v>12</v>
      </c>
      <c r="E712" s="7" t="str">
        <f>伙伴属性配置!W110</f>
        <v>[{"2":250},{"4":138},{"5":138},{"12":3152},{"7":8},{"6":0},{"8":10},{"9":0}]</v>
      </c>
    </row>
    <row r="713" spans="1:5">
      <c r="A713" s="6">
        <f t="shared" si="39"/>
        <v>12110</v>
      </c>
      <c r="B713" s="6">
        <f t="shared" si="38"/>
        <v>110</v>
      </c>
      <c r="C713" s="6">
        <f t="shared" si="37"/>
        <v>7105738500</v>
      </c>
      <c r="D713" s="6">
        <v>12</v>
      </c>
      <c r="E713" s="7" t="str">
        <f>伙伴属性配置!W111</f>
        <v>[{"2":252},{"4":139},{"5":139},{"12":3179},{"7":8},{"6":0},{"8":10},{"9":0}]</v>
      </c>
    </row>
    <row r="714" spans="1:5">
      <c r="A714" s="6">
        <f t="shared" si="39"/>
        <v>12111</v>
      </c>
      <c r="B714" s="6">
        <f t="shared" si="38"/>
        <v>111</v>
      </c>
      <c r="C714" s="6">
        <f t="shared" si="37"/>
        <v>7902548000</v>
      </c>
      <c r="D714" s="6">
        <v>12</v>
      </c>
      <c r="E714" s="7" t="str">
        <f>伙伴属性配置!W112</f>
        <v>[{"2":253},{"4":140},{"5":140},{"12":3207},{"7":8},{"6":0},{"8":10},{"9":0}]</v>
      </c>
    </row>
    <row r="715" spans="1:5">
      <c r="A715" s="6">
        <f t="shared" si="39"/>
        <v>12112</v>
      </c>
      <c r="B715" s="6">
        <f t="shared" si="38"/>
        <v>112</v>
      </c>
      <c r="C715" s="6">
        <f t="shared" si="37"/>
        <v>8759357500</v>
      </c>
      <c r="D715" s="6">
        <v>12</v>
      </c>
      <c r="E715" s="7" t="str">
        <f>伙伴属性配置!W113</f>
        <v>[{"2":254},{"4":140},{"5":140},{"12":3234},{"7":8},{"6":0},{"8":10},{"9":0}]</v>
      </c>
    </row>
    <row r="716" spans="1:5">
      <c r="A716" s="6">
        <f t="shared" si="39"/>
        <v>12113</v>
      </c>
      <c r="B716" s="6">
        <f t="shared" si="38"/>
        <v>113</v>
      </c>
      <c r="C716" s="6">
        <f t="shared" si="37"/>
        <v>9676167000</v>
      </c>
      <c r="D716" s="6">
        <v>12</v>
      </c>
      <c r="E716" s="7" t="str">
        <f>伙伴属性配置!W114</f>
        <v>[{"2":255},{"4":141},{"5":141},{"12":3260},{"7":8},{"6":0},{"8":10},{"9":0}]</v>
      </c>
    </row>
    <row r="717" spans="1:5">
      <c r="A717" s="6">
        <f t="shared" si="39"/>
        <v>12114</v>
      </c>
      <c r="B717" s="6">
        <f t="shared" si="38"/>
        <v>114</v>
      </c>
      <c r="C717" s="6">
        <f t="shared" si="37"/>
        <v>10652976500</v>
      </c>
      <c r="D717" s="6">
        <v>12</v>
      </c>
      <c r="E717" s="7" t="str">
        <f>伙伴属性配置!W115</f>
        <v>[{"2":256},{"4":142},{"5":142},{"12":3287},{"7":8},{"6":0},{"8":10},{"9":0}]</v>
      </c>
    </row>
    <row r="718" spans="1:5">
      <c r="A718" s="6">
        <f t="shared" si="39"/>
        <v>12115</v>
      </c>
      <c r="B718" s="6">
        <f t="shared" si="38"/>
        <v>115</v>
      </c>
      <c r="C718" s="6">
        <f t="shared" si="37"/>
        <v>11689786000</v>
      </c>
      <c r="D718" s="6">
        <v>12</v>
      </c>
      <c r="E718" s="7" t="str">
        <f>伙伴属性配置!W116</f>
        <v>[{"2":258},{"4":142},{"5":142},{"12":3314},{"7":8},{"6":0},{"8":10},{"9":0}]</v>
      </c>
    </row>
    <row r="719" spans="1:5">
      <c r="A719" s="6">
        <f t="shared" si="39"/>
        <v>12116</v>
      </c>
      <c r="B719" s="6">
        <f t="shared" si="38"/>
        <v>116</v>
      </c>
      <c r="C719" s="6">
        <f t="shared" si="37"/>
        <v>12796595500</v>
      </c>
      <c r="D719" s="6">
        <v>12</v>
      </c>
      <c r="E719" s="7" t="str">
        <f>伙伴属性配置!W117</f>
        <v>[{"2":259},{"4":143},{"5":143},{"12":3341},{"7":8},{"6":0},{"8":10},{"9":0}]</v>
      </c>
    </row>
    <row r="720" spans="1:5">
      <c r="A720" s="6">
        <f t="shared" si="39"/>
        <v>12117</v>
      </c>
      <c r="B720" s="6">
        <f t="shared" si="38"/>
        <v>117</v>
      </c>
      <c r="C720" s="6">
        <f t="shared" si="37"/>
        <v>13973405000</v>
      </c>
      <c r="D720" s="6">
        <v>12</v>
      </c>
      <c r="E720" s="7" t="str">
        <f>伙伴属性配置!W118</f>
        <v>[{"2":260},{"4":144},{"5":144},{"12":3368},{"7":8},{"6":0},{"8":10},{"9":0}]</v>
      </c>
    </row>
    <row r="721" spans="1:5">
      <c r="A721" s="6">
        <f t="shared" si="39"/>
        <v>12118</v>
      </c>
      <c r="B721" s="6">
        <f t="shared" si="38"/>
        <v>118</v>
      </c>
      <c r="C721" s="6">
        <f t="shared" si="37"/>
        <v>15220214500</v>
      </c>
      <c r="D721" s="6">
        <v>12</v>
      </c>
      <c r="E721" s="7" t="str">
        <f>伙伴属性配置!W119</f>
        <v>[{"2":261},{"4":144},{"5":144},{"12":3395},{"7":8},{"6":0},{"8":10},{"9":0}]</v>
      </c>
    </row>
    <row r="722" spans="1:5">
      <c r="A722" s="6">
        <f t="shared" si="39"/>
        <v>12119</v>
      </c>
      <c r="B722" s="6">
        <f t="shared" si="38"/>
        <v>119</v>
      </c>
      <c r="C722" s="6">
        <f t="shared" si="37"/>
        <v>16537024000</v>
      </c>
      <c r="D722" s="6">
        <v>12</v>
      </c>
      <c r="E722" s="7" t="str">
        <f>伙伴属性配置!W120</f>
        <v>[{"2":262},{"4":145},{"5":145},{"12":3422},{"7":8},{"6":0},{"8":10},{"9":0}]</v>
      </c>
    </row>
    <row r="723" spans="1:5">
      <c r="A723" s="6">
        <f t="shared" si="39"/>
        <v>12120</v>
      </c>
      <c r="B723" s="6">
        <f t="shared" si="38"/>
        <v>120</v>
      </c>
      <c r="C723" s="6">
        <f t="shared" si="37"/>
        <v>17923833500</v>
      </c>
      <c r="D723" s="6">
        <v>12</v>
      </c>
      <c r="E723" s="7" t="str">
        <f>伙伴属性配置!W121</f>
        <v>[{"2":264},{"4":146},{"5":146},{"12":3449},{"7":8},{"6":0},{"8":10},{"9":0}]</v>
      </c>
    </row>
    <row r="724" spans="1:5">
      <c r="A724" s="6">
        <f t="shared" si="39"/>
        <v>12121</v>
      </c>
      <c r="B724" s="6">
        <f t="shared" si="38"/>
        <v>121</v>
      </c>
      <c r="C724" s="6">
        <f t="shared" si="37"/>
        <v>19390643000</v>
      </c>
      <c r="D724" s="6">
        <v>12</v>
      </c>
      <c r="E724" s="7" t="str">
        <f>伙伴属性配置!W122</f>
        <v>[{"2":265},{"4":146},{"5":146},{"12":3476},{"7":8},{"6":0},{"8":10},{"9":0}]</v>
      </c>
    </row>
    <row r="725" spans="1:5">
      <c r="A725" s="6">
        <f t="shared" si="39"/>
        <v>12122</v>
      </c>
      <c r="B725" s="6">
        <f t="shared" si="38"/>
        <v>122</v>
      </c>
      <c r="C725" s="6">
        <f t="shared" si="37"/>
        <v>20937452500</v>
      </c>
      <c r="D725" s="6">
        <v>12</v>
      </c>
      <c r="E725" s="7" t="str">
        <f>伙伴属性配置!W123</f>
        <v>[{"2":266},{"4":147},{"5":147},{"12":3503},{"7":8},{"6":0},{"8":10},{"9":0}]</v>
      </c>
    </row>
    <row r="726" spans="1:5">
      <c r="A726" s="6">
        <f t="shared" si="39"/>
        <v>12123</v>
      </c>
      <c r="B726" s="6">
        <f t="shared" si="38"/>
        <v>123</v>
      </c>
      <c r="C726" s="6">
        <f t="shared" si="37"/>
        <v>22564262000</v>
      </c>
      <c r="D726" s="6">
        <v>12</v>
      </c>
      <c r="E726" s="7" t="str">
        <f>伙伴属性配置!W124</f>
        <v>[{"2":267},{"4":148},{"5":148},{"12":3530},{"7":8},{"6":0},{"8":10},{"9":0}]</v>
      </c>
    </row>
    <row r="727" spans="1:5">
      <c r="A727" s="6">
        <f t="shared" si="39"/>
        <v>12124</v>
      </c>
      <c r="B727" s="6">
        <f t="shared" si="38"/>
        <v>124</v>
      </c>
      <c r="C727" s="6">
        <f t="shared" si="37"/>
        <v>24271071500</v>
      </c>
      <c r="D727" s="6">
        <v>12</v>
      </c>
      <c r="E727" s="7" t="str">
        <f>伙伴属性配置!W125</f>
        <v>[{"2":268},{"4":148},{"5":148},{"12":3557},{"7":8},{"6":0},{"8":10},{"9":0}]</v>
      </c>
    </row>
    <row r="728" spans="1:5">
      <c r="A728" s="6">
        <f t="shared" si="39"/>
        <v>12125</v>
      </c>
      <c r="B728" s="6">
        <f t="shared" si="38"/>
        <v>125</v>
      </c>
      <c r="C728" s="6">
        <f t="shared" si="37"/>
        <v>26057881000</v>
      </c>
      <c r="D728" s="6">
        <v>12</v>
      </c>
      <c r="E728" s="7" t="str">
        <f>伙伴属性配置!W126</f>
        <v>[{"2":270},{"4":149},{"5":149},{"12":3584},{"7":8},{"6":0},{"8":10},{"9":0}]</v>
      </c>
    </row>
    <row r="729" spans="1:5">
      <c r="A729" s="6">
        <f t="shared" si="39"/>
        <v>12126</v>
      </c>
      <c r="B729" s="6">
        <f t="shared" si="38"/>
        <v>126</v>
      </c>
      <c r="C729" s="6">
        <f t="shared" si="37"/>
        <v>27934690500</v>
      </c>
      <c r="D729" s="6">
        <v>12</v>
      </c>
      <c r="E729" s="7" t="str">
        <f>伙伴属性配置!W127</f>
        <v>[{"2":271},{"4":150},{"5":150},{"12":3611},{"7":8},{"6":0},{"8":10},{"9":0}]</v>
      </c>
    </row>
    <row r="730" spans="1:5">
      <c r="A730" s="6">
        <f t="shared" si="39"/>
        <v>12127</v>
      </c>
      <c r="B730" s="6">
        <f t="shared" ref="B730:B768" si="40">B580</f>
        <v>127</v>
      </c>
      <c r="C730" s="6">
        <f t="shared" si="37"/>
        <v>29901500000</v>
      </c>
      <c r="D730" s="6">
        <v>12</v>
      </c>
      <c r="E730" s="7" t="str">
        <f>伙伴属性配置!W128</f>
        <v>[{"2":272},{"4":150},{"5":150},{"12":3638},{"7":8},{"6":0},{"8":10},{"9":0}]</v>
      </c>
    </row>
    <row r="731" spans="1:5">
      <c r="A731" s="6">
        <f t="shared" si="39"/>
        <v>12128</v>
      </c>
      <c r="B731" s="6">
        <f t="shared" si="40"/>
        <v>128</v>
      </c>
      <c r="C731" s="6">
        <f t="shared" ref="C731:C794" si="41">C581</f>
        <v>31958309500</v>
      </c>
      <c r="D731" s="6">
        <v>12</v>
      </c>
      <c r="E731" s="7" t="str">
        <f>伙伴属性配置!W129</f>
        <v>[{"2":273},{"4":151},{"5":151},{"12":3665},{"7":8},{"6":0},{"8":10},{"9":0}]</v>
      </c>
    </row>
    <row r="732" spans="1:5">
      <c r="A732" s="6">
        <f t="shared" si="39"/>
        <v>12129</v>
      </c>
      <c r="B732" s="6">
        <f t="shared" si="40"/>
        <v>129</v>
      </c>
      <c r="C732" s="6">
        <f t="shared" si="41"/>
        <v>34105119000</v>
      </c>
      <c r="D732" s="6">
        <v>12</v>
      </c>
      <c r="E732" s="7" t="str">
        <f>伙伴属性配置!W130</f>
        <v>[{"2":274},{"4":152},{"5":152},{"12":3692},{"7":8},{"6":0},{"8":10},{"9":0}]</v>
      </c>
    </row>
    <row r="733" spans="1:5">
      <c r="A733" s="6">
        <f t="shared" si="39"/>
        <v>12130</v>
      </c>
      <c r="B733" s="6">
        <f t="shared" si="40"/>
        <v>130</v>
      </c>
      <c r="C733" s="6">
        <f t="shared" si="41"/>
        <v>36341928500</v>
      </c>
      <c r="D733" s="6">
        <v>12</v>
      </c>
      <c r="E733" s="7" t="str">
        <f>伙伴属性配置!W131</f>
        <v>[{"2":276},{"4":152},{"5":152},{"12":4816},{"7":8},{"6":0},{"8":10},{"9":0}]</v>
      </c>
    </row>
    <row r="734" spans="1:5">
      <c r="A734" s="6">
        <f t="shared" si="39"/>
        <v>12131</v>
      </c>
      <c r="B734" s="6">
        <f t="shared" si="40"/>
        <v>131</v>
      </c>
      <c r="C734" s="6">
        <f t="shared" si="41"/>
        <v>38678738000</v>
      </c>
      <c r="D734" s="6">
        <v>12</v>
      </c>
      <c r="E734" s="7" t="str">
        <f>伙伴属性配置!W132</f>
        <v>[{"2":277},{"4":153},{"5":153},{"12":4851},{"7":8},{"6":0},{"8":10},{"9":0}]</v>
      </c>
    </row>
    <row r="735" spans="1:5">
      <c r="A735" s="6">
        <f t="shared" si="39"/>
        <v>12132</v>
      </c>
      <c r="B735" s="6">
        <f t="shared" si="40"/>
        <v>132</v>
      </c>
      <c r="C735" s="6">
        <f t="shared" si="41"/>
        <v>41115547500</v>
      </c>
      <c r="D735" s="6">
        <v>12</v>
      </c>
      <c r="E735" s="7" t="str">
        <f>伙伴属性配置!W133</f>
        <v>[{"2":278},{"4":154},{"5":154},{"12":4886},{"7":8},{"6":0},{"8":10},{"9":0}]</v>
      </c>
    </row>
    <row r="736" spans="1:5">
      <c r="A736" s="6">
        <f t="shared" si="39"/>
        <v>12133</v>
      </c>
      <c r="B736" s="6">
        <f t="shared" si="40"/>
        <v>133</v>
      </c>
      <c r="C736" s="6">
        <f t="shared" si="41"/>
        <v>43652357000</v>
      </c>
      <c r="D736" s="6">
        <v>12</v>
      </c>
      <c r="E736" s="7" t="str">
        <f>伙伴属性配置!W134</f>
        <v>[{"2":279},{"4":154},{"5":154},{"12":4921},{"7":8},{"6":0},{"8":10},{"9":0}]</v>
      </c>
    </row>
    <row r="737" spans="1:5">
      <c r="A737" s="6">
        <f t="shared" si="39"/>
        <v>12134</v>
      </c>
      <c r="B737" s="6">
        <f t="shared" si="40"/>
        <v>134</v>
      </c>
      <c r="C737" s="6">
        <f t="shared" si="41"/>
        <v>46289166500</v>
      </c>
      <c r="D737" s="6">
        <v>12</v>
      </c>
      <c r="E737" s="7" t="str">
        <f>伙伴属性配置!W135</f>
        <v>[{"2":280},{"4":155},{"5":155},{"12":4957},{"7":8},{"6":0},{"8":10},{"9":0}]</v>
      </c>
    </row>
    <row r="738" spans="1:5">
      <c r="A738" s="6">
        <f t="shared" si="39"/>
        <v>12135</v>
      </c>
      <c r="B738" s="6">
        <f t="shared" si="40"/>
        <v>135</v>
      </c>
      <c r="C738" s="6">
        <f t="shared" si="41"/>
        <v>49025976000</v>
      </c>
      <c r="D738" s="6">
        <v>12</v>
      </c>
      <c r="E738" s="7" t="str">
        <f>伙伴属性配置!W136</f>
        <v>[{"2":282},{"4":156},{"5":156},{"12":4992},{"7":8},{"6":0},{"8":10},{"9":0}]</v>
      </c>
    </row>
    <row r="739" spans="1:5">
      <c r="A739" s="6">
        <f t="shared" si="39"/>
        <v>12136</v>
      </c>
      <c r="B739" s="6">
        <f t="shared" si="40"/>
        <v>136</v>
      </c>
      <c r="C739" s="6">
        <f t="shared" si="41"/>
        <v>51872785500</v>
      </c>
      <c r="D739" s="6">
        <v>12</v>
      </c>
      <c r="E739" s="7" t="str">
        <f>伙伴属性配置!W137</f>
        <v>[{"2":283},{"4":156},{"5":156},{"12":5028},{"7":8},{"6":0},{"8":10},{"9":0}]</v>
      </c>
    </row>
    <row r="740" spans="1:5">
      <c r="A740" s="6">
        <f t="shared" si="39"/>
        <v>12137</v>
      </c>
      <c r="B740" s="6">
        <f t="shared" si="40"/>
        <v>137</v>
      </c>
      <c r="C740" s="6">
        <f t="shared" si="41"/>
        <v>54829595000</v>
      </c>
      <c r="D740" s="6">
        <v>12</v>
      </c>
      <c r="E740" s="7" t="str">
        <f>伙伴属性配置!W138</f>
        <v>[{"2":284},{"4":157},{"5":157},{"12":5063},{"7":8},{"6":0},{"8":10},{"9":0}]</v>
      </c>
    </row>
    <row r="741" spans="1:5">
      <c r="A741" s="6">
        <f t="shared" si="39"/>
        <v>12138</v>
      </c>
      <c r="B741" s="6">
        <f t="shared" si="40"/>
        <v>138</v>
      </c>
      <c r="C741" s="6">
        <f t="shared" si="41"/>
        <v>57896404500</v>
      </c>
      <c r="D741" s="6">
        <v>12</v>
      </c>
      <c r="E741" s="7" t="str">
        <f>伙伴属性配置!W139</f>
        <v>[{"2":285},{"4":158},{"5":158},{"12":5099},{"7":8},{"6":0},{"8":10},{"9":0}]</v>
      </c>
    </row>
    <row r="742" spans="1:5">
      <c r="A742" s="6">
        <f t="shared" si="39"/>
        <v>12139</v>
      </c>
      <c r="B742" s="6">
        <f t="shared" si="40"/>
        <v>139</v>
      </c>
      <c r="C742" s="6">
        <f t="shared" si="41"/>
        <v>61073214000</v>
      </c>
      <c r="D742" s="6">
        <v>12</v>
      </c>
      <c r="E742" s="7" t="str">
        <f>伙伴属性配置!W140</f>
        <v>[{"2":286},{"4":158},{"5":158},{"12":5134},{"7":8},{"6":0},{"8":10},{"9":0}]</v>
      </c>
    </row>
    <row r="743" spans="1:5">
      <c r="A743" s="6">
        <f t="shared" si="39"/>
        <v>12140</v>
      </c>
      <c r="B743" s="6">
        <f t="shared" si="40"/>
        <v>140</v>
      </c>
      <c r="C743" s="6">
        <f t="shared" si="41"/>
        <v>64360023500</v>
      </c>
      <c r="D743" s="6">
        <v>12</v>
      </c>
      <c r="E743" s="7" t="str">
        <f>伙伴属性配置!W141</f>
        <v>[{"2":288},{"4":159},{"5":159},{"12":5170},{"7":8},{"6":0},{"8":10},{"9":0}]</v>
      </c>
    </row>
    <row r="744" spans="1:5">
      <c r="A744" s="6">
        <f t="shared" si="39"/>
        <v>12141</v>
      </c>
      <c r="B744" s="6">
        <f t="shared" si="40"/>
        <v>141</v>
      </c>
      <c r="C744" s="6">
        <f t="shared" si="41"/>
        <v>67766833000</v>
      </c>
      <c r="D744" s="6">
        <v>12</v>
      </c>
      <c r="E744" s="7" t="str">
        <f>伙伴属性配置!W142</f>
        <v>[{"2":289},{"4":160},{"5":160},{"12":5205},{"7":8},{"6":0},{"8":10},{"9":0}]</v>
      </c>
    </row>
    <row r="745" spans="1:5">
      <c r="A745" s="6">
        <f t="shared" si="39"/>
        <v>12142</v>
      </c>
      <c r="B745" s="6">
        <f t="shared" si="40"/>
        <v>142</v>
      </c>
      <c r="C745" s="6">
        <f t="shared" si="41"/>
        <v>71293642500</v>
      </c>
      <c r="D745" s="6">
        <v>12</v>
      </c>
      <c r="E745" s="7" t="str">
        <f>伙伴属性配置!W143</f>
        <v>[{"2":290},{"4":160},{"5":160},{"12":5240},{"7":8},{"6":0},{"8":10},{"9":0}]</v>
      </c>
    </row>
    <row r="746" spans="1:5">
      <c r="A746" s="6">
        <f t="shared" si="39"/>
        <v>12143</v>
      </c>
      <c r="B746" s="6">
        <f t="shared" si="40"/>
        <v>143</v>
      </c>
      <c r="C746" s="6">
        <f t="shared" si="41"/>
        <v>74940452000</v>
      </c>
      <c r="D746" s="6">
        <v>12</v>
      </c>
      <c r="E746" s="7" t="str">
        <f>伙伴属性配置!W144</f>
        <v>[{"2":291},{"4":161},{"5":161},{"12":5276},{"7":8},{"6":0},{"8":10},{"9":0}]</v>
      </c>
    </row>
    <row r="747" spans="1:5">
      <c r="A747" s="6">
        <f t="shared" si="39"/>
        <v>12144</v>
      </c>
      <c r="B747" s="6">
        <f t="shared" si="40"/>
        <v>144</v>
      </c>
      <c r="C747" s="6">
        <f t="shared" si="41"/>
        <v>78707261500</v>
      </c>
      <c r="D747" s="6">
        <v>12</v>
      </c>
      <c r="E747" s="7" t="str">
        <f>伙伴属性配置!W145</f>
        <v>[{"2":292},{"4":162},{"5":162},{"12":5311},{"7":8},{"6":0},{"8":10},{"9":0}]</v>
      </c>
    </row>
    <row r="748" spans="1:5">
      <c r="A748" s="6">
        <f t="shared" si="39"/>
        <v>12145</v>
      </c>
      <c r="B748" s="6">
        <f t="shared" si="40"/>
        <v>145</v>
      </c>
      <c r="C748" s="6">
        <f t="shared" si="41"/>
        <v>82594071000</v>
      </c>
      <c r="D748" s="6">
        <v>12</v>
      </c>
      <c r="E748" s="7" t="str">
        <f>伙伴属性配置!W146</f>
        <v>[{"2":294},{"4":162},{"5":162},{"12":5347},{"7":8},{"6":0},{"8":10},{"9":0}]</v>
      </c>
    </row>
    <row r="749" spans="1:5">
      <c r="A749" s="6">
        <f t="shared" si="39"/>
        <v>12146</v>
      </c>
      <c r="B749" s="6">
        <f t="shared" si="40"/>
        <v>146</v>
      </c>
      <c r="C749" s="6">
        <f t="shared" si="41"/>
        <v>86610880500</v>
      </c>
      <c r="D749" s="6">
        <v>12</v>
      </c>
      <c r="E749" s="7" t="str">
        <f>伙伴属性配置!W147</f>
        <v>[{"2":295},{"4":163},{"5":163},{"12":5382},{"7":8},{"6":0},{"8":10},{"9":0}]</v>
      </c>
    </row>
    <row r="750" spans="1:5">
      <c r="A750" s="6">
        <f t="shared" si="39"/>
        <v>12147</v>
      </c>
      <c r="B750" s="6">
        <f t="shared" si="40"/>
        <v>147</v>
      </c>
      <c r="C750" s="6">
        <f t="shared" si="41"/>
        <v>90757690000</v>
      </c>
      <c r="D750" s="6">
        <v>12</v>
      </c>
      <c r="E750" s="7" t="str">
        <f>伙伴属性配置!W148</f>
        <v>[{"2":296},{"4":164},{"5":164},{"12":5418},{"7":8},{"6":0},{"8":10},{"9":0}]</v>
      </c>
    </row>
    <row r="751" spans="1:5">
      <c r="A751" s="6">
        <f t="shared" si="39"/>
        <v>12148</v>
      </c>
      <c r="B751" s="6">
        <f t="shared" si="40"/>
        <v>148</v>
      </c>
      <c r="C751" s="6">
        <f t="shared" si="41"/>
        <v>95034499500</v>
      </c>
      <c r="D751" s="6">
        <v>12</v>
      </c>
      <c r="E751" s="7" t="str">
        <f>伙伴属性配置!W149</f>
        <v>[{"2":297},{"4":164},{"5":164},{"12":5453},{"7":8},{"6":0},{"8":10},{"9":0}]</v>
      </c>
    </row>
    <row r="752" spans="1:5">
      <c r="A752" s="6">
        <f t="shared" si="39"/>
        <v>12149</v>
      </c>
      <c r="B752" s="6">
        <f t="shared" si="40"/>
        <v>149</v>
      </c>
      <c r="C752" s="6">
        <f t="shared" si="41"/>
        <v>99441309000</v>
      </c>
      <c r="D752" s="6">
        <v>12</v>
      </c>
      <c r="E752" s="7" t="str">
        <f>伙伴属性配置!W150</f>
        <v>[{"2":298},{"4":165},{"5":165},{"12":5488},{"7":8},{"6":0},{"8":10},{"9":0}]</v>
      </c>
    </row>
    <row r="753" spans="1:5">
      <c r="A753" s="6">
        <f t="shared" si="39"/>
        <v>12150</v>
      </c>
      <c r="B753" s="6">
        <f t="shared" si="40"/>
        <v>150</v>
      </c>
      <c r="C753" s="6">
        <f t="shared" si="41"/>
        <v>103978118500</v>
      </c>
      <c r="D753" s="6">
        <v>12</v>
      </c>
      <c r="E753" s="7" t="str">
        <f>伙伴属性配置!W151</f>
        <v>[{"2":300},{"4":166},{"5":166},{"12":5524},{"7":8},{"6":0},{"8":10},{"9":0}]</v>
      </c>
    </row>
    <row r="754" spans="1:5">
      <c r="A754" s="6">
        <f t="shared" si="39"/>
        <v>13001</v>
      </c>
      <c r="B754" s="6">
        <f t="shared" si="40"/>
        <v>1</v>
      </c>
      <c r="C754" s="6">
        <f t="shared" si="41"/>
        <v>1000</v>
      </c>
      <c r="D754" s="6">
        <v>13</v>
      </c>
      <c r="E754" s="7" t="str">
        <f>伙伴属性配置!AE2</f>
        <v>[{"2":121},{"4":66},{"5":66},{"12":329},{"7":8},{"6":0},{"8":10},{"9":0}]</v>
      </c>
    </row>
    <row r="755" spans="1:5">
      <c r="A755" s="6">
        <f t="shared" si="39"/>
        <v>13002</v>
      </c>
      <c r="B755" s="6">
        <f t="shared" si="40"/>
        <v>2</v>
      </c>
      <c r="C755" s="6">
        <f t="shared" si="41"/>
        <v>1500</v>
      </c>
      <c r="D755" s="6">
        <v>13</v>
      </c>
      <c r="E755" s="7" t="str">
        <f>伙伴属性配置!AE3</f>
        <v>[{"2":122},{"4":67},{"5":67},{"12":342},{"7":8},{"6":0},{"8":10},{"9":0}]</v>
      </c>
    </row>
    <row r="756" spans="1:5">
      <c r="A756" s="6">
        <f t="shared" si="39"/>
        <v>13003</v>
      </c>
      <c r="B756" s="6">
        <f t="shared" si="40"/>
        <v>3</v>
      </c>
      <c r="C756" s="6">
        <f t="shared" si="41"/>
        <v>2500</v>
      </c>
      <c r="D756" s="6">
        <v>13</v>
      </c>
      <c r="E756" s="7" t="str">
        <f>伙伴属性配置!AE4</f>
        <v>[{"2":123},{"4":68},{"5":68},{"12":355},{"7":8},{"6":0},{"8":10},{"9":0}]</v>
      </c>
    </row>
    <row r="757" spans="1:5">
      <c r="A757" s="6">
        <f t="shared" si="39"/>
        <v>13004</v>
      </c>
      <c r="B757" s="6">
        <f t="shared" si="40"/>
        <v>4</v>
      </c>
      <c r="C757" s="6">
        <f t="shared" si="41"/>
        <v>4000</v>
      </c>
      <c r="D757" s="6">
        <v>13</v>
      </c>
      <c r="E757" s="7" t="str">
        <f>伙伴属性配置!AE5</f>
        <v>[{"2":124},{"4":68},{"5":68},{"12":367},{"7":8},{"6":0},{"8":10},{"9":0}]</v>
      </c>
    </row>
    <row r="758" spans="1:5">
      <c r="A758" s="6">
        <f t="shared" si="39"/>
        <v>13005</v>
      </c>
      <c r="B758" s="6">
        <f t="shared" si="40"/>
        <v>5</v>
      </c>
      <c r="C758" s="6">
        <f t="shared" si="41"/>
        <v>6000</v>
      </c>
      <c r="D758" s="6">
        <v>13</v>
      </c>
      <c r="E758" s="7" t="str">
        <f>伙伴属性配置!AE6</f>
        <v>[{"2":126},{"4":69},{"5":69},{"12":380},{"7":8},{"6":0},{"8":10},{"9":0}]</v>
      </c>
    </row>
    <row r="759" spans="1:5">
      <c r="A759" s="6">
        <f t="shared" si="39"/>
        <v>13006</v>
      </c>
      <c r="B759" s="6">
        <f t="shared" si="40"/>
        <v>6</v>
      </c>
      <c r="C759" s="6">
        <f t="shared" si="41"/>
        <v>8500</v>
      </c>
      <c r="D759" s="6">
        <v>13</v>
      </c>
      <c r="E759" s="7" t="str">
        <f>伙伴属性配置!AE7</f>
        <v>[{"2":127},{"4":70},{"5":70},{"12":393},{"7":8},{"6":0},{"8":10},{"9":0}]</v>
      </c>
    </row>
    <row r="760" spans="1:5">
      <c r="A760" s="6">
        <f t="shared" si="39"/>
        <v>13007</v>
      </c>
      <c r="B760" s="6">
        <f t="shared" si="40"/>
        <v>7</v>
      </c>
      <c r="C760" s="6">
        <f t="shared" si="41"/>
        <v>11500</v>
      </c>
      <c r="D760" s="6">
        <v>13</v>
      </c>
      <c r="E760" s="7" t="str">
        <f>伙伴属性配置!AE8</f>
        <v>[{"2":128},{"4":70},{"5":70},{"12":405},{"7":8},{"6":0},{"8":10},{"9":0}]</v>
      </c>
    </row>
    <row r="761" spans="1:5">
      <c r="A761" s="6">
        <f t="shared" si="39"/>
        <v>13008</v>
      </c>
      <c r="B761" s="6">
        <f t="shared" si="40"/>
        <v>8</v>
      </c>
      <c r="C761" s="6">
        <f t="shared" si="41"/>
        <v>15000</v>
      </c>
      <c r="D761" s="6">
        <v>13</v>
      </c>
      <c r="E761" s="7" t="str">
        <f>伙伴属性配置!AE9</f>
        <v>[{"2":129},{"4":71},{"5":71},{"12":418},{"7":8},{"6":0},{"8":10},{"9":0}]</v>
      </c>
    </row>
    <row r="762" spans="1:5">
      <c r="A762" s="6">
        <f t="shared" si="39"/>
        <v>13009</v>
      </c>
      <c r="B762" s="6">
        <f t="shared" si="40"/>
        <v>9</v>
      </c>
      <c r="C762" s="6">
        <f t="shared" si="41"/>
        <v>19000</v>
      </c>
      <c r="D762" s="6">
        <v>13</v>
      </c>
      <c r="E762" s="7" t="str">
        <f>伙伴属性配置!AE10</f>
        <v>[{"2":130},{"4":72},{"5":72},{"12":431},{"7":8},{"6":0},{"8":10},{"9":0}]</v>
      </c>
    </row>
    <row r="763" spans="1:5">
      <c r="A763" s="6">
        <f t="shared" si="39"/>
        <v>13010</v>
      </c>
      <c r="B763" s="6">
        <f t="shared" si="40"/>
        <v>10</v>
      </c>
      <c r="C763" s="6">
        <f t="shared" si="41"/>
        <v>23500</v>
      </c>
      <c r="D763" s="6">
        <v>13</v>
      </c>
      <c r="E763" s="7" t="str">
        <f>伙伴属性配置!AE11</f>
        <v>[{"2":132},{"4":72},{"5":72},{"12":443},{"7":8},{"6":0},{"8":10},{"9":0}]</v>
      </c>
    </row>
    <row r="764" spans="1:5">
      <c r="A764" s="6">
        <f t="shared" si="39"/>
        <v>13011</v>
      </c>
      <c r="B764" s="6">
        <f t="shared" si="40"/>
        <v>11</v>
      </c>
      <c r="C764" s="6">
        <f t="shared" si="41"/>
        <v>29000</v>
      </c>
      <c r="D764" s="6">
        <v>13</v>
      </c>
      <c r="E764" s="7" t="str">
        <f>伙伴属性配置!AE12</f>
        <v>[{"2":133},{"4":73},{"5":73},{"12":456},{"7":8},{"6":0},{"8":10},{"9":0}]</v>
      </c>
    </row>
    <row r="765" spans="1:5">
      <c r="A765" s="6">
        <f t="shared" si="39"/>
        <v>13012</v>
      </c>
      <c r="B765" s="6">
        <f t="shared" si="40"/>
        <v>12</v>
      </c>
      <c r="C765" s="6">
        <f t="shared" si="41"/>
        <v>35500</v>
      </c>
      <c r="D765" s="6">
        <v>13</v>
      </c>
      <c r="E765" s="7" t="str">
        <f>伙伴属性配置!AE13</f>
        <v>[{"2":134},{"4":74},{"5":74},{"12":469},{"7":8},{"6":0},{"8":10},{"9":0}]</v>
      </c>
    </row>
    <row r="766" spans="1:5">
      <c r="A766" s="6">
        <f t="shared" si="39"/>
        <v>13013</v>
      </c>
      <c r="B766" s="6">
        <f t="shared" si="40"/>
        <v>13</v>
      </c>
      <c r="C766" s="6">
        <f t="shared" si="41"/>
        <v>43000</v>
      </c>
      <c r="D766" s="6">
        <v>13</v>
      </c>
      <c r="E766" s="7" t="str">
        <f>伙伴属性配置!AE14</f>
        <v>[{"2":135},{"4":74},{"5":74},{"12":481},{"7":8},{"6":0},{"8":10},{"9":0}]</v>
      </c>
    </row>
    <row r="767" spans="1:5">
      <c r="A767" s="6">
        <f t="shared" si="39"/>
        <v>13014</v>
      </c>
      <c r="B767" s="6">
        <f t="shared" si="40"/>
        <v>14</v>
      </c>
      <c r="C767" s="6">
        <f t="shared" si="41"/>
        <v>51500</v>
      </c>
      <c r="D767" s="6">
        <v>13</v>
      </c>
      <c r="E767" s="7" t="str">
        <f>伙伴属性配置!AE15</f>
        <v>[{"2":136},{"4":75},{"5":75},{"12":494},{"7":8},{"6":0},{"8":10},{"9":0}]</v>
      </c>
    </row>
    <row r="768" spans="1:5">
      <c r="A768" s="6">
        <f t="shared" si="39"/>
        <v>13015</v>
      </c>
      <c r="B768" s="6">
        <f t="shared" si="40"/>
        <v>15</v>
      </c>
      <c r="C768" s="6">
        <f t="shared" si="41"/>
        <v>61000</v>
      </c>
      <c r="D768" s="6">
        <v>13</v>
      </c>
      <c r="E768" s="7" t="str">
        <f>伙伴属性配置!AE16</f>
        <v>[{"2":138},{"4":76},{"5":76},{"12":506},{"7":8},{"6":0},{"8":10},{"9":0}]</v>
      </c>
    </row>
    <row r="769" spans="1:5">
      <c r="A769" s="6">
        <f t="shared" si="39"/>
        <v>13016</v>
      </c>
      <c r="B769" s="6">
        <f t="shared" ref="B769:B800" si="42">B619</f>
        <v>16</v>
      </c>
      <c r="C769" s="6">
        <f t="shared" si="41"/>
        <v>72500</v>
      </c>
      <c r="D769" s="6">
        <v>13</v>
      </c>
      <c r="E769" s="7" t="str">
        <f>伙伴属性配置!AE17</f>
        <v>[{"2":139},{"4":76},{"5":76},{"12":519},{"7":8},{"6":0},{"8":10},{"9":0}]</v>
      </c>
    </row>
    <row r="770" spans="1:5">
      <c r="A770" s="6">
        <f t="shared" si="39"/>
        <v>13017</v>
      </c>
      <c r="B770" s="6">
        <f t="shared" si="42"/>
        <v>17</v>
      </c>
      <c r="C770" s="6">
        <f t="shared" si="41"/>
        <v>86000</v>
      </c>
      <c r="D770" s="6">
        <v>13</v>
      </c>
      <c r="E770" s="7" t="str">
        <f>伙伴属性配置!AE18</f>
        <v>[{"2":140},{"4":77},{"5":77},{"12":532},{"7":8},{"6":0},{"8":10},{"9":0}]</v>
      </c>
    </row>
    <row r="771" spans="1:5">
      <c r="A771" s="6">
        <f t="shared" si="39"/>
        <v>13018</v>
      </c>
      <c r="B771" s="6">
        <f t="shared" si="42"/>
        <v>18</v>
      </c>
      <c r="C771" s="6">
        <f t="shared" si="41"/>
        <v>101500</v>
      </c>
      <c r="D771" s="6">
        <v>13</v>
      </c>
      <c r="E771" s="7" t="str">
        <f>伙伴属性配置!AE19</f>
        <v>[{"2":141},{"4":78},{"5":78},{"12":544},{"7":8},{"6":0},{"8":10},{"9":0}]</v>
      </c>
    </row>
    <row r="772" spans="1:5">
      <c r="A772" s="6">
        <f t="shared" si="39"/>
        <v>13019</v>
      </c>
      <c r="B772" s="6">
        <f t="shared" si="42"/>
        <v>19</v>
      </c>
      <c r="C772" s="6">
        <f t="shared" si="41"/>
        <v>119000</v>
      </c>
      <c r="D772" s="6">
        <v>13</v>
      </c>
      <c r="E772" s="7" t="str">
        <f>伙伴属性配置!AE20</f>
        <v>[{"2":142},{"4":78},{"5":78},{"12":557},{"7":8},{"6":0},{"8":10},{"9":0}]</v>
      </c>
    </row>
    <row r="773" spans="1:5">
      <c r="A773" s="6">
        <f t="shared" ref="A773:A836" si="43">D773*1000+B773</f>
        <v>13020</v>
      </c>
      <c r="B773" s="6">
        <f t="shared" si="42"/>
        <v>20</v>
      </c>
      <c r="C773" s="6">
        <f t="shared" si="41"/>
        <v>138500</v>
      </c>
      <c r="D773" s="6">
        <v>13</v>
      </c>
      <c r="E773" s="7" t="str">
        <f>伙伴属性配置!AE21</f>
        <v>[{"2":144},{"4":79},{"5":79},{"12":633},{"7":8},{"6":0},{"8":10},{"9":0}]</v>
      </c>
    </row>
    <row r="774" spans="1:5">
      <c r="A774" s="6">
        <f t="shared" si="43"/>
        <v>13021</v>
      </c>
      <c r="B774" s="6">
        <f t="shared" si="42"/>
        <v>21</v>
      </c>
      <c r="C774" s="6">
        <f t="shared" si="41"/>
        <v>161000</v>
      </c>
      <c r="D774" s="6">
        <v>13</v>
      </c>
      <c r="E774" s="7" t="str">
        <f>伙伴属性配置!AE22</f>
        <v>[{"2":145},{"4":80},{"5":80},{"12":649},{"7":8},{"6":0},{"8":10},{"9":0}]</v>
      </c>
    </row>
    <row r="775" spans="1:5">
      <c r="A775" s="6">
        <f t="shared" si="43"/>
        <v>13022</v>
      </c>
      <c r="B775" s="6">
        <f t="shared" si="42"/>
        <v>22</v>
      </c>
      <c r="C775" s="6">
        <f t="shared" si="41"/>
        <v>186500</v>
      </c>
      <c r="D775" s="6">
        <v>13</v>
      </c>
      <c r="E775" s="7" t="str">
        <f>伙伴属性配置!AE23</f>
        <v>[{"2":146},{"4":80},{"5":80},{"12":665},{"7":8},{"6":0},{"8":10},{"9":0}]</v>
      </c>
    </row>
    <row r="776" spans="1:5">
      <c r="A776" s="6">
        <f t="shared" si="43"/>
        <v>13023</v>
      </c>
      <c r="B776" s="6">
        <f t="shared" si="42"/>
        <v>23</v>
      </c>
      <c r="C776" s="6">
        <f t="shared" si="41"/>
        <v>215000</v>
      </c>
      <c r="D776" s="6">
        <v>13</v>
      </c>
      <c r="E776" s="7" t="str">
        <f>伙伴属性配置!AE24</f>
        <v>[{"2":147},{"4":81},{"5":81},{"12":680},{"7":8},{"6":0},{"8":10},{"9":0}]</v>
      </c>
    </row>
    <row r="777" spans="1:5">
      <c r="A777" s="6">
        <f t="shared" si="43"/>
        <v>13024</v>
      </c>
      <c r="B777" s="6">
        <f t="shared" si="42"/>
        <v>24</v>
      </c>
      <c r="C777" s="6">
        <f t="shared" si="41"/>
        <v>246500</v>
      </c>
      <c r="D777" s="6">
        <v>13</v>
      </c>
      <c r="E777" s="7" t="str">
        <f>伙伴属性配置!AE25</f>
        <v>[{"2":148},{"4":82},{"5":82},{"12":696},{"7":8},{"6":0},{"8":10},{"9":0}]</v>
      </c>
    </row>
    <row r="778" spans="1:5">
      <c r="A778" s="6">
        <f t="shared" si="43"/>
        <v>13025</v>
      </c>
      <c r="B778" s="6">
        <f t="shared" si="42"/>
        <v>25</v>
      </c>
      <c r="C778" s="6">
        <f t="shared" si="41"/>
        <v>281000</v>
      </c>
      <c r="D778" s="6">
        <v>13</v>
      </c>
      <c r="E778" s="7" t="str">
        <f>伙伴属性配置!AE26</f>
        <v>[{"2":150},{"4":82},{"5":82},{"12":712},{"7":8},{"6":0},{"8":10},{"9":0}]</v>
      </c>
    </row>
    <row r="779" spans="1:5">
      <c r="A779" s="6">
        <f t="shared" si="43"/>
        <v>13026</v>
      </c>
      <c r="B779" s="6">
        <f t="shared" si="42"/>
        <v>26</v>
      </c>
      <c r="C779" s="6">
        <f t="shared" si="41"/>
        <v>320500</v>
      </c>
      <c r="D779" s="6">
        <v>13</v>
      </c>
      <c r="E779" s="7" t="str">
        <f>伙伴属性配置!AE27</f>
        <v>[{"2":151},{"4":83},{"5":83},{"12":728},{"7":8},{"6":0},{"8":10},{"9":0}]</v>
      </c>
    </row>
    <row r="780" spans="1:5">
      <c r="A780" s="6">
        <f t="shared" si="43"/>
        <v>13027</v>
      </c>
      <c r="B780" s="6">
        <f t="shared" si="42"/>
        <v>27</v>
      </c>
      <c r="C780" s="6">
        <f t="shared" si="41"/>
        <v>365000</v>
      </c>
      <c r="D780" s="6">
        <v>13</v>
      </c>
      <c r="E780" s="7" t="str">
        <f>伙伴属性配置!AE28</f>
        <v>[{"2":152},{"4":84},{"5":84},{"12":744},{"7":8},{"6":0},{"8":10},{"9":0}]</v>
      </c>
    </row>
    <row r="781" spans="1:5">
      <c r="A781" s="6">
        <f t="shared" si="43"/>
        <v>13028</v>
      </c>
      <c r="B781" s="6">
        <f t="shared" si="42"/>
        <v>28</v>
      </c>
      <c r="C781" s="6">
        <f t="shared" si="41"/>
        <v>414500</v>
      </c>
      <c r="D781" s="6">
        <v>13</v>
      </c>
      <c r="E781" s="7" t="str">
        <f>伙伴属性配置!AE29</f>
        <v>[{"2":153},{"4":84},{"5":84},{"12":759},{"7":8},{"6":0},{"8":10},{"9":0}]</v>
      </c>
    </row>
    <row r="782" spans="1:5">
      <c r="A782" s="6">
        <f t="shared" si="43"/>
        <v>13029</v>
      </c>
      <c r="B782" s="6">
        <f t="shared" si="42"/>
        <v>29</v>
      </c>
      <c r="C782" s="6">
        <f t="shared" si="41"/>
        <v>469000</v>
      </c>
      <c r="D782" s="6">
        <v>13</v>
      </c>
      <c r="E782" s="7" t="str">
        <f>伙伴属性配置!AE30</f>
        <v>[{"2":154},{"4":85},{"5":85},{"12":775},{"7":8},{"6":0},{"8":10},{"9":0}]</v>
      </c>
    </row>
    <row r="783" spans="1:5">
      <c r="A783" s="6">
        <f t="shared" si="43"/>
        <v>13030</v>
      </c>
      <c r="B783" s="6">
        <f t="shared" si="42"/>
        <v>30</v>
      </c>
      <c r="C783" s="6">
        <f t="shared" si="41"/>
        <v>528500</v>
      </c>
      <c r="D783" s="6">
        <v>13</v>
      </c>
      <c r="E783" s="7" t="str">
        <f>伙伴属性配置!AE31</f>
        <v>[{"2":156},{"4":86},{"5":86},{"12":905},{"7":8},{"6":0},{"8":10},{"9":0}]</v>
      </c>
    </row>
    <row r="784" spans="1:5">
      <c r="A784" s="6">
        <f t="shared" si="43"/>
        <v>13031</v>
      </c>
      <c r="B784" s="6">
        <f t="shared" si="42"/>
        <v>31</v>
      </c>
      <c r="C784" s="6">
        <f t="shared" si="41"/>
        <v>596000</v>
      </c>
      <c r="D784" s="6">
        <v>13</v>
      </c>
      <c r="E784" s="7" t="str">
        <f>伙伴属性配置!AE32</f>
        <v>[{"2":157},{"4":86},{"5":86},{"12":925},{"7":8},{"6":0},{"8":10},{"9":0}]</v>
      </c>
    </row>
    <row r="785" spans="1:5">
      <c r="A785" s="6">
        <f t="shared" si="43"/>
        <v>13032</v>
      </c>
      <c r="B785" s="6">
        <f t="shared" si="42"/>
        <v>32</v>
      </c>
      <c r="C785" s="6">
        <f t="shared" si="41"/>
        <v>671500</v>
      </c>
      <c r="D785" s="6">
        <v>13</v>
      </c>
      <c r="E785" s="7" t="str">
        <f>伙伴属性配置!AE33</f>
        <v>[{"2":158},{"4":87},{"5":87},{"12":944},{"7":8},{"6":0},{"8":10},{"9":0}]</v>
      </c>
    </row>
    <row r="786" spans="1:5">
      <c r="A786" s="6">
        <f t="shared" si="43"/>
        <v>13033</v>
      </c>
      <c r="B786" s="6">
        <f t="shared" si="42"/>
        <v>33</v>
      </c>
      <c r="C786" s="6">
        <f t="shared" si="41"/>
        <v>755000</v>
      </c>
      <c r="D786" s="6">
        <v>13</v>
      </c>
      <c r="E786" s="7" t="str">
        <f>伙伴属性配置!AE34</f>
        <v>[{"2":159},{"4":88},{"5":88},{"12":964},{"7":8},{"6":0},{"8":10},{"9":0}]</v>
      </c>
    </row>
    <row r="787" spans="1:5">
      <c r="A787" s="6">
        <f t="shared" si="43"/>
        <v>13034</v>
      </c>
      <c r="B787" s="6">
        <f t="shared" si="42"/>
        <v>34</v>
      </c>
      <c r="C787" s="6">
        <f t="shared" si="41"/>
        <v>846500</v>
      </c>
      <c r="D787" s="6">
        <v>13</v>
      </c>
      <c r="E787" s="7" t="str">
        <f>伙伴属性配置!AE35</f>
        <v>[{"2":160},{"4":88},{"5":88},{"12":983},{"7":8},{"6":0},{"8":10},{"9":0}]</v>
      </c>
    </row>
    <row r="788" spans="1:5">
      <c r="A788" s="6">
        <f t="shared" si="43"/>
        <v>13035</v>
      </c>
      <c r="B788" s="6">
        <f t="shared" si="42"/>
        <v>35</v>
      </c>
      <c r="C788" s="6">
        <f t="shared" si="41"/>
        <v>946000</v>
      </c>
      <c r="D788" s="6">
        <v>13</v>
      </c>
      <c r="E788" s="7" t="str">
        <f>伙伴属性配置!AE36</f>
        <v>[{"2":162},{"4":89},{"5":89},{"12":1003},{"7":8},{"6":0},{"8":10},{"9":0}]</v>
      </c>
    </row>
    <row r="789" spans="1:5">
      <c r="A789" s="6">
        <f t="shared" si="43"/>
        <v>13036</v>
      </c>
      <c r="B789" s="6">
        <f t="shared" si="42"/>
        <v>36</v>
      </c>
      <c r="C789" s="6">
        <f t="shared" si="41"/>
        <v>1057500</v>
      </c>
      <c r="D789" s="6">
        <v>13</v>
      </c>
      <c r="E789" s="7" t="str">
        <f>伙伴属性配置!AE37</f>
        <v>[{"2":163},{"4":90},{"5":90},{"12":1022},{"7":8},{"6":0},{"8":10},{"9":0}]</v>
      </c>
    </row>
    <row r="790" spans="1:5">
      <c r="A790" s="6">
        <f t="shared" si="43"/>
        <v>13037</v>
      </c>
      <c r="B790" s="6">
        <f t="shared" si="42"/>
        <v>37</v>
      </c>
      <c r="C790" s="6">
        <f t="shared" si="41"/>
        <v>1181000</v>
      </c>
      <c r="D790" s="6">
        <v>13</v>
      </c>
      <c r="E790" s="7" t="str">
        <f>伙伴属性配置!AE38</f>
        <v>[{"2":164},{"4":90},{"5":90},{"12":1042},{"7":8},{"6":0},{"8":10},{"9":0}]</v>
      </c>
    </row>
    <row r="791" spans="1:5">
      <c r="A791" s="6">
        <f t="shared" si="43"/>
        <v>13038</v>
      </c>
      <c r="B791" s="6">
        <f t="shared" si="42"/>
        <v>38</v>
      </c>
      <c r="C791" s="6">
        <f t="shared" si="41"/>
        <v>1316500</v>
      </c>
      <c r="D791" s="6">
        <v>13</v>
      </c>
      <c r="E791" s="7" t="str">
        <f>伙伴属性配置!AE39</f>
        <v>[{"2":165},{"4":91},{"5":91},{"12":1062},{"7":8},{"6":0},{"8":10},{"9":0}]</v>
      </c>
    </row>
    <row r="792" spans="1:5">
      <c r="A792" s="6">
        <f t="shared" si="43"/>
        <v>13039</v>
      </c>
      <c r="B792" s="6">
        <f t="shared" si="42"/>
        <v>39</v>
      </c>
      <c r="C792" s="6">
        <f t="shared" si="41"/>
        <v>1464000</v>
      </c>
      <c r="D792" s="6">
        <v>13</v>
      </c>
      <c r="E792" s="7" t="str">
        <f>伙伴属性配置!AE40</f>
        <v>[{"2":166},{"4":92},{"5":92},{"12":1081},{"7":8},{"6":0},{"8":10},{"9":0}]</v>
      </c>
    </row>
    <row r="793" spans="1:5">
      <c r="A793" s="6">
        <f t="shared" si="43"/>
        <v>13040</v>
      </c>
      <c r="B793" s="6">
        <f t="shared" si="42"/>
        <v>40</v>
      </c>
      <c r="C793" s="6">
        <f t="shared" si="41"/>
        <v>1623500</v>
      </c>
      <c r="D793" s="6">
        <v>13</v>
      </c>
      <c r="E793" s="7" t="str">
        <f>伙伴属性配置!AE41</f>
        <v>[{"2":168},{"4":92},{"5":92},{"12":1101},{"7":8},{"6":0},{"8":10},{"9":0}]</v>
      </c>
    </row>
    <row r="794" spans="1:5">
      <c r="A794" s="6">
        <f t="shared" si="43"/>
        <v>13041</v>
      </c>
      <c r="B794" s="6">
        <f t="shared" si="42"/>
        <v>41</v>
      </c>
      <c r="C794" s="6">
        <f t="shared" si="41"/>
        <v>1813000</v>
      </c>
      <c r="D794" s="6">
        <v>13</v>
      </c>
      <c r="E794" s="7" t="str">
        <f>伙伴属性配置!AE42</f>
        <v>[{"2":169},{"4":93},{"5":93},{"12":1121},{"7":8},{"6":0},{"8":10},{"9":0}]</v>
      </c>
    </row>
    <row r="795" spans="1:5">
      <c r="A795" s="6">
        <f t="shared" si="43"/>
        <v>13042</v>
      </c>
      <c r="B795" s="6">
        <f t="shared" si="42"/>
        <v>42</v>
      </c>
      <c r="C795" s="6">
        <f t="shared" ref="C795:C858" si="44">C645</f>
        <v>2032500</v>
      </c>
      <c r="D795" s="6">
        <v>13</v>
      </c>
      <c r="E795" s="7" t="str">
        <f>伙伴属性配置!AE43</f>
        <v>[{"2":170},{"4":94},{"5":94},{"12":1140},{"7":8},{"6":0},{"8":10},{"9":0}]</v>
      </c>
    </row>
    <row r="796" spans="1:5">
      <c r="A796" s="6">
        <f t="shared" si="43"/>
        <v>13043</v>
      </c>
      <c r="B796" s="6">
        <f t="shared" si="42"/>
        <v>43</v>
      </c>
      <c r="C796" s="6">
        <f t="shared" si="44"/>
        <v>2282000</v>
      </c>
      <c r="D796" s="6">
        <v>13</v>
      </c>
      <c r="E796" s="7" t="str">
        <f>伙伴属性配置!AE44</f>
        <v>[{"2":171},{"4":94},{"5":94},{"12":1160},{"7":8},{"6":0},{"8":10},{"9":0}]</v>
      </c>
    </row>
    <row r="797" spans="1:5">
      <c r="A797" s="6">
        <f t="shared" si="43"/>
        <v>13044</v>
      </c>
      <c r="B797" s="6">
        <f t="shared" si="42"/>
        <v>44</v>
      </c>
      <c r="C797" s="6">
        <f t="shared" si="44"/>
        <v>2561500</v>
      </c>
      <c r="D797" s="6">
        <v>13</v>
      </c>
      <c r="E797" s="7" t="str">
        <f>伙伴属性配置!AE45</f>
        <v>[{"2":172},{"4":95},{"5":95},{"12":1179},{"7":8},{"6":0},{"8":10},{"9":0}]</v>
      </c>
    </row>
    <row r="798" spans="1:5">
      <c r="A798" s="6">
        <f t="shared" si="43"/>
        <v>13045</v>
      </c>
      <c r="B798" s="6">
        <f t="shared" si="42"/>
        <v>45</v>
      </c>
      <c r="C798" s="6">
        <f t="shared" si="44"/>
        <v>2871000</v>
      </c>
      <c r="D798" s="6">
        <v>13</v>
      </c>
      <c r="E798" s="7" t="str">
        <f>伙伴属性配置!AE46</f>
        <v>[{"2":174},{"4":96},{"5":96},{"12":1199},{"7":8},{"6":0},{"8":10},{"9":0}]</v>
      </c>
    </row>
    <row r="799" spans="1:5">
      <c r="A799" s="6">
        <f t="shared" si="43"/>
        <v>13046</v>
      </c>
      <c r="B799" s="6">
        <f t="shared" si="42"/>
        <v>46</v>
      </c>
      <c r="C799" s="6">
        <f t="shared" si="44"/>
        <v>3230500</v>
      </c>
      <c r="D799" s="6">
        <v>13</v>
      </c>
      <c r="E799" s="7" t="str">
        <f>伙伴属性配置!AE47</f>
        <v>[{"2":175},{"4":96},{"5":96},{"12":1219},{"7":8},{"6":0},{"8":10},{"9":0}]</v>
      </c>
    </row>
    <row r="800" spans="1:5">
      <c r="A800" s="6">
        <f t="shared" si="43"/>
        <v>13047</v>
      </c>
      <c r="B800" s="6">
        <f t="shared" si="42"/>
        <v>47</v>
      </c>
      <c r="C800" s="6">
        <f t="shared" si="44"/>
        <v>3640000</v>
      </c>
      <c r="D800" s="6">
        <v>13</v>
      </c>
      <c r="E800" s="7" t="str">
        <f>伙伴属性配置!AE48</f>
        <v>[{"2":176},{"4":97},{"5":97},{"12":1238},{"7":8},{"6":0},{"8":10},{"9":0}]</v>
      </c>
    </row>
    <row r="801" spans="1:5">
      <c r="A801" s="6">
        <f t="shared" si="43"/>
        <v>13048</v>
      </c>
      <c r="B801" s="6">
        <f t="shared" ref="B801:B825" si="45">B651</f>
        <v>48</v>
      </c>
      <c r="C801" s="6">
        <f t="shared" si="44"/>
        <v>4099500</v>
      </c>
      <c r="D801" s="6">
        <v>13</v>
      </c>
      <c r="E801" s="7" t="str">
        <f>伙伴属性配置!AE49</f>
        <v>[{"2":177},{"4":98},{"5":98},{"12":1258},{"7":8},{"6":0},{"8":10},{"9":0}]</v>
      </c>
    </row>
    <row r="802" spans="1:5">
      <c r="A802" s="6">
        <f t="shared" si="43"/>
        <v>13049</v>
      </c>
      <c r="B802" s="6">
        <f t="shared" si="45"/>
        <v>49</v>
      </c>
      <c r="C802" s="6">
        <f t="shared" si="44"/>
        <v>4609000</v>
      </c>
      <c r="D802" s="6">
        <v>13</v>
      </c>
      <c r="E802" s="7" t="str">
        <f>伙伴属性配置!AE50</f>
        <v>[{"2":178},{"4":98},{"5":98},{"12":1277},{"7":8},{"6":0},{"8":10},{"9":0}]</v>
      </c>
    </row>
    <row r="803" spans="1:5">
      <c r="A803" s="6">
        <f t="shared" si="43"/>
        <v>13050</v>
      </c>
      <c r="B803" s="6">
        <f t="shared" si="45"/>
        <v>50</v>
      </c>
      <c r="C803" s="6">
        <f t="shared" si="44"/>
        <v>5168500</v>
      </c>
      <c r="D803" s="6">
        <v>13</v>
      </c>
      <c r="E803" s="7" t="str">
        <f>伙伴属性配置!AE51</f>
        <v>[{"2":180},{"4":99},{"5":99},{"12":1550},{"7":8},{"6":0},{"8":10},{"9":0}]</v>
      </c>
    </row>
    <row r="804" spans="1:5">
      <c r="A804" s="6">
        <f t="shared" si="43"/>
        <v>13051</v>
      </c>
      <c r="B804" s="6">
        <f t="shared" si="45"/>
        <v>51</v>
      </c>
      <c r="C804" s="6">
        <f t="shared" si="44"/>
        <v>5808000</v>
      </c>
      <c r="D804" s="6">
        <v>13</v>
      </c>
      <c r="E804" s="7" t="str">
        <f>伙伴属性配置!AE52</f>
        <v>[{"2":181},{"4":100},{"5":100},{"12":1575},{"7":8},{"6":0},{"8":10},{"9":0}]</v>
      </c>
    </row>
    <row r="805" spans="1:5">
      <c r="A805" s="6">
        <f t="shared" si="43"/>
        <v>13052</v>
      </c>
      <c r="B805" s="6">
        <f t="shared" si="45"/>
        <v>52</v>
      </c>
      <c r="C805" s="6">
        <f t="shared" si="44"/>
        <v>6527500</v>
      </c>
      <c r="D805" s="6">
        <v>13</v>
      </c>
      <c r="E805" s="7" t="str">
        <f>伙伴属性配置!AE53</f>
        <v>[{"2":182},{"4":100},{"5":100},{"12":1599},{"7":8},{"6":0},{"8":10},{"9":0}]</v>
      </c>
    </row>
    <row r="806" spans="1:5">
      <c r="A806" s="6">
        <f t="shared" si="43"/>
        <v>13053</v>
      </c>
      <c r="B806" s="6">
        <f t="shared" si="45"/>
        <v>53</v>
      </c>
      <c r="C806" s="6">
        <f t="shared" si="44"/>
        <v>7327000</v>
      </c>
      <c r="D806" s="6">
        <v>13</v>
      </c>
      <c r="E806" s="7" t="str">
        <f>伙伴属性配置!AE54</f>
        <v>[{"2":183},{"4":101},{"5":101},{"12":1624},{"7":8},{"6":0},{"8":10},{"9":0}]</v>
      </c>
    </row>
    <row r="807" spans="1:5">
      <c r="A807" s="6">
        <f t="shared" si="43"/>
        <v>13054</v>
      </c>
      <c r="B807" s="6">
        <f t="shared" si="45"/>
        <v>54</v>
      </c>
      <c r="C807" s="6">
        <f t="shared" si="44"/>
        <v>8206500</v>
      </c>
      <c r="D807" s="6">
        <v>13</v>
      </c>
      <c r="E807" s="7" t="str">
        <f>伙伴属性配置!AE55</f>
        <v>[{"2":184},{"4":102},{"5":102},{"12":1649},{"7":8},{"6":0},{"8":10},{"9":0}]</v>
      </c>
    </row>
    <row r="808" spans="1:5">
      <c r="A808" s="6">
        <f t="shared" si="43"/>
        <v>13055</v>
      </c>
      <c r="B808" s="6">
        <f t="shared" si="45"/>
        <v>55</v>
      </c>
      <c r="C808" s="6">
        <f t="shared" si="44"/>
        <v>9166000</v>
      </c>
      <c r="D808" s="6">
        <v>13</v>
      </c>
      <c r="E808" s="7" t="str">
        <f>伙伴属性配置!AE56</f>
        <v>[{"2":186},{"4":102},{"5":102},{"12":1673},{"7":8},{"6":0},{"8":10},{"9":0}]</v>
      </c>
    </row>
    <row r="809" spans="1:5">
      <c r="A809" s="6">
        <f t="shared" si="43"/>
        <v>13056</v>
      </c>
      <c r="B809" s="6">
        <f t="shared" si="45"/>
        <v>56</v>
      </c>
      <c r="C809" s="6">
        <f t="shared" si="44"/>
        <v>10225500</v>
      </c>
      <c r="D809" s="6">
        <v>13</v>
      </c>
      <c r="E809" s="7" t="str">
        <f>伙伴属性配置!AE57</f>
        <v>[{"2":187},{"4":103},{"5":103},{"12":1698},{"7":8},{"6":0},{"8":10},{"9":0}]</v>
      </c>
    </row>
    <row r="810" spans="1:5">
      <c r="A810" s="6">
        <f t="shared" si="43"/>
        <v>13057</v>
      </c>
      <c r="B810" s="6">
        <f t="shared" si="45"/>
        <v>57</v>
      </c>
      <c r="C810" s="6">
        <f t="shared" si="44"/>
        <v>11385000</v>
      </c>
      <c r="D810" s="6">
        <v>13</v>
      </c>
      <c r="E810" s="7" t="str">
        <f>伙伴属性配置!AE58</f>
        <v>[{"2":188},{"4":104},{"5":104},{"12":1723},{"7":8},{"6":0},{"8":10},{"9":0}]</v>
      </c>
    </row>
    <row r="811" spans="1:5">
      <c r="A811" s="6">
        <f t="shared" si="43"/>
        <v>13058</v>
      </c>
      <c r="B811" s="6">
        <f t="shared" si="45"/>
        <v>58</v>
      </c>
      <c r="C811" s="6">
        <f t="shared" si="44"/>
        <v>12644500</v>
      </c>
      <c r="D811" s="6">
        <v>13</v>
      </c>
      <c r="E811" s="7" t="str">
        <f>伙伴属性配置!AE59</f>
        <v>[{"2":189},{"4":104},{"5":104},{"12":1747},{"7":8},{"6":0},{"8":10},{"9":0}]</v>
      </c>
    </row>
    <row r="812" spans="1:5">
      <c r="A812" s="6">
        <f t="shared" si="43"/>
        <v>13059</v>
      </c>
      <c r="B812" s="6">
        <f t="shared" si="45"/>
        <v>59</v>
      </c>
      <c r="C812" s="6">
        <f t="shared" si="44"/>
        <v>14004000</v>
      </c>
      <c r="D812" s="6">
        <v>13</v>
      </c>
      <c r="E812" s="7" t="str">
        <f>伙伴属性配置!AE60</f>
        <v>[{"2":190},{"4":105},{"5":105},{"12":1772},{"7":8},{"6":0},{"8":10},{"9":0}]</v>
      </c>
    </row>
    <row r="813" spans="1:5">
      <c r="A813" s="6">
        <f t="shared" si="43"/>
        <v>13060</v>
      </c>
      <c r="B813" s="6">
        <f t="shared" si="45"/>
        <v>60</v>
      </c>
      <c r="C813" s="6">
        <f t="shared" si="44"/>
        <v>15463500</v>
      </c>
      <c r="D813" s="6">
        <v>13</v>
      </c>
      <c r="E813" s="7" t="str">
        <f>伙伴属性配置!AE61</f>
        <v>[{"2":192},{"4":106},{"5":106},{"12":1797},{"7":8},{"6":0},{"8":10},{"9":0}]</v>
      </c>
    </row>
    <row r="814" spans="1:5">
      <c r="A814" s="6">
        <f t="shared" si="43"/>
        <v>13061</v>
      </c>
      <c r="B814" s="6">
        <f t="shared" si="45"/>
        <v>61</v>
      </c>
      <c r="C814" s="6">
        <f t="shared" si="44"/>
        <v>17063000</v>
      </c>
      <c r="D814" s="6">
        <v>13</v>
      </c>
      <c r="E814" s="7" t="str">
        <f>伙伴属性配置!AE62</f>
        <v>[{"2":193},{"4":106},{"5":106},{"12":1821},{"7":8},{"6":0},{"8":10},{"9":0}]</v>
      </c>
    </row>
    <row r="815" spans="1:5">
      <c r="A815" s="6">
        <f t="shared" si="43"/>
        <v>13062</v>
      </c>
      <c r="B815" s="6">
        <f t="shared" si="45"/>
        <v>62</v>
      </c>
      <c r="C815" s="6">
        <f t="shared" si="44"/>
        <v>18802500</v>
      </c>
      <c r="D815" s="6">
        <v>13</v>
      </c>
      <c r="E815" s="7" t="str">
        <f>伙伴属性配置!AE63</f>
        <v>[{"2":194},{"4":107},{"5":107},{"12":1846},{"7":8},{"6":0},{"8":10},{"9":0}]</v>
      </c>
    </row>
    <row r="816" spans="1:5">
      <c r="A816" s="6">
        <f t="shared" si="43"/>
        <v>13063</v>
      </c>
      <c r="B816" s="6">
        <f t="shared" si="45"/>
        <v>63</v>
      </c>
      <c r="C816" s="6">
        <f t="shared" si="44"/>
        <v>20682000</v>
      </c>
      <c r="D816" s="6">
        <v>13</v>
      </c>
      <c r="E816" s="7" t="str">
        <f>伙伴属性配置!AE64</f>
        <v>[{"2":195},{"4":108},{"5":108},{"12":1871},{"7":8},{"6":0},{"8":10},{"9":0}]</v>
      </c>
    </row>
    <row r="817" spans="1:5">
      <c r="A817" s="6">
        <f t="shared" si="43"/>
        <v>13064</v>
      </c>
      <c r="B817" s="6">
        <f t="shared" si="45"/>
        <v>64</v>
      </c>
      <c r="C817" s="6">
        <f t="shared" si="44"/>
        <v>22701500</v>
      </c>
      <c r="D817" s="6">
        <v>13</v>
      </c>
      <c r="E817" s="7" t="str">
        <f>伙伴属性配置!AE65</f>
        <v>[{"2":196},{"4":108},{"5":108},{"12":1895},{"7":8},{"6":0},{"8":10},{"9":0}]</v>
      </c>
    </row>
    <row r="818" spans="1:5">
      <c r="A818" s="6">
        <f t="shared" si="43"/>
        <v>13065</v>
      </c>
      <c r="B818" s="6">
        <f t="shared" si="45"/>
        <v>65</v>
      </c>
      <c r="C818" s="6">
        <f t="shared" si="44"/>
        <v>24861000</v>
      </c>
      <c r="D818" s="6">
        <v>13</v>
      </c>
      <c r="E818" s="7" t="str">
        <f>伙伴属性配置!AE66</f>
        <v>[{"2":198},{"4":109},{"5":109},{"12":1920},{"7":8},{"6":0},{"8":10},{"9":0}]</v>
      </c>
    </row>
    <row r="819" spans="1:5">
      <c r="A819" s="6">
        <f t="shared" si="43"/>
        <v>13066</v>
      </c>
      <c r="B819" s="6">
        <f t="shared" si="45"/>
        <v>66</v>
      </c>
      <c r="C819" s="6">
        <f t="shared" si="44"/>
        <v>27200500</v>
      </c>
      <c r="D819" s="6">
        <v>13</v>
      </c>
      <c r="E819" s="7" t="str">
        <f>伙伴属性配置!AE67</f>
        <v>[{"2":199},{"4":110},{"5":110},{"12":1945},{"7":8},{"6":0},{"8":10},{"9":0}]</v>
      </c>
    </row>
    <row r="820" spans="1:5">
      <c r="A820" s="6">
        <f t="shared" si="43"/>
        <v>13067</v>
      </c>
      <c r="B820" s="6">
        <f t="shared" si="45"/>
        <v>67</v>
      </c>
      <c r="C820" s="6">
        <f t="shared" si="44"/>
        <v>29720000</v>
      </c>
      <c r="D820" s="6">
        <v>13</v>
      </c>
      <c r="E820" s="7" t="str">
        <f>伙伴属性配置!AE68</f>
        <v>[{"2":200},{"4":110},{"5":110},{"12":1969},{"7":8},{"6":0},{"8":10},{"9":0}]</v>
      </c>
    </row>
    <row r="821" spans="1:5">
      <c r="A821" s="6">
        <f t="shared" si="43"/>
        <v>13068</v>
      </c>
      <c r="B821" s="6">
        <f t="shared" si="45"/>
        <v>68</v>
      </c>
      <c r="C821" s="6">
        <f t="shared" si="44"/>
        <v>32419500</v>
      </c>
      <c r="D821" s="6">
        <v>13</v>
      </c>
      <c r="E821" s="7" t="str">
        <f>伙伴属性配置!AE69</f>
        <v>[{"2":201},{"4":111},{"5":111},{"12":1994},{"7":8},{"6":0},{"8":10},{"9":0}]</v>
      </c>
    </row>
    <row r="822" spans="1:5">
      <c r="A822" s="6">
        <f t="shared" si="43"/>
        <v>13069</v>
      </c>
      <c r="B822" s="6">
        <f t="shared" si="45"/>
        <v>69</v>
      </c>
      <c r="C822" s="6">
        <f t="shared" si="44"/>
        <v>35299000</v>
      </c>
      <c r="D822" s="6">
        <v>13</v>
      </c>
      <c r="E822" s="7" t="str">
        <f>伙伴属性配置!AE70</f>
        <v>[{"2":202},{"4":112},{"5":112},{"12":2019},{"7":8},{"6":0},{"8":10},{"9":0}]</v>
      </c>
    </row>
    <row r="823" spans="1:5">
      <c r="A823" s="6">
        <f t="shared" si="43"/>
        <v>13070</v>
      </c>
      <c r="B823" s="6">
        <f t="shared" si="45"/>
        <v>70</v>
      </c>
      <c r="C823" s="6">
        <f t="shared" si="44"/>
        <v>38358500</v>
      </c>
      <c r="D823" s="6">
        <v>13</v>
      </c>
      <c r="E823" s="7" t="str">
        <f>伙伴属性配置!AE71</f>
        <v>[{"2":204},{"4":112},{"5":112},{"12":2530},{"7":8},{"6":0},{"8":10},{"9":0}]</v>
      </c>
    </row>
    <row r="824" spans="1:5">
      <c r="A824" s="6">
        <f t="shared" si="43"/>
        <v>13071</v>
      </c>
      <c r="B824" s="6">
        <f t="shared" si="45"/>
        <v>71</v>
      </c>
      <c r="C824" s="6">
        <f t="shared" si="44"/>
        <v>41668000</v>
      </c>
      <c r="D824" s="6">
        <v>13</v>
      </c>
      <c r="E824" s="7" t="str">
        <f>伙伴属性配置!AE72</f>
        <v>[{"2":205},{"4":113},{"5":113},{"12":2562},{"7":8},{"6":0},{"8":10},{"9":0}]</v>
      </c>
    </row>
    <row r="825" spans="1:5">
      <c r="A825" s="6">
        <f t="shared" si="43"/>
        <v>13072</v>
      </c>
      <c r="B825" s="6">
        <f t="shared" si="45"/>
        <v>72</v>
      </c>
      <c r="C825" s="6">
        <f t="shared" si="44"/>
        <v>45227500</v>
      </c>
      <c r="D825" s="6">
        <v>13</v>
      </c>
      <c r="E825" s="7" t="str">
        <f>伙伴属性配置!AE73</f>
        <v>[{"2":206},{"4":114},{"5":114},{"12":2594},{"7":8},{"6":0},{"8":10},{"9":0}]</v>
      </c>
    </row>
    <row r="826" spans="1:5">
      <c r="A826" s="6">
        <f t="shared" si="43"/>
        <v>13073</v>
      </c>
      <c r="B826" s="6">
        <f t="shared" ref="B826:B872" si="46">B676</f>
        <v>73</v>
      </c>
      <c r="C826" s="6">
        <f t="shared" si="44"/>
        <v>49037000</v>
      </c>
      <c r="D826" s="6">
        <v>13</v>
      </c>
      <c r="E826" s="7" t="str">
        <f>伙伴属性配置!AE74</f>
        <v>[{"2":207},{"4":114},{"5":114},{"12":2625},{"7":8},{"6":0},{"8":10},{"9":0}]</v>
      </c>
    </row>
    <row r="827" spans="1:5">
      <c r="A827" s="6">
        <f t="shared" si="43"/>
        <v>13074</v>
      </c>
      <c r="B827" s="6">
        <f t="shared" si="46"/>
        <v>74</v>
      </c>
      <c r="C827" s="6">
        <f t="shared" si="44"/>
        <v>53096500</v>
      </c>
      <c r="D827" s="6">
        <v>13</v>
      </c>
      <c r="E827" s="7" t="str">
        <f>伙伴属性配置!AE75</f>
        <v>[{"2":208},{"4":115},{"5":115},{"12":2657},{"7":8},{"6":0},{"8":10},{"9":0}]</v>
      </c>
    </row>
    <row r="828" spans="1:5">
      <c r="A828" s="6">
        <f t="shared" si="43"/>
        <v>13075</v>
      </c>
      <c r="B828" s="6">
        <f t="shared" si="46"/>
        <v>75</v>
      </c>
      <c r="C828" s="6">
        <f t="shared" si="44"/>
        <v>57406000</v>
      </c>
      <c r="D828" s="6">
        <v>13</v>
      </c>
      <c r="E828" s="7" t="str">
        <f>伙伴属性配置!AE76</f>
        <v>[{"2":210},{"4":116},{"5":116},{"12":2688},{"7":8},{"6":0},{"8":10},{"9":0}]</v>
      </c>
    </row>
    <row r="829" spans="1:5">
      <c r="A829" s="6">
        <f t="shared" si="43"/>
        <v>13076</v>
      </c>
      <c r="B829" s="6">
        <f t="shared" si="46"/>
        <v>76</v>
      </c>
      <c r="C829" s="6">
        <f t="shared" si="44"/>
        <v>62215500</v>
      </c>
      <c r="D829" s="6">
        <v>13</v>
      </c>
      <c r="E829" s="7" t="str">
        <f>伙伴属性配置!AE77</f>
        <v>[{"2":211},{"4":116},{"5":116},{"12":2720},{"7":8},{"6":0},{"8":10},{"9":0}]</v>
      </c>
    </row>
    <row r="830" spans="1:5">
      <c r="A830" s="6">
        <f t="shared" si="43"/>
        <v>13077</v>
      </c>
      <c r="B830" s="6">
        <f t="shared" si="46"/>
        <v>77</v>
      </c>
      <c r="C830" s="6">
        <f t="shared" si="44"/>
        <v>67525000</v>
      </c>
      <c r="D830" s="6">
        <v>13</v>
      </c>
      <c r="E830" s="7" t="str">
        <f>伙伴属性配置!AE78</f>
        <v>[{"2":212},{"4":117},{"5":117},{"12":2752},{"7":8},{"6":0},{"8":10},{"9":0}]</v>
      </c>
    </row>
    <row r="831" spans="1:5">
      <c r="A831" s="6">
        <f t="shared" si="43"/>
        <v>13078</v>
      </c>
      <c r="B831" s="6">
        <f t="shared" si="46"/>
        <v>78</v>
      </c>
      <c r="C831" s="6">
        <f t="shared" si="44"/>
        <v>73334500</v>
      </c>
      <c r="D831" s="6">
        <v>13</v>
      </c>
      <c r="E831" s="7" t="str">
        <f>伙伴属性配置!AE79</f>
        <v>[{"2":213},{"4":118},{"5":118},{"12":2783},{"7":8},{"6":0},{"8":10},{"9":0}]</v>
      </c>
    </row>
    <row r="832" spans="1:5">
      <c r="A832" s="6">
        <f t="shared" si="43"/>
        <v>13079</v>
      </c>
      <c r="B832" s="6">
        <f t="shared" si="46"/>
        <v>79</v>
      </c>
      <c r="C832" s="6">
        <f t="shared" si="44"/>
        <v>79644000</v>
      </c>
      <c r="D832" s="6">
        <v>13</v>
      </c>
      <c r="E832" s="7" t="str">
        <f>伙伴属性配置!AE80</f>
        <v>[{"2":214},{"4":118},{"5":118},{"12":2815},{"7":8},{"6":0},{"8":10},{"9":0}]</v>
      </c>
    </row>
    <row r="833" spans="1:5">
      <c r="A833" s="6">
        <f t="shared" si="43"/>
        <v>13080</v>
      </c>
      <c r="B833" s="6">
        <f t="shared" si="46"/>
        <v>80</v>
      </c>
      <c r="C833" s="6">
        <f t="shared" si="44"/>
        <v>86453500</v>
      </c>
      <c r="D833" s="6">
        <v>13</v>
      </c>
      <c r="E833" s="7" t="str">
        <f>伙伴属性配置!AE81</f>
        <v>[{"2":216},{"4":119},{"5":119},{"12":2847},{"7":8},{"6":0},{"8":10},{"9":0}]</v>
      </c>
    </row>
    <row r="834" spans="1:5">
      <c r="A834" s="6">
        <f t="shared" si="43"/>
        <v>13081</v>
      </c>
      <c r="B834" s="6">
        <f t="shared" si="46"/>
        <v>81</v>
      </c>
      <c r="C834" s="6">
        <f t="shared" si="44"/>
        <v>94263000</v>
      </c>
      <c r="D834" s="6">
        <v>13</v>
      </c>
      <c r="E834" s="7" t="str">
        <f>伙伴属性配置!AE82</f>
        <v>[{"2":217},{"4":120},{"5":120},{"12":2878},{"7":8},{"6":0},{"8":10},{"9":0}]</v>
      </c>
    </row>
    <row r="835" spans="1:5">
      <c r="A835" s="6">
        <f t="shared" si="43"/>
        <v>13082</v>
      </c>
      <c r="B835" s="6">
        <f t="shared" si="46"/>
        <v>82</v>
      </c>
      <c r="C835" s="6">
        <f t="shared" si="44"/>
        <v>103072500</v>
      </c>
      <c r="D835" s="6">
        <v>13</v>
      </c>
      <c r="E835" s="7" t="str">
        <f>伙伴属性配置!AE83</f>
        <v>[{"2":218},{"4":120},{"5":120},{"12":2910},{"7":8},{"6":0},{"8":10},{"9":0}]</v>
      </c>
    </row>
    <row r="836" spans="1:5">
      <c r="A836" s="6">
        <f t="shared" si="43"/>
        <v>13083</v>
      </c>
      <c r="B836" s="6">
        <f t="shared" si="46"/>
        <v>83</v>
      </c>
      <c r="C836" s="6">
        <f t="shared" si="44"/>
        <v>112882000</v>
      </c>
      <c r="D836" s="6">
        <v>13</v>
      </c>
      <c r="E836" s="7" t="str">
        <f>伙伴属性配置!AE84</f>
        <v>[{"2":219},{"4":121},{"5":121},{"12":2941},{"7":8},{"6":0},{"8":10},{"9":0}]</v>
      </c>
    </row>
    <row r="837" spans="1:5">
      <c r="A837" s="6">
        <f t="shared" ref="A837:A900" si="47">D837*1000+B837</f>
        <v>13084</v>
      </c>
      <c r="B837" s="6">
        <f t="shared" si="46"/>
        <v>84</v>
      </c>
      <c r="C837" s="6">
        <f t="shared" si="44"/>
        <v>123691500</v>
      </c>
      <c r="D837" s="6">
        <v>13</v>
      </c>
      <c r="E837" s="7" t="str">
        <f>伙伴属性配置!AE85</f>
        <v>[{"2":220},{"4":122},{"5":122},{"12":3717},{"7":8},{"6":0},{"8":10},{"9":0}]</v>
      </c>
    </row>
    <row r="838" spans="1:5">
      <c r="A838" s="6">
        <f t="shared" si="47"/>
        <v>13085</v>
      </c>
      <c r="B838" s="6">
        <f t="shared" si="46"/>
        <v>85</v>
      </c>
      <c r="C838" s="6">
        <f t="shared" si="44"/>
        <v>135501000</v>
      </c>
      <c r="D838" s="6">
        <v>13</v>
      </c>
      <c r="E838" s="7" t="str">
        <f>伙伴属性配置!AE86</f>
        <v>[{"2":222},{"4":122},{"5":122},{"12":3757},{"7":8},{"6":0},{"8":10},{"9":0}]</v>
      </c>
    </row>
    <row r="839" spans="1:5">
      <c r="A839" s="6">
        <f t="shared" si="47"/>
        <v>13086</v>
      </c>
      <c r="B839" s="6">
        <f t="shared" si="46"/>
        <v>86</v>
      </c>
      <c r="C839" s="6">
        <f t="shared" si="44"/>
        <v>152310500</v>
      </c>
      <c r="D839" s="6">
        <v>13</v>
      </c>
      <c r="E839" s="7" t="str">
        <f>伙伴属性配置!AE87</f>
        <v>[{"2":223},{"4":123},{"5":123},{"12":3798},{"7":8},{"6":0},{"8":10},{"9":0}]</v>
      </c>
    </row>
    <row r="840" spans="1:5">
      <c r="A840" s="6">
        <f t="shared" si="47"/>
        <v>13087</v>
      </c>
      <c r="B840" s="6">
        <f t="shared" si="46"/>
        <v>87</v>
      </c>
      <c r="C840" s="6">
        <f t="shared" si="44"/>
        <v>174120000</v>
      </c>
      <c r="D840" s="6">
        <v>13</v>
      </c>
      <c r="E840" s="7" t="str">
        <f>伙伴属性配置!AE88</f>
        <v>[{"2":224},{"4":124},{"5":124},{"12":3838},{"7":8},{"6":0},{"8":10},{"9":0}]</v>
      </c>
    </row>
    <row r="841" spans="1:5">
      <c r="A841" s="6">
        <f t="shared" si="47"/>
        <v>13088</v>
      </c>
      <c r="B841" s="6">
        <f t="shared" si="46"/>
        <v>88</v>
      </c>
      <c r="C841" s="6">
        <f t="shared" si="44"/>
        <v>200929500</v>
      </c>
      <c r="D841" s="6">
        <v>13</v>
      </c>
      <c r="E841" s="7" t="str">
        <f>伙伴属性配置!AE89</f>
        <v>[{"2":225},{"4":124},{"5":124},{"12":3879},{"7":8},{"6":0},{"8":10},{"9":0}]</v>
      </c>
    </row>
    <row r="842" spans="1:5">
      <c r="A842" s="6">
        <f t="shared" si="47"/>
        <v>13089</v>
      </c>
      <c r="B842" s="6">
        <f t="shared" si="46"/>
        <v>89</v>
      </c>
      <c r="C842" s="6">
        <f t="shared" si="44"/>
        <v>232739000</v>
      </c>
      <c r="D842" s="6">
        <v>13</v>
      </c>
      <c r="E842" s="7" t="str">
        <f>伙伴属性配置!AE90</f>
        <v>[{"2":226},{"4":125},{"5":125},{"12":3919},{"7":8},{"6":0},{"8":10},{"9":0}]</v>
      </c>
    </row>
    <row r="843" spans="1:5">
      <c r="A843" s="6">
        <f t="shared" si="47"/>
        <v>13090</v>
      </c>
      <c r="B843" s="6">
        <f t="shared" si="46"/>
        <v>90</v>
      </c>
      <c r="C843" s="6">
        <f t="shared" si="44"/>
        <v>269548500</v>
      </c>
      <c r="D843" s="6">
        <v>13</v>
      </c>
      <c r="E843" s="7" t="str">
        <f>伙伴属性配置!AE91</f>
        <v>[{"2":228},{"4":126},{"5":126},{"12":3960},{"7":8},{"6":0},{"8":10},{"9":0}]</v>
      </c>
    </row>
    <row r="844" spans="1:5">
      <c r="A844" s="6">
        <f t="shared" si="47"/>
        <v>13091</v>
      </c>
      <c r="B844" s="6">
        <f t="shared" si="46"/>
        <v>91</v>
      </c>
      <c r="C844" s="6">
        <f t="shared" si="44"/>
        <v>326358000</v>
      </c>
      <c r="D844" s="6">
        <v>13</v>
      </c>
      <c r="E844" s="7" t="str">
        <f>伙伴属性配置!AE92</f>
        <v>[{"2":229},{"4":126},{"5":126},{"12":4000},{"7":8},{"6":0},{"8":10},{"9":0}]</v>
      </c>
    </row>
    <row r="845" spans="1:5">
      <c r="A845" s="6">
        <f t="shared" si="47"/>
        <v>13092</v>
      </c>
      <c r="B845" s="6">
        <f t="shared" si="46"/>
        <v>92</v>
      </c>
      <c r="C845" s="6">
        <f t="shared" si="44"/>
        <v>403167500</v>
      </c>
      <c r="D845" s="6">
        <v>13</v>
      </c>
      <c r="E845" s="7" t="str">
        <f>伙伴属性配置!AE93</f>
        <v>[{"2":230},{"4":127},{"5":127},{"12":4041},{"7":8},{"6":0},{"8":10},{"9":0}]</v>
      </c>
    </row>
    <row r="846" spans="1:5">
      <c r="A846" s="6">
        <f t="shared" si="47"/>
        <v>13093</v>
      </c>
      <c r="B846" s="6">
        <f t="shared" si="46"/>
        <v>93</v>
      </c>
      <c r="C846" s="6">
        <f t="shared" si="44"/>
        <v>499977000</v>
      </c>
      <c r="D846" s="6">
        <v>13</v>
      </c>
      <c r="E846" s="7" t="str">
        <f>伙伴属性配置!AE94</f>
        <v>[{"2":231},{"4":128},{"5":128},{"12":4081},{"7":8},{"6":0},{"8":10},{"9":0}]</v>
      </c>
    </row>
    <row r="847" spans="1:5">
      <c r="A847" s="6">
        <f t="shared" si="47"/>
        <v>13094</v>
      </c>
      <c r="B847" s="6">
        <f t="shared" si="46"/>
        <v>94</v>
      </c>
      <c r="C847" s="6">
        <f t="shared" si="44"/>
        <v>616786500</v>
      </c>
      <c r="D847" s="6">
        <v>13</v>
      </c>
      <c r="E847" s="7" t="str">
        <f>伙伴属性配置!AE95</f>
        <v>[{"2":232},{"4":128},{"5":128},{"12":4121},{"7":8},{"6":0},{"8":10},{"9":0}]</v>
      </c>
    </row>
    <row r="848" spans="1:5">
      <c r="A848" s="6">
        <f t="shared" si="47"/>
        <v>13095</v>
      </c>
      <c r="B848" s="6">
        <f t="shared" si="46"/>
        <v>95</v>
      </c>
      <c r="C848" s="6">
        <f t="shared" si="44"/>
        <v>753596000</v>
      </c>
      <c r="D848" s="6">
        <v>13</v>
      </c>
      <c r="E848" s="7" t="str">
        <f>伙伴属性配置!AE96</f>
        <v>[{"2":234},{"4":129},{"5":129},{"12":4162},{"7":8},{"6":0},{"8":10},{"9":0}]</v>
      </c>
    </row>
    <row r="849" spans="1:5">
      <c r="A849" s="6">
        <f t="shared" si="47"/>
        <v>13096</v>
      </c>
      <c r="B849" s="6">
        <f t="shared" si="46"/>
        <v>96</v>
      </c>
      <c r="C849" s="6">
        <f t="shared" si="44"/>
        <v>920405500</v>
      </c>
      <c r="D849" s="6">
        <v>13</v>
      </c>
      <c r="E849" s="7" t="str">
        <f>伙伴属性配置!AE97</f>
        <v>[{"2":235},{"4":130},{"5":130},{"12":4203},{"7":8},{"6":0},{"8":10},{"9":0}]</v>
      </c>
    </row>
    <row r="850" spans="1:5">
      <c r="A850" s="6">
        <f t="shared" si="47"/>
        <v>13097</v>
      </c>
      <c r="B850" s="6">
        <f t="shared" si="46"/>
        <v>97</v>
      </c>
      <c r="C850" s="6">
        <f t="shared" si="44"/>
        <v>1117215000</v>
      </c>
      <c r="D850" s="6">
        <v>13</v>
      </c>
      <c r="E850" s="7" t="str">
        <f>伙伴属性配置!AE98</f>
        <v>[{"2":236},{"4":130},{"5":130},{"12":4243},{"7":8},{"6":0},{"8":10},{"9":0}]</v>
      </c>
    </row>
    <row r="851" spans="1:5">
      <c r="A851" s="6">
        <f t="shared" si="47"/>
        <v>13098</v>
      </c>
      <c r="B851" s="6">
        <f t="shared" si="46"/>
        <v>98</v>
      </c>
      <c r="C851" s="6">
        <f t="shared" si="44"/>
        <v>1344024500</v>
      </c>
      <c r="D851" s="6">
        <v>13</v>
      </c>
      <c r="E851" s="7" t="str">
        <f>伙伴属性配置!AE99</f>
        <v>[{"2":237},{"4":131},{"5":131},{"12":4284},{"7":8},{"6":0},{"8":10},{"9":0}]</v>
      </c>
    </row>
    <row r="852" spans="1:5">
      <c r="A852" s="6">
        <f t="shared" si="47"/>
        <v>13099</v>
      </c>
      <c r="B852" s="6">
        <f t="shared" si="46"/>
        <v>99</v>
      </c>
      <c r="C852" s="6">
        <f t="shared" si="44"/>
        <v>1600834000</v>
      </c>
      <c r="D852" s="6">
        <v>13</v>
      </c>
      <c r="E852" s="7" t="str">
        <f>伙伴属性配置!AE100</f>
        <v>[{"2":238},{"4":132},{"5":132},{"12":4324},{"7":8},{"6":0},{"8":10},{"9":0}]</v>
      </c>
    </row>
    <row r="853" spans="1:5">
      <c r="A853" s="6">
        <f t="shared" si="47"/>
        <v>13100</v>
      </c>
      <c r="B853" s="6">
        <f t="shared" si="46"/>
        <v>100</v>
      </c>
      <c r="C853" s="6">
        <f t="shared" si="44"/>
        <v>1887643500</v>
      </c>
      <c r="D853" s="6">
        <v>13</v>
      </c>
      <c r="E853" s="7" t="str">
        <f>伙伴属性配置!AE101</f>
        <v>[{"2":240},{"4":132},{"5":132},{"12":4365},{"7":8},{"6":0},{"8":10},{"9":0}]</v>
      </c>
    </row>
    <row r="854" spans="1:5">
      <c r="A854" s="6">
        <f t="shared" si="47"/>
        <v>13101</v>
      </c>
      <c r="B854" s="6">
        <f t="shared" si="46"/>
        <v>101</v>
      </c>
      <c r="C854" s="6">
        <f t="shared" si="44"/>
        <v>2214453000</v>
      </c>
      <c r="D854" s="6">
        <v>13</v>
      </c>
      <c r="E854" s="7" t="str">
        <f>伙伴属性配置!AE102</f>
        <v>[{"2":241},{"4":133},{"5":133},{"12":4405},{"7":8},{"6":0},{"8":10},{"9":0}]</v>
      </c>
    </row>
    <row r="855" spans="1:5">
      <c r="A855" s="6">
        <f t="shared" si="47"/>
        <v>13102</v>
      </c>
      <c r="B855" s="6">
        <f t="shared" si="46"/>
        <v>102</v>
      </c>
      <c r="C855" s="6">
        <f t="shared" si="44"/>
        <v>2581262500</v>
      </c>
      <c r="D855" s="6">
        <v>13</v>
      </c>
      <c r="E855" s="7" t="str">
        <f>伙伴属性配置!AE103</f>
        <v>[{"2":242},{"4":134},{"5":134},{"12":4446},{"7":8},{"6":0},{"8":10},{"9":0}]</v>
      </c>
    </row>
    <row r="856" spans="1:5">
      <c r="A856" s="6">
        <f t="shared" si="47"/>
        <v>13103</v>
      </c>
      <c r="B856" s="6">
        <f t="shared" si="46"/>
        <v>103</v>
      </c>
      <c r="C856" s="6">
        <f t="shared" si="44"/>
        <v>2988072000</v>
      </c>
      <c r="D856" s="6">
        <v>13</v>
      </c>
      <c r="E856" s="7" t="str">
        <f>伙伴属性配置!AE104</f>
        <v>[{"2":243},{"4":134},{"5":134},{"12":4486},{"7":8},{"6":0},{"8":10},{"9":0}]</v>
      </c>
    </row>
    <row r="857" spans="1:5">
      <c r="A857" s="6">
        <f t="shared" si="47"/>
        <v>13104</v>
      </c>
      <c r="B857" s="6">
        <f t="shared" si="46"/>
        <v>104</v>
      </c>
      <c r="C857" s="6">
        <f t="shared" si="44"/>
        <v>3434881500</v>
      </c>
      <c r="D857" s="6">
        <v>13</v>
      </c>
      <c r="E857" s="7" t="str">
        <f>伙伴属性配置!AE105</f>
        <v>[{"2":244},{"4":135},{"5":135},{"12":4526},{"7":8},{"6":0},{"8":10},{"9":0}]</v>
      </c>
    </row>
    <row r="858" spans="1:5">
      <c r="A858" s="6">
        <f t="shared" si="47"/>
        <v>13105</v>
      </c>
      <c r="B858" s="6">
        <f t="shared" si="46"/>
        <v>105</v>
      </c>
      <c r="C858" s="6">
        <f t="shared" si="44"/>
        <v>3921691000</v>
      </c>
      <c r="D858" s="6">
        <v>13</v>
      </c>
      <c r="E858" s="7" t="str">
        <f>伙伴属性配置!AE106</f>
        <v>[{"2":246},{"4":136},{"5":136},{"12":4567},{"7":8},{"6":0},{"8":10},{"9":0}]</v>
      </c>
    </row>
    <row r="859" spans="1:5">
      <c r="A859" s="6">
        <f t="shared" si="47"/>
        <v>13106</v>
      </c>
      <c r="B859" s="6">
        <f t="shared" si="46"/>
        <v>106</v>
      </c>
      <c r="C859" s="6">
        <f t="shared" ref="C859:C903" si="48">C709</f>
        <v>4458500500</v>
      </c>
      <c r="D859" s="6">
        <v>13</v>
      </c>
      <c r="E859" s="7" t="str">
        <f>伙伴属性配置!AE107</f>
        <v>[{"2":247},{"4":136},{"5":136},{"12":4607},{"7":8},{"6":0},{"8":10},{"9":0}]</v>
      </c>
    </row>
    <row r="860" spans="1:5">
      <c r="A860" s="6">
        <f t="shared" si="47"/>
        <v>13107</v>
      </c>
      <c r="B860" s="6">
        <f t="shared" si="46"/>
        <v>107</v>
      </c>
      <c r="C860" s="6">
        <f t="shared" si="48"/>
        <v>5045310000</v>
      </c>
      <c r="D860" s="6">
        <v>13</v>
      </c>
      <c r="E860" s="7" t="str">
        <f>伙伴属性配置!AE108</f>
        <v>[{"2":248},{"4":137},{"5":137},{"12":4648},{"7":8},{"6":0},{"8":10},{"9":0}]</v>
      </c>
    </row>
    <row r="861" spans="1:5">
      <c r="A861" s="6">
        <f t="shared" si="47"/>
        <v>13108</v>
      </c>
      <c r="B861" s="6">
        <f t="shared" si="46"/>
        <v>108</v>
      </c>
      <c r="C861" s="6">
        <f t="shared" si="48"/>
        <v>5682119500</v>
      </c>
      <c r="D861" s="6">
        <v>13</v>
      </c>
      <c r="E861" s="7" t="str">
        <f>伙伴属性配置!AE109</f>
        <v>[{"2":249},{"4":138},{"5":138},{"12":4688},{"7":8},{"6":0},{"8":10},{"9":0}]</v>
      </c>
    </row>
    <row r="862" spans="1:5">
      <c r="A862" s="6">
        <f t="shared" si="47"/>
        <v>13109</v>
      </c>
      <c r="B862" s="6">
        <f t="shared" si="46"/>
        <v>109</v>
      </c>
      <c r="C862" s="6">
        <f t="shared" si="48"/>
        <v>6368929000</v>
      </c>
      <c r="D862" s="6">
        <v>13</v>
      </c>
      <c r="E862" s="7" t="str">
        <f>伙伴属性配置!AE110</f>
        <v>[{"2":250},{"4":138},{"5":138},{"12":4729},{"7":8},{"6":0},{"8":10},{"9":0}]</v>
      </c>
    </row>
    <row r="863" spans="1:5">
      <c r="A863" s="6">
        <f t="shared" si="47"/>
        <v>13110</v>
      </c>
      <c r="B863" s="6">
        <f t="shared" si="46"/>
        <v>110</v>
      </c>
      <c r="C863" s="6">
        <f t="shared" si="48"/>
        <v>7105738500</v>
      </c>
      <c r="D863" s="6">
        <v>13</v>
      </c>
      <c r="E863" s="7" t="str">
        <f>伙伴属性配置!AE111</f>
        <v>[{"2":252},{"4":139},{"5":139},{"12":4769},{"7":8},{"6":0},{"8":10},{"9":0}]</v>
      </c>
    </row>
    <row r="864" spans="1:5">
      <c r="A864" s="6">
        <f t="shared" si="47"/>
        <v>13111</v>
      </c>
      <c r="B864" s="6">
        <f t="shared" si="46"/>
        <v>111</v>
      </c>
      <c r="C864" s="6">
        <f t="shared" si="48"/>
        <v>7902548000</v>
      </c>
      <c r="D864" s="6">
        <v>13</v>
      </c>
      <c r="E864" s="7" t="str">
        <f>伙伴属性配置!AE112</f>
        <v>[{"2":253},{"4":140},{"5":140},{"12":4810},{"7":8},{"6":0},{"8":10},{"9":0}]</v>
      </c>
    </row>
    <row r="865" spans="1:5">
      <c r="A865" s="6">
        <f t="shared" si="47"/>
        <v>13112</v>
      </c>
      <c r="B865" s="6">
        <f t="shared" si="46"/>
        <v>112</v>
      </c>
      <c r="C865" s="6">
        <f t="shared" si="48"/>
        <v>8759357500</v>
      </c>
      <c r="D865" s="6">
        <v>13</v>
      </c>
      <c r="E865" s="7" t="str">
        <f>伙伴属性配置!AE113</f>
        <v>[{"2":254},{"4":140},{"5":140},{"12":4851},{"7":8},{"6":0},{"8":10},{"9":0}]</v>
      </c>
    </row>
    <row r="866" spans="1:5">
      <c r="A866" s="6">
        <f t="shared" si="47"/>
        <v>13113</v>
      </c>
      <c r="B866" s="6">
        <f t="shared" si="46"/>
        <v>113</v>
      </c>
      <c r="C866" s="6">
        <f t="shared" si="48"/>
        <v>9676167000</v>
      </c>
      <c r="D866" s="6">
        <v>13</v>
      </c>
      <c r="E866" s="7" t="str">
        <f>伙伴属性配置!AE114</f>
        <v>[{"2":255},{"4":141},{"5":141},{"12":4891},{"7":8},{"6":0},{"8":10},{"9":0}]</v>
      </c>
    </row>
    <row r="867" spans="1:5">
      <c r="A867" s="6">
        <f t="shared" si="47"/>
        <v>13114</v>
      </c>
      <c r="B867" s="6">
        <f t="shared" si="46"/>
        <v>114</v>
      </c>
      <c r="C867" s="6">
        <f t="shared" si="48"/>
        <v>10652976500</v>
      </c>
      <c r="D867" s="6">
        <v>13</v>
      </c>
      <c r="E867" s="7" t="str">
        <f>伙伴属性配置!AE115</f>
        <v>[{"2":256},{"4":142},{"5":142},{"12":4931},{"7":8},{"6":0},{"8":10},{"9":0}]</v>
      </c>
    </row>
    <row r="868" spans="1:5">
      <c r="A868" s="6">
        <f t="shared" si="47"/>
        <v>13115</v>
      </c>
      <c r="B868" s="6">
        <f t="shared" si="46"/>
        <v>115</v>
      </c>
      <c r="C868" s="6">
        <f t="shared" si="48"/>
        <v>11689786000</v>
      </c>
      <c r="D868" s="6">
        <v>13</v>
      </c>
      <c r="E868" s="7" t="str">
        <f>伙伴属性配置!AE116</f>
        <v>[{"2":258},{"4":142},{"5":142},{"12":4972},{"7":8},{"6":0},{"8":10},{"9":0}]</v>
      </c>
    </row>
    <row r="869" spans="1:5">
      <c r="A869" s="6">
        <f t="shared" si="47"/>
        <v>13116</v>
      </c>
      <c r="B869" s="6">
        <f t="shared" si="46"/>
        <v>116</v>
      </c>
      <c r="C869" s="6">
        <f t="shared" si="48"/>
        <v>12796595500</v>
      </c>
      <c r="D869" s="6">
        <v>13</v>
      </c>
      <c r="E869" s="7" t="str">
        <f>伙伴属性配置!AE117</f>
        <v>[{"2":259},{"4":143},{"5":143},{"12":5012},{"7":8},{"6":0},{"8":10},{"9":0}]</v>
      </c>
    </row>
    <row r="870" spans="1:5">
      <c r="A870" s="6">
        <f t="shared" si="47"/>
        <v>13117</v>
      </c>
      <c r="B870" s="6">
        <f t="shared" si="46"/>
        <v>117</v>
      </c>
      <c r="C870" s="6">
        <f t="shared" si="48"/>
        <v>13973405000</v>
      </c>
      <c r="D870" s="6">
        <v>13</v>
      </c>
      <c r="E870" s="7" t="str">
        <f>伙伴属性配置!AE118</f>
        <v>[{"2":260},{"4":144},{"5":144},{"12":5053},{"7":8},{"6":0},{"8":10},{"9":0}]</v>
      </c>
    </row>
    <row r="871" spans="1:5">
      <c r="A871" s="6">
        <f t="shared" si="47"/>
        <v>13118</v>
      </c>
      <c r="B871" s="6">
        <f t="shared" si="46"/>
        <v>118</v>
      </c>
      <c r="C871" s="6">
        <f t="shared" si="48"/>
        <v>15220214500</v>
      </c>
      <c r="D871" s="6">
        <v>13</v>
      </c>
      <c r="E871" s="7" t="str">
        <f>伙伴属性配置!AE119</f>
        <v>[{"2":261},{"4":144},{"5":144},{"12":5093},{"7":8},{"6":0},{"8":10},{"9":0}]</v>
      </c>
    </row>
    <row r="872" spans="1:5">
      <c r="A872" s="6">
        <f t="shared" si="47"/>
        <v>13119</v>
      </c>
      <c r="B872" s="6">
        <f t="shared" si="46"/>
        <v>119</v>
      </c>
      <c r="C872" s="6">
        <f t="shared" si="48"/>
        <v>16537024000</v>
      </c>
      <c r="D872" s="6">
        <v>13</v>
      </c>
      <c r="E872" s="7" t="str">
        <f>伙伴属性配置!AE120</f>
        <v>[{"2":262},{"4":145},{"5":145},{"12":5134},{"7":8},{"6":0},{"8":10},{"9":0}]</v>
      </c>
    </row>
    <row r="873" spans="1:5">
      <c r="A873" s="6">
        <f t="shared" si="47"/>
        <v>13120</v>
      </c>
      <c r="B873" s="6">
        <f t="shared" ref="B873:B900" si="49">B723</f>
        <v>120</v>
      </c>
      <c r="C873" s="6">
        <f t="shared" si="48"/>
        <v>17923833500</v>
      </c>
      <c r="D873" s="6">
        <v>13</v>
      </c>
      <c r="E873" s="7" t="str">
        <f>伙伴属性配置!AE121</f>
        <v>[{"2":264},{"4":146},{"5":146},{"12":5174},{"7":8},{"6":0},{"8":10},{"9":0}]</v>
      </c>
    </row>
    <row r="874" spans="1:5">
      <c r="A874" s="6">
        <f t="shared" si="47"/>
        <v>13121</v>
      </c>
      <c r="B874" s="6">
        <f t="shared" si="49"/>
        <v>121</v>
      </c>
      <c r="C874" s="6">
        <f t="shared" si="48"/>
        <v>19390643000</v>
      </c>
      <c r="D874" s="6">
        <v>13</v>
      </c>
      <c r="E874" s="7" t="str">
        <f>伙伴属性配置!AE122</f>
        <v>[{"2":265},{"4":146},{"5":146},{"12":5215},{"7":8},{"6":0},{"8":10},{"9":0}]</v>
      </c>
    </row>
    <row r="875" spans="1:5">
      <c r="A875" s="6">
        <f t="shared" si="47"/>
        <v>13122</v>
      </c>
      <c r="B875" s="6">
        <f t="shared" si="49"/>
        <v>122</v>
      </c>
      <c r="C875" s="6">
        <f t="shared" si="48"/>
        <v>20937452500</v>
      </c>
      <c r="D875" s="6">
        <v>13</v>
      </c>
      <c r="E875" s="7" t="str">
        <f>伙伴属性配置!AE123</f>
        <v>[{"2":266},{"4":147},{"5":147},{"12":5255},{"7":8},{"6":0},{"8":10},{"9":0}]</v>
      </c>
    </row>
    <row r="876" spans="1:5">
      <c r="A876" s="6">
        <f t="shared" si="47"/>
        <v>13123</v>
      </c>
      <c r="B876" s="6">
        <f t="shared" si="49"/>
        <v>123</v>
      </c>
      <c r="C876" s="6">
        <f t="shared" si="48"/>
        <v>22564262000</v>
      </c>
      <c r="D876" s="6">
        <v>13</v>
      </c>
      <c r="E876" s="7" t="str">
        <f>伙伴属性配置!AE124</f>
        <v>[{"2":267},{"4":148},{"5":148},{"12":5295},{"7":8},{"6":0},{"8":10},{"9":0}]</v>
      </c>
    </row>
    <row r="877" spans="1:5">
      <c r="A877" s="6">
        <f t="shared" si="47"/>
        <v>13124</v>
      </c>
      <c r="B877" s="6">
        <f t="shared" si="49"/>
        <v>124</v>
      </c>
      <c r="C877" s="6">
        <f t="shared" si="48"/>
        <v>24271071500</v>
      </c>
      <c r="D877" s="6">
        <v>13</v>
      </c>
      <c r="E877" s="7" t="str">
        <f>伙伴属性配置!AE125</f>
        <v>[{"2":268},{"4":148},{"5":148},{"12":5336},{"7":8},{"6":0},{"8":10},{"9":0}]</v>
      </c>
    </row>
    <row r="878" spans="1:5">
      <c r="A878" s="6">
        <f t="shared" si="47"/>
        <v>13125</v>
      </c>
      <c r="B878" s="6">
        <f t="shared" si="49"/>
        <v>125</v>
      </c>
      <c r="C878" s="6">
        <f t="shared" si="48"/>
        <v>26057881000</v>
      </c>
      <c r="D878" s="6">
        <v>13</v>
      </c>
      <c r="E878" s="7" t="str">
        <f>伙伴属性配置!AE126</f>
        <v>[{"2":270},{"4":149},{"5":149},{"12":5376},{"7":8},{"6":0},{"8":10},{"9":0}]</v>
      </c>
    </row>
    <row r="879" spans="1:5">
      <c r="A879" s="6">
        <f t="shared" si="47"/>
        <v>13126</v>
      </c>
      <c r="B879" s="6">
        <f t="shared" si="49"/>
        <v>126</v>
      </c>
      <c r="C879" s="6">
        <f t="shared" si="48"/>
        <v>27934690500</v>
      </c>
      <c r="D879" s="6">
        <v>13</v>
      </c>
      <c r="E879" s="7" t="str">
        <f>伙伴属性配置!AE127</f>
        <v>[{"2":271},{"4":150},{"5":150},{"12":5417},{"7":8},{"6":0},{"8":10},{"9":0}]</v>
      </c>
    </row>
    <row r="880" spans="1:5">
      <c r="A880" s="6">
        <f t="shared" si="47"/>
        <v>13127</v>
      </c>
      <c r="B880" s="6">
        <f t="shared" si="49"/>
        <v>127</v>
      </c>
      <c r="C880" s="6">
        <f t="shared" si="48"/>
        <v>29901500000</v>
      </c>
      <c r="D880" s="6">
        <v>13</v>
      </c>
      <c r="E880" s="7" t="str">
        <f>伙伴属性配置!AE128</f>
        <v>[{"2":272},{"4":150},{"5":150},{"12":5457},{"7":8},{"6":0},{"8":10},{"9":0}]</v>
      </c>
    </row>
    <row r="881" spans="1:5">
      <c r="A881" s="6">
        <f t="shared" si="47"/>
        <v>13128</v>
      </c>
      <c r="B881" s="6">
        <f t="shared" si="49"/>
        <v>128</v>
      </c>
      <c r="C881" s="6">
        <f t="shared" si="48"/>
        <v>31958309500</v>
      </c>
      <c r="D881" s="6">
        <v>13</v>
      </c>
      <c r="E881" s="7" t="str">
        <f>伙伴属性配置!AE129</f>
        <v>[{"2":273},{"4":151},{"5":151},{"12":5498},{"7":8},{"6":0},{"8":10},{"9":0}]</v>
      </c>
    </row>
    <row r="882" spans="1:5">
      <c r="A882" s="6">
        <f t="shared" si="47"/>
        <v>13129</v>
      </c>
      <c r="B882" s="6">
        <f t="shared" si="49"/>
        <v>129</v>
      </c>
      <c r="C882" s="6">
        <f t="shared" si="48"/>
        <v>34105119000</v>
      </c>
      <c r="D882" s="6">
        <v>13</v>
      </c>
      <c r="E882" s="7" t="str">
        <f>伙伴属性配置!AE130</f>
        <v>[{"2":274},{"4":152},{"5":152},{"12":5539},{"7":8},{"6":0},{"8":10},{"9":0}]</v>
      </c>
    </row>
    <row r="883" spans="1:5">
      <c r="A883" s="6">
        <f t="shared" si="47"/>
        <v>13130</v>
      </c>
      <c r="B883" s="6">
        <f t="shared" si="49"/>
        <v>130</v>
      </c>
      <c r="C883" s="6">
        <f t="shared" si="48"/>
        <v>36341928500</v>
      </c>
      <c r="D883" s="6">
        <v>13</v>
      </c>
      <c r="E883" s="7" t="str">
        <f>伙伴属性配置!AE131</f>
        <v>[{"2":276},{"4":152},{"5":152},{"12":7224},{"7":8},{"6":0},{"8":10},{"9":0}]</v>
      </c>
    </row>
    <row r="884" spans="1:5">
      <c r="A884" s="6">
        <f t="shared" si="47"/>
        <v>13131</v>
      </c>
      <c r="B884" s="6">
        <f t="shared" si="49"/>
        <v>131</v>
      </c>
      <c r="C884" s="6">
        <f t="shared" si="48"/>
        <v>38678738000</v>
      </c>
      <c r="D884" s="6">
        <v>13</v>
      </c>
      <c r="E884" s="7" t="str">
        <f>伙伴属性配置!AE132</f>
        <v>[{"2":277},{"4":153},{"5":153},{"12":7277},{"7":8},{"6":0},{"8":10},{"9":0}]</v>
      </c>
    </row>
    <row r="885" spans="1:5">
      <c r="A885" s="6">
        <f t="shared" si="47"/>
        <v>13132</v>
      </c>
      <c r="B885" s="6">
        <f t="shared" si="49"/>
        <v>132</v>
      </c>
      <c r="C885" s="6">
        <f t="shared" si="48"/>
        <v>41115547500</v>
      </c>
      <c r="D885" s="6">
        <v>13</v>
      </c>
      <c r="E885" s="7" t="str">
        <f>伙伴属性配置!AE133</f>
        <v>[{"2":278},{"4":154},{"5":154},{"12":7329},{"7":8},{"6":0},{"8":10},{"9":0}]</v>
      </c>
    </row>
    <row r="886" spans="1:5">
      <c r="A886" s="6">
        <f t="shared" si="47"/>
        <v>13133</v>
      </c>
      <c r="B886" s="6">
        <f t="shared" si="49"/>
        <v>133</v>
      </c>
      <c r="C886" s="6">
        <f t="shared" si="48"/>
        <v>43652357000</v>
      </c>
      <c r="D886" s="6">
        <v>13</v>
      </c>
      <c r="E886" s="7" t="str">
        <f>伙伴属性配置!AE134</f>
        <v>[{"2":279},{"4":154},{"5":154},{"12":7382},{"7":8},{"6":0},{"8":10},{"9":0}]</v>
      </c>
    </row>
    <row r="887" spans="1:5">
      <c r="A887" s="6">
        <f t="shared" si="47"/>
        <v>13134</v>
      </c>
      <c r="B887" s="6">
        <f t="shared" si="49"/>
        <v>134</v>
      </c>
      <c r="C887" s="6">
        <f t="shared" si="48"/>
        <v>46289166500</v>
      </c>
      <c r="D887" s="6">
        <v>13</v>
      </c>
      <c r="E887" s="7" t="str">
        <f>伙伴属性配置!AE135</f>
        <v>[{"2":280},{"4":155},{"5":155},{"12":7436},{"7":8},{"6":0},{"8":10},{"9":0}]</v>
      </c>
    </row>
    <row r="888" spans="1:5">
      <c r="A888" s="6">
        <f t="shared" si="47"/>
        <v>13135</v>
      </c>
      <c r="B888" s="6">
        <f t="shared" si="49"/>
        <v>135</v>
      </c>
      <c r="C888" s="6">
        <f t="shared" si="48"/>
        <v>49025976000</v>
      </c>
      <c r="D888" s="6">
        <v>13</v>
      </c>
      <c r="E888" s="7" t="str">
        <f>伙伴属性配置!AE136</f>
        <v>[{"2":282},{"4":156},{"5":156},{"12":7489},{"7":8},{"6":0},{"8":10},{"9":0}]</v>
      </c>
    </row>
    <row r="889" spans="1:5">
      <c r="A889" s="6">
        <f t="shared" si="47"/>
        <v>13136</v>
      </c>
      <c r="B889" s="6">
        <f t="shared" si="49"/>
        <v>136</v>
      </c>
      <c r="C889" s="6">
        <f t="shared" si="48"/>
        <v>51872785500</v>
      </c>
      <c r="D889" s="6">
        <v>13</v>
      </c>
      <c r="E889" s="7" t="str">
        <f>伙伴属性配置!AE137</f>
        <v>[{"2":283},{"4":156},{"5":156},{"12":7542},{"7":8},{"6":0},{"8":10},{"9":0}]</v>
      </c>
    </row>
    <row r="890" spans="1:5">
      <c r="A890" s="6">
        <f t="shared" si="47"/>
        <v>13137</v>
      </c>
      <c r="B890" s="6">
        <f t="shared" si="49"/>
        <v>137</v>
      </c>
      <c r="C890" s="6">
        <f t="shared" si="48"/>
        <v>54829595000</v>
      </c>
      <c r="D890" s="6">
        <v>13</v>
      </c>
      <c r="E890" s="7" t="str">
        <f>伙伴属性配置!AE138</f>
        <v>[{"2":284},{"4":157},{"5":157},{"12":7595},{"7":8},{"6":0},{"8":10},{"9":0}]</v>
      </c>
    </row>
    <row r="891" spans="1:5">
      <c r="A891" s="6">
        <f t="shared" si="47"/>
        <v>13138</v>
      </c>
      <c r="B891" s="6">
        <f t="shared" si="49"/>
        <v>138</v>
      </c>
      <c r="C891" s="6">
        <f t="shared" si="48"/>
        <v>57896404500</v>
      </c>
      <c r="D891" s="6">
        <v>13</v>
      </c>
      <c r="E891" s="7" t="str">
        <f>伙伴属性配置!AE139</f>
        <v>[{"2":285},{"4":158},{"5":158},{"12":7648},{"7":8},{"6":0},{"8":10},{"9":0}]</v>
      </c>
    </row>
    <row r="892" spans="1:5">
      <c r="A892" s="6">
        <f t="shared" si="47"/>
        <v>13139</v>
      </c>
      <c r="B892" s="6">
        <f t="shared" si="49"/>
        <v>139</v>
      </c>
      <c r="C892" s="6">
        <f t="shared" si="48"/>
        <v>61073214000</v>
      </c>
      <c r="D892" s="6">
        <v>13</v>
      </c>
      <c r="E892" s="7" t="str">
        <f>伙伴属性配置!AE140</f>
        <v>[{"2":286},{"4":158},{"5":158},{"12":7702},{"7":8},{"6":0},{"8":10},{"9":0}]</v>
      </c>
    </row>
    <row r="893" spans="1:5">
      <c r="A893" s="6">
        <f t="shared" si="47"/>
        <v>13140</v>
      </c>
      <c r="B893" s="6">
        <f t="shared" si="49"/>
        <v>140</v>
      </c>
      <c r="C893" s="6">
        <f t="shared" si="48"/>
        <v>64360023500</v>
      </c>
      <c r="D893" s="6">
        <v>13</v>
      </c>
      <c r="E893" s="7" t="str">
        <f>伙伴属性配置!AE141</f>
        <v>[{"2":288},{"4":159},{"5":159},{"12":7755},{"7":8},{"6":0},{"8":10},{"9":0}]</v>
      </c>
    </row>
    <row r="894" spans="1:5">
      <c r="A894" s="6">
        <f t="shared" si="47"/>
        <v>13141</v>
      </c>
      <c r="B894" s="6">
        <f t="shared" si="49"/>
        <v>141</v>
      </c>
      <c r="C894" s="6">
        <f t="shared" si="48"/>
        <v>67766833000</v>
      </c>
      <c r="D894" s="6">
        <v>13</v>
      </c>
      <c r="E894" s="7" t="str">
        <f>伙伴属性配置!AE142</f>
        <v>[{"2":289},{"4":160},{"5":160},{"12":7808},{"7":8},{"6":0},{"8":10},{"9":0}]</v>
      </c>
    </row>
    <row r="895" spans="1:5">
      <c r="A895" s="6">
        <f t="shared" si="47"/>
        <v>13142</v>
      </c>
      <c r="B895" s="6">
        <f t="shared" si="49"/>
        <v>142</v>
      </c>
      <c r="C895" s="6">
        <f t="shared" si="48"/>
        <v>71293642500</v>
      </c>
      <c r="D895" s="6">
        <v>13</v>
      </c>
      <c r="E895" s="7" t="str">
        <f>伙伴属性配置!AE143</f>
        <v>[{"2":290},{"4":160},{"5":160},{"12":7861},{"7":8},{"6":0},{"8":10},{"9":0}]</v>
      </c>
    </row>
    <row r="896" spans="1:5">
      <c r="A896" s="6">
        <f t="shared" si="47"/>
        <v>13143</v>
      </c>
      <c r="B896" s="6">
        <f t="shared" si="49"/>
        <v>143</v>
      </c>
      <c r="C896" s="6">
        <f t="shared" si="48"/>
        <v>74940452000</v>
      </c>
      <c r="D896" s="6">
        <v>13</v>
      </c>
      <c r="E896" s="7" t="str">
        <f>伙伴属性配置!AE144</f>
        <v>[{"2":291},{"4":161},{"5":161},{"12":7914},{"7":8},{"6":0},{"8":10},{"9":0}]</v>
      </c>
    </row>
    <row r="897" spans="1:5">
      <c r="A897" s="6">
        <f t="shared" si="47"/>
        <v>13144</v>
      </c>
      <c r="B897" s="6">
        <f t="shared" si="49"/>
        <v>144</v>
      </c>
      <c r="C897" s="6">
        <f t="shared" si="48"/>
        <v>78707261500</v>
      </c>
      <c r="D897" s="6">
        <v>13</v>
      </c>
      <c r="E897" s="7" t="str">
        <f>伙伴属性配置!AE145</f>
        <v>[{"2":292},{"4":162},{"5":162},{"12":7967},{"7":8},{"6":0},{"8":10},{"9":0}]</v>
      </c>
    </row>
    <row r="898" spans="1:5">
      <c r="A898" s="6">
        <f t="shared" si="47"/>
        <v>13145</v>
      </c>
      <c r="B898" s="6">
        <f t="shared" si="49"/>
        <v>145</v>
      </c>
      <c r="C898" s="6">
        <f t="shared" si="48"/>
        <v>82594071000</v>
      </c>
      <c r="D898" s="6">
        <v>13</v>
      </c>
      <c r="E898" s="7" t="str">
        <f>伙伴属性配置!AE146</f>
        <v>[{"2":294},{"4":162},{"5":162},{"12":8020},{"7":8},{"6":0},{"8":10},{"9":0}]</v>
      </c>
    </row>
    <row r="899" spans="1:5">
      <c r="A899" s="6">
        <f t="shared" si="47"/>
        <v>13146</v>
      </c>
      <c r="B899" s="6">
        <f t="shared" si="49"/>
        <v>146</v>
      </c>
      <c r="C899" s="6">
        <f t="shared" si="48"/>
        <v>86610880500</v>
      </c>
      <c r="D899" s="6">
        <v>13</v>
      </c>
      <c r="E899" s="7" t="str">
        <f>伙伴属性配置!AE147</f>
        <v>[{"2":295},{"4":163},{"5":163},{"12":8073},{"7":8},{"6":0},{"8":10},{"9":0}]</v>
      </c>
    </row>
    <row r="900" spans="1:5">
      <c r="A900" s="6">
        <f t="shared" si="47"/>
        <v>13147</v>
      </c>
      <c r="B900" s="6">
        <f t="shared" si="49"/>
        <v>147</v>
      </c>
      <c r="C900" s="6">
        <f t="shared" si="48"/>
        <v>90757690000</v>
      </c>
      <c r="D900" s="6">
        <v>13</v>
      </c>
      <c r="E900" s="7" t="str">
        <f>伙伴属性配置!AE148</f>
        <v>[{"2":296},{"4":164},{"5":164},{"12":8127},{"7":8},{"6":0},{"8":10},{"9":0}]</v>
      </c>
    </row>
    <row r="901" spans="1:5">
      <c r="A901" s="6">
        <f>D901*1000+B901</f>
        <v>13148</v>
      </c>
      <c r="B901" s="6">
        <f t="shared" ref="B901:B907" si="50">B751</f>
        <v>148</v>
      </c>
      <c r="C901" s="6">
        <f t="shared" si="48"/>
        <v>95034499500</v>
      </c>
      <c r="D901" s="6">
        <v>13</v>
      </c>
      <c r="E901" s="7" t="str">
        <f>伙伴属性配置!AE149</f>
        <v>[{"2":297},{"4":164},{"5":164},{"12":8180},{"7":8},{"6":0},{"8":10},{"9":0}]</v>
      </c>
    </row>
    <row r="902" spans="1:5">
      <c r="A902" s="6">
        <f>D902*1000+B902</f>
        <v>13149</v>
      </c>
      <c r="B902" s="6">
        <f t="shared" si="50"/>
        <v>149</v>
      </c>
      <c r="C902" s="6">
        <f t="shared" si="48"/>
        <v>99441309000</v>
      </c>
      <c r="D902" s="6">
        <v>13</v>
      </c>
      <c r="E902" s="7" t="str">
        <f>伙伴属性配置!AE150</f>
        <v>[{"2":298},{"4":165},{"5":165},{"12":8233},{"7":8},{"6":0},{"8":10},{"9":0}]</v>
      </c>
    </row>
    <row r="903" spans="1:5">
      <c r="A903" s="6">
        <f>D903*1000+B903</f>
        <v>13150</v>
      </c>
      <c r="B903" s="6">
        <f t="shared" si="50"/>
        <v>150</v>
      </c>
      <c r="C903" s="6">
        <f t="shared" si="48"/>
        <v>103978118500</v>
      </c>
      <c r="D903" s="6">
        <v>13</v>
      </c>
      <c r="E903" s="7" t="str">
        <f>伙伴属性配置!AE151</f>
        <v>[{"2":300},{"4":166},{"5":166},{"12":8286},{"7":8},{"6":0},{"8":10},{"9":0}]</v>
      </c>
    </row>
    <row r="904" spans="1:5">
      <c r="A904" s="6">
        <f t="shared" ref="A904:A935" si="51">D904*1000+B904</f>
        <v>21001</v>
      </c>
      <c r="B904" s="6">
        <f t="shared" ref="B904:B916" si="52">B754</f>
        <v>1</v>
      </c>
      <c r="C904" s="6">
        <f>INT(C754/10)</f>
        <v>100</v>
      </c>
      <c r="D904" s="6">
        <v>21</v>
      </c>
      <c r="E904" s="7" t="str">
        <f>战宠属性配置!N2</f>
        <v>[{"1":112},{"2":91},{"4":74},{"5":74},{"12":1540}]</v>
      </c>
    </row>
    <row r="905" spans="1:5">
      <c r="A905" s="6">
        <f t="shared" si="51"/>
        <v>21002</v>
      </c>
      <c r="B905" s="6">
        <f t="shared" si="52"/>
        <v>2</v>
      </c>
      <c r="C905" s="6">
        <f t="shared" ref="C905:C936" si="53">INT(C755/10)</f>
        <v>150</v>
      </c>
      <c r="D905" s="6">
        <v>21</v>
      </c>
      <c r="E905" s="7" t="str">
        <f>战宠属性配置!N3</f>
        <v>[{"1":114},{"2":93},{"4":76},{"5":76},{"12":1580}]</v>
      </c>
    </row>
    <row r="906" spans="1:5">
      <c r="A906" s="6">
        <f t="shared" si="51"/>
        <v>21003</v>
      </c>
      <c r="B906" s="6">
        <f t="shared" si="52"/>
        <v>3</v>
      </c>
      <c r="C906" s="6">
        <f t="shared" si="53"/>
        <v>250</v>
      </c>
      <c r="D906" s="6">
        <v>21</v>
      </c>
      <c r="E906" s="7" t="str">
        <f>战宠属性配置!N4</f>
        <v>[{"1":116},{"2":95},{"4":77},{"5":77},{"12":1600}]</v>
      </c>
    </row>
    <row r="907" spans="1:5">
      <c r="A907" s="6">
        <f t="shared" si="51"/>
        <v>21004</v>
      </c>
      <c r="B907" s="6">
        <f t="shared" si="52"/>
        <v>4</v>
      </c>
      <c r="C907" s="6">
        <f t="shared" si="53"/>
        <v>400</v>
      </c>
      <c r="D907" s="6">
        <v>21</v>
      </c>
      <c r="E907" s="7" t="str">
        <f>战宠属性配置!N5</f>
        <v>[{"1":118},{"2":96},{"4":78},{"5":78},{"12":1620}]</v>
      </c>
    </row>
    <row r="908" spans="1:5">
      <c r="A908" s="6">
        <f t="shared" si="51"/>
        <v>21005</v>
      </c>
      <c r="B908" s="6">
        <f t="shared" si="52"/>
        <v>5</v>
      </c>
      <c r="C908" s="6">
        <f t="shared" si="53"/>
        <v>600</v>
      </c>
      <c r="D908" s="6">
        <v>21</v>
      </c>
      <c r="E908" s="7" t="str">
        <f>战宠属性配置!N6</f>
        <v>[{"1":120},{"2":98},{"4":80},{"5":80},{"12":1660}]</v>
      </c>
    </row>
    <row r="909" spans="1:5">
      <c r="A909" s="6">
        <f t="shared" si="51"/>
        <v>21006</v>
      </c>
      <c r="B909" s="6">
        <f t="shared" si="52"/>
        <v>6</v>
      </c>
      <c r="C909" s="6">
        <f t="shared" si="53"/>
        <v>850</v>
      </c>
      <c r="D909" s="6">
        <v>21</v>
      </c>
      <c r="E909" s="7" t="str">
        <f>战宠属性配置!N7</f>
        <v>[{"1":122},{"2":100},{"4":81},{"5":81},{"12":1680}]</v>
      </c>
    </row>
    <row r="910" spans="1:5">
      <c r="A910" s="6">
        <f t="shared" si="51"/>
        <v>21007</v>
      </c>
      <c r="B910" s="6">
        <f t="shared" si="52"/>
        <v>7</v>
      </c>
      <c r="C910" s="6">
        <f t="shared" si="53"/>
        <v>1150</v>
      </c>
      <c r="D910" s="6">
        <v>21</v>
      </c>
      <c r="E910" s="7" t="str">
        <f>战宠属性配置!N8</f>
        <v>[{"1":124},{"2":101},{"4":82},{"5":82},{"12":1700}]</v>
      </c>
    </row>
    <row r="911" spans="1:5">
      <c r="A911" s="6">
        <f t="shared" si="51"/>
        <v>21008</v>
      </c>
      <c r="B911" s="6">
        <f t="shared" si="52"/>
        <v>8</v>
      </c>
      <c r="C911" s="6">
        <f t="shared" si="53"/>
        <v>1500</v>
      </c>
      <c r="D911" s="6">
        <v>21</v>
      </c>
      <c r="E911" s="7" t="str">
        <f>战宠属性配置!N9</f>
        <v>[{"1":126},{"2":103},{"4":84},{"5":84},{"12":1740}]</v>
      </c>
    </row>
    <row r="912" spans="1:5">
      <c r="A912" s="6">
        <f t="shared" si="51"/>
        <v>21009</v>
      </c>
      <c r="B912" s="6">
        <f t="shared" si="52"/>
        <v>9</v>
      </c>
      <c r="C912" s="6">
        <f t="shared" si="53"/>
        <v>1900</v>
      </c>
      <c r="D912" s="6">
        <v>21</v>
      </c>
      <c r="E912" s="7" t="str">
        <f>战宠属性配置!N10</f>
        <v>[{"1":128},{"2":104},{"4":85},{"5":85},{"12":1760}]</v>
      </c>
    </row>
    <row r="913" spans="1:5">
      <c r="A913" s="6">
        <f t="shared" si="51"/>
        <v>21010</v>
      </c>
      <c r="B913" s="6">
        <f t="shared" si="52"/>
        <v>10</v>
      </c>
      <c r="C913" s="6">
        <f t="shared" si="53"/>
        <v>2350</v>
      </c>
      <c r="D913" s="6">
        <v>21</v>
      </c>
      <c r="E913" s="7" t="str">
        <f>战宠属性配置!N11</f>
        <v>[{"1":130},{"2":106},{"4":86},{"5":86},{"12":1780}]</v>
      </c>
    </row>
    <row r="914" spans="1:5">
      <c r="A914" s="6">
        <f t="shared" si="51"/>
        <v>21011</v>
      </c>
      <c r="B914" s="6">
        <f t="shared" si="52"/>
        <v>11</v>
      </c>
      <c r="C914" s="6">
        <f t="shared" si="53"/>
        <v>2900</v>
      </c>
      <c r="D914" s="6">
        <v>21</v>
      </c>
      <c r="E914" s="7" t="str">
        <f>战宠属性配置!N12</f>
        <v>[{"1":132},{"2":108},{"4":88},{"5":88},{"12":1820}]</v>
      </c>
    </row>
    <row r="915" spans="1:5">
      <c r="A915" s="6">
        <f t="shared" si="51"/>
        <v>21012</v>
      </c>
      <c r="B915" s="6">
        <f t="shared" si="52"/>
        <v>12</v>
      </c>
      <c r="C915" s="6">
        <f t="shared" si="53"/>
        <v>3550</v>
      </c>
      <c r="D915" s="6">
        <v>21</v>
      </c>
      <c r="E915" s="7" t="str">
        <f>战宠属性配置!N13</f>
        <v>[{"1":134},{"2":109},{"4":89},{"5":89},{"12":1840}]</v>
      </c>
    </row>
    <row r="916" spans="1:5">
      <c r="A916" s="6">
        <f t="shared" si="51"/>
        <v>21013</v>
      </c>
      <c r="B916" s="6">
        <f t="shared" si="52"/>
        <v>13</v>
      </c>
      <c r="C916" s="6">
        <f t="shared" si="53"/>
        <v>4300</v>
      </c>
      <c r="D916" s="6">
        <v>21</v>
      </c>
      <c r="E916" s="7" t="str">
        <f>战宠属性配置!N14</f>
        <v>[{"1":136},{"2":111},{"4":90},{"5":90},{"12":1860}]</v>
      </c>
    </row>
    <row r="917" spans="1:5">
      <c r="A917" s="6">
        <f t="shared" si="51"/>
        <v>21014</v>
      </c>
      <c r="B917" s="6">
        <f t="shared" ref="B917:B956" si="54">B767</f>
        <v>14</v>
      </c>
      <c r="C917" s="6">
        <f t="shared" si="53"/>
        <v>5150</v>
      </c>
      <c r="D917" s="6">
        <v>21</v>
      </c>
      <c r="E917" s="7" t="str">
        <f>战宠属性配置!N15</f>
        <v>[{"1":138},{"2":113},{"4":92},{"5":92},{"12":1900}]</v>
      </c>
    </row>
    <row r="918" spans="1:5">
      <c r="A918" s="6">
        <f t="shared" si="51"/>
        <v>21015</v>
      </c>
      <c r="B918" s="6">
        <f t="shared" si="54"/>
        <v>15</v>
      </c>
      <c r="C918" s="6">
        <f t="shared" si="53"/>
        <v>6100</v>
      </c>
      <c r="D918" s="6">
        <v>21</v>
      </c>
      <c r="E918" s="7" t="str">
        <f>战宠属性配置!N16</f>
        <v>[{"1":140},{"2":114},{"4":93},{"5":93},{"12":1920}]</v>
      </c>
    </row>
    <row r="919" spans="1:5">
      <c r="A919" s="6">
        <f t="shared" si="51"/>
        <v>21016</v>
      </c>
      <c r="B919" s="6">
        <f t="shared" si="54"/>
        <v>16</v>
      </c>
      <c r="C919" s="6">
        <f t="shared" si="53"/>
        <v>7250</v>
      </c>
      <c r="D919" s="6">
        <v>21</v>
      </c>
      <c r="E919" s="7" t="str">
        <f>战宠属性配置!N17</f>
        <v>[{"1":142},{"2":116},{"4":94},{"5":94},{"12":1940}]</v>
      </c>
    </row>
    <row r="920" spans="1:5">
      <c r="A920" s="6">
        <f t="shared" si="51"/>
        <v>21017</v>
      </c>
      <c r="B920" s="6">
        <f t="shared" si="54"/>
        <v>17</v>
      </c>
      <c r="C920" s="6">
        <f t="shared" si="53"/>
        <v>8600</v>
      </c>
      <c r="D920" s="6">
        <v>21</v>
      </c>
      <c r="E920" s="7" t="str">
        <f>战宠属性配置!N18</f>
        <v>[{"1":144},{"2":118},{"4":96},{"5":96},{"12":1980}]</v>
      </c>
    </row>
    <row r="921" spans="1:5">
      <c r="A921" s="6">
        <f t="shared" si="51"/>
        <v>21018</v>
      </c>
      <c r="B921" s="6">
        <f t="shared" si="54"/>
        <v>18</v>
      </c>
      <c r="C921" s="6">
        <f t="shared" si="53"/>
        <v>10150</v>
      </c>
      <c r="D921" s="6">
        <v>21</v>
      </c>
      <c r="E921" s="7" t="str">
        <f>战宠属性配置!N19</f>
        <v>[{"1":146},{"2":119},{"4":97},{"5":97},{"12":2000}]</v>
      </c>
    </row>
    <row r="922" spans="1:5">
      <c r="A922" s="6">
        <f t="shared" si="51"/>
        <v>21019</v>
      </c>
      <c r="B922" s="6">
        <f t="shared" si="54"/>
        <v>19</v>
      </c>
      <c r="C922" s="6">
        <f t="shared" si="53"/>
        <v>11900</v>
      </c>
      <c r="D922" s="6">
        <v>21</v>
      </c>
      <c r="E922" s="7" t="str">
        <f>战宠属性配置!N20</f>
        <v>[{"1":148},{"2":121},{"4":98},{"5":98},{"12":2020}]</v>
      </c>
    </row>
    <row r="923" spans="1:5">
      <c r="A923" s="6">
        <f t="shared" si="51"/>
        <v>21020</v>
      </c>
      <c r="B923" s="6">
        <f t="shared" si="54"/>
        <v>20</v>
      </c>
      <c r="C923" s="6">
        <f t="shared" si="53"/>
        <v>13850</v>
      </c>
      <c r="D923" s="6">
        <v>21</v>
      </c>
      <c r="E923" s="7" t="str">
        <f>战宠属性配置!N21</f>
        <v>[{"1":150},{"2":123},{"4":100},{"5":100},{"12":2060}]</v>
      </c>
    </row>
    <row r="924" spans="1:5">
      <c r="A924" s="6">
        <f t="shared" si="51"/>
        <v>21021</v>
      </c>
      <c r="B924" s="6">
        <f t="shared" si="54"/>
        <v>21</v>
      </c>
      <c r="C924" s="6">
        <f t="shared" si="53"/>
        <v>16100</v>
      </c>
      <c r="D924" s="6">
        <v>21</v>
      </c>
      <c r="E924" s="7" t="str">
        <f>战宠属性配置!N22</f>
        <v>[{"1":152},{"2":124},{"4":101},{"5":101},{"12":2080}]</v>
      </c>
    </row>
    <row r="925" spans="1:5">
      <c r="A925" s="6">
        <f t="shared" si="51"/>
        <v>21022</v>
      </c>
      <c r="B925" s="6">
        <f t="shared" si="54"/>
        <v>22</v>
      </c>
      <c r="C925" s="6">
        <f t="shared" si="53"/>
        <v>18650</v>
      </c>
      <c r="D925" s="6">
        <v>21</v>
      </c>
      <c r="E925" s="7" t="str">
        <f>战宠属性配置!N23</f>
        <v>[{"1":154},{"2":126},{"4":102},{"5":102},{"12":2100}]</v>
      </c>
    </row>
    <row r="926" spans="1:5">
      <c r="A926" s="6">
        <f t="shared" si="51"/>
        <v>21023</v>
      </c>
      <c r="B926" s="6">
        <f t="shared" si="54"/>
        <v>23</v>
      </c>
      <c r="C926" s="6">
        <f t="shared" si="53"/>
        <v>21500</v>
      </c>
      <c r="D926" s="6">
        <v>21</v>
      </c>
      <c r="E926" s="7" t="str">
        <f>战宠属性配置!N24</f>
        <v>[{"1":156},{"2":127},{"4":104},{"5":104},{"12":2140}]</v>
      </c>
    </row>
    <row r="927" spans="1:5">
      <c r="A927" s="6">
        <f t="shared" si="51"/>
        <v>21024</v>
      </c>
      <c r="B927" s="6">
        <f t="shared" si="54"/>
        <v>24</v>
      </c>
      <c r="C927" s="6">
        <f t="shared" si="53"/>
        <v>24650</v>
      </c>
      <c r="D927" s="6">
        <v>21</v>
      </c>
      <c r="E927" s="7" t="str">
        <f>战宠属性配置!N25</f>
        <v>[{"1":158},{"2":129},{"4":105},{"5":105},{"12":2160}]</v>
      </c>
    </row>
    <row r="928" spans="1:5">
      <c r="A928" s="6">
        <f t="shared" si="51"/>
        <v>21025</v>
      </c>
      <c r="B928" s="6">
        <f t="shared" si="54"/>
        <v>25</v>
      </c>
      <c r="C928" s="6">
        <f t="shared" si="53"/>
        <v>28100</v>
      </c>
      <c r="D928" s="6">
        <v>21</v>
      </c>
      <c r="E928" s="7" t="str">
        <f>战宠属性配置!N26</f>
        <v>[{"1":160},{"2":131},{"4":106},{"5":106},{"12":2180}]</v>
      </c>
    </row>
    <row r="929" spans="1:5">
      <c r="A929" s="6">
        <f t="shared" si="51"/>
        <v>21026</v>
      </c>
      <c r="B929" s="6">
        <f t="shared" si="54"/>
        <v>26</v>
      </c>
      <c r="C929" s="6">
        <f t="shared" si="53"/>
        <v>32050</v>
      </c>
      <c r="D929" s="6">
        <v>21</v>
      </c>
      <c r="E929" s="7" t="str">
        <f>战宠属性配置!N27</f>
        <v>[{"1":162},{"2":132},{"4":108},{"5":108},{"12":2220}]</v>
      </c>
    </row>
    <row r="930" spans="1:5">
      <c r="A930" s="6">
        <f t="shared" si="51"/>
        <v>21027</v>
      </c>
      <c r="B930" s="6">
        <f t="shared" si="54"/>
        <v>27</v>
      </c>
      <c r="C930" s="6">
        <f t="shared" si="53"/>
        <v>36500</v>
      </c>
      <c r="D930" s="6">
        <v>21</v>
      </c>
      <c r="E930" s="7" t="str">
        <f>战宠属性配置!N28</f>
        <v>[{"1":164},{"2":134},{"4":109},{"5":109},{"12":2240}]</v>
      </c>
    </row>
    <row r="931" spans="1:5">
      <c r="A931" s="6">
        <f t="shared" si="51"/>
        <v>21028</v>
      </c>
      <c r="B931" s="6">
        <f t="shared" si="54"/>
        <v>28</v>
      </c>
      <c r="C931" s="6">
        <f t="shared" si="53"/>
        <v>41450</v>
      </c>
      <c r="D931" s="6">
        <v>21</v>
      </c>
      <c r="E931" s="7" t="str">
        <f>战宠属性配置!N29</f>
        <v>[{"1":166},{"2":136},{"4":110},{"5":110},{"12":2260}]</v>
      </c>
    </row>
    <row r="932" spans="1:5">
      <c r="A932" s="6">
        <f t="shared" si="51"/>
        <v>21029</v>
      </c>
      <c r="B932" s="6">
        <f t="shared" si="54"/>
        <v>29</v>
      </c>
      <c r="C932" s="6">
        <f t="shared" si="53"/>
        <v>46900</v>
      </c>
      <c r="D932" s="6">
        <v>21</v>
      </c>
      <c r="E932" s="7" t="str">
        <f>战宠属性配置!N30</f>
        <v>[{"1":168},{"2":137},{"4":112},{"5":112},{"12":2300}]</v>
      </c>
    </row>
    <row r="933" spans="1:5">
      <c r="A933" s="6">
        <f t="shared" si="51"/>
        <v>21030</v>
      </c>
      <c r="B933" s="6">
        <f t="shared" si="54"/>
        <v>30</v>
      </c>
      <c r="C933" s="6">
        <f t="shared" si="53"/>
        <v>52850</v>
      </c>
      <c r="D933" s="6">
        <v>21</v>
      </c>
      <c r="E933" s="7" t="str">
        <f>战宠属性配置!N31</f>
        <v>[{"1":170},{"2":139},{"4":113},{"5":113},{"12":2320}]</v>
      </c>
    </row>
    <row r="934" spans="1:5">
      <c r="A934" s="6">
        <f t="shared" si="51"/>
        <v>21031</v>
      </c>
      <c r="B934" s="6">
        <f t="shared" si="54"/>
        <v>31</v>
      </c>
      <c r="C934" s="6">
        <f t="shared" si="53"/>
        <v>59600</v>
      </c>
      <c r="D934" s="6">
        <v>21</v>
      </c>
      <c r="E934" s="7" t="str">
        <f>战宠属性配置!N32</f>
        <v>[{"1":172},{"2":141},{"4":114},{"5":114},{"12":2340}]</v>
      </c>
    </row>
    <row r="935" spans="1:5">
      <c r="A935" s="6">
        <f t="shared" si="51"/>
        <v>21032</v>
      </c>
      <c r="B935" s="6">
        <f t="shared" si="54"/>
        <v>32</v>
      </c>
      <c r="C935" s="6">
        <f t="shared" si="53"/>
        <v>67150</v>
      </c>
      <c r="D935" s="6">
        <v>21</v>
      </c>
      <c r="E935" s="7" t="str">
        <f>战宠属性配置!N33</f>
        <v>[{"1":174},{"2":142},{"4":116},{"5":116},{"12":2380}]</v>
      </c>
    </row>
    <row r="936" spans="1:5">
      <c r="A936" s="6">
        <f t="shared" ref="A936:A967" si="55">D936*1000+B936</f>
        <v>21033</v>
      </c>
      <c r="B936" s="6">
        <f t="shared" si="54"/>
        <v>33</v>
      </c>
      <c r="C936" s="6">
        <f t="shared" si="53"/>
        <v>75500</v>
      </c>
      <c r="D936" s="6">
        <v>21</v>
      </c>
      <c r="E936" s="7" t="str">
        <f>战宠属性配置!N34</f>
        <v>[{"1":176},{"2":144},{"4":117},{"5":117},{"12":2400}]</v>
      </c>
    </row>
    <row r="937" spans="1:5">
      <c r="A937" s="6">
        <f t="shared" si="55"/>
        <v>21034</v>
      </c>
      <c r="B937" s="6">
        <f t="shared" si="54"/>
        <v>34</v>
      </c>
      <c r="C937" s="6">
        <f t="shared" ref="C937:C968" si="56">INT(C787/10)</f>
        <v>84650</v>
      </c>
      <c r="D937" s="6">
        <v>21</v>
      </c>
      <c r="E937" s="7" t="str">
        <f>战宠属性配置!N35</f>
        <v>[{"1":178},{"2":145},{"4":118},{"5":118},{"12":2420}]</v>
      </c>
    </row>
    <row r="938" spans="1:5">
      <c r="A938" s="6">
        <f t="shared" si="55"/>
        <v>21035</v>
      </c>
      <c r="B938" s="6">
        <f t="shared" si="54"/>
        <v>35</v>
      </c>
      <c r="C938" s="6">
        <f t="shared" si="56"/>
        <v>94600</v>
      </c>
      <c r="D938" s="6">
        <v>21</v>
      </c>
      <c r="E938" s="7" t="str">
        <f>战宠属性配置!N36</f>
        <v>[{"1":180},{"2":147},{"4":120},{"5":120},{"12":2460}]</v>
      </c>
    </row>
    <row r="939" spans="1:5">
      <c r="A939" s="6">
        <f t="shared" si="55"/>
        <v>21036</v>
      </c>
      <c r="B939" s="6">
        <f t="shared" si="54"/>
        <v>36</v>
      </c>
      <c r="C939" s="6">
        <f t="shared" si="56"/>
        <v>105750</v>
      </c>
      <c r="D939" s="6">
        <v>21</v>
      </c>
      <c r="E939" s="7" t="str">
        <f>战宠属性配置!N37</f>
        <v>[{"1":182},{"2":149},{"4":121},{"5":121},{"12":2480}]</v>
      </c>
    </row>
    <row r="940" spans="1:5">
      <c r="A940" s="6">
        <f t="shared" si="55"/>
        <v>21037</v>
      </c>
      <c r="B940" s="6">
        <f t="shared" si="54"/>
        <v>37</v>
      </c>
      <c r="C940" s="6">
        <f t="shared" si="56"/>
        <v>118100</v>
      </c>
      <c r="D940" s="6">
        <v>21</v>
      </c>
      <c r="E940" s="7" t="str">
        <f>战宠属性配置!N38</f>
        <v>[{"1":184},{"2":150},{"4":122},{"5":122},{"12":2500}]</v>
      </c>
    </row>
    <row r="941" spans="1:5">
      <c r="A941" s="6">
        <f t="shared" si="55"/>
        <v>21038</v>
      </c>
      <c r="B941" s="6">
        <f t="shared" si="54"/>
        <v>38</v>
      </c>
      <c r="C941" s="6">
        <f t="shared" si="56"/>
        <v>131650</v>
      </c>
      <c r="D941" s="6">
        <v>21</v>
      </c>
      <c r="E941" s="7" t="str">
        <f>战宠属性配置!N39</f>
        <v>[{"1":186},{"2":152},{"4":124},{"5":124},{"12":2540}]</v>
      </c>
    </row>
    <row r="942" spans="1:5">
      <c r="A942" s="6">
        <f t="shared" si="55"/>
        <v>21039</v>
      </c>
      <c r="B942" s="6">
        <f t="shared" si="54"/>
        <v>39</v>
      </c>
      <c r="C942" s="6">
        <f t="shared" si="56"/>
        <v>146400</v>
      </c>
      <c r="D942" s="6">
        <v>21</v>
      </c>
      <c r="E942" s="7" t="str">
        <f>战宠属性配置!N40</f>
        <v>[{"1":188},{"2":154},{"4":125},{"5":125},{"12":2560}]</v>
      </c>
    </row>
    <row r="943" spans="1:5">
      <c r="A943" s="6">
        <f t="shared" si="55"/>
        <v>21040</v>
      </c>
      <c r="B943" s="6">
        <f t="shared" si="54"/>
        <v>40</v>
      </c>
      <c r="C943" s="6">
        <f t="shared" si="56"/>
        <v>162350</v>
      </c>
      <c r="D943" s="6">
        <v>21</v>
      </c>
      <c r="E943" s="7" t="str">
        <f>战宠属性配置!N41</f>
        <v>[{"1":190},{"2":155},{"4":126},{"5":126},{"12":2580}]</v>
      </c>
    </row>
    <row r="944" spans="1:5">
      <c r="A944" s="6">
        <f t="shared" si="55"/>
        <v>21041</v>
      </c>
      <c r="B944" s="6">
        <f t="shared" si="54"/>
        <v>41</v>
      </c>
      <c r="C944" s="6">
        <f t="shared" si="56"/>
        <v>181300</v>
      </c>
      <c r="D944" s="6">
        <v>21</v>
      </c>
      <c r="E944" s="7" t="str">
        <f>战宠属性配置!N42</f>
        <v>[{"1":192},{"2":157},{"4":128},{"5":128},{"12":2620}]</v>
      </c>
    </row>
    <row r="945" spans="1:5">
      <c r="A945" s="6">
        <f t="shared" si="55"/>
        <v>21042</v>
      </c>
      <c r="B945" s="6">
        <f t="shared" si="54"/>
        <v>42</v>
      </c>
      <c r="C945" s="6">
        <f t="shared" si="56"/>
        <v>203250</v>
      </c>
      <c r="D945" s="6">
        <v>21</v>
      </c>
      <c r="E945" s="7" t="str">
        <f>战宠属性配置!N43</f>
        <v>[{"1":194},{"2":159},{"4":129},{"5":129},{"12":2640}]</v>
      </c>
    </row>
    <row r="946" spans="1:5">
      <c r="A946" s="6">
        <f t="shared" si="55"/>
        <v>21043</v>
      </c>
      <c r="B946" s="6">
        <f t="shared" si="54"/>
        <v>43</v>
      </c>
      <c r="C946" s="6">
        <f t="shared" si="56"/>
        <v>228200</v>
      </c>
      <c r="D946" s="6">
        <v>21</v>
      </c>
      <c r="E946" s="7" t="str">
        <f>战宠属性配置!N44</f>
        <v>[{"1":196},{"2":160},{"4":130},{"5":130},{"12":2660}]</v>
      </c>
    </row>
    <row r="947" spans="1:5">
      <c r="A947" s="6">
        <f t="shared" si="55"/>
        <v>21044</v>
      </c>
      <c r="B947" s="6">
        <f t="shared" si="54"/>
        <v>44</v>
      </c>
      <c r="C947" s="6">
        <f t="shared" si="56"/>
        <v>256150</v>
      </c>
      <c r="D947" s="6">
        <v>21</v>
      </c>
      <c r="E947" s="7" t="str">
        <f>战宠属性配置!N45</f>
        <v>[{"1":198},{"2":162},{"4":132},{"5":132},{"12":2700}]</v>
      </c>
    </row>
    <row r="948" spans="1:5">
      <c r="A948" s="6">
        <f t="shared" si="55"/>
        <v>21045</v>
      </c>
      <c r="B948" s="6">
        <f t="shared" si="54"/>
        <v>45</v>
      </c>
      <c r="C948" s="6">
        <f t="shared" si="56"/>
        <v>287100</v>
      </c>
      <c r="D948" s="6">
        <v>21</v>
      </c>
      <c r="E948" s="7" t="str">
        <f>战宠属性配置!N46</f>
        <v>[{"1":200},{"2":164},{"4":133},{"5":133},{"12":2720}]</v>
      </c>
    </row>
    <row r="949" spans="1:5">
      <c r="A949" s="6">
        <f t="shared" si="55"/>
        <v>21046</v>
      </c>
      <c r="B949" s="6">
        <f t="shared" si="54"/>
        <v>46</v>
      </c>
      <c r="C949" s="6">
        <f t="shared" si="56"/>
        <v>323050</v>
      </c>
      <c r="D949" s="6">
        <v>21</v>
      </c>
      <c r="E949" s="7" t="str">
        <f>战宠属性配置!N47</f>
        <v>[{"1":202},{"2":165},{"4":134},{"5":134},{"12":2740}]</v>
      </c>
    </row>
    <row r="950" spans="1:5">
      <c r="A950" s="6">
        <f t="shared" si="55"/>
        <v>21047</v>
      </c>
      <c r="B950" s="6">
        <f t="shared" si="54"/>
        <v>47</v>
      </c>
      <c r="C950" s="6">
        <f t="shared" si="56"/>
        <v>364000</v>
      </c>
      <c r="D950" s="6">
        <v>21</v>
      </c>
      <c r="E950" s="7" t="str">
        <f>战宠属性配置!N48</f>
        <v>[{"1":204},{"2":167},{"4":136},{"5":136},{"12":2780}]</v>
      </c>
    </row>
    <row r="951" spans="1:5">
      <c r="A951" s="6">
        <f t="shared" si="55"/>
        <v>21048</v>
      </c>
      <c r="B951" s="6">
        <f t="shared" si="54"/>
        <v>48</v>
      </c>
      <c r="C951" s="6">
        <f t="shared" si="56"/>
        <v>409950</v>
      </c>
      <c r="D951" s="6">
        <v>21</v>
      </c>
      <c r="E951" s="7" t="str">
        <f>战宠属性配置!N49</f>
        <v>[{"1":206},{"2":168},{"4":137},{"5":137},{"12":2800}]</v>
      </c>
    </row>
    <row r="952" spans="1:5">
      <c r="A952" s="6">
        <f t="shared" si="55"/>
        <v>21049</v>
      </c>
      <c r="B952" s="6">
        <f t="shared" si="54"/>
        <v>49</v>
      </c>
      <c r="C952" s="6">
        <f t="shared" si="56"/>
        <v>460900</v>
      </c>
      <c r="D952" s="6">
        <v>21</v>
      </c>
      <c r="E952" s="7" t="str">
        <f>战宠属性配置!N50</f>
        <v>[{"1":208},{"2":170},{"4":138},{"5":138},{"12":2820}]</v>
      </c>
    </row>
    <row r="953" spans="1:5">
      <c r="A953" s="6">
        <f t="shared" si="55"/>
        <v>21050</v>
      </c>
      <c r="B953" s="6">
        <f t="shared" si="54"/>
        <v>50</v>
      </c>
      <c r="C953" s="6">
        <f t="shared" si="56"/>
        <v>516850</v>
      </c>
      <c r="D953" s="6">
        <v>21</v>
      </c>
      <c r="E953" s="7" t="str">
        <f>战宠属性配置!N51</f>
        <v>[{"1":210},{"2":172},{"4":140},{"5":140},{"12":2860}]</v>
      </c>
    </row>
    <row r="954" spans="1:5">
      <c r="A954" s="6">
        <f t="shared" si="55"/>
        <v>21051</v>
      </c>
      <c r="B954" s="6">
        <f t="shared" si="54"/>
        <v>51</v>
      </c>
      <c r="C954" s="6">
        <f t="shared" si="56"/>
        <v>580800</v>
      </c>
      <c r="D954" s="6">
        <v>21</v>
      </c>
      <c r="E954" s="7" t="str">
        <f>战宠属性配置!N52</f>
        <v>[{"1":212},{"2":173},{"4":141},{"5":141},{"12":2880}]</v>
      </c>
    </row>
    <row r="955" spans="1:5">
      <c r="A955" s="6">
        <f t="shared" si="55"/>
        <v>21052</v>
      </c>
      <c r="B955" s="6">
        <f t="shared" si="54"/>
        <v>52</v>
      </c>
      <c r="C955" s="6">
        <f t="shared" si="56"/>
        <v>652750</v>
      </c>
      <c r="D955" s="6">
        <v>21</v>
      </c>
      <c r="E955" s="7" t="str">
        <f>战宠属性配置!N53</f>
        <v>[{"1":214},{"2":175},{"4":142},{"5":142},{"12":2900}]</v>
      </c>
    </row>
    <row r="956" spans="1:5">
      <c r="A956" s="6">
        <f t="shared" si="55"/>
        <v>21053</v>
      </c>
      <c r="B956" s="6">
        <f t="shared" si="54"/>
        <v>53</v>
      </c>
      <c r="C956" s="6">
        <f t="shared" si="56"/>
        <v>732700</v>
      </c>
      <c r="D956" s="6">
        <v>21</v>
      </c>
      <c r="E956" s="7" t="str">
        <f>战宠属性配置!N54</f>
        <v>[{"1":216},{"2":177},{"4":144},{"5":144},{"12":2940}]</v>
      </c>
    </row>
    <row r="957" spans="1:5">
      <c r="A957" s="6">
        <f t="shared" si="55"/>
        <v>21054</v>
      </c>
      <c r="B957" s="6">
        <f t="shared" ref="B957:B988" si="57">B807</f>
        <v>54</v>
      </c>
      <c r="C957" s="6">
        <f t="shared" si="56"/>
        <v>820650</v>
      </c>
      <c r="D957" s="6">
        <v>21</v>
      </c>
      <c r="E957" s="7" t="str">
        <f>战宠属性配置!N55</f>
        <v>[{"1":218},{"2":178},{"4":145},{"5":145},{"12":2960}]</v>
      </c>
    </row>
    <row r="958" spans="1:5">
      <c r="A958" s="6">
        <f t="shared" si="55"/>
        <v>21055</v>
      </c>
      <c r="B958" s="6">
        <f t="shared" si="57"/>
        <v>55</v>
      </c>
      <c r="C958" s="6">
        <f t="shared" si="56"/>
        <v>916600</v>
      </c>
      <c r="D958" s="6">
        <v>21</v>
      </c>
      <c r="E958" s="7" t="str">
        <f>战宠属性配置!N56</f>
        <v>[{"1":220},{"2":180},{"4":146},{"5":146},{"12":2980}]</v>
      </c>
    </row>
    <row r="959" spans="1:5">
      <c r="A959" s="6">
        <f t="shared" si="55"/>
        <v>21056</v>
      </c>
      <c r="B959" s="6">
        <f t="shared" si="57"/>
        <v>56</v>
      </c>
      <c r="C959" s="6">
        <f t="shared" si="56"/>
        <v>1022550</v>
      </c>
      <c r="D959" s="6">
        <v>21</v>
      </c>
      <c r="E959" s="7" t="str">
        <f>战宠属性配置!N57</f>
        <v>[{"1":222},{"2":182},{"4":148},{"5":148},{"12":3020}]</v>
      </c>
    </row>
    <row r="960" spans="1:5">
      <c r="A960" s="6">
        <f t="shared" si="55"/>
        <v>21057</v>
      </c>
      <c r="B960" s="6">
        <f t="shared" si="57"/>
        <v>57</v>
      </c>
      <c r="C960" s="6">
        <f t="shared" si="56"/>
        <v>1138500</v>
      </c>
      <c r="D960" s="6">
        <v>21</v>
      </c>
      <c r="E960" s="7" t="str">
        <f>战宠属性配置!N58</f>
        <v>[{"1":224},{"2":183},{"4":149},{"5":149},{"12":3040}]</v>
      </c>
    </row>
    <row r="961" spans="1:5">
      <c r="A961" s="6">
        <f t="shared" si="55"/>
        <v>21058</v>
      </c>
      <c r="B961" s="6">
        <f t="shared" si="57"/>
        <v>58</v>
      </c>
      <c r="C961" s="6">
        <f t="shared" si="56"/>
        <v>1264450</v>
      </c>
      <c r="D961" s="6">
        <v>21</v>
      </c>
      <c r="E961" s="7" t="str">
        <f>战宠属性配置!N59</f>
        <v>[{"1":226},{"2":185},{"4":150},{"5":150},{"12":3060}]</v>
      </c>
    </row>
    <row r="962" spans="1:5">
      <c r="A962" s="6">
        <f t="shared" si="55"/>
        <v>21059</v>
      </c>
      <c r="B962" s="6">
        <f t="shared" si="57"/>
        <v>59</v>
      </c>
      <c r="C962" s="6">
        <f t="shared" si="56"/>
        <v>1400400</v>
      </c>
      <c r="D962" s="6">
        <v>21</v>
      </c>
      <c r="E962" s="7" t="str">
        <f>战宠属性配置!N60</f>
        <v>[{"1":228},{"2":186},{"4":152},{"5":152},{"12":3100}]</v>
      </c>
    </row>
    <row r="963" spans="1:5">
      <c r="A963" s="6">
        <f t="shared" si="55"/>
        <v>21060</v>
      </c>
      <c r="B963" s="6">
        <f t="shared" si="57"/>
        <v>60</v>
      </c>
      <c r="C963" s="6">
        <f t="shared" si="56"/>
        <v>1546350</v>
      </c>
      <c r="D963" s="6">
        <v>21</v>
      </c>
      <c r="E963" s="7" t="str">
        <f>战宠属性配置!N61</f>
        <v>[{"1":230},{"2":188},{"4":153},{"5":153},{"12":3120}]</v>
      </c>
    </row>
    <row r="964" spans="1:5">
      <c r="A964" s="6">
        <f t="shared" si="55"/>
        <v>21061</v>
      </c>
      <c r="B964" s="6">
        <f t="shared" si="57"/>
        <v>61</v>
      </c>
      <c r="C964" s="6">
        <f t="shared" si="56"/>
        <v>1706300</v>
      </c>
      <c r="D964" s="6">
        <v>21</v>
      </c>
      <c r="E964" s="7" t="str">
        <f>战宠属性配置!N62</f>
        <v>[{"1":232},{"2":190},{"4":154},{"5":154},{"12":3140}]</v>
      </c>
    </row>
    <row r="965" spans="1:5">
      <c r="A965" s="6">
        <f t="shared" si="55"/>
        <v>21062</v>
      </c>
      <c r="B965" s="6">
        <f t="shared" si="57"/>
        <v>62</v>
      </c>
      <c r="C965" s="6">
        <f t="shared" si="56"/>
        <v>1880250</v>
      </c>
      <c r="D965" s="6">
        <v>21</v>
      </c>
      <c r="E965" s="7" t="str">
        <f>战宠属性配置!N63</f>
        <v>[{"1":234},{"2":191},{"4":156},{"5":156},{"12":3180}]</v>
      </c>
    </row>
    <row r="966" spans="1:5">
      <c r="A966" s="6">
        <f t="shared" si="55"/>
        <v>21063</v>
      </c>
      <c r="B966" s="6">
        <f t="shared" si="57"/>
        <v>63</v>
      </c>
      <c r="C966" s="6">
        <f t="shared" si="56"/>
        <v>2068200</v>
      </c>
      <c r="D966" s="6">
        <v>21</v>
      </c>
      <c r="E966" s="7" t="str">
        <f>战宠属性配置!N64</f>
        <v>[{"1":236},{"2":193},{"4":157},{"5":157},{"12":3200}]</v>
      </c>
    </row>
    <row r="967" spans="1:5">
      <c r="A967" s="6">
        <f t="shared" si="55"/>
        <v>21064</v>
      </c>
      <c r="B967" s="6">
        <f t="shared" si="57"/>
        <v>64</v>
      </c>
      <c r="C967" s="6">
        <f t="shared" si="56"/>
        <v>2270150</v>
      </c>
      <c r="D967" s="6">
        <v>21</v>
      </c>
      <c r="E967" s="7" t="str">
        <f>战宠属性配置!N65</f>
        <v>[{"1":238},{"2":195},{"4":158},{"5":158},{"12":3220}]</v>
      </c>
    </row>
    <row r="968" spans="1:5">
      <c r="A968" s="6">
        <f t="shared" ref="A968:A999" si="58">D968*1000+B968</f>
        <v>21065</v>
      </c>
      <c r="B968" s="6">
        <f t="shared" si="57"/>
        <v>65</v>
      </c>
      <c r="C968" s="6">
        <f t="shared" si="56"/>
        <v>2486100</v>
      </c>
      <c r="D968" s="6">
        <v>21</v>
      </c>
      <c r="E968" s="7" t="str">
        <f>战宠属性配置!N66</f>
        <v>[{"1":240},{"2":196},{"4":160},{"5":160},{"12":3260}]</v>
      </c>
    </row>
    <row r="969" spans="1:5">
      <c r="A969" s="6">
        <f t="shared" si="58"/>
        <v>21066</v>
      </c>
      <c r="B969" s="6">
        <f t="shared" si="57"/>
        <v>66</v>
      </c>
      <c r="C969" s="6">
        <f t="shared" ref="C969:C1000" si="59">INT(C819/10)</f>
        <v>2720050</v>
      </c>
      <c r="D969" s="6">
        <v>21</v>
      </c>
      <c r="E969" s="7" t="str">
        <f>战宠属性配置!N67</f>
        <v>[{"1":242},{"2":198},{"4":161},{"5":161},{"12":3280}]</v>
      </c>
    </row>
    <row r="970" spans="1:5">
      <c r="A970" s="6">
        <f t="shared" si="58"/>
        <v>21067</v>
      </c>
      <c r="B970" s="6">
        <f t="shared" si="57"/>
        <v>67</v>
      </c>
      <c r="C970" s="6">
        <f t="shared" si="59"/>
        <v>2972000</v>
      </c>
      <c r="D970" s="6">
        <v>21</v>
      </c>
      <c r="E970" s="7" t="str">
        <f>战宠属性配置!N68</f>
        <v>[{"1":244},{"2":200},{"4":162},{"5":162},{"12":3300}]</v>
      </c>
    </row>
    <row r="971" spans="1:5">
      <c r="A971" s="6">
        <f t="shared" si="58"/>
        <v>21068</v>
      </c>
      <c r="B971" s="6">
        <f t="shared" si="57"/>
        <v>68</v>
      </c>
      <c r="C971" s="6">
        <f t="shared" si="59"/>
        <v>3241950</v>
      </c>
      <c r="D971" s="6">
        <v>21</v>
      </c>
      <c r="E971" s="7" t="str">
        <f>战宠属性配置!N69</f>
        <v>[{"1":246},{"2":201},{"4":164},{"5":164},{"12":3340}]</v>
      </c>
    </row>
    <row r="972" spans="1:5">
      <c r="A972" s="6">
        <f t="shared" si="58"/>
        <v>21069</v>
      </c>
      <c r="B972" s="6">
        <f t="shared" si="57"/>
        <v>69</v>
      </c>
      <c r="C972" s="6">
        <f t="shared" si="59"/>
        <v>3529900</v>
      </c>
      <c r="D972" s="6">
        <v>21</v>
      </c>
      <c r="E972" s="7" t="str">
        <f>战宠属性配置!N70</f>
        <v>[{"1":248},{"2":203},{"4":165},{"5":165},{"12":3360}]</v>
      </c>
    </row>
    <row r="973" spans="1:5">
      <c r="A973" s="6">
        <f t="shared" si="58"/>
        <v>21070</v>
      </c>
      <c r="B973" s="6">
        <f t="shared" si="57"/>
        <v>70</v>
      </c>
      <c r="C973" s="6">
        <f t="shared" si="59"/>
        <v>3835850</v>
      </c>
      <c r="D973" s="6">
        <v>21</v>
      </c>
      <c r="E973" s="7" t="str">
        <f>战宠属性配置!N71</f>
        <v>[{"1":250},{"2":205},{"4":166},{"5":166},{"12":3380}]</v>
      </c>
    </row>
    <row r="974" spans="1:5">
      <c r="A974" s="6">
        <f t="shared" si="58"/>
        <v>21071</v>
      </c>
      <c r="B974" s="6">
        <f t="shared" si="57"/>
        <v>71</v>
      </c>
      <c r="C974" s="6">
        <f t="shared" si="59"/>
        <v>4166800</v>
      </c>
      <c r="D974" s="6">
        <v>21</v>
      </c>
      <c r="E974" s="7" t="str">
        <f>战宠属性配置!N72</f>
        <v>[{"1":252},{"2":206},{"4":168},{"5":168},{"12":3420}]</v>
      </c>
    </row>
    <row r="975" spans="1:5">
      <c r="A975" s="6">
        <f t="shared" si="58"/>
        <v>21072</v>
      </c>
      <c r="B975" s="6">
        <f t="shared" si="57"/>
        <v>72</v>
      </c>
      <c r="C975" s="6">
        <f t="shared" si="59"/>
        <v>4522750</v>
      </c>
      <c r="D975" s="6">
        <v>21</v>
      </c>
      <c r="E975" s="7" t="str">
        <f>战宠属性配置!N73</f>
        <v>[{"1":254},{"2":208},{"4":169},{"5":169},{"12":3440}]</v>
      </c>
    </row>
    <row r="976" spans="1:5">
      <c r="A976" s="6">
        <f t="shared" si="58"/>
        <v>21073</v>
      </c>
      <c r="B976" s="6">
        <f t="shared" si="57"/>
        <v>73</v>
      </c>
      <c r="C976" s="6">
        <f t="shared" si="59"/>
        <v>4903700</v>
      </c>
      <c r="D976" s="6">
        <v>21</v>
      </c>
      <c r="E976" s="7" t="str">
        <f>战宠属性配置!N74</f>
        <v>[{"1":256},{"2":209},{"4":170},{"5":170},{"12":3460}]</v>
      </c>
    </row>
    <row r="977" spans="1:5">
      <c r="A977" s="6">
        <f t="shared" si="58"/>
        <v>21074</v>
      </c>
      <c r="B977" s="6">
        <f t="shared" si="57"/>
        <v>74</v>
      </c>
      <c r="C977" s="6">
        <f t="shared" si="59"/>
        <v>5309650</v>
      </c>
      <c r="D977" s="6">
        <v>21</v>
      </c>
      <c r="E977" s="7" t="str">
        <f>战宠属性配置!N75</f>
        <v>[{"1":258},{"2":211},{"4":172},{"5":172},{"12":3500}]</v>
      </c>
    </row>
    <row r="978" spans="1:5">
      <c r="A978" s="6">
        <f t="shared" si="58"/>
        <v>21075</v>
      </c>
      <c r="B978" s="6">
        <f t="shared" si="57"/>
        <v>75</v>
      </c>
      <c r="C978" s="6">
        <f t="shared" si="59"/>
        <v>5740600</v>
      </c>
      <c r="D978" s="6">
        <v>21</v>
      </c>
      <c r="E978" s="7" t="str">
        <f>战宠属性配置!N76</f>
        <v>[{"1":260},{"2":213},{"4":173},{"5":173},{"12":3520}]</v>
      </c>
    </row>
    <row r="979" spans="1:5">
      <c r="A979" s="6">
        <f t="shared" si="58"/>
        <v>21076</v>
      </c>
      <c r="B979" s="6">
        <f t="shared" si="57"/>
        <v>76</v>
      </c>
      <c r="C979" s="6">
        <f t="shared" si="59"/>
        <v>6221550</v>
      </c>
      <c r="D979" s="6">
        <v>21</v>
      </c>
      <c r="E979" s="7" t="str">
        <f>战宠属性配置!N77</f>
        <v>[{"1":262},{"2":214},{"4":174},{"5":174},{"12":3540}]</v>
      </c>
    </row>
    <row r="980" spans="1:5">
      <c r="A980" s="6">
        <f t="shared" si="58"/>
        <v>21077</v>
      </c>
      <c r="B980" s="6">
        <f t="shared" si="57"/>
        <v>77</v>
      </c>
      <c r="C980" s="6">
        <f t="shared" si="59"/>
        <v>6752500</v>
      </c>
      <c r="D980" s="6">
        <v>21</v>
      </c>
      <c r="E980" s="7" t="str">
        <f>战宠属性配置!N78</f>
        <v>[{"1":264},{"2":216},{"4":176},{"5":176},{"12":3580}]</v>
      </c>
    </row>
    <row r="981" spans="1:5">
      <c r="A981" s="6">
        <f t="shared" si="58"/>
        <v>21078</v>
      </c>
      <c r="B981" s="6">
        <f t="shared" si="57"/>
        <v>78</v>
      </c>
      <c r="C981" s="6">
        <f t="shared" si="59"/>
        <v>7333450</v>
      </c>
      <c r="D981" s="6">
        <v>21</v>
      </c>
      <c r="E981" s="7" t="str">
        <f>战宠属性配置!N79</f>
        <v>[{"1":266},{"2":218},{"4":177},{"5":177},{"12":3600}]</v>
      </c>
    </row>
    <row r="982" spans="1:5">
      <c r="A982" s="6">
        <f t="shared" si="58"/>
        <v>21079</v>
      </c>
      <c r="B982" s="6">
        <f t="shared" si="57"/>
        <v>79</v>
      </c>
      <c r="C982" s="6">
        <f t="shared" si="59"/>
        <v>7964400</v>
      </c>
      <c r="D982" s="6">
        <v>21</v>
      </c>
      <c r="E982" s="7" t="str">
        <f>战宠属性配置!N80</f>
        <v>[{"1":268},{"2":219},{"4":178},{"5":178},{"12":3620}]</v>
      </c>
    </row>
    <row r="983" spans="1:5">
      <c r="A983" s="6">
        <f t="shared" si="58"/>
        <v>21080</v>
      </c>
      <c r="B983" s="6">
        <f t="shared" si="57"/>
        <v>80</v>
      </c>
      <c r="C983" s="6">
        <f t="shared" si="59"/>
        <v>8645350</v>
      </c>
      <c r="D983" s="6">
        <v>21</v>
      </c>
      <c r="E983" s="7" t="str">
        <f>战宠属性配置!N81</f>
        <v>[{"1":270},{"2":221},{"4":180},{"5":180},{"12":3660}]</v>
      </c>
    </row>
    <row r="984" spans="1:5">
      <c r="A984" s="6">
        <f t="shared" si="58"/>
        <v>21081</v>
      </c>
      <c r="B984" s="6">
        <f t="shared" si="57"/>
        <v>81</v>
      </c>
      <c r="C984" s="6">
        <f t="shared" si="59"/>
        <v>9426300</v>
      </c>
      <c r="D984" s="6">
        <v>21</v>
      </c>
      <c r="E984" s="7" t="str">
        <f>战宠属性配置!N82</f>
        <v>[{"1":272},{"2":223},{"4":181},{"5":181},{"12":3680}]</v>
      </c>
    </row>
    <row r="985" spans="1:5">
      <c r="A985" s="6">
        <f t="shared" si="58"/>
        <v>21082</v>
      </c>
      <c r="B985" s="6">
        <f t="shared" si="57"/>
        <v>82</v>
      </c>
      <c r="C985" s="6">
        <f t="shared" si="59"/>
        <v>10307250</v>
      </c>
      <c r="D985" s="6">
        <v>21</v>
      </c>
      <c r="E985" s="7" t="str">
        <f>战宠属性配置!N83</f>
        <v>[{"1":274},{"2":224},{"4":182},{"5":182},{"12":3700}]</v>
      </c>
    </row>
    <row r="986" spans="1:5">
      <c r="A986" s="6">
        <f t="shared" si="58"/>
        <v>21083</v>
      </c>
      <c r="B986" s="6">
        <f t="shared" si="57"/>
        <v>83</v>
      </c>
      <c r="C986" s="6">
        <f t="shared" si="59"/>
        <v>11288200</v>
      </c>
      <c r="D986" s="6">
        <v>21</v>
      </c>
      <c r="E986" s="7" t="str">
        <f>战宠属性配置!N84</f>
        <v>[{"1":276},{"2":226},{"4":184},{"5":184},{"12":3740}]</v>
      </c>
    </row>
    <row r="987" spans="1:5">
      <c r="A987" s="6">
        <f t="shared" si="58"/>
        <v>21084</v>
      </c>
      <c r="B987" s="6">
        <f t="shared" si="57"/>
        <v>84</v>
      </c>
      <c r="C987" s="6">
        <f t="shared" si="59"/>
        <v>12369150</v>
      </c>
      <c r="D987" s="6">
        <v>21</v>
      </c>
      <c r="E987" s="7" t="str">
        <f>战宠属性配置!N85</f>
        <v>[{"1":278},{"2":227},{"4":185},{"5":185},{"12":3760}]</v>
      </c>
    </row>
    <row r="988" spans="1:5">
      <c r="A988" s="6">
        <f t="shared" si="58"/>
        <v>21085</v>
      </c>
      <c r="B988" s="6">
        <f t="shared" si="57"/>
        <v>85</v>
      </c>
      <c r="C988" s="6">
        <f t="shared" si="59"/>
        <v>13550100</v>
      </c>
      <c r="D988" s="6">
        <v>21</v>
      </c>
      <c r="E988" s="7" t="str">
        <f>战宠属性配置!N86</f>
        <v>[{"1":280},{"2":229},{"4":186},{"5":186},{"12":3780}]</v>
      </c>
    </row>
    <row r="989" spans="1:5">
      <c r="A989" s="6">
        <f t="shared" si="58"/>
        <v>21086</v>
      </c>
      <c r="B989" s="6">
        <f t="shared" ref="B989:B1010" si="60">B839</f>
        <v>86</v>
      </c>
      <c r="C989" s="6">
        <f t="shared" si="59"/>
        <v>15231050</v>
      </c>
      <c r="D989" s="6">
        <v>21</v>
      </c>
      <c r="E989" s="7" t="str">
        <f>战宠属性配置!N87</f>
        <v>[{"1":282},{"2":231},{"4":188},{"5":188},{"12":3820}]</v>
      </c>
    </row>
    <row r="990" spans="1:5">
      <c r="A990" s="6">
        <f t="shared" si="58"/>
        <v>21087</v>
      </c>
      <c r="B990" s="6">
        <f t="shared" si="60"/>
        <v>87</v>
      </c>
      <c r="C990" s="6">
        <f t="shared" si="59"/>
        <v>17412000</v>
      </c>
      <c r="D990" s="6">
        <v>21</v>
      </c>
      <c r="E990" s="7" t="str">
        <f>战宠属性配置!N88</f>
        <v>[{"1":284},{"2":232},{"4":189},{"5":189},{"12":3840}]</v>
      </c>
    </row>
    <row r="991" spans="1:5">
      <c r="A991" s="6">
        <f t="shared" si="58"/>
        <v>21088</v>
      </c>
      <c r="B991" s="6">
        <f t="shared" si="60"/>
        <v>88</v>
      </c>
      <c r="C991" s="6">
        <f t="shared" si="59"/>
        <v>20092950</v>
      </c>
      <c r="D991" s="6">
        <v>21</v>
      </c>
      <c r="E991" s="7" t="str">
        <f>战宠属性配置!N89</f>
        <v>[{"1":286},{"2":234},{"4":190},{"5":190},{"12":3860}]</v>
      </c>
    </row>
    <row r="992" spans="1:5">
      <c r="A992" s="6">
        <f t="shared" si="58"/>
        <v>21089</v>
      </c>
      <c r="B992" s="6">
        <f t="shared" si="60"/>
        <v>89</v>
      </c>
      <c r="C992" s="6">
        <f t="shared" si="59"/>
        <v>23273900</v>
      </c>
      <c r="D992" s="6">
        <v>21</v>
      </c>
      <c r="E992" s="7" t="str">
        <f>战宠属性配置!N90</f>
        <v>[{"1":288},{"2":236},{"4":192},{"5":192},{"12":3900}]</v>
      </c>
    </row>
    <row r="993" spans="1:5">
      <c r="A993" s="6">
        <f t="shared" si="58"/>
        <v>21090</v>
      </c>
      <c r="B993" s="6">
        <f t="shared" si="60"/>
        <v>90</v>
      </c>
      <c r="C993" s="6">
        <f t="shared" si="59"/>
        <v>26954850</v>
      </c>
      <c r="D993" s="6">
        <v>21</v>
      </c>
      <c r="E993" s="7" t="str">
        <f>战宠属性配置!N91</f>
        <v>[{"1":290},{"2":237},{"4":193},{"5":193},{"12":3920}]</v>
      </c>
    </row>
    <row r="994" spans="1:5">
      <c r="A994" s="6">
        <f t="shared" si="58"/>
        <v>21091</v>
      </c>
      <c r="B994" s="6">
        <f t="shared" si="60"/>
        <v>91</v>
      </c>
      <c r="C994" s="6">
        <f t="shared" si="59"/>
        <v>32635800</v>
      </c>
      <c r="D994" s="6">
        <v>21</v>
      </c>
      <c r="E994" s="7" t="str">
        <f>战宠属性配置!N92</f>
        <v>[{"1":292},{"2":239},{"4":194},{"5":194},{"12":3940}]</v>
      </c>
    </row>
    <row r="995" spans="1:5">
      <c r="A995" s="6">
        <f t="shared" si="58"/>
        <v>21092</v>
      </c>
      <c r="B995" s="6">
        <f t="shared" si="60"/>
        <v>92</v>
      </c>
      <c r="C995" s="6">
        <f t="shared" si="59"/>
        <v>40316750</v>
      </c>
      <c r="D995" s="6">
        <v>21</v>
      </c>
      <c r="E995" s="7" t="str">
        <f>战宠属性配置!N93</f>
        <v>[{"1":294},{"2":241},{"4":196},{"5":196},{"12":3980}]</v>
      </c>
    </row>
    <row r="996" spans="1:5">
      <c r="A996" s="6">
        <f t="shared" si="58"/>
        <v>21093</v>
      </c>
      <c r="B996" s="6">
        <f t="shared" si="60"/>
        <v>93</v>
      </c>
      <c r="C996" s="6">
        <f t="shared" si="59"/>
        <v>49997700</v>
      </c>
      <c r="D996" s="6">
        <v>21</v>
      </c>
      <c r="E996" s="7" t="str">
        <f>战宠属性配置!N94</f>
        <v>[{"1":296},{"2":242},{"4":197},{"5":197},{"12":4000}]</v>
      </c>
    </row>
    <row r="997" spans="1:5">
      <c r="A997" s="6">
        <f t="shared" si="58"/>
        <v>21094</v>
      </c>
      <c r="B997" s="6">
        <f t="shared" si="60"/>
        <v>94</v>
      </c>
      <c r="C997" s="6">
        <f t="shared" si="59"/>
        <v>61678650</v>
      </c>
      <c r="D997" s="6">
        <v>21</v>
      </c>
      <c r="E997" s="7" t="str">
        <f>战宠属性配置!N95</f>
        <v>[{"1":298},{"2":244},{"4":198},{"5":198},{"12":4020}]</v>
      </c>
    </row>
    <row r="998" spans="1:5">
      <c r="A998" s="6">
        <f t="shared" si="58"/>
        <v>21095</v>
      </c>
      <c r="B998" s="6">
        <f t="shared" si="60"/>
        <v>95</v>
      </c>
      <c r="C998" s="6">
        <f t="shared" si="59"/>
        <v>75359600</v>
      </c>
      <c r="D998" s="6">
        <v>21</v>
      </c>
      <c r="E998" s="7" t="str">
        <f>战宠属性配置!N96</f>
        <v>[{"1":300},{"2":246},{"4":200},{"5":200},{"12":4060}]</v>
      </c>
    </row>
    <row r="999" spans="1:5">
      <c r="A999" s="6">
        <f t="shared" si="58"/>
        <v>21096</v>
      </c>
      <c r="B999" s="6">
        <f t="shared" si="60"/>
        <v>96</v>
      </c>
      <c r="C999" s="6">
        <f t="shared" si="59"/>
        <v>92040550</v>
      </c>
      <c r="D999" s="6">
        <v>21</v>
      </c>
      <c r="E999" s="7" t="str">
        <f>战宠属性配置!N97</f>
        <v>[{"1":302},{"2":247},{"4":201},{"5":201},{"12":4080}]</v>
      </c>
    </row>
    <row r="1000" spans="1:5">
      <c r="A1000" s="6">
        <f t="shared" ref="A1000:A1031" si="61">D1000*1000+B1000</f>
        <v>21097</v>
      </c>
      <c r="B1000" s="6">
        <f t="shared" si="60"/>
        <v>97</v>
      </c>
      <c r="C1000" s="6">
        <f t="shared" si="59"/>
        <v>111721500</v>
      </c>
      <c r="D1000" s="6">
        <v>21</v>
      </c>
      <c r="E1000" s="7" t="str">
        <f>战宠属性配置!N98</f>
        <v>[{"1":304},{"2":249},{"4":202},{"5":202},{"12":4100}]</v>
      </c>
    </row>
    <row r="1001" spans="1:5">
      <c r="A1001" s="6">
        <f t="shared" si="61"/>
        <v>21098</v>
      </c>
      <c r="B1001" s="6">
        <f t="shared" si="60"/>
        <v>98</v>
      </c>
      <c r="C1001" s="6">
        <f t="shared" ref="C1001:C1032" si="62">INT(C851/10)</f>
        <v>134402450</v>
      </c>
      <c r="D1001" s="6">
        <v>21</v>
      </c>
      <c r="E1001" s="7" t="str">
        <f>战宠属性配置!N99</f>
        <v>[{"1":306},{"2":250},{"4":204},{"5":204},{"12":4140}]</v>
      </c>
    </row>
    <row r="1002" spans="1:5">
      <c r="A1002" s="6">
        <f t="shared" si="61"/>
        <v>21099</v>
      </c>
      <c r="B1002" s="6">
        <f t="shared" si="60"/>
        <v>99</v>
      </c>
      <c r="C1002" s="6">
        <f t="shared" si="62"/>
        <v>160083400</v>
      </c>
      <c r="D1002" s="6">
        <v>21</v>
      </c>
      <c r="E1002" s="7" t="str">
        <f>战宠属性配置!N100</f>
        <v>[{"1":308},{"2":252},{"4":205},{"5":205},{"12":4160}]</v>
      </c>
    </row>
    <row r="1003" spans="1:5">
      <c r="A1003" s="6">
        <f t="shared" si="61"/>
        <v>21100</v>
      </c>
      <c r="B1003" s="6">
        <f t="shared" si="60"/>
        <v>100</v>
      </c>
      <c r="C1003" s="6">
        <f t="shared" si="62"/>
        <v>188764350</v>
      </c>
      <c r="D1003" s="6">
        <v>21</v>
      </c>
      <c r="E1003" s="7" t="str">
        <f>战宠属性配置!N101</f>
        <v>[{"1":310},{"2":254},{"4":206},{"5":206},{"12":4180}]</v>
      </c>
    </row>
    <row r="1004" spans="1:5">
      <c r="A1004" s="6">
        <f t="shared" si="61"/>
        <v>21101</v>
      </c>
      <c r="B1004" s="6">
        <f t="shared" si="60"/>
        <v>101</v>
      </c>
      <c r="C1004" s="6">
        <f t="shared" si="62"/>
        <v>221445300</v>
      </c>
      <c r="D1004" s="6">
        <v>21</v>
      </c>
      <c r="E1004" s="7" t="str">
        <f>战宠属性配置!N102</f>
        <v>[{"1":312},{"2":255},{"4":208},{"5":208},{"12":4220}]</v>
      </c>
    </row>
    <row r="1005" spans="1:5">
      <c r="A1005" s="6">
        <f t="shared" si="61"/>
        <v>21102</v>
      </c>
      <c r="B1005" s="6">
        <f t="shared" si="60"/>
        <v>102</v>
      </c>
      <c r="C1005" s="6">
        <f t="shared" si="62"/>
        <v>258126250</v>
      </c>
      <c r="D1005" s="6">
        <v>21</v>
      </c>
      <c r="E1005" s="7" t="str">
        <f>战宠属性配置!N103</f>
        <v>[{"1":314},{"2":257},{"4":209},{"5":209},{"12":4240}]</v>
      </c>
    </row>
    <row r="1006" spans="1:5">
      <c r="A1006" s="6">
        <f t="shared" si="61"/>
        <v>21103</v>
      </c>
      <c r="B1006" s="6">
        <f t="shared" si="60"/>
        <v>103</v>
      </c>
      <c r="C1006" s="6">
        <f t="shared" si="62"/>
        <v>298807200</v>
      </c>
      <c r="D1006" s="6">
        <v>21</v>
      </c>
      <c r="E1006" s="7" t="str">
        <f>战宠属性配置!N104</f>
        <v>[{"1":316},{"2":259},{"4":210},{"5":210},{"12":4260}]</v>
      </c>
    </row>
    <row r="1007" spans="1:5">
      <c r="A1007" s="6">
        <f t="shared" si="61"/>
        <v>21104</v>
      </c>
      <c r="B1007" s="6">
        <f t="shared" si="60"/>
        <v>104</v>
      </c>
      <c r="C1007" s="6">
        <f t="shared" si="62"/>
        <v>343488150</v>
      </c>
      <c r="D1007" s="6">
        <v>21</v>
      </c>
      <c r="E1007" s="7" t="str">
        <f>战宠属性配置!N105</f>
        <v>[{"1":318},{"2":260},{"4":212},{"5":212},{"12":4300}]</v>
      </c>
    </row>
    <row r="1008" spans="1:5">
      <c r="A1008" s="6">
        <f t="shared" si="61"/>
        <v>21105</v>
      </c>
      <c r="B1008" s="6">
        <f t="shared" si="60"/>
        <v>105</v>
      </c>
      <c r="C1008" s="6">
        <f t="shared" si="62"/>
        <v>392169100</v>
      </c>
      <c r="D1008" s="6">
        <v>21</v>
      </c>
      <c r="E1008" s="7" t="str">
        <f>战宠属性配置!N106</f>
        <v>[{"1":320},{"2":262},{"4":213},{"5":213},{"12":4320}]</v>
      </c>
    </row>
    <row r="1009" spans="1:5">
      <c r="A1009" s="6">
        <f t="shared" si="61"/>
        <v>21106</v>
      </c>
      <c r="B1009" s="6">
        <f t="shared" si="60"/>
        <v>106</v>
      </c>
      <c r="C1009" s="6">
        <f t="shared" si="62"/>
        <v>445850050</v>
      </c>
      <c r="D1009" s="6">
        <v>21</v>
      </c>
      <c r="E1009" s="7" t="str">
        <f>战宠属性配置!N107</f>
        <v>[{"1":322},{"2":264},{"4":214},{"5":214},{"12":4340}]</v>
      </c>
    </row>
    <row r="1010" spans="1:5">
      <c r="A1010" s="6">
        <f t="shared" si="61"/>
        <v>21107</v>
      </c>
      <c r="B1010" s="6">
        <f t="shared" si="60"/>
        <v>107</v>
      </c>
      <c r="C1010" s="6">
        <f t="shared" si="62"/>
        <v>504531000</v>
      </c>
      <c r="D1010" s="6">
        <v>21</v>
      </c>
      <c r="E1010" s="7" t="str">
        <f>战宠属性配置!N108</f>
        <v>[{"1":324},{"2":265},{"4":216},{"5":216},{"12":4380}]</v>
      </c>
    </row>
    <row r="1011" spans="1:5">
      <c r="A1011" s="6">
        <f t="shared" si="61"/>
        <v>21108</v>
      </c>
      <c r="B1011" s="6">
        <f t="shared" ref="B1011:B1028" si="63">B861</f>
        <v>108</v>
      </c>
      <c r="C1011" s="6">
        <f t="shared" si="62"/>
        <v>568211950</v>
      </c>
      <c r="D1011" s="6">
        <v>21</v>
      </c>
      <c r="E1011" s="7" t="str">
        <f>战宠属性配置!N109</f>
        <v>[{"1":326},{"2":267},{"4":217},{"5":217},{"12":4400}]</v>
      </c>
    </row>
    <row r="1012" spans="1:5">
      <c r="A1012" s="6">
        <f t="shared" si="61"/>
        <v>21109</v>
      </c>
      <c r="B1012" s="6">
        <f t="shared" si="63"/>
        <v>109</v>
      </c>
      <c r="C1012" s="6">
        <f t="shared" si="62"/>
        <v>636892900</v>
      </c>
      <c r="D1012" s="6">
        <v>21</v>
      </c>
      <c r="E1012" s="7" t="str">
        <f>战宠属性配置!N110</f>
        <v>[{"1":328},{"2":268},{"4":218},{"5":218},{"12":4420}]</v>
      </c>
    </row>
    <row r="1013" spans="1:5">
      <c r="A1013" s="6">
        <f t="shared" si="61"/>
        <v>21110</v>
      </c>
      <c r="B1013" s="6">
        <f t="shared" si="63"/>
        <v>110</v>
      </c>
      <c r="C1013" s="6">
        <f t="shared" si="62"/>
        <v>710573850</v>
      </c>
      <c r="D1013" s="6">
        <v>21</v>
      </c>
      <c r="E1013" s="7" t="str">
        <f>战宠属性配置!N111</f>
        <v>[{"1":330},{"2":270},{"4":220},{"5":220},{"12":4460}]</v>
      </c>
    </row>
    <row r="1014" spans="1:5">
      <c r="A1014" s="6">
        <f t="shared" si="61"/>
        <v>21111</v>
      </c>
      <c r="B1014" s="6">
        <f t="shared" si="63"/>
        <v>111</v>
      </c>
      <c r="C1014" s="6">
        <f t="shared" si="62"/>
        <v>790254800</v>
      </c>
      <c r="D1014" s="6">
        <v>21</v>
      </c>
      <c r="E1014" s="7" t="str">
        <f>战宠属性配置!N112</f>
        <v>[{"1":332},{"2":272},{"4":221},{"5":221},{"12":4480}]</v>
      </c>
    </row>
    <row r="1015" spans="1:5">
      <c r="A1015" s="6">
        <f t="shared" si="61"/>
        <v>21112</v>
      </c>
      <c r="B1015" s="6">
        <f t="shared" si="63"/>
        <v>112</v>
      </c>
      <c r="C1015" s="6">
        <f t="shared" si="62"/>
        <v>875935750</v>
      </c>
      <c r="D1015" s="6">
        <v>21</v>
      </c>
      <c r="E1015" s="7" t="str">
        <f>战宠属性配置!N113</f>
        <v>[{"1":334},{"2":273},{"4":222},{"5":222},{"12":4500}]</v>
      </c>
    </row>
    <row r="1016" spans="1:5">
      <c r="A1016" s="6">
        <f t="shared" si="61"/>
        <v>21113</v>
      </c>
      <c r="B1016" s="6">
        <f t="shared" si="63"/>
        <v>113</v>
      </c>
      <c r="C1016" s="6">
        <f t="shared" si="62"/>
        <v>967616700</v>
      </c>
      <c r="D1016" s="6">
        <v>21</v>
      </c>
      <c r="E1016" s="7" t="str">
        <f>战宠属性配置!N114</f>
        <v>[{"1":336},{"2":275},{"4":224},{"5":224},{"12":4540}]</v>
      </c>
    </row>
    <row r="1017" spans="1:5">
      <c r="A1017" s="6">
        <f t="shared" si="61"/>
        <v>21114</v>
      </c>
      <c r="B1017" s="6">
        <f t="shared" si="63"/>
        <v>114</v>
      </c>
      <c r="C1017" s="6">
        <f t="shared" si="62"/>
        <v>1065297650</v>
      </c>
      <c r="D1017" s="6">
        <v>21</v>
      </c>
      <c r="E1017" s="7" t="str">
        <f>战宠属性配置!N115</f>
        <v>[{"1":338},{"2":277},{"4":225},{"5":225},{"12":4560}]</v>
      </c>
    </row>
    <row r="1018" spans="1:5">
      <c r="A1018" s="6">
        <f t="shared" si="61"/>
        <v>21115</v>
      </c>
      <c r="B1018" s="6">
        <f t="shared" si="63"/>
        <v>115</v>
      </c>
      <c r="C1018" s="6">
        <f t="shared" si="62"/>
        <v>1168978600</v>
      </c>
      <c r="D1018" s="6">
        <v>21</v>
      </c>
      <c r="E1018" s="7" t="str">
        <f>战宠属性配置!N116</f>
        <v>[{"1":340},{"2":278},{"4":226},{"5":226},{"12":4580}]</v>
      </c>
    </row>
    <row r="1019" spans="1:5">
      <c r="A1019" s="6">
        <f t="shared" si="61"/>
        <v>21116</v>
      </c>
      <c r="B1019" s="6">
        <f t="shared" si="63"/>
        <v>116</v>
      </c>
      <c r="C1019" s="6">
        <f t="shared" si="62"/>
        <v>1279659550</v>
      </c>
      <c r="D1019" s="6">
        <v>21</v>
      </c>
      <c r="E1019" s="7" t="str">
        <f>战宠属性配置!N117</f>
        <v>[{"1":342},{"2":280},{"4":228},{"5":228},{"12":4620}]</v>
      </c>
    </row>
    <row r="1020" spans="1:5">
      <c r="A1020" s="6">
        <f t="shared" si="61"/>
        <v>21117</v>
      </c>
      <c r="B1020" s="6">
        <f t="shared" si="63"/>
        <v>117</v>
      </c>
      <c r="C1020" s="6">
        <f t="shared" si="62"/>
        <v>1397340500</v>
      </c>
      <c r="D1020" s="6">
        <v>21</v>
      </c>
      <c r="E1020" s="7" t="str">
        <f>战宠属性配置!N118</f>
        <v>[{"1":344},{"2":282},{"4":229},{"5":229},{"12":4640}]</v>
      </c>
    </row>
    <row r="1021" spans="1:5">
      <c r="A1021" s="6">
        <f t="shared" si="61"/>
        <v>21118</v>
      </c>
      <c r="B1021" s="6">
        <f t="shared" si="63"/>
        <v>118</v>
      </c>
      <c r="C1021" s="6">
        <f t="shared" si="62"/>
        <v>1522021450</v>
      </c>
      <c r="D1021" s="6">
        <v>21</v>
      </c>
      <c r="E1021" s="7" t="str">
        <f>战宠属性配置!N119</f>
        <v>[{"1":346},{"2":283},{"4":230},{"5":230},{"12":4660}]</v>
      </c>
    </row>
    <row r="1022" spans="1:5">
      <c r="A1022" s="6">
        <f t="shared" si="61"/>
        <v>21119</v>
      </c>
      <c r="B1022" s="6">
        <f t="shared" si="63"/>
        <v>119</v>
      </c>
      <c r="C1022" s="6">
        <f t="shared" si="62"/>
        <v>1653702400</v>
      </c>
      <c r="D1022" s="6">
        <v>21</v>
      </c>
      <c r="E1022" s="7" t="str">
        <f>战宠属性配置!N120</f>
        <v>[{"1":348},{"2":285},{"4":232},{"5":232},{"12":4700}]</v>
      </c>
    </row>
    <row r="1023" spans="1:5">
      <c r="A1023" s="6">
        <f t="shared" si="61"/>
        <v>21120</v>
      </c>
      <c r="B1023" s="6">
        <f t="shared" si="63"/>
        <v>120</v>
      </c>
      <c r="C1023" s="6">
        <f t="shared" si="62"/>
        <v>1792383350</v>
      </c>
      <c r="D1023" s="6">
        <v>21</v>
      </c>
      <c r="E1023" s="7" t="str">
        <f>战宠属性配置!N121</f>
        <v>[{"1":350},{"2":287},{"4":233},{"5":233},{"12":4720}]</v>
      </c>
    </row>
    <row r="1024" spans="1:5">
      <c r="A1024" s="6">
        <f t="shared" si="61"/>
        <v>21121</v>
      </c>
      <c r="B1024" s="6">
        <f t="shared" si="63"/>
        <v>121</v>
      </c>
      <c r="C1024" s="6">
        <f t="shared" si="62"/>
        <v>1939064300</v>
      </c>
      <c r="D1024" s="6">
        <v>21</v>
      </c>
      <c r="E1024" s="7" t="str">
        <f>战宠属性配置!N122</f>
        <v>[{"1":352},{"2":288},{"4":234},{"5":234},{"12":4740}]</v>
      </c>
    </row>
    <row r="1025" spans="1:5">
      <c r="A1025" s="6">
        <f t="shared" si="61"/>
        <v>21122</v>
      </c>
      <c r="B1025" s="6">
        <f t="shared" si="63"/>
        <v>122</v>
      </c>
      <c r="C1025" s="6">
        <f t="shared" si="62"/>
        <v>2093745250</v>
      </c>
      <c r="D1025" s="6">
        <v>21</v>
      </c>
      <c r="E1025" s="7" t="str">
        <f>战宠属性配置!N123</f>
        <v>[{"1":354},{"2":290},{"4":236},{"5":236},{"12":4780}]</v>
      </c>
    </row>
    <row r="1026" spans="1:5">
      <c r="A1026" s="6">
        <f t="shared" si="61"/>
        <v>21123</v>
      </c>
      <c r="B1026" s="6">
        <f t="shared" si="63"/>
        <v>123</v>
      </c>
      <c r="C1026" s="6">
        <f t="shared" si="62"/>
        <v>2256426200</v>
      </c>
      <c r="D1026" s="6">
        <v>21</v>
      </c>
      <c r="E1026" s="7" t="str">
        <f>战宠属性配置!N124</f>
        <v>[{"1":356},{"2":291},{"4":237},{"5":237},{"12":4800}]</v>
      </c>
    </row>
    <row r="1027" spans="1:5">
      <c r="A1027" s="6">
        <f t="shared" si="61"/>
        <v>21124</v>
      </c>
      <c r="B1027" s="6">
        <f t="shared" si="63"/>
        <v>124</v>
      </c>
      <c r="C1027" s="6">
        <f t="shared" si="62"/>
        <v>2427107150</v>
      </c>
      <c r="D1027" s="6">
        <v>21</v>
      </c>
      <c r="E1027" s="7" t="str">
        <f>战宠属性配置!N125</f>
        <v>[{"1":358},{"2":293},{"4":238},{"5":238},{"12":4820}]</v>
      </c>
    </row>
    <row r="1028" spans="1:5">
      <c r="A1028" s="6">
        <f t="shared" si="61"/>
        <v>21125</v>
      </c>
      <c r="B1028" s="6">
        <f t="shared" si="63"/>
        <v>125</v>
      </c>
      <c r="C1028" s="6">
        <f t="shared" si="62"/>
        <v>2605788100</v>
      </c>
      <c r="D1028" s="6">
        <v>21</v>
      </c>
      <c r="E1028" s="7" t="str">
        <f>战宠属性配置!N126</f>
        <v>[{"1":360},{"2":295},{"4":240},{"5":240},{"12":4860}]</v>
      </c>
    </row>
    <row r="1029" spans="1:5">
      <c r="A1029" s="6">
        <f t="shared" si="61"/>
        <v>21126</v>
      </c>
      <c r="B1029" s="6">
        <f t="shared" ref="B1029:B1044" si="64">B879</f>
        <v>126</v>
      </c>
      <c r="C1029" s="6">
        <f t="shared" si="62"/>
        <v>2793469050</v>
      </c>
      <c r="D1029" s="6">
        <v>21</v>
      </c>
      <c r="E1029" s="7" t="str">
        <f>战宠属性配置!N127</f>
        <v>[{"1":362},{"2":296},{"4":241},{"5":241},{"12":4880}]</v>
      </c>
    </row>
    <row r="1030" spans="1:5">
      <c r="A1030" s="6">
        <f t="shared" si="61"/>
        <v>21127</v>
      </c>
      <c r="B1030" s="6">
        <f t="shared" si="64"/>
        <v>127</v>
      </c>
      <c r="C1030" s="6">
        <f t="shared" si="62"/>
        <v>2990150000</v>
      </c>
      <c r="D1030" s="6">
        <v>21</v>
      </c>
      <c r="E1030" s="7" t="str">
        <f>战宠属性配置!N128</f>
        <v>[{"1":364},{"2":298},{"4":242},{"5":242},{"12":4900}]</v>
      </c>
    </row>
    <row r="1031" spans="1:5">
      <c r="A1031" s="6">
        <f t="shared" si="61"/>
        <v>21128</v>
      </c>
      <c r="B1031" s="6">
        <f t="shared" si="64"/>
        <v>128</v>
      </c>
      <c r="C1031" s="6">
        <f t="shared" si="62"/>
        <v>3195830950</v>
      </c>
      <c r="D1031" s="6">
        <v>21</v>
      </c>
      <c r="E1031" s="7" t="str">
        <f>战宠属性配置!N129</f>
        <v>[{"1":366},{"2":300},{"4":244},{"5":244},{"12":4940}]</v>
      </c>
    </row>
    <row r="1032" spans="1:5">
      <c r="A1032" s="6">
        <f t="shared" ref="A1032:A1053" si="65">D1032*1000+B1032</f>
        <v>21129</v>
      </c>
      <c r="B1032" s="6">
        <f t="shared" si="64"/>
        <v>129</v>
      </c>
      <c r="C1032" s="6">
        <f t="shared" si="62"/>
        <v>3410511900</v>
      </c>
      <c r="D1032" s="6">
        <v>21</v>
      </c>
      <c r="E1032" s="7" t="str">
        <f>战宠属性配置!N130</f>
        <v>[{"1":368},{"2":301},{"4":245},{"5":245},{"12":4960}]</v>
      </c>
    </row>
    <row r="1033" spans="1:5">
      <c r="A1033" s="6">
        <f t="shared" si="65"/>
        <v>21130</v>
      </c>
      <c r="B1033" s="6">
        <f t="shared" si="64"/>
        <v>130</v>
      </c>
      <c r="C1033" s="6">
        <f t="shared" ref="C1033:C1053" si="66">INT(C883/10)</f>
        <v>3634192850</v>
      </c>
      <c r="D1033" s="6">
        <v>21</v>
      </c>
      <c r="E1033" s="7" t="str">
        <f>战宠属性配置!N131</f>
        <v>[{"1":370},{"2":303},{"4":246},{"5":246},{"12":4980}]</v>
      </c>
    </row>
    <row r="1034" spans="1:5">
      <c r="A1034" s="6">
        <f t="shared" si="65"/>
        <v>21131</v>
      </c>
      <c r="B1034" s="6">
        <f t="shared" si="64"/>
        <v>131</v>
      </c>
      <c r="C1034" s="6">
        <f t="shared" si="66"/>
        <v>3867873800</v>
      </c>
      <c r="D1034" s="6">
        <v>21</v>
      </c>
      <c r="E1034" s="7" t="str">
        <f>战宠属性配置!N132</f>
        <v>[{"1":372},{"2":305},{"4":248},{"5":248},{"12":5020}]</v>
      </c>
    </row>
    <row r="1035" spans="1:5">
      <c r="A1035" s="6">
        <f t="shared" si="65"/>
        <v>21132</v>
      </c>
      <c r="B1035" s="6">
        <f t="shared" si="64"/>
        <v>132</v>
      </c>
      <c r="C1035" s="6">
        <f t="shared" si="66"/>
        <v>4111554750</v>
      </c>
      <c r="D1035" s="6">
        <v>21</v>
      </c>
      <c r="E1035" s="7" t="str">
        <f>战宠属性配置!N133</f>
        <v>[{"1":374},{"2":306},{"4":249},{"5":249},{"12":5040}]</v>
      </c>
    </row>
    <row r="1036" spans="1:5">
      <c r="A1036" s="6">
        <f t="shared" si="65"/>
        <v>21133</v>
      </c>
      <c r="B1036" s="6">
        <f t="shared" si="64"/>
        <v>133</v>
      </c>
      <c r="C1036" s="6">
        <f t="shared" si="66"/>
        <v>4365235700</v>
      </c>
      <c r="D1036" s="6">
        <v>21</v>
      </c>
      <c r="E1036" s="7" t="str">
        <f>战宠属性配置!N134</f>
        <v>[{"1":376},{"2":308},{"4":250},{"5":250},{"12":5060}]</v>
      </c>
    </row>
    <row r="1037" spans="1:5">
      <c r="A1037" s="6">
        <f t="shared" si="65"/>
        <v>21134</v>
      </c>
      <c r="B1037" s="6">
        <f t="shared" si="64"/>
        <v>134</v>
      </c>
      <c r="C1037" s="6">
        <f t="shared" si="66"/>
        <v>4628916650</v>
      </c>
      <c r="D1037" s="6">
        <v>21</v>
      </c>
      <c r="E1037" s="7" t="str">
        <f>战宠属性配置!N135</f>
        <v>[{"1":378},{"2":309},{"4":252},{"5":252},{"12":5100}]</v>
      </c>
    </row>
    <row r="1038" spans="1:5">
      <c r="A1038" s="6">
        <f t="shared" si="65"/>
        <v>21135</v>
      </c>
      <c r="B1038" s="6">
        <f t="shared" si="64"/>
        <v>135</v>
      </c>
      <c r="C1038" s="6">
        <f t="shared" si="66"/>
        <v>4902597600</v>
      </c>
      <c r="D1038" s="6">
        <v>21</v>
      </c>
      <c r="E1038" s="7" t="str">
        <f>战宠属性配置!N136</f>
        <v>[{"1":380},{"2":311},{"4":253},{"5":253},{"12":5120}]</v>
      </c>
    </row>
    <row r="1039" spans="1:5">
      <c r="A1039" s="6">
        <f t="shared" si="65"/>
        <v>21136</v>
      </c>
      <c r="B1039" s="6">
        <f t="shared" si="64"/>
        <v>136</v>
      </c>
      <c r="C1039" s="6">
        <f t="shared" si="66"/>
        <v>5187278550</v>
      </c>
      <c r="D1039" s="6">
        <v>21</v>
      </c>
      <c r="E1039" s="7" t="str">
        <f>战宠属性配置!N137</f>
        <v>[{"1":382},{"2":313},{"4":254},{"5":254},{"12":5140}]</v>
      </c>
    </row>
    <row r="1040" spans="1:5">
      <c r="A1040" s="6">
        <f t="shared" si="65"/>
        <v>21137</v>
      </c>
      <c r="B1040" s="6">
        <f t="shared" si="64"/>
        <v>137</v>
      </c>
      <c r="C1040" s="6">
        <f t="shared" si="66"/>
        <v>5482959500</v>
      </c>
      <c r="D1040" s="6">
        <v>21</v>
      </c>
      <c r="E1040" s="7" t="str">
        <f>战宠属性配置!N138</f>
        <v>[{"1":384},{"2":314},{"4":256},{"5":256},{"12":5180}]</v>
      </c>
    </row>
    <row r="1041" spans="1:5">
      <c r="A1041" s="6">
        <f t="shared" si="65"/>
        <v>21138</v>
      </c>
      <c r="B1041" s="6">
        <f t="shared" si="64"/>
        <v>138</v>
      </c>
      <c r="C1041" s="6">
        <f t="shared" si="66"/>
        <v>5789640450</v>
      </c>
      <c r="D1041" s="6">
        <v>21</v>
      </c>
      <c r="E1041" s="7" t="str">
        <f>战宠属性配置!N139</f>
        <v>[{"1":386},{"2":316},{"4":257},{"5":257},{"12":5200}]</v>
      </c>
    </row>
    <row r="1042" spans="1:5">
      <c r="A1042" s="6">
        <f t="shared" si="65"/>
        <v>21139</v>
      </c>
      <c r="B1042" s="6">
        <f t="shared" si="64"/>
        <v>139</v>
      </c>
      <c r="C1042" s="6">
        <f t="shared" si="66"/>
        <v>6107321400</v>
      </c>
      <c r="D1042" s="6">
        <v>21</v>
      </c>
      <c r="E1042" s="7" t="str">
        <f>战宠属性配置!N140</f>
        <v>[{"1":388},{"2":318},{"4":258},{"5":258},{"12":5220}]</v>
      </c>
    </row>
    <row r="1043" spans="1:5">
      <c r="A1043" s="6">
        <f t="shared" si="65"/>
        <v>21140</v>
      </c>
      <c r="B1043" s="6">
        <f t="shared" si="64"/>
        <v>140</v>
      </c>
      <c r="C1043" s="6">
        <f t="shared" si="66"/>
        <v>6436002350</v>
      </c>
      <c r="D1043" s="6">
        <v>21</v>
      </c>
      <c r="E1043" s="7" t="str">
        <f>战宠属性配置!N141</f>
        <v>[{"1":390},{"2":319},{"4":260},{"5":260},{"12":5260}]</v>
      </c>
    </row>
    <row r="1044" spans="1:5">
      <c r="A1044" s="6">
        <f t="shared" si="65"/>
        <v>21141</v>
      </c>
      <c r="B1044" s="6">
        <f t="shared" si="64"/>
        <v>141</v>
      </c>
      <c r="C1044" s="6">
        <f t="shared" si="66"/>
        <v>6776683300</v>
      </c>
      <c r="D1044" s="6">
        <v>21</v>
      </c>
      <c r="E1044" s="7" t="str">
        <f>战宠属性配置!N142</f>
        <v>[{"1":392},{"2":321},{"4":261},{"5":261},{"12":5280}]</v>
      </c>
    </row>
    <row r="1045" spans="1:5">
      <c r="A1045" s="6">
        <f t="shared" si="65"/>
        <v>21142</v>
      </c>
      <c r="B1045" s="6">
        <f t="shared" ref="B1045:B1053" si="67">B895</f>
        <v>142</v>
      </c>
      <c r="C1045" s="6">
        <f t="shared" si="66"/>
        <v>7129364250</v>
      </c>
      <c r="D1045" s="6">
        <v>21</v>
      </c>
      <c r="E1045" s="7" t="str">
        <f>战宠属性配置!N143</f>
        <v>[{"1":394},{"2":323},{"4":262},{"5":262},{"12":5300}]</v>
      </c>
    </row>
    <row r="1046" spans="1:5">
      <c r="A1046" s="6">
        <f t="shared" si="65"/>
        <v>21143</v>
      </c>
      <c r="B1046" s="6">
        <f t="shared" si="67"/>
        <v>143</v>
      </c>
      <c r="C1046" s="6">
        <f t="shared" si="66"/>
        <v>7494045200</v>
      </c>
      <c r="D1046" s="6">
        <v>21</v>
      </c>
      <c r="E1046" s="7" t="str">
        <f>战宠属性配置!N144</f>
        <v>[{"1":396},{"2":324},{"4":264},{"5":264},{"12":5340}]</v>
      </c>
    </row>
    <row r="1047" spans="1:5">
      <c r="A1047" s="6">
        <f t="shared" si="65"/>
        <v>21144</v>
      </c>
      <c r="B1047" s="6">
        <f t="shared" si="67"/>
        <v>144</v>
      </c>
      <c r="C1047" s="6">
        <f t="shared" si="66"/>
        <v>7870726150</v>
      </c>
      <c r="D1047" s="6">
        <v>21</v>
      </c>
      <c r="E1047" s="7" t="str">
        <f>战宠属性配置!N145</f>
        <v>[{"1":398},{"2":326},{"4":265},{"5":265},{"12":5360}]</v>
      </c>
    </row>
    <row r="1048" spans="1:5">
      <c r="A1048" s="6">
        <f t="shared" si="65"/>
        <v>21145</v>
      </c>
      <c r="B1048" s="6">
        <f t="shared" si="67"/>
        <v>145</v>
      </c>
      <c r="C1048" s="6">
        <f t="shared" si="66"/>
        <v>8259407100</v>
      </c>
      <c r="D1048" s="6">
        <v>21</v>
      </c>
      <c r="E1048" s="7" t="str">
        <f>战宠属性配置!N146</f>
        <v>[{"1":400},{"2":328},{"4":266},{"5":266},{"12":5380}]</v>
      </c>
    </row>
    <row r="1049" spans="1:5">
      <c r="A1049" s="6">
        <f t="shared" si="65"/>
        <v>21146</v>
      </c>
      <c r="B1049" s="6">
        <f t="shared" si="67"/>
        <v>146</v>
      </c>
      <c r="C1049" s="6">
        <f t="shared" si="66"/>
        <v>8661088050</v>
      </c>
      <c r="D1049" s="6">
        <v>21</v>
      </c>
      <c r="E1049" s="7" t="str">
        <f>战宠属性配置!N147</f>
        <v>[{"1":402},{"2":329},{"4":268},{"5":268},{"12":5420}]</v>
      </c>
    </row>
    <row r="1050" spans="1:5">
      <c r="A1050" s="6">
        <f t="shared" si="65"/>
        <v>21147</v>
      </c>
      <c r="B1050" s="6">
        <f t="shared" si="67"/>
        <v>147</v>
      </c>
      <c r="C1050" s="6">
        <f t="shared" si="66"/>
        <v>9075769000</v>
      </c>
      <c r="D1050" s="6">
        <v>21</v>
      </c>
      <c r="E1050" s="7" t="str">
        <f>战宠属性配置!N148</f>
        <v>[{"1":404},{"2":331},{"4":269},{"5":269},{"12":5440}]</v>
      </c>
    </row>
    <row r="1051" spans="1:5">
      <c r="A1051" s="6">
        <f t="shared" si="65"/>
        <v>21148</v>
      </c>
      <c r="B1051" s="6">
        <f t="shared" si="67"/>
        <v>148</v>
      </c>
      <c r="C1051" s="6">
        <f t="shared" si="66"/>
        <v>9503449950</v>
      </c>
      <c r="D1051" s="6">
        <v>21</v>
      </c>
      <c r="E1051" s="7" t="str">
        <f>战宠属性配置!N149</f>
        <v>[{"1":406},{"2":332},{"4":270},{"5":270},{"12":5460}]</v>
      </c>
    </row>
    <row r="1052" spans="1:5">
      <c r="A1052" s="6">
        <f t="shared" si="65"/>
        <v>21149</v>
      </c>
      <c r="B1052" s="6">
        <f t="shared" si="67"/>
        <v>149</v>
      </c>
      <c r="C1052" s="6">
        <f t="shared" si="66"/>
        <v>9944130900</v>
      </c>
      <c r="D1052" s="6">
        <v>21</v>
      </c>
      <c r="E1052" s="7" t="str">
        <f>战宠属性配置!N150</f>
        <v>[{"1":408},{"2":334},{"4":272},{"5":272},{"12":5500}]</v>
      </c>
    </row>
    <row r="1053" spans="1:5">
      <c r="A1053" s="6">
        <f t="shared" si="65"/>
        <v>21150</v>
      </c>
      <c r="B1053" s="6">
        <f t="shared" si="67"/>
        <v>150</v>
      </c>
      <c r="C1053" s="6">
        <f t="shared" si="66"/>
        <v>10397811850</v>
      </c>
      <c r="D1053" s="6">
        <v>21</v>
      </c>
      <c r="E1053" s="7" t="str">
        <f>战宠属性配置!N151</f>
        <v>[{"1":410},{"2":336},{"4":273},{"5":273},{"12":5520}]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2"/>
  <sheetViews>
    <sheetView topLeftCell="A106" workbookViewId="0">
      <selection activeCell="F3" sqref="F3"/>
    </sheetView>
  </sheetViews>
  <sheetFormatPr defaultColWidth="9" defaultRowHeight="13.5"/>
  <cols>
    <col min="6" max="6" width="10.875" style="1" customWidth="1"/>
    <col min="11" max="11" width="14.875" style="1" customWidth="1"/>
    <col min="12" max="12" width="10.875" style="1" customWidth="1"/>
    <col min="13" max="13" width="10.25" customWidth="1"/>
    <col min="30" max="30" width="10" customWidth="1"/>
    <col min="31" max="31" width="82.625" customWidth="1"/>
    <col min="32" max="32" width="10" customWidth="1"/>
  </cols>
  <sheetData>
    <row r="1" spans="1:48">
      <c r="A1" t="s">
        <v>1</v>
      </c>
      <c r="B1" t="s">
        <v>12</v>
      </c>
      <c r="C1" t="s">
        <v>13</v>
      </c>
      <c r="D1" t="s">
        <v>14</v>
      </c>
      <c r="E1" t="s">
        <v>15</v>
      </c>
      <c r="F1" s="1" t="s">
        <v>16</v>
      </c>
      <c r="G1" t="s">
        <v>17</v>
      </c>
      <c r="H1" t="s">
        <v>18</v>
      </c>
      <c r="I1" t="s">
        <v>19</v>
      </c>
      <c r="J1" t="s">
        <v>20</v>
      </c>
      <c r="K1" s="1" t="s">
        <v>21</v>
      </c>
      <c r="L1" s="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29</v>
      </c>
      <c r="W1" t="s">
        <v>30</v>
      </c>
      <c r="AE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17</v>
      </c>
      <c r="AM1" t="s">
        <v>18</v>
      </c>
      <c r="AN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</row>
    <row r="2" spans="1:48">
      <c r="A2">
        <v>0</v>
      </c>
      <c r="B2">
        <v>1</v>
      </c>
      <c r="C2">
        <v>2</v>
      </c>
      <c r="D2">
        <v>4</v>
      </c>
      <c r="E2">
        <v>5</v>
      </c>
      <c r="F2" s="1">
        <v>12</v>
      </c>
      <c r="G2">
        <v>7</v>
      </c>
      <c r="H2">
        <v>6</v>
      </c>
      <c r="I2">
        <v>8</v>
      </c>
      <c r="J2">
        <v>9</v>
      </c>
      <c r="K2" s="1">
        <f>INT(F2/4)</f>
        <v>3</v>
      </c>
      <c r="N2" t="str">
        <f>$N$1&amp;$P$1&amp;$T$1&amp;$B$2&amp;$T$1&amp;$R$1&amp;B3&amp;$Q$1&amp;$S$1&amp;$P$1&amp;$T$1&amp;$D$2&amp;$T$1&amp;$R$1&amp;D3&amp;$Q$1&amp;$S$1&amp;$P$1&amp;$T$1&amp;$E$2&amp;$T$1&amp;$R$1&amp;E3&amp;$Q$1&amp;$S$1&amp;$P$1&amp;$T$1&amp;$F$2&amp;$T$1&amp;$R$1&amp;F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[{"1":40},{"4":26},{"5":26},{"12":476},{"7":8},{"6":0},{"8":10},{"9":0}]</v>
      </c>
      <c r="W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K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[{"2":32},{"4":26},{"5":26},{"12":158},{"7":8},{"6":0},{"8":10},{"9":0}]</v>
      </c>
      <c r="AE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L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[{"2":32},{"4":26},{"5":26},{"12":238},{"7":8},{"6":0},{"8":10},{"9":0}]</v>
      </c>
      <c r="AG2">
        <v>1.5</v>
      </c>
      <c r="AH2">
        <v>1</v>
      </c>
      <c r="AI2">
        <v>1</v>
      </c>
      <c r="AJ2">
        <v>10</v>
      </c>
      <c r="AK2">
        <v>0.4</v>
      </c>
      <c r="AL2">
        <v>0.4</v>
      </c>
      <c r="AM2">
        <v>0.4</v>
      </c>
      <c r="AN2">
        <v>0.4</v>
      </c>
      <c r="AP2">
        <v>40</v>
      </c>
      <c r="AQ2">
        <f>INT(AP2/1.5)</f>
        <v>26</v>
      </c>
      <c r="AR2">
        <f>AQ2</f>
        <v>26</v>
      </c>
      <c r="AS2">
        <f>AR2*15</f>
        <v>390</v>
      </c>
      <c r="AT2">
        <v>10</v>
      </c>
      <c r="AU2">
        <v>0</v>
      </c>
      <c r="AV2">
        <v>10</v>
      </c>
    </row>
    <row r="3" ht="16.5" spans="1:40">
      <c r="A3">
        <v>1</v>
      </c>
      <c r="B3">
        <f>$AP$2+AG3</f>
        <v>40</v>
      </c>
      <c r="C3">
        <f>INT(B3*0.82)</f>
        <v>32</v>
      </c>
      <c r="D3">
        <f>AH3+$AQ$2</f>
        <v>26</v>
      </c>
      <c r="E3">
        <f>D3</f>
        <v>26</v>
      </c>
      <c r="F3" s="3">
        <v>476</v>
      </c>
      <c r="G3">
        <v>8</v>
      </c>
      <c r="H3">
        <v>0</v>
      </c>
      <c r="I3">
        <v>10</v>
      </c>
      <c r="J3">
        <v>0</v>
      </c>
      <c r="K3" s="3">
        <v>158</v>
      </c>
      <c r="L3" s="3">
        <v>238</v>
      </c>
      <c r="N3" t="str">
        <f t="shared" ref="N3:N28" si="0">$N$1&amp;$P$1&amp;$T$1&amp;$B$2&amp;$T$1&amp;$R$1&amp;B4&amp;$Q$1&amp;$S$1&amp;$P$1&amp;$T$1&amp;$D$2&amp;$T$1&amp;$R$1&amp;D4&amp;$Q$1&amp;$S$1&amp;$P$1&amp;$T$1&amp;$E$2&amp;$T$1&amp;$R$1&amp;E4&amp;$Q$1&amp;$S$1&amp;$P$1&amp;$T$1&amp;$F$2&amp;$T$1&amp;$R$1&amp;F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[{"1":40},{"4":26},{"5":26},{"12":552},{"7":8},{"6":0},{"8":10},{"9":0}]</v>
      </c>
      <c r="W3" t="str">
        <f t="shared" ref="W3:W34" si="1">$N$1&amp;$P$1&amp;$T$1&amp;$C$2&amp;$T$1&amp;$R$1&amp;C4&amp;$Q$1&amp;$S$1&amp;$P$1&amp;$T$1&amp;$D$2&amp;$T$1&amp;$R$1&amp;D4&amp;$Q$1&amp;$S$1&amp;$P$1&amp;$T$1&amp;$E$2&amp;$T$1&amp;$R$1&amp;E4&amp;$Q$1&amp;$S$1&amp;$P$1&amp;$T$1&amp;$F$2&amp;$T$1&amp;$R$1&amp;K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[{"2":32},{"4":26},{"5":26},{"12":184},{"7":8},{"6":0},{"8":10},{"9":0}]</v>
      </c>
      <c r="AE3" t="str">
        <f t="shared" ref="AE3:AE29" si="2">$N$1&amp;$P$1&amp;$T$1&amp;$C$2&amp;$T$1&amp;$R$1&amp;C4&amp;$Q$1&amp;$S$1&amp;$P$1&amp;$T$1&amp;$D$2&amp;$T$1&amp;$R$1&amp;D4&amp;$Q$1&amp;$S$1&amp;$P$1&amp;$T$1&amp;$E$2&amp;$T$1&amp;$R$1&amp;E4&amp;$Q$1&amp;$S$1&amp;$P$1&amp;$T$1&amp;$F$2&amp;$T$1&amp;$R$1&amp;L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[{"2":32},{"4":26},{"5":26},{"12":276},{"7":8},{"6":0},{"8":10},{"9":0}]</v>
      </c>
      <c r="AG3">
        <v>0</v>
      </c>
      <c r="AH3">
        <v>0</v>
      </c>
      <c r="AI3">
        <v>0</v>
      </c>
      <c r="AJ3">
        <v>22</v>
      </c>
      <c r="AK3">
        <v>4</v>
      </c>
      <c r="AL3">
        <v>8</v>
      </c>
      <c r="AM3">
        <v>0</v>
      </c>
      <c r="AN3">
        <v>10</v>
      </c>
    </row>
    <row r="4" ht="16.5" spans="1:40">
      <c r="A4">
        <v>2</v>
      </c>
      <c r="B4">
        <f t="shared" ref="B4:B35" si="3">$AP$2+AG4</f>
        <v>40</v>
      </c>
      <c r="C4">
        <f t="shared" ref="C4:C35" si="4">INT(B4*0.82)</f>
        <v>32</v>
      </c>
      <c r="D4">
        <f t="shared" ref="D4:D35" si="5">AH4+$AQ$2</f>
        <v>26</v>
      </c>
      <c r="E4">
        <f t="shared" ref="E4:E35" si="6">D4</f>
        <v>26</v>
      </c>
      <c r="F4" s="3">
        <v>552</v>
      </c>
      <c r="G4">
        <v>8</v>
      </c>
      <c r="H4">
        <v>0</v>
      </c>
      <c r="I4">
        <v>10</v>
      </c>
      <c r="J4">
        <v>0</v>
      </c>
      <c r="K4" s="3">
        <v>184</v>
      </c>
      <c r="L4" s="3">
        <v>276</v>
      </c>
      <c r="N4" t="str">
        <f t="shared" si="0"/>
        <v>[{"1":40},{"4":26},{"5":26},{"12":628},{"7":8},{"6":0},{"8":10},{"9":0}]</v>
      </c>
      <c r="W4" t="str">
        <f t="shared" si="1"/>
        <v>[{"2":32},{"4":26},{"5":26},{"12":209},{"7":8},{"6":0},{"8":10},{"9":0}]</v>
      </c>
      <c r="AE4" t="str">
        <f t="shared" si="2"/>
        <v>[{"2":32},{"4":26},{"5":26},{"12":314},{"7":8},{"6":0},{"8":10},{"9":0}]</v>
      </c>
      <c r="AG4">
        <v>0</v>
      </c>
      <c r="AH4">
        <v>0</v>
      </c>
      <c r="AI4">
        <v>0</v>
      </c>
      <c r="AJ4">
        <v>29</v>
      </c>
      <c r="AK4">
        <v>4</v>
      </c>
      <c r="AL4">
        <v>8</v>
      </c>
      <c r="AM4">
        <v>0</v>
      </c>
      <c r="AN4">
        <v>10</v>
      </c>
    </row>
    <row r="5" ht="16.5" spans="1:40">
      <c r="A5">
        <v>3</v>
      </c>
      <c r="B5">
        <f t="shared" si="3"/>
        <v>40</v>
      </c>
      <c r="C5">
        <f t="shared" si="4"/>
        <v>32</v>
      </c>
      <c r="D5">
        <f t="shared" si="5"/>
        <v>26</v>
      </c>
      <c r="E5">
        <f t="shared" si="6"/>
        <v>26</v>
      </c>
      <c r="F5" s="3">
        <v>628</v>
      </c>
      <c r="G5">
        <v>8</v>
      </c>
      <c r="H5">
        <v>0</v>
      </c>
      <c r="I5">
        <v>10</v>
      </c>
      <c r="J5">
        <v>0</v>
      </c>
      <c r="K5" s="3">
        <v>209</v>
      </c>
      <c r="L5" s="3">
        <v>314</v>
      </c>
      <c r="N5" t="str">
        <f t="shared" si="0"/>
        <v>[{"1":40},{"4":26},{"5":26},{"12":704},{"7":8},{"6":0},{"8":10},{"9":0}]</v>
      </c>
      <c r="W5" t="str">
        <f t="shared" si="1"/>
        <v>[{"2":32},{"4":26},{"5":26},{"12":234},{"7":8},{"6":0},{"8":10},{"9":0}]</v>
      </c>
      <c r="AE5" t="str">
        <f t="shared" si="2"/>
        <v>[{"2":32},{"4":26},{"5":26},{"12":352},{"7":8},{"6":0},{"8":10},{"9":0}]</v>
      </c>
      <c r="AG5">
        <v>0</v>
      </c>
      <c r="AH5">
        <v>0</v>
      </c>
      <c r="AI5">
        <v>0</v>
      </c>
      <c r="AJ5">
        <v>36</v>
      </c>
      <c r="AK5">
        <v>4</v>
      </c>
      <c r="AL5">
        <v>8</v>
      </c>
      <c r="AM5">
        <v>0</v>
      </c>
      <c r="AN5">
        <v>10</v>
      </c>
    </row>
    <row r="6" ht="16.5" spans="1:40">
      <c r="A6">
        <v>4</v>
      </c>
      <c r="B6">
        <f t="shared" si="3"/>
        <v>40</v>
      </c>
      <c r="C6">
        <f t="shared" si="4"/>
        <v>32</v>
      </c>
      <c r="D6">
        <f t="shared" si="5"/>
        <v>26</v>
      </c>
      <c r="E6">
        <f t="shared" si="6"/>
        <v>26</v>
      </c>
      <c r="F6" s="3">
        <v>704</v>
      </c>
      <c r="G6">
        <v>8</v>
      </c>
      <c r="H6">
        <v>0</v>
      </c>
      <c r="I6">
        <v>10</v>
      </c>
      <c r="J6">
        <v>0</v>
      </c>
      <c r="K6" s="3">
        <v>234</v>
      </c>
      <c r="L6" s="3">
        <v>352</v>
      </c>
      <c r="N6" t="str">
        <f t="shared" si="0"/>
        <v>[{"1":40},{"4":26},{"5":26},{"12":779},{"7":8},{"6":0},{"8":10},{"9":0}]</v>
      </c>
      <c r="W6" t="str">
        <f t="shared" si="1"/>
        <v>[{"2":32},{"4":26},{"5":26},{"12":259},{"7":8},{"6":0},{"8":10},{"9":0}]</v>
      </c>
      <c r="AE6" t="str">
        <f t="shared" si="2"/>
        <v>[{"2":32},{"4":26},{"5":26},{"12":390},{"7":8},{"6":0},{"8":10},{"9":0}]</v>
      </c>
      <c r="AG6">
        <v>0</v>
      </c>
      <c r="AH6">
        <v>0</v>
      </c>
      <c r="AI6">
        <v>0</v>
      </c>
      <c r="AJ6">
        <v>44</v>
      </c>
      <c r="AK6">
        <v>4</v>
      </c>
      <c r="AL6">
        <v>8</v>
      </c>
      <c r="AM6">
        <v>0</v>
      </c>
      <c r="AN6">
        <v>10</v>
      </c>
    </row>
    <row r="7" ht="16.5" spans="1:40">
      <c r="A7">
        <v>5</v>
      </c>
      <c r="B7">
        <f t="shared" si="3"/>
        <v>40</v>
      </c>
      <c r="C7">
        <f t="shared" si="4"/>
        <v>32</v>
      </c>
      <c r="D7">
        <f t="shared" si="5"/>
        <v>26</v>
      </c>
      <c r="E7">
        <f t="shared" si="6"/>
        <v>26</v>
      </c>
      <c r="F7" s="3">
        <v>779</v>
      </c>
      <c r="G7">
        <v>8</v>
      </c>
      <c r="H7">
        <v>0</v>
      </c>
      <c r="I7">
        <v>10</v>
      </c>
      <c r="J7">
        <v>0</v>
      </c>
      <c r="K7" s="3">
        <v>259</v>
      </c>
      <c r="L7" s="3">
        <v>390</v>
      </c>
      <c r="N7" t="str">
        <f t="shared" si="0"/>
        <v>[{"1":40},{"4":26},{"5":26},{"12":855},{"7":8},{"6":0},{"8":10},{"9":0}]</v>
      </c>
      <c r="W7" t="str">
        <f t="shared" si="1"/>
        <v>[{"2":32},{"4":26},{"5":26},{"12":285},{"7":8},{"6":0},{"8":10},{"9":0}]</v>
      </c>
      <c r="AE7" t="str">
        <f t="shared" si="2"/>
        <v>[{"2":32},{"4":26},{"5":26},{"12":428},{"7":8},{"6":0},{"8":10},{"9":0}]</v>
      </c>
      <c r="AG7">
        <v>0</v>
      </c>
      <c r="AH7">
        <v>0</v>
      </c>
      <c r="AI7">
        <v>0</v>
      </c>
      <c r="AJ7">
        <v>51</v>
      </c>
      <c r="AK7">
        <v>4</v>
      </c>
      <c r="AL7">
        <v>8</v>
      </c>
      <c r="AM7">
        <v>0</v>
      </c>
      <c r="AN7">
        <v>10</v>
      </c>
    </row>
    <row r="8" ht="16.5" spans="1:40">
      <c r="A8">
        <v>6</v>
      </c>
      <c r="B8">
        <f t="shared" si="3"/>
        <v>40</v>
      </c>
      <c r="C8">
        <f t="shared" si="4"/>
        <v>32</v>
      </c>
      <c r="D8">
        <f t="shared" si="5"/>
        <v>26</v>
      </c>
      <c r="E8">
        <f t="shared" si="6"/>
        <v>26</v>
      </c>
      <c r="F8" s="3">
        <v>855</v>
      </c>
      <c r="G8">
        <v>8</v>
      </c>
      <c r="H8">
        <v>0</v>
      </c>
      <c r="I8">
        <v>10</v>
      </c>
      <c r="J8">
        <v>0</v>
      </c>
      <c r="K8" s="3">
        <v>285</v>
      </c>
      <c r="L8" s="3">
        <v>428</v>
      </c>
      <c r="N8" t="str">
        <f t="shared" si="0"/>
        <v>[{"1":40},{"4":26},{"5":26},{"12":931},{"7":8},{"6":0},{"8":10},{"9":0}]</v>
      </c>
      <c r="W8" t="str">
        <f t="shared" si="1"/>
        <v>[{"2":32},{"4":26},{"5":26},{"12":310},{"7":8},{"6":0},{"8":10},{"9":0}]</v>
      </c>
      <c r="AE8" t="str">
        <f t="shared" si="2"/>
        <v>[{"2":32},{"4":26},{"5":26},{"12":466},{"7":8},{"6":0},{"8":10},{"9":0}]</v>
      </c>
      <c r="AG8">
        <v>0</v>
      </c>
      <c r="AH8">
        <v>0</v>
      </c>
      <c r="AI8">
        <v>0</v>
      </c>
      <c r="AJ8">
        <v>58</v>
      </c>
      <c r="AK8">
        <v>4</v>
      </c>
      <c r="AL8">
        <v>8</v>
      </c>
      <c r="AM8">
        <v>0</v>
      </c>
      <c r="AN8">
        <v>10</v>
      </c>
    </row>
    <row r="9" ht="16.5" spans="1:40">
      <c r="A9">
        <v>7</v>
      </c>
      <c r="B9">
        <f t="shared" si="3"/>
        <v>40</v>
      </c>
      <c r="C9">
        <f t="shared" si="4"/>
        <v>32</v>
      </c>
      <c r="D9">
        <f t="shared" si="5"/>
        <v>26</v>
      </c>
      <c r="E9">
        <f t="shared" si="6"/>
        <v>26</v>
      </c>
      <c r="F9" s="3">
        <v>931</v>
      </c>
      <c r="G9">
        <v>8</v>
      </c>
      <c r="H9">
        <v>0</v>
      </c>
      <c r="I9">
        <v>10</v>
      </c>
      <c r="J9">
        <v>0</v>
      </c>
      <c r="K9" s="3">
        <v>310</v>
      </c>
      <c r="L9" s="3">
        <v>466</v>
      </c>
      <c r="N9" t="str">
        <f t="shared" si="0"/>
        <v>[{"1":40},{"4":26},{"5":26},{"12":1007},{"7":8},{"6":0},{"8":10},{"9":0}]</v>
      </c>
      <c r="W9" t="str">
        <f t="shared" si="1"/>
        <v>[{"2":32},{"4":26},{"5":26},{"12":335},{"7":8},{"6":0},{"8":10},{"9":0}]</v>
      </c>
      <c r="AE9" t="str">
        <f t="shared" si="2"/>
        <v>[{"2":32},{"4":26},{"5":26},{"12":504},{"7":8},{"6":0},{"8":10},{"9":0}]</v>
      </c>
      <c r="AG9">
        <v>0</v>
      </c>
      <c r="AH9">
        <v>0</v>
      </c>
      <c r="AI9">
        <v>0</v>
      </c>
      <c r="AJ9">
        <v>66</v>
      </c>
      <c r="AK9">
        <v>4</v>
      </c>
      <c r="AL9">
        <v>8</v>
      </c>
      <c r="AM9">
        <v>0</v>
      </c>
      <c r="AN9">
        <v>10</v>
      </c>
    </row>
    <row r="10" ht="16.5" spans="1:40">
      <c r="A10">
        <v>8</v>
      </c>
      <c r="B10">
        <f t="shared" si="3"/>
        <v>40</v>
      </c>
      <c r="C10">
        <f t="shared" si="4"/>
        <v>32</v>
      </c>
      <c r="D10">
        <f t="shared" si="5"/>
        <v>26</v>
      </c>
      <c r="E10">
        <f t="shared" si="6"/>
        <v>26</v>
      </c>
      <c r="F10" s="3">
        <v>1007</v>
      </c>
      <c r="G10">
        <v>8</v>
      </c>
      <c r="H10">
        <v>0</v>
      </c>
      <c r="I10">
        <v>10</v>
      </c>
      <c r="J10">
        <v>0</v>
      </c>
      <c r="K10" s="3">
        <v>335</v>
      </c>
      <c r="L10" s="3">
        <v>504</v>
      </c>
      <c r="N10" t="str">
        <f t="shared" si="0"/>
        <v>[{"1":40},{"4":26},{"5":26},{"12":1083},{"7":8},{"6":0},{"8":10},{"9":0}]</v>
      </c>
      <c r="W10" t="str">
        <f t="shared" si="1"/>
        <v>[{"2":32},{"4":26},{"5":26},{"12":361},{"7":8},{"6":0},{"8":10},{"9":0}]</v>
      </c>
      <c r="AE10" t="str">
        <f t="shared" si="2"/>
        <v>[{"2":32},{"4":26},{"5":26},{"12":542},{"7":8},{"6":0},{"8":10},{"9":0}]</v>
      </c>
      <c r="AG10">
        <v>0</v>
      </c>
      <c r="AH10">
        <v>0</v>
      </c>
      <c r="AI10">
        <v>0</v>
      </c>
      <c r="AJ10">
        <v>73</v>
      </c>
      <c r="AK10">
        <v>4</v>
      </c>
      <c r="AL10">
        <v>8</v>
      </c>
      <c r="AM10">
        <v>0</v>
      </c>
      <c r="AN10">
        <v>10</v>
      </c>
    </row>
    <row r="11" ht="16.5" spans="1:40">
      <c r="A11">
        <v>9</v>
      </c>
      <c r="B11">
        <f t="shared" si="3"/>
        <v>40</v>
      </c>
      <c r="C11">
        <f t="shared" si="4"/>
        <v>32</v>
      </c>
      <c r="D11">
        <f t="shared" si="5"/>
        <v>26</v>
      </c>
      <c r="E11">
        <f t="shared" si="6"/>
        <v>26</v>
      </c>
      <c r="F11" s="3">
        <v>1083</v>
      </c>
      <c r="G11">
        <v>8</v>
      </c>
      <c r="H11">
        <v>0</v>
      </c>
      <c r="I11">
        <v>10</v>
      </c>
      <c r="J11">
        <v>0</v>
      </c>
      <c r="K11" s="3">
        <v>361</v>
      </c>
      <c r="L11" s="3">
        <v>542</v>
      </c>
      <c r="N11" t="str">
        <f t="shared" si="0"/>
        <v>[{"1":42},{"4":27},{"5":27},{"12":1159},{"7":8},{"6":0},{"8":10},{"9":0}]</v>
      </c>
      <c r="W11" t="str">
        <f t="shared" si="1"/>
        <v>[{"2":34},{"4":27},{"5":27},{"12":386},{"7":8},{"6":0},{"8":10},{"9":0}]</v>
      </c>
      <c r="AE11" t="str">
        <f t="shared" si="2"/>
        <v>[{"2":34},{"4":27},{"5":27},{"12":580},{"7":8},{"6":0},{"8":10},{"9":0}]</v>
      </c>
      <c r="AG11">
        <v>0</v>
      </c>
      <c r="AH11">
        <v>0</v>
      </c>
      <c r="AI11">
        <v>0</v>
      </c>
      <c r="AJ11">
        <v>80</v>
      </c>
      <c r="AK11">
        <v>4</v>
      </c>
      <c r="AL11">
        <v>8</v>
      </c>
      <c r="AM11">
        <v>0</v>
      </c>
      <c r="AN11">
        <v>10</v>
      </c>
    </row>
    <row r="12" ht="16.5" spans="1:40">
      <c r="A12">
        <v>10</v>
      </c>
      <c r="B12">
        <f t="shared" si="3"/>
        <v>42</v>
      </c>
      <c r="C12">
        <f t="shared" si="4"/>
        <v>34</v>
      </c>
      <c r="D12">
        <f t="shared" si="5"/>
        <v>27</v>
      </c>
      <c r="E12">
        <f t="shared" si="6"/>
        <v>27</v>
      </c>
      <c r="F12" s="3">
        <v>1159</v>
      </c>
      <c r="G12">
        <v>8</v>
      </c>
      <c r="H12">
        <v>0</v>
      </c>
      <c r="I12">
        <v>10</v>
      </c>
      <c r="J12">
        <v>0</v>
      </c>
      <c r="K12" s="3">
        <v>386</v>
      </c>
      <c r="L12" s="3">
        <v>580</v>
      </c>
      <c r="N12" t="str">
        <f t="shared" si="0"/>
        <v>[{"1":42},{"4":27},{"5":27},{"12":1235},{"7":8},{"6":0},{"8":10},{"9":0}]</v>
      </c>
      <c r="W12" t="str">
        <f t="shared" si="1"/>
        <v>[{"2":34},{"4":27},{"5":27},{"12":411},{"7":8},{"6":0},{"8":10},{"9":0}]</v>
      </c>
      <c r="AE12" t="str">
        <f t="shared" si="2"/>
        <v>[{"2":34},{"4":27},{"5":27},{"12":618},{"7":8},{"6":0},{"8":10},{"9":0}]</v>
      </c>
      <c r="AG12">
        <v>2</v>
      </c>
      <c r="AH12">
        <v>1</v>
      </c>
      <c r="AI12">
        <v>1</v>
      </c>
      <c r="AJ12">
        <v>88</v>
      </c>
      <c r="AK12">
        <v>4</v>
      </c>
      <c r="AL12">
        <v>8</v>
      </c>
      <c r="AM12">
        <v>0</v>
      </c>
      <c r="AN12">
        <v>10</v>
      </c>
    </row>
    <row r="13" ht="16.5" spans="1:40">
      <c r="A13">
        <v>11</v>
      </c>
      <c r="B13">
        <f t="shared" si="3"/>
        <v>42</v>
      </c>
      <c r="C13">
        <f t="shared" si="4"/>
        <v>34</v>
      </c>
      <c r="D13">
        <f t="shared" si="5"/>
        <v>27</v>
      </c>
      <c r="E13">
        <f t="shared" si="6"/>
        <v>27</v>
      </c>
      <c r="F13" s="3">
        <v>1235</v>
      </c>
      <c r="G13">
        <v>8</v>
      </c>
      <c r="H13">
        <v>0</v>
      </c>
      <c r="I13">
        <v>10</v>
      </c>
      <c r="J13">
        <v>0</v>
      </c>
      <c r="K13" s="3">
        <v>411</v>
      </c>
      <c r="L13" s="3">
        <v>618</v>
      </c>
      <c r="N13" t="str">
        <f t="shared" si="0"/>
        <v>[{"1":42},{"4":27},{"5":27},{"12":1311},{"7":8},{"6":0},{"8":10},{"9":0}]</v>
      </c>
      <c r="W13" t="str">
        <f t="shared" si="1"/>
        <v>[{"2":34},{"4":27},{"5":27},{"12":437},{"7":8},{"6":0},{"8":10},{"9":0}]</v>
      </c>
      <c r="AE13" t="str">
        <f t="shared" si="2"/>
        <v>[{"2":34},{"4":27},{"5":27},{"12":656},{"7":8},{"6":0},{"8":10},{"9":0}]</v>
      </c>
      <c r="AG13">
        <v>2</v>
      </c>
      <c r="AH13">
        <v>1</v>
      </c>
      <c r="AI13">
        <v>1</v>
      </c>
      <c r="AJ13">
        <v>95</v>
      </c>
      <c r="AK13">
        <v>4</v>
      </c>
      <c r="AL13">
        <v>8</v>
      </c>
      <c r="AM13">
        <v>0</v>
      </c>
      <c r="AN13">
        <v>10</v>
      </c>
    </row>
    <row r="14" ht="16.5" spans="1:40">
      <c r="A14">
        <v>12</v>
      </c>
      <c r="B14">
        <f t="shared" si="3"/>
        <v>42</v>
      </c>
      <c r="C14">
        <f t="shared" si="4"/>
        <v>34</v>
      </c>
      <c r="D14">
        <f t="shared" si="5"/>
        <v>27</v>
      </c>
      <c r="E14">
        <f t="shared" si="6"/>
        <v>27</v>
      </c>
      <c r="F14" s="3">
        <v>1311</v>
      </c>
      <c r="G14">
        <v>8</v>
      </c>
      <c r="H14">
        <v>0</v>
      </c>
      <c r="I14">
        <v>10</v>
      </c>
      <c r="J14">
        <v>0</v>
      </c>
      <c r="K14" s="3">
        <v>437</v>
      </c>
      <c r="L14" s="3">
        <v>656</v>
      </c>
      <c r="N14" t="str">
        <f t="shared" si="0"/>
        <v>[{"1":42},{"4":27},{"5":27},{"12":1387},{"7":8},{"6":0},{"8":10},{"9":0}]</v>
      </c>
      <c r="W14" t="str">
        <f t="shared" si="1"/>
        <v>[{"2":34},{"4":27},{"5":27},{"12":462},{"7":8},{"6":0},{"8":10},{"9":0}]</v>
      </c>
      <c r="AE14" t="str">
        <f t="shared" si="2"/>
        <v>[{"2":34},{"4":27},{"5":27},{"12":694},{"7":8},{"6":0},{"8":10},{"9":0}]</v>
      </c>
      <c r="AG14">
        <v>2</v>
      </c>
      <c r="AH14">
        <v>1</v>
      </c>
      <c r="AI14">
        <v>1</v>
      </c>
      <c r="AJ14">
        <v>103</v>
      </c>
      <c r="AK14">
        <v>4</v>
      </c>
      <c r="AL14">
        <v>8</v>
      </c>
      <c r="AM14">
        <v>0</v>
      </c>
      <c r="AN14">
        <v>10</v>
      </c>
    </row>
    <row r="15" ht="16.5" spans="1:40">
      <c r="A15">
        <v>13</v>
      </c>
      <c r="B15">
        <f t="shared" si="3"/>
        <v>42</v>
      </c>
      <c r="C15">
        <f t="shared" si="4"/>
        <v>34</v>
      </c>
      <c r="D15">
        <f t="shared" si="5"/>
        <v>27</v>
      </c>
      <c r="E15">
        <f t="shared" si="6"/>
        <v>27</v>
      </c>
      <c r="F15" s="3">
        <v>1387</v>
      </c>
      <c r="G15">
        <v>8</v>
      </c>
      <c r="H15">
        <v>0</v>
      </c>
      <c r="I15">
        <v>10</v>
      </c>
      <c r="J15">
        <v>0</v>
      </c>
      <c r="K15" s="3">
        <v>462</v>
      </c>
      <c r="L15" s="3">
        <v>694</v>
      </c>
      <c r="N15" t="str">
        <f t="shared" si="0"/>
        <v>[{"1":42},{"4":27},{"5":27},{"12":1463},{"7":8},{"6":0},{"8":10},{"9":0}]</v>
      </c>
      <c r="W15" t="str">
        <f t="shared" si="1"/>
        <v>[{"2":34},{"4":27},{"5":27},{"12":487},{"7":8},{"6":0},{"8":10},{"9":0}]</v>
      </c>
      <c r="AE15" t="str">
        <f t="shared" si="2"/>
        <v>[{"2":34},{"4":27},{"5":27},{"12":732},{"7":8},{"6":0},{"8":10},{"9":0}]</v>
      </c>
      <c r="AG15">
        <v>2</v>
      </c>
      <c r="AH15">
        <v>1</v>
      </c>
      <c r="AI15">
        <v>1</v>
      </c>
      <c r="AJ15">
        <v>110</v>
      </c>
      <c r="AK15">
        <v>4</v>
      </c>
      <c r="AL15">
        <v>8</v>
      </c>
      <c r="AM15">
        <v>0</v>
      </c>
      <c r="AN15">
        <v>10</v>
      </c>
    </row>
    <row r="16" ht="16.5" spans="1:40">
      <c r="A16">
        <v>14</v>
      </c>
      <c r="B16">
        <f t="shared" si="3"/>
        <v>42</v>
      </c>
      <c r="C16">
        <f t="shared" si="4"/>
        <v>34</v>
      </c>
      <c r="D16">
        <f t="shared" si="5"/>
        <v>27</v>
      </c>
      <c r="E16">
        <f t="shared" si="6"/>
        <v>27</v>
      </c>
      <c r="F16" s="3">
        <v>1463</v>
      </c>
      <c r="G16">
        <v>8</v>
      </c>
      <c r="H16">
        <v>0</v>
      </c>
      <c r="I16">
        <v>10</v>
      </c>
      <c r="J16">
        <v>0</v>
      </c>
      <c r="K16" s="3">
        <v>487</v>
      </c>
      <c r="L16" s="3">
        <v>732</v>
      </c>
      <c r="N16" t="str">
        <f t="shared" si="0"/>
        <v>[{"1":42},{"4":28},{"5":28},{"12":1538},{"7":8},{"6":0},{"8":10},{"9":0}]</v>
      </c>
      <c r="W16" t="str">
        <f t="shared" si="1"/>
        <v>[{"2":34},{"4":28},{"5":28},{"12":512},{"7":8},{"6":0},{"8":10},{"9":0}]</v>
      </c>
      <c r="AE16" t="str">
        <f t="shared" si="2"/>
        <v>[{"2":34},{"4":28},{"5":28},{"12":769},{"7":8},{"6":0},{"8":10},{"9":0}]</v>
      </c>
      <c r="AG16">
        <v>2</v>
      </c>
      <c r="AH16">
        <v>1</v>
      </c>
      <c r="AI16">
        <v>1</v>
      </c>
      <c r="AJ16">
        <v>117</v>
      </c>
      <c r="AK16">
        <v>4</v>
      </c>
      <c r="AL16">
        <v>8</v>
      </c>
      <c r="AM16">
        <v>0</v>
      </c>
      <c r="AN16">
        <v>10</v>
      </c>
    </row>
    <row r="17" ht="16.5" spans="1:40">
      <c r="A17">
        <v>15</v>
      </c>
      <c r="B17">
        <f t="shared" si="3"/>
        <v>42</v>
      </c>
      <c r="C17">
        <f t="shared" si="4"/>
        <v>34</v>
      </c>
      <c r="D17">
        <f t="shared" si="5"/>
        <v>28</v>
      </c>
      <c r="E17">
        <f t="shared" si="6"/>
        <v>28</v>
      </c>
      <c r="F17" s="3">
        <v>1538</v>
      </c>
      <c r="G17">
        <v>8</v>
      </c>
      <c r="H17">
        <v>0</v>
      </c>
      <c r="I17">
        <v>10</v>
      </c>
      <c r="J17">
        <v>0</v>
      </c>
      <c r="K17" s="3">
        <v>512</v>
      </c>
      <c r="L17" s="3">
        <v>769</v>
      </c>
      <c r="N17" t="str">
        <f t="shared" si="0"/>
        <v>[{"1":42},{"4":28},{"5":28},{"12":1614},{"7":8},{"6":0},{"8":10},{"9":0}]</v>
      </c>
      <c r="W17" t="str">
        <f t="shared" si="1"/>
        <v>[{"2":34},{"4":28},{"5":28},{"12":538},{"7":8},{"6":0},{"8":10},{"9":0}]</v>
      </c>
      <c r="AE17" t="str">
        <f t="shared" si="2"/>
        <v>[{"2":34},{"4":28},{"5":28},{"12":807},{"7":8},{"6":0},{"8":10},{"9":0}]</v>
      </c>
      <c r="AG17">
        <v>2</v>
      </c>
      <c r="AH17">
        <v>2</v>
      </c>
      <c r="AI17">
        <v>2</v>
      </c>
      <c r="AJ17">
        <v>125</v>
      </c>
      <c r="AK17">
        <v>4</v>
      </c>
      <c r="AL17">
        <v>8</v>
      </c>
      <c r="AM17">
        <v>0</v>
      </c>
      <c r="AN17">
        <v>10</v>
      </c>
    </row>
    <row r="18" ht="16.5" spans="1:40">
      <c r="A18">
        <v>16</v>
      </c>
      <c r="B18">
        <f t="shared" si="3"/>
        <v>42</v>
      </c>
      <c r="C18">
        <f t="shared" si="4"/>
        <v>34</v>
      </c>
      <c r="D18">
        <f t="shared" si="5"/>
        <v>28</v>
      </c>
      <c r="E18">
        <f t="shared" si="6"/>
        <v>28</v>
      </c>
      <c r="F18" s="3">
        <v>1614</v>
      </c>
      <c r="G18">
        <v>8</v>
      </c>
      <c r="H18">
        <v>0</v>
      </c>
      <c r="I18">
        <v>10</v>
      </c>
      <c r="J18">
        <v>0</v>
      </c>
      <c r="K18" s="3">
        <v>538</v>
      </c>
      <c r="L18" s="3">
        <v>807</v>
      </c>
      <c r="N18" t="str">
        <f t="shared" si="0"/>
        <v>[{"1":42},{"4":28},{"5":28},{"12":1690},{"7":8},{"6":0},{"8":10},{"9":0}]</v>
      </c>
      <c r="W18" t="str">
        <f t="shared" si="1"/>
        <v>[{"2":34},{"4":28},{"5":28},{"12":563},{"7":8},{"6":0},{"8":10},{"9":0}]</v>
      </c>
      <c r="AE18" t="str">
        <f t="shared" si="2"/>
        <v>[{"2":34},{"4":28},{"5":28},{"12":845},{"7":8},{"6":0},{"8":10},{"9":0}]</v>
      </c>
      <c r="AG18">
        <v>2</v>
      </c>
      <c r="AH18">
        <v>2</v>
      </c>
      <c r="AI18">
        <v>2</v>
      </c>
      <c r="AJ18">
        <v>132</v>
      </c>
      <c r="AK18">
        <v>4</v>
      </c>
      <c r="AL18">
        <v>8</v>
      </c>
      <c r="AM18">
        <v>0</v>
      </c>
      <c r="AN18">
        <v>10</v>
      </c>
    </row>
    <row r="19" ht="16.5" spans="1:40">
      <c r="A19">
        <v>17</v>
      </c>
      <c r="B19">
        <f t="shared" si="3"/>
        <v>42</v>
      </c>
      <c r="C19">
        <f t="shared" si="4"/>
        <v>34</v>
      </c>
      <c r="D19">
        <f t="shared" si="5"/>
        <v>28</v>
      </c>
      <c r="E19">
        <f t="shared" si="6"/>
        <v>28</v>
      </c>
      <c r="F19" s="3">
        <v>1690</v>
      </c>
      <c r="G19">
        <v>8</v>
      </c>
      <c r="H19">
        <v>0</v>
      </c>
      <c r="I19">
        <v>10</v>
      </c>
      <c r="J19">
        <v>0</v>
      </c>
      <c r="K19" s="3">
        <v>563</v>
      </c>
      <c r="L19" s="3">
        <v>845</v>
      </c>
      <c r="N19" t="str">
        <f t="shared" si="0"/>
        <v>[{"1":42},{"4":28},{"5":28},{"12":1766},{"7":8},{"6":0},{"8":10},{"9":0}]</v>
      </c>
      <c r="W19" t="str">
        <f t="shared" si="1"/>
        <v>[{"2":34},{"4":28},{"5":28},{"12":588},{"7":8},{"6":0},{"8":10},{"9":0}]</v>
      </c>
      <c r="AE19" t="str">
        <f t="shared" si="2"/>
        <v>[{"2":34},{"4":28},{"5":28},{"12":883},{"7":8},{"6":0},{"8":10},{"9":0}]</v>
      </c>
      <c r="AG19">
        <v>2</v>
      </c>
      <c r="AH19">
        <v>2</v>
      </c>
      <c r="AI19">
        <v>2</v>
      </c>
      <c r="AJ19">
        <v>140</v>
      </c>
      <c r="AK19">
        <v>4</v>
      </c>
      <c r="AL19">
        <v>8</v>
      </c>
      <c r="AM19">
        <v>0</v>
      </c>
      <c r="AN19">
        <v>10</v>
      </c>
    </row>
    <row r="20" ht="16.5" spans="1:40">
      <c r="A20">
        <v>18</v>
      </c>
      <c r="B20">
        <f t="shared" si="3"/>
        <v>42</v>
      </c>
      <c r="C20">
        <f t="shared" si="4"/>
        <v>34</v>
      </c>
      <c r="D20">
        <f t="shared" si="5"/>
        <v>28</v>
      </c>
      <c r="E20">
        <f t="shared" si="6"/>
        <v>28</v>
      </c>
      <c r="F20" s="3">
        <v>1766</v>
      </c>
      <c r="G20">
        <v>8</v>
      </c>
      <c r="H20">
        <v>0</v>
      </c>
      <c r="I20">
        <v>10</v>
      </c>
      <c r="J20">
        <v>0</v>
      </c>
      <c r="K20" s="3">
        <v>588</v>
      </c>
      <c r="L20" s="3">
        <v>883</v>
      </c>
      <c r="N20" t="str">
        <f t="shared" si="0"/>
        <v>[{"1":42},{"4":28},{"5":28},{"12":1842},{"7":8},{"6":0},{"8":10},{"9":0}]</v>
      </c>
      <c r="W20" t="str">
        <f t="shared" si="1"/>
        <v>[{"2":34},{"4":28},{"5":28},{"12":614},{"7":8},{"6":0},{"8":10},{"9":0}]</v>
      </c>
      <c r="AE20" t="str">
        <f t="shared" si="2"/>
        <v>[{"2":34},{"4":28},{"5":28},{"12":921},{"7":8},{"6":0},{"8":10},{"9":0}]</v>
      </c>
      <c r="AG20">
        <v>2</v>
      </c>
      <c r="AH20">
        <v>2</v>
      </c>
      <c r="AI20">
        <v>2</v>
      </c>
      <c r="AJ20">
        <v>147</v>
      </c>
      <c r="AK20">
        <v>4</v>
      </c>
      <c r="AL20">
        <v>8</v>
      </c>
      <c r="AM20">
        <v>0</v>
      </c>
      <c r="AN20">
        <v>10</v>
      </c>
    </row>
    <row r="21" ht="16.5" spans="1:40">
      <c r="A21">
        <v>19</v>
      </c>
      <c r="B21">
        <f t="shared" si="3"/>
        <v>42</v>
      </c>
      <c r="C21">
        <f t="shared" si="4"/>
        <v>34</v>
      </c>
      <c r="D21">
        <f t="shared" si="5"/>
        <v>28</v>
      </c>
      <c r="E21">
        <f t="shared" si="6"/>
        <v>28</v>
      </c>
      <c r="F21" s="3">
        <v>1842</v>
      </c>
      <c r="G21">
        <v>8</v>
      </c>
      <c r="H21">
        <v>0</v>
      </c>
      <c r="I21">
        <v>10</v>
      </c>
      <c r="J21">
        <v>0</v>
      </c>
      <c r="K21" s="3">
        <v>614</v>
      </c>
      <c r="L21" s="3">
        <v>921</v>
      </c>
      <c r="N21" t="str">
        <f t="shared" si="0"/>
        <v>[{"1":44},{"4":28},{"5":28},{"12":2297},{"7":8},{"6":0},{"8":10},{"9":0}]</v>
      </c>
      <c r="W21" t="str">
        <f t="shared" si="1"/>
        <v>[{"2":36},{"4":28},{"5":28},{"12":765},{"7":8},{"6":0},{"8":10},{"9":0}]</v>
      </c>
      <c r="AE21" t="str">
        <f t="shared" si="2"/>
        <v>[{"2":36},{"4":28},{"5":28},{"12":1149},{"7":8},{"6":0},{"8":10},{"9":0}]</v>
      </c>
      <c r="AG21">
        <v>2</v>
      </c>
      <c r="AH21">
        <v>2</v>
      </c>
      <c r="AI21">
        <v>2</v>
      </c>
      <c r="AJ21">
        <v>155</v>
      </c>
      <c r="AK21">
        <v>4</v>
      </c>
      <c r="AL21">
        <v>8</v>
      </c>
      <c r="AM21">
        <v>0</v>
      </c>
      <c r="AN21">
        <v>10</v>
      </c>
    </row>
    <row r="22" ht="16.5" spans="1:40">
      <c r="A22">
        <v>20</v>
      </c>
      <c r="B22">
        <f t="shared" si="3"/>
        <v>44</v>
      </c>
      <c r="C22">
        <f t="shared" si="4"/>
        <v>36</v>
      </c>
      <c r="D22">
        <f t="shared" si="5"/>
        <v>28</v>
      </c>
      <c r="E22">
        <f t="shared" si="6"/>
        <v>28</v>
      </c>
      <c r="F22" s="3">
        <v>2297</v>
      </c>
      <c r="G22">
        <v>8</v>
      </c>
      <c r="H22">
        <v>0</v>
      </c>
      <c r="I22">
        <v>10</v>
      </c>
      <c r="J22">
        <v>0</v>
      </c>
      <c r="K22" s="3">
        <v>765</v>
      </c>
      <c r="L22" s="3">
        <v>1149</v>
      </c>
      <c r="N22" t="str">
        <f t="shared" si="0"/>
        <v>[{"1":44},{"4":28},{"5":28},{"12":2392},{"7":8},{"6":0},{"8":10},{"9":0}]</v>
      </c>
      <c r="W22" t="str">
        <f t="shared" si="1"/>
        <v>[{"2":36},{"4":28},{"5":28},{"12":797},{"7":8},{"6":0},{"8":10},{"9":0}]</v>
      </c>
      <c r="AE22" t="str">
        <f t="shared" si="2"/>
        <v>[{"2":36},{"4":28},{"5":28},{"12":1196},{"7":8},{"6":0},{"8":10},{"9":0}]</v>
      </c>
      <c r="AG22">
        <v>4</v>
      </c>
      <c r="AH22">
        <v>2</v>
      </c>
      <c r="AI22">
        <v>2</v>
      </c>
      <c r="AJ22">
        <v>162</v>
      </c>
      <c r="AK22">
        <v>4</v>
      </c>
      <c r="AL22">
        <v>8</v>
      </c>
      <c r="AM22">
        <v>0</v>
      </c>
      <c r="AN22">
        <v>10</v>
      </c>
    </row>
    <row r="23" ht="16.5" spans="1:40">
      <c r="A23">
        <v>21</v>
      </c>
      <c r="B23">
        <f t="shared" si="3"/>
        <v>44</v>
      </c>
      <c r="C23">
        <f t="shared" si="4"/>
        <v>36</v>
      </c>
      <c r="D23">
        <f t="shared" si="5"/>
        <v>28</v>
      </c>
      <c r="E23">
        <f t="shared" si="6"/>
        <v>28</v>
      </c>
      <c r="F23" s="3">
        <v>2392</v>
      </c>
      <c r="G23">
        <v>8</v>
      </c>
      <c r="H23">
        <v>0</v>
      </c>
      <c r="I23">
        <v>10</v>
      </c>
      <c r="J23">
        <v>0</v>
      </c>
      <c r="K23" s="3">
        <v>797</v>
      </c>
      <c r="L23" s="3">
        <v>1196</v>
      </c>
      <c r="N23" t="str">
        <f t="shared" si="0"/>
        <v>[{"1":44},{"4":28},{"5":28},{"12":2487},{"7":8},{"6":0},{"8":10},{"9":0}]</v>
      </c>
      <c r="W23" t="str">
        <f t="shared" si="1"/>
        <v>[{"2":36},{"4":28},{"5":28},{"12":829},{"7":8},{"6":0},{"8":10},{"9":0}]</v>
      </c>
      <c r="AE23" t="str">
        <f t="shared" si="2"/>
        <v>[{"2":36},{"4":28},{"5":28},{"12":1244},{"7":8},{"6":0},{"8":10},{"9":0}]</v>
      </c>
      <c r="AG23">
        <v>4</v>
      </c>
      <c r="AH23">
        <v>2</v>
      </c>
      <c r="AI23">
        <v>2</v>
      </c>
      <c r="AJ23">
        <v>169</v>
      </c>
      <c r="AK23">
        <v>4</v>
      </c>
      <c r="AL23">
        <v>8</v>
      </c>
      <c r="AM23">
        <v>0</v>
      </c>
      <c r="AN23">
        <v>10</v>
      </c>
    </row>
    <row r="24" ht="16.5" spans="1:40">
      <c r="A24">
        <v>22</v>
      </c>
      <c r="B24">
        <f t="shared" si="3"/>
        <v>44</v>
      </c>
      <c r="C24">
        <f t="shared" si="4"/>
        <v>36</v>
      </c>
      <c r="D24">
        <f t="shared" si="5"/>
        <v>28</v>
      </c>
      <c r="E24">
        <f t="shared" si="6"/>
        <v>28</v>
      </c>
      <c r="F24" s="3">
        <v>2487</v>
      </c>
      <c r="G24">
        <v>8</v>
      </c>
      <c r="H24">
        <v>0</v>
      </c>
      <c r="I24">
        <v>10</v>
      </c>
      <c r="J24">
        <v>0</v>
      </c>
      <c r="K24" s="3">
        <v>829</v>
      </c>
      <c r="L24" s="3">
        <v>1244</v>
      </c>
      <c r="N24" t="str">
        <f t="shared" si="0"/>
        <v>[{"1":44},{"4":28},{"5":28},{"12":2582},{"7":8},{"6":0},{"8":10},{"9":0}]</v>
      </c>
      <c r="W24" t="str">
        <f t="shared" si="1"/>
        <v>[{"2":36},{"4":28},{"5":28},{"12":860},{"7":8},{"6":0},{"8":10},{"9":0}]</v>
      </c>
      <c r="AE24" t="str">
        <f t="shared" si="2"/>
        <v>[{"2":36},{"4":28},{"5":28},{"12":1291},{"7":8},{"6":0},{"8":10},{"9":0}]</v>
      </c>
      <c r="AG24">
        <v>4</v>
      </c>
      <c r="AH24">
        <v>2</v>
      </c>
      <c r="AI24">
        <v>2</v>
      </c>
      <c r="AJ24">
        <v>177</v>
      </c>
      <c r="AK24">
        <v>4</v>
      </c>
      <c r="AL24">
        <v>8</v>
      </c>
      <c r="AM24">
        <v>0</v>
      </c>
      <c r="AN24">
        <v>10</v>
      </c>
    </row>
    <row r="25" ht="16.5" spans="1:40">
      <c r="A25">
        <v>23</v>
      </c>
      <c r="B25">
        <f t="shared" si="3"/>
        <v>44</v>
      </c>
      <c r="C25">
        <f t="shared" si="4"/>
        <v>36</v>
      </c>
      <c r="D25">
        <f t="shared" si="5"/>
        <v>28</v>
      </c>
      <c r="E25">
        <f t="shared" si="6"/>
        <v>28</v>
      </c>
      <c r="F25" s="3">
        <v>2582</v>
      </c>
      <c r="G25">
        <v>8</v>
      </c>
      <c r="H25">
        <v>0</v>
      </c>
      <c r="I25">
        <v>10</v>
      </c>
      <c r="J25">
        <v>0</v>
      </c>
      <c r="K25" s="3">
        <v>860</v>
      </c>
      <c r="L25" s="3">
        <v>1291</v>
      </c>
      <c r="N25" t="str">
        <f t="shared" si="0"/>
        <v>[{"1":44},{"4":28},{"5":28},{"12":2677},{"7":8},{"6":0},{"8":10},{"9":0}]</v>
      </c>
      <c r="W25" t="str">
        <f t="shared" si="1"/>
        <v>[{"2":36},{"4":28},{"5":28},{"12":892},{"7":8},{"6":0},{"8":10},{"9":0}]</v>
      </c>
      <c r="AE25" t="str">
        <f t="shared" si="2"/>
        <v>[{"2":36},{"4":28},{"5":28},{"12":1339},{"7":8},{"6":0},{"8":10},{"9":0}]</v>
      </c>
      <c r="AG25">
        <v>4</v>
      </c>
      <c r="AH25">
        <v>2</v>
      </c>
      <c r="AI25">
        <v>2</v>
      </c>
      <c r="AJ25">
        <v>184</v>
      </c>
      <c r="AK25">
        <v>4</v>
      </c>
      <c r="AL25">
        <v>8</v>
      </c>
      <c r="AM25">
        <v>0</v>
      </c>
      <c r="AN25">
        <v>10</v>
      </c>
    </row>
    <row r="26" ht="16.5" spans="1:40">
      <c r="A26">
        <v>24</v>
      </c>
      <c r="B26">
        <f t="shared" si="3"/>
        <v>44</v>
      </c>
      <c r="C26">
        <f t="shared" si="4"/>
        <v>36</v>
      </c>
      <c r="D26">
        <f t="shared" si="5"/>
        <v>28</v>
      </c>
      <c r="E26">
        <f t="shared" si="6"/>
        <v>28</v>
      </c>
      <c r="F26" s="3">
        <v>2677</v>
      </c>
      <c r="G26">
        <v>8</v>
      </c>
      <c r="H26">
        <v>0</v>
      </c>
      <c r="I26">
        <v>10</v>
      </c>
      <c r="J26">
        <v>0</v>
      </c>
      <c r="K26" s="3">
        <v>892</v>
      </c>
      <c r="L26" s="3">
        <v>1339</v>
      </c>
      <c r="N26" t="str">
        <f t="shared" si="0"/>
        <v>[{"1":45},{"4":29},{"5":29},{"12":2771},{"7":8},{"6":0},{"8":10},{"9":0}]</v>
      </c>
      <c r="W26" t="str">
        <f t="shared" si="1"/>
        <v>[{"2":36},{"4":29},{"5":29},{"12":923},{"7":8},{"6":0},{"8":10},{"9":0}]</v>
      </c>
      <c r="AE26" t="str">
        <f t="shared" si="2"/>
        <v>[{"2":36},{"4":29},{"5":29},{"12":1386},{"7":8},{"6":0},{"8":10},{"9":0}]</v>
      </c>
      <c r="AG26">
        <v>4</v>
      </c>
      <c r="AH26">
        <v>2</v>
      </c>
      <c r="AI26">
        <v>2</v>
      </c>
      <c r="AJ26">
        <v>192</v>
      </c>
      <c r="AK26">
        <v>4</v>
      </c>
      <c r="AL26">
        <v>8</v>
      </c>
      <c r="AM26">
        <v>0</v>
      </c>
      <c r="AN26">
        <v>10</v>
      </c>
    </row>
    <row r="27" ht="16.5" spans="1:40">
      <c r="A27">
        <v>25</v>
      </c>
      <c r="B27">
        <f t="shared" si="3"/>
        <v>45</v>
      </c>
      <c r="C27">
        <f t="shared" si="4"/>
        <v>36</v>
      </c>
      <c r="D27">
        <f t="shared" si="5"/>
        <v>29</v>
      </c>
      <c r="E27">
        <f t="shared" si="6"/>
        <v>29</v>
      </c>
      <c r="F27" s="3">
        <v>2771</v>
      </c>
      <c r="G27">
        <v>8</v>
      </c>
      <c r="H27">
        <v>0</v>
      </c>
      <c r="I27">
        <v>10</v>
      </c>
      <c r="J27">
        <v>0</v>
      </c>
      <c r="K27" s="3">
        <v>923</v>
      </c>
      <c r="L27" s="3">
        <v>1386</v>
      </c>
      <c r="N27" t="str">
        <f t="shared" si="0"/>
        <v>[{"1":45},{"4":29},{"5":29},{"12":2866},{"7":8},{"6":0},{"8":10},{"9":0}]</v>
      </c>
      <c r="W27" t="str">
        <f t="shared" si="1"/>
        <v>[{"2":36},{"4":29},{"5":29},{"12":955},{"7":8},{"6":0},{"8":10},{"9":0}]</v>
      </c>
      <c r="AE27" t="str">
        <f t="shared" si="2"/>
        <v>[{"2":36},{"4":29},{"5":29},{"12":1433},{"7":8},{"6":0},{"8":10},{"9":0}]</v>
      </c>
      <c r="AG27">
        <v>5</v>
      </c>
      <c r="AH27">
        <v>3</v>
      </c>
      <c r="AI27">
        <v>3</v>
      </c>
      <c r="AJ27">
        <v>199</v>
      </c>
      <c r="AK27">
        <v>4</v>
      </c>
      <c r="AL27">
        <v>8</v>
      </c>
      <c r="AM27">
        <v>0</v>
      </c>
      <c r="AN27">
        <v>10</v>
      </c>
    </row>
    <row r="28" ht="16.5" spans="1:40">
      <c r="A28">
        <v>26</v>
      </c>
      <c r="B28">
        <f t="shared" si="3"/>
        <v>45</v>
      </c>
      <c r="C28">
        <f t="shared" si="4"/>
        <v>36</v>
      </c>
      <c r="D28">
        <f t="shared" si="5"/>
        <v>29</v>
      </c>
      <c r="E28">
        <f t="shared" si="6"/>
        <v>29</v>
      </c>
      <c r="F28" s="3">
        <v>2866</v>
      </c>
      <c r="G28">
        <v>8</v>
      </c>
      <c r="H28">
        <v>0</v>
      </c>
      <c r="I28">
        <v>10</v>
      </c>
      <c r="J28">
        <v>0</v>
      </c>
      <c r="K28" s="3">
        <v>955</v>
      </c>
      <c r="L28" s="3">
        <v>1433</v>
      </c>
      <c r="N28" t="str">
        <f t="shared" si="0"/>
        <v>[{"1":45},{"4":29},{"5":29},{"12":2961},{"7":8},{"6":0},{"8":10},{"9":0}]</v>
      </c>
      <c r="W28" t="str">
        <f t="shared" si="1"/>
        <v>[{"2":36},{"4":29},{"5":29},{"12":987},{"7":8},{"6":0},{"8":10},{"9":0}]</v>
      </c>
      <c r="AE28" t="str">
        <f t="shared" si="2"/>
        <v>[{"2":36},{"4":29},{"5":29},{"12":1481},{"7":8},{"6":0},{"8":10},{"9":0}]</v>
      </c>
      <c r="AG28">
        <v>5</v>
      </c>
      <c r="AH28">
        <v>3</v>
      </c>
      <c r="AI28">
        <v>3</v>
      </c>
      <c r="AJ28">
        <v>207</v>
      </c>
      <c r="AK28">
        <v>4</v>
      </c>
      <c r="AL28">
        <v>8</v>
      </c>
      <c r="AM28">
        <v>0</v>
      </c>
      <c r="AN28">
        <v>10</v>
      </c>
    </row>
    <row r="29" ht="16.5" spans="1:40">
      <c r="A29">
        <v>27</v>
      </c>
      <c r="B29">
        <f t="shared" si="3"/>
        <v>45</v>
      </c>
      <c r="C29">
        <f t="shared" si="4"/>
        <v>36</v>
      </c>
      <c r="D29">
        <f t="shared" si="5"/>
        <v>29</v>
      </c>
      <c r="E29">
        <f t="shared" si="6"/>
        <v>29</v>
      </c>
      <c r="F29" s="3">
        <v>2961</v>
      </c>
      <c r="G29">
        <v>8</v>
      </c>
      <c r="H29">
        <v>0</v>
      </c>
      <c r="I29">
        <v>10</v>
      </c>
      <c r="J29">
        <v>0</v>
      </c>
      <c r="K29" s="3">
        <v>987</v>
      </c>
      <c r="L29" s="3">
        <v>1481</v>
      </c>
      <c r="N29" t="str">
        <f t="shared" ref="N29:N41" si="7">$N$1&amp;$P$1&amp;$T$1&amp;$B$2&amp;$T$1&amp;$R$1&amp;B30&amp;$Q$1&amp;$S$1&amp;$P$1&amp;$T$1&amp;$D$2&amp;$T$1&amp;$R$1&amp;D30&amp;$Q$1&amp;$S$1&amp;$P$1&amp;$T$1&amp;$E$2&amp;$T$1&amp;$R$1&amp;E30&amp;$Q$1&amp;$S$1&amp;$P$1&amp;$T$1&amp;$F$2&amp;$T$1&amp;$R$1&amp;F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[{"1":45},{"4":29},{"5":29},{"12":3056},{"7":8},{"6":0},{"8":10},{"9":0}]</v>
      </c>
      <c r="W29" t="str">
        <f t="shared" si="1"/>
        <v>[{"2":36},{"4":29},{"5":29},{"12":1018},{"7":8},{"6":0},{"8":10},{"9":0}]</v>
      </c>
      <c r="AE29" t="str">
        <f t="shared" si="2"/>
        <v>[{"2":36},{"4":29},{"5":29},{"12":1528},{"7":8},{"6":0},{"8":10},{"9":0}]</v>
      </c>
      <c r="AG29">
        <v>5</v>
      </c>
      <c r="AH29">
        <v>3</v>
      </c>
      <c r="AI29">
        <v>3</v>
      </c>
      <c r="AJ29">
        <v>214</v>
      </c>
      <c r="AK29">
        <v>4</v>
      </c>
      <c r="AL29">
        <v>8</v>
      </c>
      <c r="AM29">
        <v>0</v>
      </c>
      <c r="AN29">
        <v>10</v>
      </c>
    </row>
    <row r="30" ht="16.5" spans="1:40">
      <c r="A30">
        <v>28</v>
      </c>
      <c r="B30">
        <f t="shared" si="3"/>
        <v>45</v>
      </c>
      <c r="C30">
        <f t="shared" si="4"/>
        <v>36</v>
      </c>
      <c r="D30">
        <f t="shared" si="5"/>
        <v>29</v>
      </c>
      <c r="E30">
        <f t="shared" si="6"/>
        <v>29</v>
      </c>
      <c r="F30" s="3">
        <v>3056</v>
      </c>
      <c r="G30">
        <v>8</v>
      </c>
      <c r="H30">
        <v>0</v>
      </c>
      <c r="I30">
        <v>10</v>
      </c>
      <c r="J30">
        <v>0</v>
      </c>
      <c r="K30" s="3">
        <v>1018</v>
      </c>
      <c r="L30" s="3">
        <v>1528</v>
      </c>
      <c r="N30" t="str">
        <f t="shared" si="7"/>
        <v>[{"1":45},{"4":29},{"5":29},{"12":3151},{"7":8},{"6":0},{"8":10},{"9":0}]</v>
      </c>
      <c r="W30" t="str">
        <f t="shared" si="1"/>
        <v>[{"2":36},{"4":29},{"5":29},{"12":1050},{"7":8},{"6":0},{"8":10},{"9":0}]</v>
      </c>
      <c r="AE30" t="str">
        <f t="shared" ref="AE30:AE56" si="8">$N$1&amp;$P$1&amp;$T$1&amp;$C$2&amp;$T$1&amp;$R$1&amp;C31&amp;$Q$1&amp;$S$1&amp;$P$1&amp;$T$1&amp;$D$2&amp;$T$1&amp;$R$1&amp;D31&amp;$Q$1&amp;$S$1&amp;$P$1&amp;$T$1&amp;$E$2&amp;$T$1&amp;$R$1&amp;E31&amp;$Q$1&amp;$S$1&amp;$P$1&amp;$T$1&amp;$F$2&amp;$T$1&amp;$R$1&amp;L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[{"2":36},{"4":29},{"5":29},{"12":1576},{"7":8},{"6":0},{"8":10},{"9":0}]</v>
      </c>
      <c r="AG30">
        <v>5</v>
      </c>
      <c r="AH30">
        <v>3</v>
      </c>
      <c r="AI30">
        <v>3</v>
      </c>
      <c r="AJ30">
        <v>222</v>
      </c>
      <c r="AK30">
        <v>4</v>
      </c>
      <c r="AL30">
        <v>8</v>
      </c>
      <c r="AM30">
        <v>0</v>
      </c>
      <c r="AN30">
        <v>10</v>
      </c>
    </row>
    <row r="31" ht="16.5" spans="1:40">
      <c r="A31">
        <v>29</v>
      </c>
      <c r="B31">
        <f t="shared" si="3"/>
        <v>45</v>
      </c>
      <c r="C31">
        <f t="shared" si="4"/>
        <v>36</v>
      </c>
      <c r="D31">
        <f t="shared" si="5"/>
        <v>29</v>
      </c>
      <c r="E31">
        <f t="shared" si="6"/>
        <v>29</v>
      </c>
      <c r="F31" s="3">
        <v>3151</v>
      </c>
      <c r="G31">
        <v>8</v>
      </c>
      <c r="H31">
        <v>0</v>
      </c>
      <c r="I31">
        <v>10</v>
      </c>
      <c r="J31">
        <v>0</v>
      </c>
      <c r="K31" s="3">
        <v>1050</v>
      </c>
      <c r="L31" s="3">
        <v>1576</v>
      </c>
      <c r="N31" t="str">
        <f t="shared" si="7"/>
        <v>[{"1":46},{"4":30},{"5":30},{"12":3929},{"7":8},{"6":0},{"8":10},{"9":0}]</v>
      </c>
      <c r="W31" t="str">
        <f t="shared" si="1"/>
        <v>[{"2":37},{"4":30},{"5":30},{"12":1309},{"7":8},{"6":0},{"8":10},{"9":0}]</v>
      </c>
      <c r="AE31" t="str">
        <f t="shared" si="8"/>
        <v>[{"2":37},{"4":30},{"5":30},{"12":1965},{"7":8},{"6":0},{"8":10},{"9":0}]</v>
      </c>
      <c r="AG31">
        <v>5</v>
      </c>
      <c r="AH31">
        <v>3</v>
      </c>
      <c r="AI31">
        <v>3</v>
      </c>
      <c r="AJ31">
        <v>229</v>
      </c>
      <c r="AK31">
        <v>4</v>
      </c>
      <c r="AL31">
        <v>8</v>
      </c>
      <c r="AM31">
        <v>0</v>
      </c>
      <c r="AN31">
        <v>10</v>
      </c>
    </row>
    <row r="32" ht="16.5" spans="1:40">
      <c r="A32">
        <v>30</v>
      </c>
      <c r="B32">
        <f t="shared" si="3"/>
        <v>46</v>
      </c>
      <c r="C32">
        <f t="shared" si="4"/>
        <v>37</v>
      </c>
      <c r="D32">
        <f t="shared" si="5"/>
        <v>30</v>
      </c>
      <c r="E32">
        <f t="shared" si="6"/>
        <v>30</v>
      </c>
      <c r="F32" s="3">
        <v>3929</v>
      </c>
      <c r="G32">
        <v>8</v>
      </c>
      <c r="H32">
        <v>0</v>
      </c>
      <c r="I32">
        <v>10</v>
      </c>
      <c r="J32">
        <v>0</v>
      </c>
      <c r="K32" s="3">
        <v>1309</v>
      </c>
      <c r="L32" s="3">
        <v>1965</v>
      </c>
      <c r="N32" t="str">
        <f t="shared" si="7"/>
        <v>[{"1":46},{"4":30},{"5":30},{"12":4047},{"7":8},{"6":0},{"8":10},{"9":0}]</v>
      </c>
      <c r="W32" t="str">
        <f t="shared" si="1"/>
        <v>[{"2":37},{"4":30},{"5":30},{"12":1349},{"7":8},{"6":0},{"8":10},{"9":0}]</v>
      </c>
      <c r="AE32" t="str">
        <f t="shared" si="8"/>
        <v>[{"2":37},{"4":30},{"5":30},{"12":2024},{"7":8},{"6":0},{"8":10},{"9":0}]</v>
      </c>
      <c r="AG32">
        <v>6</v>
      </c>
      <c r="AH32">
        <v>4</v>
      </c>
      <c r="AI32">
        <v>4</v>
      </c>
      <c r="AJ32">
        <v>237</v>
      </c>
      <c r="AK32">
        <v>4</v>
      </c>
      <c r="AL32">
        <v>8</v>
      </c>
      <c r="AM32">
        <v>0</v>
      </c>
      <c r="AN32">
        <v>10</v>
      </c>
    </row>
    <row r="33" ht="16.5" spans="1:40">
      <c r="A33">
        <v>31</v>
      </c>
      <c r="B33">
        <f t="shared" si="3"/>
        <v>46</v>
      </c>
      <c r="C33">
        <f t="shared" si="4"/>
        <v>37</v>
      </c>
      <c r="D33">
        <f t="shared" si="5"/>
        <v>30</v>
      </c>
      <c r="E33">
        <f t="shared" si="6"/>
        <v>30</v>
      </c>
      <c r="F33" s="3">
        <v>4047</v>
      </c>
      <c r="G33">
        <v>8</v>
      </c>
      <c r="H33">
        <v>0</v>
      </c>
      <c r="I33">
        <v>10</v>
      </c>
      <c r="J33">
        <v>0</v>
      </c>
      <c r="K33" s="3">
        <v>1349</v>
      </c>
      <c r="L33" s="3">
        <v>2024</v>
      </c>
      <c r="N33" t="str">
        <f t="shared" si="7"/>
        <v>[{"1":46},{"4":30},{"5":30},{"12":4164},{"7":8},{"6":0},{"8":10},{"9":0}]</v>
      </c>
      <c r="W33" t="str">
        <f t="shared" si="1"/>
        <v>[{"2":37},{"4":30},{"5":30},{"12":1388},{"7":8},{"6":0},{"8":10},{"9":0}]</v>
      </c>
      <c r="AE33" t="str">
        <f t="shared" si="8"/>
        <v>[{"2":37},{"4":30},{"5":30},{"12":2082},{"7":8},{"6":0},{"8":10},{"9":0}]</v>
      </c>
      <c r="AG33">
        <v>6</v>
      </c>
      <c r="AH33">
        <v>4</v>
      </c>
      <c r="AI33">
        <v>4</v>
      </c>
      <c r="AJ33">
        <v>245</v>
      </c>
      <c r="AK33">
        <v>4</v>
      </c>
      <c r="AL33">
        <v>8</v>
      </c>
      <c r="AM33">
        <v>0</v>
      </c>
      <c r="AN33">
        <v>10</v>
      </c>
    </row>
    <row r="34" ht="16.5" spans="1:40">
      <c r="A34">
        <v>32</v>
      </c>
      <c r="B34">
        <f t="shared" si="3"/>
        <v>46</v>
      </c>
      <c r="C34">
        <f t="shared" si="4"/>
        <v>37</v>
      </c>
      <c r="D34">
        <f t="shared" si="5"/>
        <v>30</v>
      </c>
      <c r="E34">
        <f t="shared" si="6"/>
        <v>30</v>
      </c>
      <c r="F34" s="3">
        <v>4164</v>
      </c>
      <c r="G34">
        <v>8</v>
      </c>
      <c r="H34">
        <v>0</v>
      </c>
      <c r="I34">
        <v>10</v>
      </c>
      <c r="J34">
        <v>0</v>
      </c>
      <c r="K34" s="3">
        <v>1388</v>
      </c>
      <c r="L34" s="3">
        <v>2082</v>
      </c>
      <c r="N34" t="str">
        <f t="shared" si="7"/>
        <v>[{"1":46},{"4":30},{"5":30},{"12":4282},{"7":8},{"6":0},{"8":10},{"9":0}]</v>
      </c>
      <c r="W34" t="str">
        <f t="shared" si="1"/>
        <v>[{"2":37},{"4":30},{"5":30},{"12":1427},{"7":8},{"6":0},{"8":10},{"9":0}]</v>
      </c>
      <c r="AE34" t="str">
        <f t="shared" si="8"/>
        <v>[{"2":37},{"4":30},{"5":30},{"12":2141},{"7":8},{"6":0},{"8":10},{"9":0}]</v>
      </c>
      <c r="AG34">
        <v>6</v>
      </c>
      <c r="AH34">
        <v>4</v>
      </c>
      <c r="AI34">
        <v>4</v>
      </c>
      <c r="AJ34">
        <v>252</v>
      </c>
      <c r="AK34">
        <v>4</v>
      </c>
      <c r="AL34">
        <v>8</v>
      </c>
      <c r="AM34">
        <v>0</v>
      </c>
      <c r="AN34">
        <v>10</v>
      </c>
    </row>
    <row r="35" ht="16.5" spans="1:40">
      <c r="A35">
        <v>33</v>
      </c>
      <c r="B35">
        <f t="shared" si="3"/>
        <v>46</v>
      </c>
      <c r="C35">
        <f t="shared" si="4"/>
        <v>37</v>
      </c>
      <c r="D35">
        <f t="shared" si="5"/>
        <v>30</v>
      </c>
      <c r="E35">
        <f t="shared" si="6"/>
        <v>30</v>
      </c>
      <c r="F35" s="3">
        <v>4282</v>
      </c>
      <c r="G35">
        <v>8</v>
      </c>
      <c r="H35">
        <v>0</v>
      </c>
      <c r="I35">
        <v>10</v>
      </c>
      <c r="J35">
        <v>0</v>
      </c>
      <c r="K35" s="3">
        <v>1427</v>
      </c>
      <c r="L35" s="3">
        <v>2141</v>
      </c>
      <c r="N35" t="str">
        <f t="shared" si="7"/>
        <v>[{"1":46},{"4":30},{"5":30},{"12":4400},{"7":8},{"6":0},{"8":10},{"9":0}]</v>
      </c>
      <c r="W35" t="str">
        <f t="shared" ref="W35:W66" si="9">$N$1&amp;$P$1&amp;$T$1&amp;$C$2&amp;$T$1&amp;$R$1&amp;C36&amp;$Q$1&amp;$S$1&amp;$P$1&amp;$T$1&amp;$D$2&amp;$T$1&amp;$R$1&amp;D36&amp;$Q$1&amp;$S$1&amp;$P$1&amp;$T$1&amp;$E$2&amp;$T$1&amp;$R$1&amp;E36&amp;$Q$1&amp;$S$1&amp;$P$1&amp;$T$1&amp;$F$2&amp;$T$1&amp;$R$1&amp;K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[{"2":37},{"4":30},{"5":30},{"12":1466},{"7":8},{"6":0},{"8":10},{"9":0}]</v>
      </c>
      <c r="AE35" t="str">
        <f t="shared" si="8"/>
        <v>[{"2":37},{"4":30},{"5":30},{"12":2200},{"7":8},{"6":0},{"8":10},{"9":0}]</v>
      </c>
      <c r="AG35">
        <v>6</v>
      </c>
      <c r="AH35">
        <v>4</v>
      </c>
      <c r="AI35">
        <v>4</v>
      </c>
      <c r="AJ35">
        <v>260</v>
      </c>
      <c r="AK35">
        <v>4</v>
      </c>
      <c r="AL35">
        <v>8</v>
      </c>
      <c r="AM35">
        <v>0</v>
      </c>
      <c r="AN35">
        <v>10</v>
      </c>
    </row>
    <row r="36" ht="16.5" spans="1:40">
      <c r="A36">
        <v>34</v>
      </c>
      <c r="B36">
        <f t="shared" ref="B36:B67" si="10">$AP$2+AG36</f>
        <v>46</v>
      </c>
      <c r="C36">
        <f t="shared" ref="C36:C67" si="11">INT(B36*0.82)</f>
        <v>37</v>
      </c>
      <c r="D36">
        <f t="shared" ref="D36:D67" si="12">AH36+$AQ$2</f>
        <v>30</v>
      </c>
      <c r="E36">
        <f t="shared" ref="E36:E67" si="13">D36</f>
        <v>30</v>
      </c>
      <c r="F36" s="3">
        <v>4400</v>
      </c>
      <c r="G36">
        <v>8</v>
      </c>
      <c r="H36">
        <v>0</v>
      </c>
      <c r="I36">
        <v>10</v>
      </c>
      <c r="J36">
        <v>0</v>
      </c>
      <c r="K36" s="3">
        <v>1466</v>
      </c>
      <c r="L36" s="3">
        <v>2200</v>
      </c>
      <c r="N36" t="str">
        <f t="shared" si="7"/>
        <v>[{"1":47},{"4":30},{"5":30},{"12":4516},{"7":8},{"6":0},{"8":10},{"9":0}]</v>
      </c>
      <c r="W36" t="str">
        <f t="shared" si="9"/>
        <v>[{"2":38},{"4":30},{"5":30},{"12":1505},{"7":8},{"6":0},{"8":10},{"9":0}]</v>
      </c>
      <c r="AE36" t="str">
        <f t="shared" si="8"/>
        <v>[{"2":38},{"4":30},{"5":30},{"12":2258},{"7":8},{"6":0},{"8":10},{"9":0}]</v>
      </c>
      <c r="AG36">
        <v>6</v>
      </c>
      <c r="AH36">
        <v>4</v>
      </c>
      <c r="AI36">
        <v>4</v>
      </c>
      <c r="AJ36">
        <v>267</v>
      </c>
      <c r="AK36">
        <v>4</v>
      </c>
      <c r="AL36">
        <v>8</v>
      </c>
      <c r="AM36">
        <v>0</v>
      </c>
      <c r="AN36">
        <v>10</v>
      </c>
    </row>
    <row r="37" ht="16.5" spans="1:40">
      <c r="A37">
        <v>35</v>
      </c>
      <c r="B37">
        <f t="shared" si="10"/>
        <v>47</v>
      </c>
      <c r="C37">
        <f t="shared" si="11"/>
        <v>38</v>
      </c>
      <c r="D37">
        <f t="shared" si="12"/>
        <v>30</v>
      </c>
      <c r="E37">
        <f t="shared" si="13"/>
        <v>30</v>
      </c>
      <c r="F37" s="3">
        <v>4516</v>
      </c>
      <c r="G37">
        <v>8</v>
      </c>
      <c r="H37">
        <v>0</v>
      </c>
      <c r="I37">
        <v>10</v>
      </c>
      <c r="J37">
        <v>0</v>
      </c>
      <c r="K37" s="3">
        <v>1505</v>
      </c>
      <c r="L37" s="3">
        <v>2258</v>
      </c>
      <c r="N37" t="str">
        <f t="shared" si="7"/>
        <v>[{"1":47},{"4":30},{"5":30},{"12":4634},{"7":8},{"6":0},{"8":10},{"9":0}]</v>
      </c>
      <c r="W37" t="str">
        <f t="shared" si="9"/>
        <v>[{"2":38},{"4":30},{"5":30},{"12":1544},{"7":8},{"6":0},{"8":10},{"9":0}]</v>
      </c>
      <c r="AE37" t="str">
        <f t="shared" si="8"/>
        <v>[{"2":38},{"4":30},{"5":30},{"12":2317},{"7":8},{"6":0},{"8":10},{"9":0}]</v>
      </c>
      <c r="AG37">
        <v>7</v>
      </c>
      <c r="AH37">
        <v>4</v>
      </c>
      <c r="AI37">
        <v>4</v>
      </c>
      <c r="AJ37">
        <v>275</v>
      </c>
      <c r="AK37">
        <v>4</v>
      </c>
      <c r="AL37">
        <v>8</v>
      </c>
      <c r="AM37">
        <v>0</v>
      </c>
      <c r="AN37">
        <v>10</v>
      </c>
    </row>
    <row r="38" ht="16.5" spans="1:40">
      <c r="A38">
        <v>36</v>
      </c>
      <c r="B38">
        <f t="shared" si="10"/>
        <v>47</v>
      </c>
      <c r="C38">
        <f t="shared" si="11"/>
        <v>38</v>
      </c>
      <c r="D38">
        <f t="shared" si="12"/>
        <v>30</v>
      </c>
      <c r="E38">
        <f t="shared" si="13"/>
        <v>30</v>
      </c>
      <c r="F38" s="3">
        <v>4634</v>
      </c>
      <c r="G38">
        <v>8</v>
      </c>
      <c r="H38">
        <v>0</v>
      </c>
      <c r="I38">
        <v>10</v>
      </c>
      <c r="J38">
        <v>0</v>
      </c>
      <c r="K38" s="3">
        <v>1544</v>
      </c>
      <c r="L38" s="3">
        <v>2317</v>
      </c>
      <c r="N38" t="str">
        <f t="shared" si="7"/>
        <v>[{"1":47},{"4":30},{"5":30},{"12":4752},{"7":8},{"6":0},{"8":10},{"9":0}]</v>
      </c>
      <c r="W38" t="str">
        <f t="shared" si="9"/>
        <v>[{"2":38},{"4":30},{"5":30},{"12":1584},{"7":8},{"6":0},{"8":10},{"9":0}]</v>
      </c>
      <c r="AE38" t="str">
        <f t="shared" si="8"/>
        <v>[{"2":38},{"4":30},{"5":30},{"12":2376},{"7":8},{"6":0},{"8":10},{"9":0}]</v>
      </c>
      <c r="AG38">
        <v>7</v>
      </c>
      <c r="AH38">
        <v>4</v>
      </c>
      <c r="AI38">
        <v>4</v>
      </c>
      <c r="AJ38">
        <v>282</v>
      </c>
      <c r="AK38">
        <v>4</v>
      </c>
      <c r="AL38">
        <v>8</v>
      </c>
      <c r="AM38">
        <v>0</v>
      </c>
      <c r="AN38">
        <v>10</v>
      </c>
    </row>
    <row r="39" ht="16.5" spans="1:40">
      <c r="A39">
        <v>37</v>
      </c>
      <c r="B39">
        <f t="shared" si="10"/>
        <v>47</v>
      </c>
      <c r="C39">
        <f t="shared" si="11"/>
        <v>38</v>
      </c>
      <c r="D39">
        <f t="shared" si="12"/>
        <v>30</v>
      </c>
      <c r="E39">
        <f t="shared" si="13"/>
        <v>30</v>
      </c>
      <c r="F39" s="3">
        <v>4752</v>
      </c>
      <c r="G39">
        <v>8</v>
      </c>
      <c r="H39">
        <v>0</v>
      </c>
      <c r="I39">
        <v>10</v>
      </c>
      <c r="J39">
        <v>0</v>
      </c>
      <c r="K39" s="3">
        <v>1584</v>
      </c>
      <c r="L39" s="3">
        <v>2376</v>
      </c>
      <c r="N39" t="str">
        <f t="shared" si="7"/>
        <v>[{"1":47},{"4":30},{"5":30},{"12":4870},{"7":8},{"6":0},{"8":10},{"9":0}]</v>
      </c>
      <c r="W39" t="str">
        <f t="shared" si="9"/>
        <v>[{"2":38},{"4":30},{"5":30},{"12":1623},{"7":8},{"6":0},{"8":10},{"9":0}]</v>
      </c>
      <c r="AE39" t="str">
        <f t="shared" si="8"/>
        <v>[{"2":38},{"4":30},{"5":30},{"12":2435},{"7":8},{"6":0},{"8":10},{"9":0}]</v>
      </c>
      <c r="AG39">
        <v>7</v>
      </c>
      <c r="AH39">
        <v>4</v>
      </c>
      <c r="AI39">
        <v>4</v>
      </c>
      <c r="AJ39">
        <v>290</v>
      </c>
      <c r="AK39">
        <v>4</v>
      </c>
      <c r="AL39">
        <v>8</v>
      </c>
      <c r="AM39">
        <v>0</v>
      </c>
      <c r="AN39">
        <v>10</v>
      </c>
    </row>
    <row r="40" ht="16.5" spans="1:40">
      <c r="A40">
        <v>38</v>
      </c>
      <c r="B40">
        <f t="shared" si="10"/>
        <v>47</v>
      </c>
      <c r="C40">
        <f t="shared" si="11"/>
        <v>38</v>
      </c>
      <c r="D40">
        <f t="shared" si="12"/>
        <v>30</v>
      </c>
      <c r="E40">
        <f t="shared" si="13"/>
        <v>30</v>
      </c>
      <c r="F40" s="3">
        <v>4870</v>
      </c>
      <c r="G40">
        <v>8</v>
      </c>
      <c r="H40">
        <v>0</v>
      </c>
      <c r="I40">
        <v>10</v>
      </c>
      <c r="J40">
        <v>0</v>
      </c>
      <c r="K40" s="3">
        <v>1623</v>
      </c>
      <c r="L40" s="3">
        <v>2435</v>
      </c>
      <c r="N40" t="str">
        <f t="shared" si="7"/>
        <v>[{"1":47},{"4":30},{"5":30},{"12":4988},{"7":8},{"6":0},{"8":10},{"9":0}]</v>
      </c>
      <c r="W40" t="str">
        <f t="shared" si="9"/>
        <v>[{"2":38},{"4":30},{"5":30},{"12":1662},{"7":8},{"6":0},{"8":10},{"9":0}]</v>
      </c>
      <c r="AE40" t="str">
        <f t="shared" si="8"/>
        <v>[{"2":38},{"4":30},{"5":30},{"12":2494},{"7":8},{"6":0},{"8":10},{"9":0}]</v>
      </c>
      <c r="AG40">
        <v>7</v>
      </c>
      <c r="AH40">
        <v>4</v>
      </c>
      <c r="AI40">
        <v>4</v>
      </c>
      <c r="AJ40">
        <v>298</v>
      </c>
      <c r="AK40">
        <v>4</v>
      </c>
      <c r="AL40">
        <v>8</v>
      </c>
      <c r="AM40">
        <v>0</v>
      </c>
      <c r="AN40">
        <v>10</v>
      </c>
    </row>
    <row r="41" ht="16.5" spans="1:40">
      <c r="A41">
        <v>39</v>
      </c>
      <c r="B41">
        <f t="shared" si="10"/>
        <v>47</v>
      </c>
      <c r="C41">
        <f t="shared" si="11"/>
        <v>38</v>
      </c>
      <c r="D41">
        <f t="shared" si="12"/>
        <v>30</v>
      </c>
      <c r="E41">
        <f t="shared" si="13"/>
        <v>30</v>
      </c>
      <c r="F41" s="3">
        <v>4988</v>
      </c>
      <c r="G41">
        <v>8</v>
      </c>
      <c r="H41">
        <v>0</v>
      </c>
      <c r="I41">
        <v>10</v>
      </c>
      <c r="J41">
        <v>0</v>
      </c>
      <c r="K41" s="3">
        <v>1662</v>
      </c>
      <c r="L41" s="3">
        <v>2494</v>
      </c>
      <c r="N41" t="str">
        <f t="shared" si="7"/>
        <v>[{"1":48},{"4":31},{"5":31},{"12":5105},{"7":8},{"6":0},{"8":10},{"9":0}]</v>
      </c>
      <c r="W41" t="str">
        <f t="shared" si="9"/>
        <v>[{"2":39},{"4":31},{"5":31},{"12":1701},{"7":8},{"6":0},{"8":10},{"9":0}]</v>
      </c>
      <c r="AE41" t="str">
        <f t="shared" si="8"/>
        <v>[{"2":39},{"4":31},{"5":31},{"12":2553},{"7":8},{"6":0},{"8":10},{"9":0}]</v>
      </c>
      <c r="AG41">
        <v>7</v>
      </c>
      <c r="AH41">
        <v>4</v>
      </c>
      <c r="AI41">
        <v>4</v>
      </c>
      <c r="AJ41">
        <v>305</v>
      </c>
      <c r="AK41">
        <v>4</v>
      </c>
      <c r="AL41">
        <v>8</v>
      </c>
      <c r="AM41">
        <v>0</v>
      </c>
      <c r="AN41">
        <v>10</v>
      </c>
    </row>
    <row r="42" ht="16.5" spans="1:40">
      <c r="A42">
        <v>40</v>
      </c>
      <c r="B42">
        <f t="shared" si="10"/>
        <v>48</v>
      </c>
      <c r="C42">
        <f t="shared" si="11"/>
        <v>39</v>
      </c>
      <c r="D42">
        <f t="shared" si="12"/>
        <v>31</v>
      </c>
      <c r="E42">
        <f t="shared" si="13"/>
        <v>31</v>
      </c>
      <c r="F42" s="3">
        <v>5105</v>
      </c>
      <c r="G42">
        <v>8</v>
      </c>
      <c r="H42">
        <v>0</v>
      </c>
      <c r="I42">
        <v>10</v>
      </c>
      <c r="J42">
        <v>0</v>
      </c>
      <c r="K42" s="3">
        <v>1701</v>
      </c>
      <c r="L42" s="3">
        <v>2553</v>
      </c>
      <c r="N42" t="str">
        <f t="shared" ref="N42:N73" si="14">$N$1&amp;$P$1&amp;$T$1&amp;$B$2&amp;$T$1&amp;$R$1&amp;B43&amp;$Q$1&amp;$S$1&amp;$P$1&amp;$T$1&amp;$D$2&amp;$T$1&amp;$R$1&amp;D43&amp;$Q$1&amp;$S$1&amp;$P$1&amp;$T$1&amp;$E$2&amp;$T$1&amp;$R$1&amp;E43&amp;$Q$1&amp;$S$1&amp;$P$1&amp;$T$1&amp;$F$2&amp;$T$1&amp;$R$1&amp;F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[{"1":48},{"4":31},{"5":31},{"12":5223},{"7":8},{"6":0},{"8":10},{"9":0}]</v>
      </c>
      <c r="W42" t="str">
        <f t="shared" si="9"/>
        <v>[{"2":39},{"4":31},{"5":31},{"12":1741},{"7":8},{"6":0},{"8":10},{"9":0}]</v>
      </c>
      <c r="AE42" t="str">
        <f t="shared" si="8"/>
        <v>[{"2":39},{"4":31},{"5":31},{"12":2612},{"7":8},{"6":0},{"8":10},{"9":0}]</v>
      </c>
      <c r="AG42">
        <v>8</v>
      </c>
      <c r="AH42">
        <v>5</v>
      </c>
      <c r="AI42">
        <v>5</v>
      </c>
      <c r="AJ42">
        <v>313</v>
      </c>
      <c r="AK42">
        <v>4</v>
      </c>
      <c r="AL42">
        <v>8</v>
      </c>
      <c r="AM42">
        <v>0</v>
      </c>
      <c r="AN42">
        <v>10</v>
      </c>
    </row>
    <row r="43" ht="16.5" spans="1:40">
      <c r="A43">
        <v>41</v>
      </c>
      <c r="B43">
        <f t="shared" si="10"/>
        <v>48</v>
      </c>
      <c r="C43">
        <f t="shared" si="11"/>
        <v>39</v>
      </c>
      <c r="D43">
        <f t="shared" si="12"/>
        <v>31</v>
      </c>
      <c r="E43">
        <f t="shared" si="13"/>
        <v>31</v>
      </c>
      <c r="F43" s="3">
        <v>5223</v>
      </c>
      <c r="G43">
        <v>8</v>
      </c>
      <c r="H43">
        <v>0</v>
      </c>
      <c r="I43">
        <v>10</v>
      </c>
      <c r="J43">
        <v>0</v>
      </c>
      <c r="K43" s="3">
        <v>1741</v>
      </c>
      <c r="L43" s="3">
        <v>2612</v>
      </c>
      <c r="N43" t="str">
        <f t="shared" si="14"/>
        <v>[{"1":48},{"4":31},{"5":31},{"12":5341},{"7":8},{"6":0},{"8":10},{"9":0}]</v>
      </c>
      <c r="W43" t="str">
        <f t="shared" si="9"/>
        <v>[{"2":39},{"4":31},{"5":31},{"12":1780},{"7":8},{"6":0},{"8":10},{"9":0}]</v>
      </c>
      <c r="AE43" t="str">
        <f t="shared" si="8"/>
        <v>[{"2":39},{"4":31},{"5":31},{"12":2671},{"7":8},{"6":0},{"8":10},{"9":0}]</v>
      </c>
      <c r="AG43">
        <v>8</v>
      </c>
      <c r="AH43">
        <v>5</v>
      </c>
      <c r="AI43">
        <v>5</v>
      </c>
      <c r="AJ43">
        <v>320</v>
      </c>
      <c r="AK43">
        <v>4</v>
      </c>
      <c r="AL43">
        <v>8</v>
      </c>
      <c r="AM43">
        <v>0</v>
      </c>
      <c r="AN43">
        <v>10</v>
      </c>
    </row>
    <row r="44" ht="16.5" spans="1:40">
      <c r="A44">
        <v>42</v>
      </c>
      <c r="B44">
        <f t="shared" si="10"/>
        <v>48</v>
      </c>
      <c r="C44">
        <f t="shared" si="11"/>
        <v>39</v>
      </c>
      <c r="D44">
        <f t="shared" si="12"/>
        <v>31</v>
      </c>
      <c r="E44">
        <f t="shared" si="13"/>
        <v>31</v>
      </c>
      <c r="F44" s="3">
        <v>5341</v>
      </c>
      <c r="G44">
        <v>8</v>
      </c>
      <c r="H44">
        <v>0</v>
      </c>
      <c r="I44">
        <v>10</v>
      </c>
      <c r="J44">
        <v>0</v>
      </c>
      <c r="K44" s="3">
        <v>1780</v>
      </c>
      <c r="L44" s="3">
        <v>2671</v>
      </c>
      <c r="N44" t="str">
        <f t="shared" si="14"/>
        <v>[{"1":48},{"4":31},{"5":31},{"12":5459},{"7":8},{"6":0},{"8":10},{"9":0}]</v>
      </c>
      <c r="W44" t="str">
        <f t="shared" si="9"/>
        <v>[{"2":39},{"4":31},{"5":31},{"12":1819},{"7":8},{"6":0},{"8":10},{"9":0}]</v>
      </c>
      <c r="AE44" t="str">
        <f t="shared" si="8"/>
        <v>[{"2":39},{"4":31},{"5":31},{"12":2730},{"7":8},{"6":0},{"8":10},{"9":0}]</v>
      </c>
      <c r="AG44">
        <v>8</v>
      </c>
      <c r="AH44">
        <v>5</v>
      </c>
      <c r="AI44">
        <v>5</v>
      </c>
      <c r="AJ44">
        <v>328</v>
      </c>
      <c r="AK44">
        <v>4</v>
      </c>
      <c r="AL44">
        <v>8</v>
      </c>
      <c r="AM44">
        <v>0</v>
      </c>
      <c r="AN44">
        <v>10</v>
      </c>
    </row>
    <row r="45" ht="16.5" spans="1:40">
      <c r="A45">
        <v>43</v>
      </c>
      <c r="B45">
        <f t="shared" si="10"/>
        <v>48</v>
      </c>
      <c r="C45">
        <f t="shared" si="11"/>
        <v>39</v>
      </c>
      <c r="D45">
        <f t="shared" si="12"/>
        <v>31</v>
      </c>
      <c r="E45">
        <f t="shared" si="13"/>
        <v>31</v>
      </c>
      <c r="F45" s="3">
        <v>5459</v>
      </c>
      <c r="G45">
        <v>8</v>
      </c>
      <c r="H45">
        <v>0</v>
      </c>
      <c r="I45">
        <v>10</v>
      </c>
      <c r="J45">
        <v>0</v>
      </c>
      <c r="K45" s="3">
        <v>1819</v>
      </c>
      <c r="L45" s="3">
        <v>2730</v>
      </c>
      <c r="N45" t="str">
        <f t="shared" si="14"/>
        <v>[{"1":48},{"4":31},{"5":31},{"12":5575},{"7":8},{"6":0},{"8":10},{"9":0}]</v>
      </c>
      <c r="W45" t="str">
        <f t="shared" si="9"/>
        <v>[{"2":39},{"4":31},{"5":31},{"12":1858},{"7":8},{"6":0},{"8":10},{"9":0}]</v>
      </c>
      <c r="AE45" t="str">
        <f t="shared" si="8"/>
        <v>[{"2":39},{"4":31},{"5":31},{"12":2788},{"7":8},{"6":0},{"8":10},{"9":0}]</v>
      </c>
      <c r="AG45">
        <v>8</v>
      </c>
      <c r="AH45">
        <v>5</v>
      </c>
      <c r="AI45">
        <v>5</v>
      </c>
      <c r="AJ45">
        <v>336</v>
      </c>
      <c r="AK45">
        <v>4</v>
      </c>
      <c r="AL45">
        <v>8</v>
      </c>
      <c r="AM45">
        <v>0</v>
      </c>
      <c r="AN45">
        <v>10</v>
      </c>
    </row>
    <row r="46" ht="16.5" spans="1:40">
      <c r="A46">
        <v>44</v>
      </c>
      <c r="B46">
        <f t="shared" si="10"/>
        <v>48</v>
      </c>
      <c r="C46">
        <f t="shared" si="11"/>
        <v>39</v>
      </c>
      <c r="D46">
        <f t="shared" si="12"/>
        <v>31</v>
      </c>
      <c r="E46">
        <f t="shared" si="13"/>
        <v>31</v>
      </c>
      <c r="F46" s="3">
        <v>5575</v>
      </c>
      <c r="G46">
        <v>8</v>
      </c>
      <c r="H46">
        <v>0</v>
      </c>
      <c r="I46">
        <v>10</v>
      </c>
      <c r="J46">
        <v>0</v>
      </c>
      <c r="K46" s="3">
        <v>1858</v>
      </c>
      <c r="L46" s="3">
        <v>2788</v>
      </c>
      <c r="N46" t="str">
        <f t="shared" si="14"/>
        <v>[{"1":49},{"4":32},{"5":32},{"12":5693},{"7":8},{"6":0},{"8":10},{"9":0}]</v>
      </c>
      <c r="W46" t="str">
        <f t="shared" si="9"/>
        <v>[{"2":40},{"4":32},{"5":32},{"12":1897},{"7":8},{"6":0},{"8":10},{"9":0}]</v>
      </c>
      <c r="AE46" t="str">
        <f t="shared" si="8"/>
        <v>[{"2":40},{"4":32},{"5":32},{"12":2847},{"7":8},{"6":0},{"8":10},{"9":0}]</v>
      </c>
      <c r="AG46">
        <v>8</v>
      </c>
      <c r="AH46">
        <v>5</v>
      </c>
      <c r="AI46">
        <v>5</v>
      </c>
      <c r="AJ46">
        <v>343</v>
      </c>
      <c r="AK46">
        <v>4</v>
      </c>
      <c r="AL46">
        <v>8</v>
      </c>
      <c r="AM46">
        <v>0</v>
      </c>
      <c r="AN46">
        <v>10</v>
      </c>
    </row>
    <row r="47" ht="16.5" spans="1:40">
      <c r="A47">
        <v>45</v>
      </c>
      <c r="B47">
        <f t="shared" si="10"/>
        <v>49</v>
      </c>
      <c r="C47">
        <f t="shared" si="11"/>
        <v>40</v>
      </c>
      <c r="D47">
        <f t="shared" si="12"/>
        <v>32</v>
      </c>
      <c r="E47">
        <f t="shared" si="13"/>
        <v>32</v>
      </c>
      <c r="F47" s="3">
        <v>5693</v>
      </c>
      <c r="G47">
        <v>8</v>
      </c>
      <c r="H47">
        <v>0</v>
      </c>
      <c r="I47">
        <v>10</v>
      </c>
      <c r="J47">
        <v>0</v>
      </c>
      <c r="K47" s="3">
        <v>1897</v>
      </c>
      <c r="L47" s="3">
        <v>2847</v>
      </c>
      <c r="N47" t="str">
        <f t="shared" si="14"/>
        <v>[{"1":49},{"4":32},{"5":32},{"12":5811},{"7":8},{"6":0},{"8":10},{"9":0}]</v>
      </c>
      <c r="W47" t="str">
        <f t="shared" si="9"/>
        <v>[{"2":40},{"4":32},{"5":32},{"12":1937},{"7":8},{"6":0},{"8":10},{"9":0}]</v>
      </c>
      <c r="AE47" t="str">
        <f t="shared" si="8"/>
        <v>[{"2":40},{"4":32},{"5":32},{"12":2906},{"7":8},{"6":0},{"8":10},{"9":0}]</v>
      </c>
      <c r="AG47">
        <v>9</v>
      </c>
      <c r="AH47">
        <v>6</v>
      </c>
      <c r="AI47">
        <v>6</v>
      </c>
      <c r="AJ47">
        <v>351</v>
      </c>
      <c r="AK47">
        <v>4</v>
      </c>
      <c r="AL47">
        <v>8</v>
      </c>
      <c r="AM47">
        <v>0</v>
      </c>
      <c r="AN47">
        <v>10</v>
      </c>
    </row>
    <row r="48" ht="16.5" spans="1:40">
      <c r="A48">
        <v>46</v>
      </c>
      <c r="B48">
        <f t="shared" si="10"/>
        <v>49</v>
      </c>
      <c r="C48">
        <f t="shared" si="11"/>
        <v>40</v>
      </c>
      <c r="D48">
        <f t="shared" si="12"/>
        <v>32</v>
      </c>
      <c r="E48">
        <f t="shared" si="13"/>
        <v>32</v>
      </c>
      <c r="F48" s="3">
        <v>5811</v>
      </c>
      <c r="G48">
        <v>8</v>
      </c>
      <c r="H48">
        <v>0</v>
      </c>
      <c r="I48">
        <v>10</v>
      </c>
      <c r="J48">
        <v>0</v>
      </c>
      <c r="K48" s="3">
        <v>1937</v>
      </c>
      <c r="L48" s="3">
        <v>2906</v>
      </c>
      <c r="N48" t="str">
        <f t="shared" si="14"/>
        <v>[{"1":49},{"4":32},{"5":32},{"12":5928},{"7":8},{"6":0},{"8":10},{"9":0}]</v>
      </c>
      <c r="W48" t="str">
        <f t="shared" si="9"/>
        <v>[{"2":40},{"4":32},{"5":32},{"12":1976},{"7":8},{"6":0},{"8":10},{"9":0}]</v>
      </c>
      <c r="AE48" t="str">
        <f t="shared" si="8"/>
        <v>[{"2":40},{"4":32},{"5":32},{"12":2964},{"7":8},{"6":0},{"8":10},{"9":0}]</v>
      </c>
      <c r="AG48">
        <v>9</v>
      </c>
      <c r="AH48">
        <v>6</v>
      </c>
      <c r="AI48">
        <v>6</v>
      </c>
      <c r="AJ48">
        <v>359</v>
      </c>
      <c r="AK48">
        <v>4</v>
      </c>
      <c r="AL48">
        <v>8</v>
      </c>
      <c r="AM48">
        <v>0</v>
      </c>
      <c r="AN48">
        <v>10</v>
      </c>
    </row>
    <row r="49" ht="16.5" spans="1:40">
      <c r="A49">
        <v>47</v>
      </c>
      <c r="B49">
        <f t="shared" si="10"/>
        <v>49</v>
      </c>
      <c r="C49">
        <f t="shared" si="11"/>
        <v>40</v>
      </c>
      <c r="D49">
        <f t="shared" si="12"/>
        <v>32</v>
      </c>
      <c r="E49">
        <f t="shared" si="13"/>
        <v>32</v>
      </c>
      <c r="F49" s="3">
        <v>5928</v>
      </c>
      <c r="G49">
        <v>8</v>
      </c>
      <c r="H49">
        <v>0</v>
      </c>
      <c r="I49">
        <v>10</v>
      </c>
      <c r="J49">
        <v>0</v>
      </c>
      <c r="K49" s="3">
        <v>1976</v>
      </c>
      <c r="L49" s="3">
        <v>2964</v>
      </c>
      <c r="N49" t="str">
        <f t="shared" si="14"/>
        <v>[{"1":49},{"4":32},{"5":32},{"12":6046},{"7":8},{"6":0},{"8":10},{"9":0}]</v>
      </c>
      <c r="W49" t="str">
        <f t="shared" si="9"/>
        <v>[{"2":40},{"4":32},{"5":32},{"12":2015},{"7":8},{"6":0},{"8":10},{"9":0}]</v>
      </c>
      <c r="AE49" t="str">
        <f t="shared" si="8"/>
        <v>[{"2":40},{"4":32},{"5":32},{"12":3023},{"7":8},{"6":0},{"8":10},{"9":0}]</v>
      </c>
      <c r="AG49">
        <v>9</v>
      </c>
      <c r="AH49">
        <v>6</v>
      </c>
      <c r="AI49">
        <v>6</v>
      </c>
      <c r="AJ49">
        <v>366</v>
      </c>
      <c r="AK49">
        <v>4</v>
      </c>
      <c r="AL49">
        <v>8</v>
      </c>
      <c r="AM49">
        <v>0</v>
      </c>
      <c r="AN49">
        <v>10</v>
      </c>
    </row>
    <row r="50" ht="16.5" spans="1:40">
      <c r="A50">
        <v>48</v>
      </c>
      <c r="B50">
        <f t="shared" si="10"/>
        <v>49</v>
      </c>
      <c r="C50">
        <f t="shared" si="11"/>
        <v>40</v>
      </c>
      <c r="D50">
        <f t="shared" si="12"/>
        <v>32</v>
      </c>
      <c r="E50">
        <f t="shared" si="13"/>
        <v>32</v>
      </c>
      <c r="F50" s="3">
        <v>6046</v>
      </c>
      <c r="G50">
        <v>8</v>
      </c>
      <c r="H50">
        <v>0</v>
      </c>
      <c r="I50">
        <v>10</v>
      </c>
      <c r="J50">
        <v>0</v>
      </c>
      <c r="K50" s="3">
        <v>2015</v>
      </c>
      <c r="L50" s="3">
        <v>3023</v>
      </c>
      <c r="N50" t="str">
        <f t="shared" si="14"/>
        <v>[{"1":49},{"4":32},{"5":32},{"12":6164},{"7":8},{"6":0},{"8":10},{"9":0}]</v>
      </c>
      <c r="W50" t="str">
        <f t="shared" si="9"/>
        <v>[{"2":40},{"4":32},{"5":32},{"12":2054},{"7":8},{"6":0},{"8":10},{"9":0}]</v>
      </c>
      <c r="AE50" t="str">
        <f t="shared" si="8"/>
        <v>[{"2":40},{"4":32},{"5":32},{"12":3082},{"7":8},{"6":0},{"8":10},{"9":0}]</v>
      </c>
      <c r="AG50">
        <v>9</v>
      </c>
      <c r="AH50">
        <v>6</v>
      </c>
      <c r="AI50">
        <v>6</v>
      </c>
      <c r="AJ50">
        <v>374</v>
      </c>
      <c r="AK50">
        <v>4</v>
      </c>
      <c r="AL50">
        <v>8</v>
      </c>
      <c r="AM50">
        <v>0</v>
      </c>
      <c r="AN50">
        <v>10</v>
      </c>
    </row>
    <row r="51" ht="16.5" spans="1:40">
      <c r="A51">
        <v>49</v>
      </c>
      <c r="B51">
        <f t="shared" si="10"/>
        <v>49</v>
      </c>
      <c r="C51">
        <f t="shared" si="11"/>
        <v>40</v>
      </c>
      <c r="D51">
        <f t="shared" si="12"/>
        <v>32</v>
      </c>
      <c r="E51">
        <f t="shared" si="13"/>
        <v>32</v>
      </c>
      <c r="F51" s="3">
        <v>6164</v>
      </c>
      <c r="G51">
        <v>8</v>
      </c>
      <c r="H51">
        <v>0</v>
      </c>
      <c r="I51">
        <v>10</v>
      </c>
      <c r="J51">
        <v>0</v>
      </c>
      <c r="K51" s="3">
        <v>2054</v>
      </c>
      <c r="L51" s="3">
        <v>3082</v>
      </c>
      <c r="N51" t="str">
        <f t="shared" si="14"/>
        <v>[{"1":50},{"4":33},{"5":33},{"12":7800},{"7":8},{"6":0},{"8":10},{"9":0}]</v>
      </c>
      <c r="W51" t="str">
        <f t="shared" si="9"/>
        <v>[{"2":41},{"4":33},{"5":33},{"12":2600},{"7":8},{"6":0},{"8":10},{"9":0}]</v>
      </c>
      <c r="AE51" t="str">
        <f t="shared" si="8"/>
        <v>[{"2":41},{"4":33},{"5":33},{"12":3900},{"7":8},{"6":0},{"8":10},{"9":0}]</v>
      </c>
      <c r="AG51">
        <v>9</v>
      </c>
      <c r="AH51">
        <v>6</v>
      </c>
      <c r="AI51">
        <v>6</v>
      </c>
      <c r="AJ51">
        <v>382</v>
      </c>
      <c r="AK51">
        <v>4</v>
      </c>
      <c r="AL51">
        <v>8</v>
      </c>
      <c r="AM51">
        <v>0</v>
      </c>
      <c r="AN51">
        <v>10</v>
      </c>
    </row>
    <row r="52" ht="16.5" spans="1:40">
      <c r="A52">
        <v>50</v>
      </c>
      <c r="B52">
        <f t="shared" si="10"/>
        <v>50</v>
      </c>
      <c r="C52">
        <f t="shared" si="11"/>
        <v>41</v>
      </c>
      <c r="D52">
        <f t="shared" si="12"/>
        <v>33</v>
      </c>
      <c r="E52">
        <f t="shared" si="13"/>
        <v>33</v>
      </c>
      <c r="F52" s="3">
        <v>7800</v>
      </c>
      <c r="G52">
        <v>8</v>
      </c>
      <c r="H52">
        <v>0</v>
      </c>
      <c r="I52">
        <v>10</v>
      </c>
      <c r="J52">
        <v>0</v>
      </c>
      <c r="K52" s="3">
        <v>2600</v>
      </c>
      <c r="L52" s="3">
        <v>3900</v>
      </c>
      <c r="N52" t="str">
        <f t="shared" si="14"/>
        <v>[{"1":50},{"4":33},{"5":33},{"12":7948},{"7":8},{"6":0},{"8":10},{"9":0}]</v>
      </c>
      <c r="W52" t="str">
        <f t="shared" si="9"/>
        <v>[{"2":41},{"4":33},{"5":33},{"12":2649},{"7":8},{"6":0},{"8":10},{"9":0}]</v>
      </c>
      <c r="AE52" t="str">
        <f t="shared" si="8"/>
        <v>[{"2":41},{"4":33},{"5":33},{"12":3974},{"7":8},{"6":0},{"8":10},{"9":0}]</v>
      </c>
      <c r="AG52">
        <v>10</v>
      </c>
      <c r="AH52">
        <v>7</v>
      </c>
      <c r="AI52">
        <v>7</v>
      </c>
      <c r="AJ52">
        <v>389</v>
      </c>
      <c r="AK52">
        <v>4</v>
      </c>
      <c r="AL52">
        <v>8</v>
      </c>
      <c r="AM52">
        <v>0</v>
      </c>
      <c r="AN52">
        <v>10</v>
      </c>
    </row>
    <row r="53" ht="16.5" spans="1:40">
      <c r="A53">
        <v>51</v>
      </c>
      <c r="B53">
        <f t="shared" si="10"/>
        <v>50</v>
      </c>
      <c r="C53">
        <f t="shared" si="11"/>
        <v>41</v>
      </c>
      <c r="D53">
        <f t="shared" si="12"/>
        <v>33</v>
      </c>
      <c r="E53">
        <f t="shared" si="13"/>
        <v>33</v>
      </c>
      <c r="F53" s="3">
        <v>7948</v>
      </c>
      <c r="G53">
        <v>8</v>
      </c>
      <c r="H53">
        <v>0</v>
      </c>
      <c r="I53">
        <v>10</v>
      </c>
      <c r="J53">
        <v>0</v>
      </c>
      <c r="K53" s="3">
        <v>2649</v>
      </c>
      <c r="L53" s="3">
        <v>3974</v>
      </c>
      <c r="N53" t="str">
        <f t="shared" si="14"/>
        <v>[{"1":50},{"4":33},{"5":33},{"12":8096},{"7":8},{"6":0},{"8":10},{"9":0}]</v>
      </c>
      <c r="W53" t="str">
        <f t="shared" si="9"/>
        <v>[{"2":41},{"4":33},{"5":33},{"12":2698},{"7":8},{"6":0},{"8":10},{"9":0}]</v>
      </c>
      <c r="AE53" t="str">
        <f t="shared" si="8"/>
        <v>[{"2":41},{"4":33},{"5":33},{"12":4048},{"7":8},{"6":0},{"8":10},{"9":0}]</v>
      </c>
      <c r="AG53">
        <v>10</v>
      </c>
      <c r="AH53">
        <v>7</v>
      </c>
      <c r="AI53">
        <v>7</v>
      </c>
      <c r="AJ53">
        <v>397</v>
      </c>
      <c r="AK53">
        <v>4</v>
      </c>
      <c r="AL53">
        <v>8</v>
      </c>
      <c r="AM53">
        <v>0</v>
      </c>
      <c r="AN53">
        <v>10</v>
      </c>
    </row>
    <row r="54" ht="16.5" spans="1:40">
      <c r="A54">
        <v>52</v>
      </c>
      <c r="B54">
        <f t="shared" si="10"/>
        <v>50</v>
      </c>
      <c r="C54">
        <f t="shared" si="11"/>
        <v>41</v>
      </c>
      <c r="D54">
        <f t="shared" si="12"/>
        <v>33</v>
      </c>
      <c r="E54">
        <f t="shared" si="13"/>
        <v>33</v>
      </c>
      <c r="F54" s="3">
        <v>8096</v>
      </c>
      <c r="G54">
        <v>8</v>
      </c>
      <c r="H54">
        <v>0</v>
      </c>
      <c r="I54">
        <v>10</v>
      </c>
      <c r="J54">
        <v>0</v>
      </c>
      <c r="K54" s="3">
        <v>2698</v>
      </c>
      <c r="L54" s="3">
        <v>4048</v>
      </c>
      <c r="N54" t="str">
        <f t="shared" si="14"/>
        <v>[{"1":50},{"4":33},{"5":33},{"12":8244},{"7":8},{"6":0},{"8":10},{"9":0}]</v>
      </c>
      <c r="W54" t="str">
        <f t="shared" si="9"/>
        <v>[{"2":41},{"4":33},{"5":33},{"12":2748},{"7":8},{"6":0},{"8":10},{"9":0}]</v>
      </c>
      <c r="AE54" t="str">
        <f t="shared" si="8"/>
        <v>[{"2":41},{"4":33},{"5":33},{"12":4122},{"7":8},{"6":0},{"8":10},{"9":0}]</v>
      </c>
      <c r="AG54">
        <v>10</v>
      </c>
      <c r="AH54">
        <v>7</v>
      </c>
      <c r="AI54">
        <v>7</v>
      </c>
      <c r="AJ54">
        <v>405</v>
      </c>
      <c r="AK54">
        <v>4</v>
      </c>
      <c r="AL54">
        <v>8</v>
      </c>
      <c r="AM54">
        <v>0</v>
      </c>
      <c r="AN54">
        <v>10</v>
      </c>
    </row>
    <row r="55" ht="16.5" spans="1:40">
      <c r="A55">
        <v>53</v>
      </c>
      <c r="B55">
        <f t="shared" si="10"/>
        <v>50</v>
      </c>
      <c r="C55">
        <f t="shared" si="11"/>
        <v>41</v>
      </c>
      <c r="D55">
        <f t="shared" si="12"/>
        <v>33</v>
      </c>
      <c r="E55">
        <f t="shared" si="13"/>
        <v>33</v>
      </c>
      <c r="F55" s="3">
        <v>8244</v>
      </c>
      <c r="G55">
        <v>8</v>
      </c>
      <c r="H55">
        <v>0</v>
      </c>
      <c r="I55">
        <v>10</v>
      </c>
      <c r="J55">
        <v>0</v>
      </c>
      <c r="K55" s="3">
        <v>2748</v>
      </c>
      <c r="L55" s="3">
        <v>4122</v>
      </c>
      <c r="N55" t="str">
        <f t="shared" si="14"/>
        <v>[{"1":50},{"4":33},{"5":33},{"12":8391},{"7":8},{"6":0},{"8":10},{"9":0}]</v>
      </c>
      <c r="W55" t="str">
        <f t="shared" si="9"/>
        <v>[{"2":41},{"4":33},{"5":33},{"12":2797},{"7":8},{"6":0},{"8":10},{"9":0}]</v>
      </c>
      <c r="AE55" t="str">
        <f t="shared" si="8"/>
        <v>[{"2":41},{"4":33},{"5":33},{"12":4196},{"7":8},{"6":0},{"8":10},{"9":0}]</v>
      </c>
      <c r="AG55">
        <v>10</v>
      </c>
      <c r="AH55">
        <v>7</v>
      </c>
      <c r="AI55">
        <v>7</v>
      </c>
      <c r="AJ55">
        <v>413</v>
      </c>
      <c r="AK55">
        <v>4</v>
      </c>
      <c r="AL55">
        <v>8</v>
      </c>
      <c r="AM55">
        <v>0</v>
      </c>
      <c r="AN55">
        <v>10</v>
      </c>
    </row>
    <row r="56" ht="16.5" spans="1:40">
      <c r="A56">
        <v>54</v>
      </c>
      <c r="B56">
        <f t="shared" si="10"/>
        <v>50</v>
      </c>
      <c r="C56">
        <f t="shared" si="11"/>
        <v>41</v>
      </c>
      <c r="D56">
        <f t="shared" si="12"/>
        <v>33</v>
      </c>
      <c r="E56">
        <f t="shared" si="13"/>
        <v>33</v>
      </c>
      <c r="F56" s="3">
        <v>8391</v>
      </c>
      <c r="G56">
        <v>8</v>
      </c>
      <c r="H56">
        <v>0</v>
      </c>
      <c r="I56">
        <v>10</v>
      </c>
      <c r="J56">
        <v>0</v>
      </c>
      <c r="K56" s="3">
        <v>2797</v>
      </c>
      <c r="L56" s="3">
        <v>4196</v>
      </c>
      <c r="N56" t="str">
        <f t="shared" si="14"/>
        <v>[{"1":51},{"4":33},{"5":33},{"12":8539},{"7":8},{"6":0},{"8":10},{"9":0}]</v>
      </c>
      <c r="W56" t="str">
        <f t="shared" si="9"/>
        <v>[{"2":41},{"4":33},{"5":33},{"12":2846},{"7":8},{"6":0},{"8":10},{"9":0}]</v>
      </c>
      <c r="AE56" t="str">
        <f t="shared" si="8"/>
        <v>[{"2":41},{"4":33},{"5":33},{"12":4270},{"7":8},{"6":0},{"8":10},{"9":0}]</v>
      </c>
      <c r="AG56">
        <v>10</v>
      </c>
      <c r="AH56">
        <v>7</v>
      </c>
      <c r="AI56">
        <v>7</v>
      </c>
      <c r="AJ56">
        <v>420</v>
      </c>
      <c r="AK56">
        <v>4</v>
      </c>
      <c r="AL56">
        <v>8</v>
      </c>
      <c r="AM56">
        <v>0</v>
      </c>
      <c r="AN56">
        <v>10</v>
      </c>
    </row>
    <row r="57" ht="16.5" spans="1:40">
      <c r="A57">
        <v>55</v>
      </c>
      <c r="B57">
        <f t="shared" si="10"/>
        <v>51</v>
      </c>
      <c r="C57">
        <f t="shared" si="11"/>
        <v>41</v>
      </c>
      <c r="D57">
        <f t="shared" si="12"/>
        <v>33</v>
      </c>
      <c r="E57">
        <f t="shared" si="13"/>
        <v>33</v>
      </c>
      <c r="F57" s="3">
        <v>8539</v>
      </c>
      <c r="G57">
        <v>8</v>
      </c>
      <c r="H57">
        <v>0</v>
      </c>
      <c r="I57">
        <v>10</v>
      </c>
      <c r="J57">
        <v>0</v>
      </c>
      <c r="K57" s="3">
        <v>2846</v>
      </c>
      <c r="L57" s="3">
        <v>4270</v>
      </c>
      <c r="N57" t="str">
        <f t="shared" si="14"/>
        <v>[{"1":51},{"4":33},{"5":33},{"12":8687},{"7":8},{"6":0},{"8":10},{"9":0}]</v>
      </c>
      <c r="W57" t="str">
        <f t="shared" si="9"/>
        <v>[{"2":41},{"4":33},{"5":33},{"12":2895},{"7":8},{"6":0},{"8":10},{"9":0}]</v>
      </c>
      <c r="AE57" t="str">
        <f t="shared" ref="AE57:AE88" si="15">$N$1&amp;$P$1&amp;$T$1&amp;$C$2&amp;$T$1&amp;$R$1&amp;C58&amp;$Q$1&amp;$S$1&amp;$P$1&amp;$T$1&amp;$D$2&amp;$T$1&amp;$R$1&amp;D58&amp;$Q$1&amp;$S$1&amp;$P$1&amp;$T$1&amp;$E$2&amp;$T$1&amp;$R$1&amp;E58&amp;$Q$1&amp;$S$1&amp;$P$1&amp;$T$1&amp;$F$2&amp;$T$1&amp;$R$1&amp;L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[{"2":41},{"4":33},{"5":33},{"12":4344},{"7":8},{"6":0},{"8":10},{"9":0}]</v>
      </c>
      <c r="AG57">
        <v>11</v>
      </c>
      <c r="AH57">
        <v>7</v>
      </c>
      <c r="AI57">
        <v>7</v>
      </c>
      <c r="AJ57">
        <v>428</v>
      </c>
      <c r="AK57">
        <v>4</v>
      </c>
      <c r="AL57">
        <v>8</v>
      </c>
      <c r="AM57">
        <v>0</v>
      </c>
      <c r="AN57">
        <v>10</v>
      </c>
    </row>
    <row r="58" ht="16.5" spans="1:40">
      <c r="A58">
        <v>56</v>
      </c>
      <c r="B58">
        <f t="shared" si="10"/>
        <v>51</v>
      </c>
      <c r="C58">
        <f t="shared" si="11"/>
        <v>41</v>
      </c>
      <c r="D58">
        <f t="shared" si="12"/>
        <v>33</v>
      </c>
      <c r="E58">
        <f t="shared" si="13"/>
        <v>33</v>
      </c>
      <c r="F58" s="3">
        <v>8687</v>
      </c>
      <c r="G58">
        <v>8</v>
      </c>
      <c r="H58">
        <v>0</v>
      </c>
      <c r="I58">
        <v>10</v>
      </c>
      <c r="J58">
        <v>0</v>
      </c>
      <c r="K58" s="3">
        <v>2895</v>
      </c>
      <c r="L58" s="3">
        <v>4344</v>
      </c>
      <c r="N58" t="str">
        <f t="shared" si="14"/>
        <v>[{"1":51},{"4":33},{"5":33},{"12":8835},{"7":8},{"6":0},{"8":10},{"9":0}]</v>
      </c>
      <c r="W58" t="str">
        <f t="shared" si="9"/>
        <v>[{"2":41},{"4":33},{"5":33},{"12":2945},{"7":8},{"6":0},{"8":10},{"9":0}]</v>
      </c>
      <c r="AE58" t="str">
        <f t="shared" si="15"/>
        <v>[{"2":41},{"4":33},{"5":33},{"12":4418},{"7":8},{"6":0},{"8":10},{"9":0}]</v>
      </c>
      <c r="AG58">
        <v>11</v>
      </c>
      <c r="AH58">
        <v>7</v>
      </c>
      <c r="AI58">
        <v>7</v>
      </c>
      <c r="AJ58">
        <v>436</v>
      </c>
      <c r="AK58">
        <v>4</v>
      </c>
      <c r="AL58">
        <v>8</v>
      </c>
      <c r="AM58">
        <v>0</v>
      </c>
      <c r="AN58">
        <v>10</v>
      </c>
    </row>
    <row r="59" ht="16.5" spans="1:40">
      <c r="A59">
        <v>57</v>
      </c>
      <c r="B59">
        <f t="shared" si="10"/>
        <v>51</v>
      </c>
      <c r="C59">
        <f t="shared" si="11"/>
        <v>41</v>
      </c>
      <c r="D59">
        <f t="shared" si="12"/>
        <v>33</v>
      </c>
      <c r="E59">
        <f t="shared" si="13"/>
        <v>33</v>
      </c>
      <c r="F59" s="3">
        <v>8835</v>
      </c>
      <c r="G59">
        <v>8</v>
      </c>
      <c r="H59">
        <v>0</v>
      </c>
      <c r="I59">
        <v>10</v>
      </c>
      <c r="J59">
        <v>0</v>
      </c>
      <c r="K59" s="3">
        <v>2945</v>
      </c>
      <c r="L59" s="3">
        <v>4418</v>
      </c>
      <c r="N59" t="str">
        <f t="shared" si="14"/>
        <v>[{"1":51},{"4":33},{"5":33},{"12":8983},{"7":8},{"6":0},{"8":10},{"9":0}]</v>
      </c>
      <c r="W59" t="str">
        <f t="shared" si="9"/>
        <v>[{"2":41},{"4":33},{"5":33},{"12":2994},{"7":8},{"6":0},{"8":10},{"9":0}]</v>
      </c>
      <c r="AE59" t="str">
        <f t="shared" si="15"/>
        <v>[{"2":41},{"4":33},{"5":33},{"12":4492},{"7":8},{"6":0},{"8":10},{"9":0}]</v>
      </c>
      <c r="AG59">
        <v>11</v>
      </c>
      <c r="AH59">
        <v>7</v>
      </c>
      <c r="AI59">
        <v>7</v>
      </c>
      <c r="AJ59">
        <v>444</v>
      </c>
      <c r="AK59">
        <v>4</v>
      </c>
      <c r="AL59">
        <v>8</v>
      </c>
      <c r="AM59">
        <v>0</v>
      </c>
      <c r="AN59">
        <v>10</v>
      </c>
    </row>
    <row r="60" ht="16.5" spans="1:40">
      <c r="A60">
        <v>58</v>
      </c>
      <c r="B60">
        <f t="shared" si="10"/>
        <v>51</v>
      </c>
      <c r="C60">
        <f t="shared" si="11"/>
        <v>41</v>
      </c>
      <c r="D60">
        <f t="shared" si="12"/>
        <v>33</v>
      </c>
      <c r="E60">
        <f t="shared" si="13"/>
        <v>33</v>
      </c>
      <c r="F60" s="3">
        <v>8983</v>
      </c>
      <c r="G60">
        <v>8</v>
      </c>
      <c r="H60">
        <v>0</v>
      </c>
      <c r="I60">
        <v>10</v>
      </c>
      <c r="J60">
        <v>0</v>
      </c>
      <c r="K60" s="3">
        <v>2994</v>
      </c>
      <c r="L60" s="3">
        <v>4492</v>
      </c>
      <c r="N60" t="str">
        <f t="shared" si="14"/>
        <v>[{"1":51},{"4":33},{"5":33},{"12":9132},{"7":8},{"6":0},{"8":10},{"9":0}]</v>
      </c>
      <c r="W60" t="str">
        <f t="shared" si="9"/>
        <v>[{"2":41},{"4":33},{"5":33},{"12":3044},{"7":8},{"6":0},{"8":10},{"9":0}]</v>
      </c>
      <c r="AE60" t="str">
        <f t="shared" si="15"/>
        <v>[{"2":41},{"4":33},{"5":33},{"12":4566},{"7":8},{"6":0},{"8":10},{"9":0}]</v>
      </c>
      <c r="AG60">
        <v>11</v>
      </c>
      <c r="AH60">
        <v>7</v>
      </c>
      <c r="AI60">
        <v>7</v>
      </c>
      <c r="AJ60">
        <v>451</v>
      </c>
      <c r="AK60">
        <v>4</v>
      </c>
      <c r="AL60">
        <v>8</v>
      </c>
      <c r="AM60">
        <v>0</v>
      </c>
      <c r="AN60">
        <v>10</v>
      </c>
    </row>
    <row r="61" ht="16.5" spans="1:40">
      <c r="A61">
        <v>59</v>
      </c>
      <c r="B61">
        <f t="shared" si="10"/>
        <v>51</v>
      </c>
      <c r="C61">
        <f t="shared" si="11"/>
        <v>41</v>
      </c>
      <c r="D61">
        <f t="shared" si="12"/>
        <v>33</v>
      </c>
      <c r="E61">
        <f t="shared" si="13"/>
        <v>33</v>
      </c>
      <c r="F61" s="3">
        <v>9132</v>
      </c>
      <c r="G61">
        <v>8</v>
      </c>
      <c r="H61">
        <v>0</v>
      </c>
      <c r="I61">
        <v>10</v>
      </c>
      <c r="J61">
        <v>0</v>
      </c>
      <c r="K61" s="3">
        <v>3044</v>
      </c>
      <c r="L61" s="3">
        <v>4566</v>
      </c>
      <c r="N61" t="str">
        <f t="shared" si="14"/>
        <v>[{"1":52},{"4":34},{"5":34},{"12":9280},{"7":8},{"6":0},{"8":10},{"9":0}]</v>
      </c>
      <c r="W61" t="str">
        <f t="shared" si="9"/>
        <v>[{"2":42},{"4":34},{"5":34},{"12":3093},{"7":8},{"6":0},{"8":10},{"9":0}]</v>
      </c>
      <c r="AE61" t="str">
        <f t="shared" si="15"/>
        <v>[{"2":42},{"4":34},{"5":34},{"12":4640},{"7":8},{"6":0},{"8":10},{"9":0}]</v>
      </c>
      <c r="AG61">
        <v>11</v>
      </c>
      <c r="AH61">
        <v>7</v>
      </c>
      <c r="AI61">
        <v>7</v>
      </c>
      <c r="AJ61">
        <v>459</v>
      </c>
      <c r="AK61">
        <v>4</v>
      </c>
      <c r="AL61">
        <v>8</v>
      </c>
      <c r="AM61">
        <v>0</v>
      </c>
      <c r="AN61">
        <v>10</v>
      </c>
    </row>
    <row r="62" ht="16.5" spans="1:40">
      <c r="A62">
        <v>60</v>
      </c>
      <c r="B62">
        <f t="shared" si="10"/>
        <v>52</v>
      </c>
      <c r="C62">
        <f t="shared" si="11"/>
        <v>42</v>
      </c>
      <c r="D62">
        <f t="shared" si="12"/>
        <v>34</v>
      </c>
      <c r="E62">
        <f t="shared" si="13"/>
        <v>34</v>
      </c>
      <c r="F62" s="3">
        <v>9280</v>
      </c>
      <c r="G62">
        <v>8</v>
      </c>
      <c r="H62">
        <v>0</v>
      </c>
      <c r="I62">
        <v>10</v>
      </c>
      <c r="J62">
        <v>0</v>
      </c>
      <c r="K62" s="3">
        <v>3093</v>
      </c>
      <c r="L62" s="3">
        <v>4640</v>
      </c>
      <c r="N62" t="str">
        <f t="shared" si="14"/>
        <v>[{"1":52},{"4":34},{"5":34},{"12":9428},{"7":8},{"6":0},{"8":10},{"9":0}]</v>
      </c>
      <c r="W62" t="str">
        <f t="shared" si="9"/>
        <v>[{"2":42},{"4":34},{"5":34},{"12":3142},{"7":8},{"6":0},{"8":10},{"9":0}]</v>
      </c>
      <c r="AE62" t="str">
        <f t="shared" si="15"/>
        <v>[{"2":42},{"4":34},{"5":34},{"12":4714},{"7":8},{"6":0},{"8":10},{"9":0}]</v>
      </c>
      <c r="AG62">
        <v>12</v>
      </c>
      <c r="AH62">
        <v>8</v>
      </c>
      <c r="AI62">
        <v>8</v>
      </c>
      <c r="AJ62">
        <v>467</v>
      </c>
      <c r="AK62">
        <v>4</v>
      </c>
      <c r="AL62">
        <v>8</v>
      </c>
      <c r="AM62">
        <v>0</v>
      </c>
      <c r="AN62">
        <v>10</v>
      </c>
    </row>
    <row r="63" ht="16.5" spans="1:40">
      <c r="A63">
        <v>61</v>
      </c>
      <c r="B63">
        <f t="shared" si="10"/>
        <v>52</v>
      </c>
      <c r="C63">
        <f t="shared" si="11"/>
        <v>42</v>
      </c>
      <c r="D63">
        <f t="shared" si="12"/>
        <v>34</v>
      </c>
      <c r="E63">
        <f t="shared" si="13"/>
        <v>34</v>
      </c>
      <c r="F63" s="3">
        <v>9428</v>
      </c>
      <c r="G63">
        <v>8</v>
      </c>
      <c r="H63">
        <v>0</v>
      </c>
      <c r="I63">
        <v>10</v>
      </c>
      <c r="J63">
        <v>0</v>
      </c>
      <c r="K63" s="3">
        <v>3142</v>
      </c>
      <c r="L63" s="3">
        <v>4714</v>
      </c>
      <c r="N63" t="str">
        <f t="shared" si="14"/>
        <v>[{"1":52},{"4":34},{"5":34},{"12":9576},{"7":8},{"6":0},{"8":10},{"9":0}]</v>
      </c>
      <c r="W63" t="str">
        <f t="shared" si="9"/>
        <v>[{"2":42},{"4":34},{"5":34},{"12":3192},{"7":8},{"6":0},{"8":10},{"9":0}]</v>
      </c>
      <c r="AE63" t="str">
        <f t="shared" si="15"/>
        <v>[{"2":42},{"4":34},{"5":34},{"12":4788},{"7":8},{"6":0},{"8":10},{"9":0}]</v>
      </c>
      <c r="AG63">
        <v>12</v>
      </c>
      <c r="AH63">
        <v>8</v>
      </c>
      <c r="AI63">
        <v>8</v>
      </c>
      <c r="AJ63">
        <v>475</v>
      </c>
      <c r="AK63">
        <v>4</v>
      </c>
      <c r="AL63">
        <v>8</v>
      </c>
      <c r="AM63">
        <v>0</v>
      </c>
      <c r="AN63">
        <v>10</v>
      </c>
    </row>
    <row r="64" ht="16.5" spans="1:40">
      <c r="A64">
        <v>62</v>
      </c>
      <c r="B64">
        <f t="shared" si="10"/>
        <v>52</v>
      </c>
      <c r="C64">
        <f t="shared" si="11"/>
        <v>42</v>
      </c>
      <c r="D64">
        <f t="shared" si="12"/>
        <v>34</v>
      </c>
      <c r="E64">
        <f t="shared" si="13"/>
        <v>34</v>
      </c>
      <c r="F64" s="3">
        <v>9576</v>
      </c>
      <c r="G64">
        <v>8</v>
      </c>
      <c r="H64">
        <v>0</v>
      </c>
      <c r="I64">
        <v>10</v>
      </c>
      <c r="J64">
        <v>0</v>
      </c>
      <c r="K64" s="3">
        <v>3192</v>
      </c>
      <c r="L64" s="3">
        <v>4788</v>
      </c>
      <c r="N64" t="str">
        <f t="shared" si="14"/>
        <v>[{"1":52},{"4":34},{"5":34},{"12":9724},{"7":8},{"6":0},{"8":10},{"9":0}]</v>
      </c>
      <c r="W64" t="str">
        <f t="shared" si="9"/>
        <v>[{"2":42},{"4":34},{"5":34},{"12":3241},{"7":8},{"6":0},{"8":10},{"9":0}]</v>
      </c>
      <c r="AE64" t="str">
        <f t="shared" si="15"/>
        <v>[{"2":42},{"4":34},{"5":34},{"12":4862},{"7":8},{"6":0},{"8":10},{"9":0}]</v>
      </c>
      <c r="AG64">
        <v>12</v>
      </c>
      <c r="AH64">
        <v>8</v>
      </c>
      <c r="AI64">
        <v>8</v>
      </c>
      <c r="AJ64">
        <v>483</v>
      </c>
      <c r="AK64">
        <v>4</v>
      </c>
      <c r="AL64">
        <v>8</v>
      </c>
      <c r="AM64">
        <v>0</v>
      </c>
      <c r="AN64">
        <v>10</v>
      </c>
    </row>
    <row r="65" ht="16.5" spans="1:40">
      <c r="A65">
        <v>63</v>
      </c>
      <c r="B65">
        <f t="shared" si="10"/>
        <v>52</v>
      </c>
      <c r="C65">
        <f t="shared" si="11"/>
        <v>42</v>
      </c>
      <c r="D65">
        <f t="shared" si="12"/>
        <v>34</v>
      </c>
      <c r="E65">
        <f t="shared" si="13"/>
        <v>34</v>
      </c>
      <c r="F65" s="3">
        <v>9724</v>
      </c>
      <c r="G65">
        <v>8</v>
      </c>
      <c r="H65">
        <v>0</v>
      </c>
      <c r="I65">
        <v>10</v>
      </c>
      <c r="J65">
        <v>0</v>
      </c>
      <c r="K65" s="3">
        <v>3241</v>
      </c>
      <c r="L65" s="3">
        <v>4862</v>
      </c>
      <c r="N65" t="str">
        <f t="shared" si="14"/>
        <v>[{"1":52},{"4":34},{"5":34},{"12":9871},{"7":8},{"6":0},{"8":10},{"9":0}]</v>
      </c>
      <c r="W65" t="str">
        <f t="shared" si="9"/>
        <v>[{"2":42},{"4":34},{"5":34},{"12":3290},{"7":8},{"6":0},{"8":10},{"9":0}]</v>
      </c>
      <c r="AE65" t="str">
        <f t="shared" si="15"/>
        <v>[{"2":42},{"4":34},{"5":34},{"12":4936},{"7":8},{"6":0},{"8":10},{"9":0}]</v>
      </c>
      <c r="AG65">
        <v>12</v>
      </c>
      <c r="AH65">
        <v>8</v>
      </c>
      <c r="AI65">
        <v>8</v>
      </c>
      <c r="AJ65">
        <v>490</v>
      </c>
      <c r="AK65">
        <v>4</v>
      </c>
      <c r="AL65">
        <v>8</v>
      </c>
      <c r="AM65">
        <v>0</v>
      </c>
      <c r="AN65">
        <v>10</v>
      </c>
    </row>
    <row r="66" ht="16.5" spans="1:40">
      <c r="A66">
        <v>64</v>
      </c>
      <c r="B66">
        <f t="shared" si="10"/>
        <v>52</v>
      </c>
      <c r="C66">
        <f t="shared" si="11"/>
        <v>42</v>
      </c>
      <c r="D66">
        <f t="shared" si="12"/>
        <v>34</v>
      </c>
      <c r="E66">
        <f t="shared" si="13"/>
        <v>34</v>
      </c>
      <c r="F66" s="3">
        <v>9871</v>
      </c>
      <c r="G66">
        <v>8</v>
      </c>
      <c r="H66">
        <v>0</v>
      </c>
      <c r="I66">
        <v>10</v>
      </c>
      <c r="J66">
        <v>0</v>
      </c>
      <c r="K66" s="3">
        <v>3290</v>
      </c>
      <c r="L66" s="3">
        <v>4936</v>
      </c>
      <c r="N66" t="str">
        <f t="shared" si="14"/>
        <v>[{"1":53},{"4":35},{"5":35},{"12":10019},{"7":8},{"6":0},{"8":10},{"9":0}]</v>
      </c>
      <c r="W66" t="str">
        <f t="shared" si="9"/>
        <v>[{"2":43},{"4":35},{"5":35},{"12":3339},{"7":8},{"6":0},{"8":10},{"9":0}]</v>
      </c>
      <c r="AE66" t="str">
        <f t="shared" si="15"/>
        <v>[{"2":43},{"4":35},{"5":35},{"12":5010},{"7":8},{"6":0},{"8":10},{"9":0}]</v>
      </c>
      <c r="AG66">
        <v>12</v>
      </c>
      <c r="AH66">
        <v>8</v>
      </c>
      <c r="AI66">
        <v>8</v>
      </c>
      <c r="AJ66">
        <v>498</v>
      </c>
      <c r="AK66">
        <v>4</v>
      </c>
      <c r="AL66">
        <v>8</v>
      </c>
      <c r="AM66">
        <v>0</v>
      </c>
      <c r="AN66">
        <v>10</v>
      </c>
    </row>
    <row r="67" ht="16.5" spans="1:40">
      <c r="A67">
        <v>65</v>
      </c>
      <c r="B67">
        <f t="shared" si="10"/>
        <v>53</v>
      </c>
      <c r="C67">
        <f t="shared" si="11"/>
        <v>43</v>
      </c>
      <c r="D67">
        <f t="shared" si="12"/>
        <v>35</v>
      </c>
      <c r="E67">
        <f t="shared" si="13"/>
        <v>35</v>
      </c>
      <c r="F67" s="3">
        <v>10019</v>
      </c>
      <c r="G67">
        <v>8</v>
      </c>
      <c r="H67">
        <v>0</v>
      </c>
      <c r="I67">
        <v>10</v>
      </c>
      <c r="J67">
        <v>0</v>
      </c>
      <c r="K67" s="3">
        <v>3339</v>
      </c>
      <c r="L67" s="3">
        <v>5010</v>
      </c>
      <c r="N67" t="str">
        <f t="shared" si="14"/>
        <v>[{"1":53},{"4":35},{"5":35},{"12":10167},{"7":8},{"6":0},{"8":10},{"9":0}]</v>
      </c>
      <c r="W67" t="str">
        <f t="shared" ref="W67:W98" si="16">$N$1&amp;$P$1&amp;$T$1&amp;$C$2&amp;$T$1&amp;$R$1&amp;C68&amp;$Q$1&amp;$S$1&amp;$P$1&amp;$T$1&amp;$D$2&amp;$T$1&amp;$R$1&amp;D68&amp;$Q$1&amp;$S$1&amp;$P$1&amp;$T$1&amp;$E$2&amp;$T$1&amp;$R$1&amp;E68&amp;$Q$1&amp;$S$1&amp;$P$1&amp;$T$1&amp;$F$2&amp;$T$1&amp;$R$1&amp;K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[{"2":43},{"4":35},{"5":35},{"12":3389},{"7":8},{"6":0},{"8":10},{"9":0}]</v>
      </c>
      <c r="AE67" t="str">
        <f t="shared" si="15"/>
        <v>[{"2":43},{"4":35},{"5":35},{"12":5084},{"7":8},{"6":0},{"8":10},{"9":0}]</v>
      </c>
      <c r="AG67">
        <v>13</v>
      </c>
      <c r="AH67">
        <v>9</v>
      </c>
      <c r="AI67">
        <v>9</v>
      </c>
      <c r="AJ67">
        <v>506</v>
      </c>
      <c r="AK67">
        <v>4</v>
      </c>
      <c r="AL67">
        <v>8</v>
      </c>
      <c r="AM67">
        <v>0</v>
      </c>
      <c r="AN67">
        <v>10</v>
      </c>
    </row>
    <row r="68" ht="16.5" spans="1:40">
      <c r="A68">
        <v>66</v>
      </c>
      <c r="B68">
        <f t="shared" ref="B68:B99" si="17">$AP$2+AG68</f>
        <v>53</v>
      </c>
      <c r="C68">
        <f t="shared" ref="C68:C99" si="18">INT(B68*0.82)</f>
        <v>43</v>
      </c>
      <c r="D68">
        <f t="shared" ref="D68:D99" si="19">AH68+$AQ$2</f>
        <v>35</v>
      </c>
      <c r="E68">
        <f t="shared" ref="E68:E99" si="20">D68</f>
        <v>35</v>
      </c>
      <c r="F68" s="3">
        <v>10167</v>
      </c>
      <c r="G68">
        <v>8</v>
      </c>
      <c r="H68">
        <v>0</v>
      </c>
      <c r="I68">
        <v>10</v>
      </c>
      <c r="J68">
        <v>0</v>
      </c>
      <c r="K68" s="3">
        <v>3389</v>
      </c>
      <c r="L68" s="3">
        <v>5084</v>
      </c>
      <c r="N68" t="str">
        <f t="shared" si="14"/>
        <v>[{"1":53},{"4":35},{"5":35},{"12":10315},{"7":8},{"6":0},{"8":10},{"9":0}]</v>
      </c>
      <c r="W68" t="str">
        <f t="shared" si="16"/>
        <v>[{"2":43},{"4":35},{"5":35},{"12":3438},{"7":8},{"6":0},{"8":10},{"9":0}]</v>
      </c>
      <c r="AE68" t="str">
        <f t="shared" si="15"/>
        <v>[{"2":43},{"4":35},{"5":35},{"12":5158},{"7":8},{"6":0},{"8":10},{"9":0}]</v>
      </c>
      <c r="AG68">
        <v>13</v>
      </c>
      <c r="AH68">
        <v>9</v>
      </c>
      <c r="AI68">
        <v>9</v>
      </c>
      <c r="AJ68">
        <v>514</v>
      </c>
      <c r="AK68">
        <v>4</v>
      </c>
      <c r="AL68">
        <v>8</v>
      </c>
      <c r="AM68">
        <v>0</v>
      </c>
      <c r="AN68">
        <v>10</v>
      </c>
    </row>
    <row r="69" ht="16.5" spans="1:40">
      <c r="A69">
        <v>67</v>
      </c>
      <c r="B69">
        <f t="shared" si="17"/>
        <v>53</v>
      </c>
      <c r="C69">
        <f t="shared" si="18"/>
        <v>43</v>
      </c>
      <c r="D69">
        <f t="shared" si="19"/>
        <v>35</v>
      </c>
      <c r="E69">
        <f t="shared" si="20"/>
        <v>35</v>
      </c>
      <c r="F69" s="3">
        <v>10315</v>
      </c>
      <c r="G69">
        <v>8</v>
      </c>
      <c r="H69">
        <v>0</v>
      </c>
      <c r="I69">
        <v>10</v>
      </c>
      <c r="J69">
        <v>0</v>
      </c>
      <c r="K69" s="3">
        <v>3438</v>
      </c>
      <c r="L69" s="3">
        <v>5158</v>
      </c>
      <c r="N69" t="str">
        <f t="shared" si="14"/>
        <v>[{"1":53},{"4":35},{"5":35},{"12":10463},{"7":8},{"6":0},{"8":10},{"9":0}]</v>
      </c>
      <c r="W69" t="str">
        <f t="shared" si="16"/>
        <v>[{"2":43},{"4":35},{"5":35},{"12":3487},{"7":8},{"6":0},{"8":10},{"9":0}]</v>
      </c>
      <c r="AE69" t="str">
        <f t="shared" si="15"/>
        <v>[{"2":43},{"4":35},{"5":35},{"12":5232},{"7":8},{"6":0},{"8":10},{"9":0}]</v>
      </c>
      <c r="AG69">
        <v>13</v>
      </c>
      <c r="AH69">
        <v>9</v>
      </c>
      <c r="AI69">
        <v>9</v>
      </c>
      <c r="AJ69">
        <v>522</v>
      </c>
      <c r="AK69">
        <v>4</v>
      </c>
      <c r="AL69">
        <v>8</v>
      </c>
      <c r="AM69">
        <v>0</v>
      </c>
      <c r="AN69">
        <v>10</v>
      </c>
    </row>
    <row r="70" ht="16.5" spans="1:40">
      <c r="A70">
        <v>68</v>
      </c>
      <c r="B70">
        <f t="shared" si="17"/>
        <v>53</v>
      </c>
      <c r="C70">
        <f t="shared" si="18"/>
        <v>43</v>
      </c>
      <c r="D70">
        <f t="shared" si="19"/>
        <v>35</v>
      </c>
      <c r="E70">
        <f t="shared" si="20"/>
        <v>35</v>
      </c>
      <c r="F70" s="3">
        <v>10463</v>
      </c>
      <c r="G70">
        <v>8</v>
      </c>
      <c r="H70">
        <v>0</v>
      </c>
      <c r="I70">
        <v>10</v>
      </c>
      <c r="J70">
        <v>0</v>
      </c>
      <c r="K70" s="3">
        <v>3487</v>
      </c>
      <c r="L70" s="3">
        <v>5232</v>
      </c>
      <c r="N70" t="str">
        <f t="shared" si="14"/>
        <v>[{"1":53},{"4":35},{"5":35},{"12":10612},{"7":8},{"6":0},{"8":10},{"9":0}]</v>
      </c>
      <c r="W70" t="str">
        <f t="shared" si="16"/>
        <v>[{"2":43},{"4":35},{"5":35},{"12":3537},{"7":8},{"6":0},{"8":10},{"9":0}]</v>
      </c>
      <c r="AE70" t="str">
        <f t="shared" si="15"/>
        <v>[{"2":43},{"4":35},{"5":35},{"12":5306},{"7":8},{"6":0},{"8":10},{"9":0}]</v>
      </c>
      <c r="AG70">
        <v>13</v>
      </c>
      <c r="AH70">
        <v>9</v>
      </c>
      <c r="AI70">
        <v>9</v>
      </c>
      <c r="AJ70">
        <v>530</v>
      </c>
      <c r="AK70">
        <v>4</v>
      </c>
      <c r="AL70">
        <v>8</v>
      </c>
      <c r="AM70">
        <v>0</v>
      </c>
      <c r="AN70">
        <v>10</v>
      </c>
    </row>
    <row r="71" ht="16.5" spans="1:40">
      <c r="A71">
        <v>69</v>
      </c>
      <c r="B71">
        <f t="shared" si="17"/>
        <v>53</v>
      </c>
      <c r="C71">
        <f t="shared" si="18"/>
        <v>43</v>
      </c>
      <c r="D71">
        <f t="shared" si="19"/>
        <v>35</v>
      </c>
      <c r="E71">
        <f t="shared" si="20"/>
        <v>35</v>
      </c>
      <c r="F71" s="3">
        <v>10612</v>
      </c>
      <c r="G71">
        <v>8</v>
      </c>
      <c r="H71">
        <v>0</v>
      </c>
      <c r="I71">
        <v>10</v>
      </c>
      <c r="J71">
        <v>0</v>
      </c>
      <c r="K71" s="3">
        <v>3537</v>
      </c>
      <c r="L71" s="3">
        <v>5306</v>
      </c>
      <c r="N71" t="str">
        <f t="shared" si="14"/>
        <v>[{"1":54},{"4":35},{"5":35},{"12":13682},{"7":8},{"6":0},{"8":10},{"9":0}]</v>
      </c>
      <c r="W71" t="str">
        <f t="shared" si="16"/>
        <v>[{"2":44},{"4":35},{"5":35},{"12":4560},{"7":8},{"6":0},{"8":10},{"9":0}]</v>
      </c>
      <c r="AE71" t="str">
        <f t="shared" si="15"/>
        <v>[{"2":44},{"4":35},{"5":35},{"12":6841},{"7":8},{"6":0},{"8":10},{"9":0}]</v>
      </c>
      <c r="AG71">
        <v>13</v>
      </c>
      <c r="AH71">
        <v>9</v>
      </c>
      <c r="AI71">
        <v>9</v>
      </c>
      <c r="AJ71">
        <v>537</v>
      </c>
      <c r="AK71">
        <v>4</v>
      </c>
      <c r="AL71">
        <v>8</v>
      </c>
      <c r="AM71">
        <v>0</v>
      </c>
      <c r="AN71">
        <v>10</v>
      </c>
    </row>
    <row r="72" ht="16.5" spans="1:40">
      <c r="A72">
        <v>70</v>
      </c>
      <c r="B72">
        <f t="shared" si="17"/>
        <v>54</v>
      </c>
      <c r="C72">
        <f t="shared" si="18"/>
        <v>44</v>
      </c>
      <c r="D72">
        <f t="shared" si="19"/>
        <v>35</v>
      </c>
      <c r="E72">
        <f t="shared" si="20"/>
        <v>35</v>
      </c>
      <c r="F72" s="3">
        <v>13682</v>
      </c>
      <c r="G72">
        <v>8</v>
      </c>
      <c r="H72">
        <v>0</v>
      </c>
      <c r="I72">
        <v>10</v>
      </c>
      <c r="J72">
        <v>0</v>
      </c>
      <c r="K72" s="3">
        <v>4560</v>
      </c>
      <c r="L72" s="3">
        <v>6841</v>
      </c>
      <c r="N72" t="str">
        <f t="shared" si="14"/>
        <v>[{"1":54},{"4":35},{"5":35},{"12":13872},{"7":8},{"6":0},{"8":10},{"9":0}]</v>
      </c>
      <c r="W72" t="str">
        <f t="shared" si="16"/>
        <v>[{"2":44},{"4":35},{"5":35},{"12":4624},{"7":8},{"6":0},{"8":10},{"9":0}]</v>
      </c>
      <c r="AE72" t="str">
        <f t="shared" si="15"/>
        <v>[{"2":44},{"4":35},{"5":35},{"12":6936},{"7":8},{"6":0},{"8":10},{"9":0}]</v>
      </c>
      <c r="AG72">
        <v>14</v>
      </c>
      <c r="AH72">
        <v>9</v>
      </c>
      <c r="AI72">
        <v>9</v>
      </c>
      <c r="AJ72">
        <v>545</v>
      </c>
      <c r="AK72">
        <v>4</v>
      </c>
      <c r="AL72">
        <v>8</v>
      </c>
      <c r="AM72">
        <v>0</v>
      </c>
      <c r="AN72">
        <v>10</v>
      </c>
    </row>
    <row r="73" ht="16.5" spans="1:40">
      <c r="A73">
        <v>71</v>
      </c>
      <c r="B73">
        <f t="shared" si="17"/>
        <v>54</v>
      </c>
      <c r="C73">
        <f t="shared" si="18"/>
        <v>44</v>
      </c>
      <c r="D73">
        <f t="shared" si="19"/>
        <v>35</v>
      </c>
      <c r="E73">
        <f t="shared" si="20"/>
        <v>35</v>
      </c>
      <c r="F73" s="3">
        <v>13872</v>
      </c>
      <c r="G73">
        <v>8</v>
      </c>
      <c r="H73">
        <v>0</v>
      </c>
      <c r="I73">
        <v>10</v>
      </c>
      <c r="J73">
        <v>0</v>
      </c>
      <c r="K73" s="3">
        <v>4624</v>
      </c>
      <c r="L73" s="3">
        <v>6936</v>
      </c>
      <c r="N73" t="str">
        <f t="shared" si="14"/>
        <v>[{"1":54},{"4":35},{"5":35},{"12":14062},{"7":8},{"6":0},{"8":10},{"9":0}]</v>
      </c>
      <c r="W73" t="str">
        <f t="shared" si="16"/>
        <v>[{"2":44},{"4":35},{"5":35},{"12":4687},{"7":8},{"6":0},{"8":10},{"9":0}]</v>
      </c>
      <c r="AE73" t="str">
        <f t="shared" si="15"/>
        <v>[{"2":44},{"4":35},{"5":35},{"12":7031},{"7":8},{"6":0},{"8":10},{"9":0}]</v>
      </c>
      <c r="AG73">
        <v>14</v>
      </c>
      <c r="AH73">
        <v>9</v>
      </c>
      <c r="AI73">
        <v>9</v>
      </c>
      <c r="AJ73">
        <v>553</v>
      </c>
      <c r="AK73">
        <v>4</v>
      </c>
      <c r="AL73">
        <v>8</v>
      </c>
      <c r="AM73">
        <v>0</v>
      </c>
      <c r="AN73">
        <v>10</v>
      </c>
    </row>
    <row r="74" ht="16.5" spans="1:40">
      <c r="A74">
        <v>72</v>
      </c>
      <c r="B74">
        <f t="shared" si="17"/>
        <v>54</v>
      </c>
      <c r="C74">
        <f t="shared" si="18"/>
        <v>44</v>
      </c>
      <c r="D74">
        <f t="shared" si="19"/>
        <v>35</v>
      </c>
      <c r="E74">
        <f t="shared" si="20"/>
        <v>35</v>
      </c>
      <c r="F74" s="3">
        <v>14062</v>
      </c>
      <c r="G74">
        <v>8</v>
      </c>
      <c r="H74">
        <v>0</v>
      </c>
      <c r="I74">
        <v>10</v>
      </c>
      <c r="J74">
        <v>0</v>
      </c>
      <c r="K74" s="3">
        <v>4687</v>
      </c>
      <c r="L74" s="3">
        <v>7031</v>
      </c>
      <c r="N74" t="str">
        <f t="shared" ref="N74:N105" si="21">$N$1&amp;$P$1&amp;$T$1&amp;$B$2&amp;$T$1&amp;$R$1&amp;B75&amp;$Q$1&amp;$S$1&amp;$P$1&amp;$T$1&amp;$D$2&amp;$T$1&amp;$R$1&amp;D75&amp;$Q$1&amp;$S$1&amp;$P$1&amp;$T$1&amp;$E$2&amp;$T$1&amp;$R$1&amp;E75&amp;$Q$1&amp;$S$1&amp;$P$1&amp;$T$1&amp;$F$2&amp;$T$1&amp;$R$1&amp;F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[{"1":54},{"4":35},{"5":35},{"12":14252},{"7":8},{"6":0},{"8":10},{"9":0}]</v>
      </c>
      <c r="W74" t="str">
        <f t="shared" si="16"/>
        <v>[{"2":44},{"4":35},{"5":35},{"12":4750},{"7":8},{"6":0},{"8":10},{"9":0}]</v>
      </c>
      <c r="AE74" t="str">
        <f t="shared" si="15"/>
        <v>[{"2":44},{"4":35},{"5":35},{"12":7126},{"7":8},{"6":0},{"8":10},{"9":0}]</v>
      </c>
      <c r="AG74">
        <v>14</v>
      </c>
      <c r="AH74">
        <v>9</v>
      </c>
      <c r="AI74">
        <v>9</v>
      </c>
      <c r="AJ74">
        <v>561</v>
      </c>
      <c r="AK74">
        <v>4</v>
      </c>
      <c r="AL74">
        <v>8</v>
      </c>
      <c r="AM74">
        <v>0</v>
      </c>
      <c r="AN74">
        <v>10</v>
      </c>
    </row>
    <row r="75" ht="16.5" spans="1:40">
      <c r="A75">
        <v>73</v>
      </c>
      <c r="B75">
        <f t="shared" si="17"/>
        <v>54</v>
      </c>
      <c r="C75">
        <f t="shared" si="18"/>
        <v>44</v>
      </c>
      <c r="D75">
        <f t="shared" si="19"/>
        <v>35</v>
      </c>
      <c r="E75">
        <f t="shared" si="20"/>
        <v>35</v>
      </c>
      <c r="F75" s="3">
        <v>14252</v>
      </c>
      <c r="G75">
        <v>8</v>
      </c>
      <c r="H75">
        <v>0</v>
      </c>
      <c r="I75">
        <v>10</v>
      </c>
      <c r="J75">
        <v>0</v>
      </c>
      <c r="K75" s="3">
        <v>4750</v>
      </c>
      <c r="L75" s="3">
        <v>7126</v>
      </c>
      <c r="N75" t="str">
        <f t="shared" si="21"/>
        <v>[{"1":54},{"4":35},{"5":35},{"12":14440},{"7":8},{"6":0},{"8":10},{"9":0}]</v>
      </c>
      <c r="W75" t="str">
        <f t="shared" si="16"/>
        <v>[{"2":44},{"4":35},{"5":35},{"12":4813},{"7":8},{"6":0},{"8":10},{"9":0}]</v>
      </c>
      <c r="AE75" t="str">
        <f t="shared" si="15"/>
        <v>[{"2":44},{"4":35},{"5":35},{"12":7220},{"7":8},{"6":0},{"8":10},{"9":0}]</v>
      </c>
      <c r="AG75">
        <v>14</v>
      </c>
      <c r="AH75">
        <v>9</v>
      </c>
      <c r="AI75">
        <v>9</v>
      </c>
      <c r="AJ75">
        <v>569</v>
      </c>
      <c r="AK75">
        <v>4</v>
      </c>
      <c r="AL75">
        <v>8</v>
      </c>
      <c r="AM75">
        <v>0</v>
      </c>
      <c r="AN75">
        <v>10</v>
      </c>
    </row>
    <row r="76" ht="16.5" spans="1:40">
      <c r="A76">
        <v>74</v>
      </c>
      <c r="B76">
        <f t="shared" si="17"/>
        <v>54</v>
      </c>
      <c r="C76">
        <f t="shared" si="18"/>
        <v>44</v>
      </c>
      <c r="D76">
        <f t="shared" si="19"/>
        <v>35</v>
      </c>
      <c r="E76">
        <f t="shared" si="20"/>
        <v>35</v>
      </c>
      <c r="F76" s="3">
        <v>14440</v>
      </c>
      <c r="G76">
        <v>8</v>
      </c>
      <c r="H76">
        <v>0</v>
      </c>
      <c r="I76">
        <v>10</v>
      </c>
      <c r="J76">
        <v>0</v>
      </c>
      <c r="K76" s="3">
        <v>4813</v>
      </c>
      <c r="L76" s="3">
        <v>7220</v>
      </c>
      <c r="N76" t="str">
        <f t="shared" si="21"/>
        <v>[{"1":55},{"4":36},{"5":36},{"12":14630},{"7":8},{"6":0},{"8":10},{"9":0}]</v>
      </c>
      <c r="W76" t="str">
        <f t="shared" si="16"/>
        <v>[{"2":45},{"4":36},{"5":36},{"12":4876},{"7":8},{"6":0},{"8":10},{"9":0}]</v>
      </c>
      <c r="AE76" t="str">
        <f t="shared" si="15"/>
        <v>[{"2":45},{"4":36},{"5":36},{"12":7315},{"7":8},{"6":0},{"8":10},{"9":0}]</v>
      </c>
      <c r="AG76">
        <v>14</v>
      </c>
      <c r="AH76">
        <v>9</v>
      </c>
      <c r="AI76">
        <v>9</v>
      </c>
      <c r="AJ76">
        <v>577</v>
      </c>
      <c r="AK76">
        <v>4</v>
      </c>
      <c r="AL76">
        <v>8</v>
      </c>
      <c r="AM76">
        <v>0</v>
      </c>
      <c r="AN76">
        <v>10</v>
      </c>
    </row>
    <row r="77" ht="16.5" spans="1:40">
      <c r="A77">
        <v>75</v>
      </c>
      <c r="B77">
        <f t="shared" si="17"/>
        <v>55</v>
      </c>
      <c r="C77">
        <f t="shared" si="18"/>
        <v>45</v>
      </c>
      <c r="D77">
        <f t="shared" si="19"/>
        <v>36</v>
      </c>
      <c r="E77">
        <f t="shared" si="20"/>
        <v>36</v>
      </c>
      <c r="F77" s="3">
        <v>14630</v>
      </c>
      <c r="G77">
        <v>8</v>
      </c>
      <c r="H77">
        <v>0</v>
      </c>
      <c r="I77">
        <v>10</v>
      </c>
      <c r="J77">
        <v>0</v>
      </c>
      <c r="K77" s="3">
        <v>4876</v>
      </c>
      <c r="L77" s="3">
        <v>7315</v>
      </c>
      <c r="N77" t="str">
        <f t="shared" si="21"/>
        <v>[{"1":55},{"4":36},{"5":36},{"12":14820},{"7":8},{"6":0},{"8":10},{"9":0}]</v>
      </c>
      <c r="W77" t="str">
        <f t="shared" si="16"/>
        <v>[{"2":45},{"4":36},{"5":36},{"12":4940},{"7":8},{"6":0},{"8":10},{"9":0}]</v>
      </c>
      <c r="AE77" t="str">
        <f t="shared" si="15"/>
        <v>[{"2":45},{"4":36},{"5":36},{"12":7410},{"7":8},{"6":0},{"8":10},{"9":0}]</v>
      </c>
      <c r="AG77">
        <v>15</v>
      </c>
      <c r="AH77">
        <v>10</v>
      </c>
      <c r="AI77">
        <v>10</v>
      </c>
      <c r="AJ77">
        <v>585</v>
      </c>
      <c r="AK77">
        <v>4</v>
      </c>
      <c r="AL77">
        <v>8</v>
      </c>
      <c r="AM77">
        <v>0</v>
      </c>
      <c r="AN77">
        <v>10</v>
      </c>
    </row>
    <row r="78" ht="16.5" spans="1:40">
      <c r="A78">
        <v>76</v>
      </c>
      <c r="B78">
        <f t="shared" si="17"/>
        <v>55</v>
      </c>
      <c r="C78">
        <f t="shared" si="18"/>
        <v>45</v>
      </c>
      <c r="D78">
        <f t="shared" si="19"/>
        <v>36</v>
      </c>
      <c r="E78">
        <f t="shared" si="20"/>
        <v>36</v>
      </c>
      <c r="F78" s="3">
        <v>14820</v>
      </c>
      <c r="G78">
        <v>8</v>
      </c>
      <c r="H78">
        <v>0</v>
      </c>
      <c r="I78">
        <v>10</v>
      </c>
      <c r="J78">
        <v>0</v>
      </c>
      <c r="K78" s="3">
        <v>4940</v>
      </c>
      <c r="L78" s="3">
        <v>7410</v>
      </c>
      <c r="N78" t="str">
        <f t="shared" si="21"/>
        <v>[{"1":55},{"4":36},{"5":36},{"12":15010},{"7":8},{"6":0},{"8":10},{"9":0}]</v>
      </c>
      <c r="W78" t="str">
        <f t="shared" si="16"/>
        <v>[{"2":45},{"4":36},{"5":36},{"12":5003},{"7":8},{"6":0},{"8":10},{"9":0}]</v>
      </c>
      <c r="AE78" t="str">
        <f t="shared" si="15"/>
        <v>[{"2":45},{"4":36},{"5":36},{"12":7505},{"7":8},{"6":0},{"8":10},{"9":0}]</v>
      </c>
      <c r="AG78">
        <v>15</v>
      </c>
      <c r="AH78">
        <v>10</v>
      </c>
      <c r="AI78">
        <v>10</v>
      </c>
      <c r="AJ78">
        <v>593</v>
      </c>
      <c r="AK78">
        <v>4</v>
      </c>
      <c r="AL78">
        <v>8</v>
      </c>
      <c r="AM78">
        <v>0</v>
      </c>
      <c r="AN78">
        <v>10</v>
      </c>
    </row>
    <row r="79" ht="16.5" spans="1:40">
      <c r="A79">
        <v>77</v>
      </c>
      <c r="B79">
        <f t="shared" si="17"/>
        <v>55</v>
      </c>
      <c r="C79">
        <f t="shared" si="18"/>
        <v>45</v>
      </c>
      <c r="D79">
        <f t="shared" si="19"/>
        <v>36</v>
      </c>
      <c r="E79">
        <f t="shared" si="20"/>
        <v>36</v>
      </c>
      <c r="F79" s="3">
        <v>15010</v>
      </c>
      <c r="G79">
        <v>8</v>
      </c>
      <c r="H79">
        <v>0</v>
      </c>
      <c r="I79">
        <v>10</v>
      </c>
      <c r="J79">
        <v>0</v>
      </c>
      <c r="K79" s="3">
        <v>5003</v>
      </c>
      <c r="L79" s="3">
        <v>7505</v>
      </c>
      <c r="N79" t="str">
        <f t="shared" si="21"/>
        <v>[{"1":55},{"4":36},{"5":36},{"12":15200},{"7":8},{"6":0},{"8":10},{"9":0}]</v>
      </c>
      <c r="W79" t="str">
        <f t="shared" si="16"/>
        <v>[{"2":45},{"4":36},{"5":36},{"12":5066},{"7":8},{"6":0},{"8":10},{"9":0}]</v>
      </c>
      <c r="AE79" t="str">
        <f t="shared" si="15"/>
        <v>[{"2":45},{"4":36},{"5":36},{"12":7600},{"7":8},{"6":0},{"8":10},{"9":0}]</v>
      </c>
      <c r="AG79">
        <v>15</v>
      </c>
      <c r="AH79">
        <v>10</v>
      </c>
      <c r="AI79">
        <v>10</v>
      </c>
      <c r="AJ79">
        <v>601</v>
      </c>
      <c r="AK79">
        <v>4</v>
      </c>
      <c r="AL79">
        <v>8</v>
      </c>
      <c r="AM79">
        <v>0</v>
      </c>
      <c r="AN79">
        <v>10</v>
      </c>
    </row>
    <row r="80" ht="16.5" spans="1:40">
      <c r="A80">
        <v>78</v>
      </c>
      <c r="B80">
        <f t="shared" si="17"/>
        <v>55</v>
      </c>
      <c r="C80">
        <f t="shared" si="18"/>
        <v>45</v>
      </c>
      <c r="D80">
        <f t="shared" si="19"/>
        <v>36</v>
      </c>
      <c r="E80">
        <f t="shared" si="20"/>
        <v>36</v>
      </c>
      <c r="F80" s="3">
        <v>15200</v>
      </c>
      <c r="G80">
        <v>8</v>
      </c>
      <c r="H80">
        <v>0</v>
      </c>
      <c r="I80">
        <v>10</v>
      </c>
      <c r="J80">
        <v>0</v>
      </c>
      <c r="K80" s="3">
        <v>5066</v>
      </c>
      <c r="L80" s="3">
        <v>7600</v>
      </c>
      <c r="N80" t="str">
        <f t="shared" si="21"/>
        <v>[{"1":55},{"4":36},{"5":36},{"12":15390},{"7":8},{"6":0},{"8":10},{"9":0}]</v>
      </c>
      <c r="W80" t="str">
        <f t="shared" si="16"/>
        <v>[{"2":45},{"4":36},{"5":36},{"12":5130},{"7":8},{"6":0},{"8":10},{"9":0}]</v>
      </c>
      <c r="AE80" t="str">
        <f t="shared" si="15"/>
        <v>[{"2":45},{"4":36},{"5":36},{"12":7695},{"7":8},{"6":0},{"8":10},{"9":0}]</v>
      </c>
      <c r="AG80">
        <v>15</v>
      </c>
      <c r="AH80">
        <v>10</v>
      </c>
      <c r="AI80">
        <v>10</v>
      </c>
      <c r="AJ80">
        <v>609</v>
      </c>
      <c r="AK80">
        <v>4</v>
      </c>
      <c r="AL80">
        <v>8</v>
      </c>
      <c r="AM80">
        <v>0</v>
      </c>
      <c r="AN80">
        <v>10</v>
      </c>
    </row>
    <row r="81" ht="16.5" spans="1:40">
      <c r="A81">
        <v>79</v>
      </c>
      <c r="B81">
        <f t="shared" si="17"/>
        <v>55</v>
      </c>
      <c r="C81">
        <f t="shared" si="18"/>
        <v>45</v>
      </c>
      <c r="D81">
        <f t="shared" si="19"/>
        <v>36</v>
      </c>
      <c r="E81">
        <f t="shared" si="20"/>
        <v>36</v>
      </c>
      <c r="F81" s="3">
        <v>15390</v>
      </c>
      <c r="G81">
        <v>8</v>
      </c>
      <c r="H81">
        <v>0</v>
      </c>
      <c r="I81">
        <v>10</v>
      </c>
      <c r="J81">
        <v>0</v>
      </c>
      <c r="K81" s="3">
        <v>5130</v>
      </c>
      <c r="L81" s="3">
        <v>7695</v>
      </c>
      <c r="N81" t="str">
        <f t="shared" si="21"/>
        <v>[{"1":56},{"4":37},{"5":37},{"12":15580},{"7":8},{"6":0},{"8":10},{"9":0}]</v>
      </c>
      <c r="W81" t="str">
        <f t="shared" si="16"/>
        <v>[{"2":45},{"4":37},{"5":37},{"12":5193},{"7":8},{"6":0},{"8":10},{"9":0}]</v>
      </c>
      <c r="AE81" t="str">
        <f t="shared" si="15"/>
        <v>[{"2":45},{"4":37},{"5":37},{"12":7790},{"7":8},{"6":0},{"8":10},{"9":0}]</v>
      </c>
      <c r="AG81">
        <v>15</v>
      </c>
      <c r="AH81">
        <v>10</v>
      </c>
      <c r="AI81">
        <v>10</v>
      </c>
      <c r="AJ81">
        <v>617</v>
      </c>
      <c r="AK81">
        <v>4</v>
      </c>
      <c r="AL81">
        <v>8</v>
      </c>
      <c r="AM81">
        <v>0</v>
      </c>
      <c r="AN81">
        <v>10</v>
      </c>
    </row>
    <row r="82" ht="16.5" spans="1:40">
      <c r="A82">
        <v>80</v>
      </c>
      <c r="B82">
        <f t="shared" si="17"/>
        <v>56</v>
      </c>
      <c r="C82">
        <f t="shared" si="18"/>
        <v>45</v>
      </c>
      <c r="D82">
        <f t="shared" si="19"/>
        <v>37</v>
      </c>
      <c r="E82">
        <f t="shared" si="20"/>
        <v>37</v>
      </c>
      <c r="F82" s="3">
        <v>15580</v>
      </c>
      <c r="G82">
        <v>8</v>
      </c>
      <c r="H82">
        <v>0</v>
      </c>
      <c r="I82">
        <v>10</v>
      </c>
      <c r="J82">
        <v>0</v>
      </c>
      <c r="K82" s="3">
        <v>5193</v>
      </c>
      <c r="L82" s="3">
        <v>7790</v>
      </c>
      <c r="N82" t="str">
        <f t="shared" si="21"/>
        <v>[{"1":56},{"4":37},{"5":37},{"12":15770},{"7":8},{"6":0},{"8":10},{"9":0}]</v>
      </c>
      <c r="W82" t="str">
        <f t="shared" si="16"/>
        <v>[{"2":45},{"4":37},{"5":37},{"12":5256},{"7":8},{"6":0},{"8":10},{"9":0}]</v>
      </c>
      <c r="AE82" t="str">
        <f t="shared" si="15"/>
        <v>[{"2":45},{"4":37},{"5":37},{"12":7885},{"7":8},{"6":0},{"8":10},{"9":0}]</v>
      </c>
      <c r="AG82">
        <v>16</v>
      </c>
      <c r="AH82">
        <v>11</v>
      </c>
      <c r="AI82">
        <v>11</v>
      </c>
      <c r="AJ82">
        <v>625</v>
      </c>
      <c r="AK82">
        <v>4</v>
      </c>
      <c r="AL82">
        <v>8</v>
      </c>
      <c r="AM82">
        <v>0</v>
      </c>
      <c r="AN82">
        <v>10</v>
      </c>
    </row>
    <row r="83" ht="16.5" spans="1:40">
      <c r="A83">
        <v>81</v>
      </c>
      <c r="B83">
        <f t="shared" si="17"/>
        <v>56</v>
      </c>
      <c r="C83">
        <f t="shared" si="18"/>
        <v>45</v>
      </c>
      <c r="D83">
        <f t="shared" si="19"/>
        <v>37</v>
      </c>
      <c r="E83">
        <f t="shared" si="20"/>
        <v>37</v>
      </c>
      <c r="F83" s="3">
        <v>15770</v>
      </c>
      <c r="G83">
        <v>8</v>
      </c>
      <c r="H83">
        <v>0</v>
      </c>
      <c r="I83">
        <v>10</v>
      </c>
      <c r="J83">
        <v>0</v>
      </c>
      <c r="K83" s="3">
        <v>5256</v>
      </c>
      <c r="L83" s="3">
        <v>7885</v>
      </c>
      <c r="N83" t="str">
        <f t="shared" si="21"/>
        <v>[{"1":56},{"4":37},{"5":37},{"12":15960},{"7":8},{"6":0},{"8":10},{"9":0}]</v>
      </c>
      <c r="W83" t="str">
        <f t="shared" si="16"/>
        <v>[{"2":45},{"4":37},{"5":37},{"12":5320},{"7":8},{"6":0},{"8":10},{"9":0}]</v>
      </c>
      <c r="AE83" t="str">
        <f t="shared" si="15"/>
        <v>[{"2":45},{"4":37},{"5":37},{"12":7980},{"7":8},{"6":0},{"8":10},{"9":0}]</v>
      </c>
      <c r="AG83">
        <v>16</v>
      </c>
      <c r="AH83">
        <v>11</v>
      </c>
      <c r="AI83">
        <v>11</v>
      </c>
      <c r="AJ83">
        <v>633</v>
      </c>
      <c r="AK83">
        <v>4</v>
      </c>
      <c r="AL83">
        <v>8</v>
      </c>
      <c r="AM83">
        <v>0</v>
      </c>
      <c r="AN83">
        <v>10</v>
      </c>
    </row>
    <row r="84" ht="16.5" spans="1:40">
      <c r="A84">
        <v>82</v>
      </c>
      <c r="B84">
        <f t="shared" si="17"/>
        <v>56</v>
      </c>
      <c r="C84">
        <f t="shared" si="18"/>
        <v>45</v>
      </c>
      <c r="D84">
        <f t="shared" si="19"/>
        <v>37</v>
      </c>
      <c r="E84">
        <f t="shared" si="20"/>
        <v>37</v>
      </c>
      <c r="F84" s="3">
        <v>15960</v>
      </c>
      <c r="G84">
        <v>8</v>
      </c>
      <c r="H84">
        <v>0</v>
      </c>
      <c r="I84">
        <v>10</v>
      </c>
      <c r="J84">
        <v>0</v>
      </c>
      <c r="K84" s="3">
        <v>5320</v>
      </c>
      <c r="L84" s="3">
        <v>7980</v>
      </c>
      <c r="N84" t="str">
        <f t="shared" si="21"/>
        <v>[{"1":56},{"4":37},{"5":37},{"12":16147},{"7":8},{"6":0},{"8":10},{"9":0}]</v>
      </c>
      <c r="W84" t="str">
        <f t="shared" si="16"/>
        <v>[{"2":45},{"4":37},{"5":37},{"12":5382},{"7":8},{"6":0},{"8":10},{"9":0}]</v>
      </c>
      <c r="AE84" t="str">
        <f t="shared" si="15"/>
        <v>[{"2":45},{"4":37},{"5":37},{"12":8074},{"7":8},{"6":0},{"8":10},{"9":0}]</v>
      </c>
      <c r="AG84">
        <v>16</v>
      </c>
      <c r="AH84">
        <v>11</v>
      </c>
      <c r="AI84">
        <v>11</v>
      </c>
      <c r="AJ84">
        <v>640</v>
      </c>
      <c r="AK84">
        <v>4</v>
      </c>
      <c r="AL84">
        <v>8</v>
      </c>
      <c r="AM84">
        <v>0</v>
      </c>
      <c r="AN84">
        <v>10</v>
      </c>
    </row>
    <row r="85" ht="16.5" spans="1:40">
      <c r="A85">
        <v>83</v>
      </c>
      <c r="B85">
        <f t="shared" si="17"/>
        <v>56</v>
      </c>
      <c r="C85">
        <f t="shared" si="18"/>
        <v>45</v>
      </c>
      <c r="D85">
        <f t="shared" si="19"/>
        <v>37</v>
      </c>
      <c r="E85">
        <f t="shared" si="20"/>
        <v>37</v>
      </c>
      <c r="F85" s="3">
        <v>16147</v>
      </c>
      <c r="G85">
        <v>8</v>
      </c>
      <c r="H85">
        <v>0</v>
      </c>
      <c r="I85">
        <v>10</v>
      </c>
      <c r="J85">
        <v>0</v>
      </c>
      <c r="K85" s="3">
        <v>5382</v>
      </c>
      <c r="L85" s="3">
        <v>8074</v>
      </c>
      <c r="N85" t="str">
        <f t="shared" si="21"/>
        <v>[{"1":56},{"4":37},{"5":37},{"12":20800},{"7":8},{"6":0},{"8":10},{"9":0}]</v>
      </c>
      <c r="W85" t="str">
        <f t="shared" si="16"/>
        <v>[{"2":45},{"4":37},{"5":37},{"12":6933},{"7":8},{"6":0},{"8":10},{"9":0}]</v>
      </c>
      <c r="AE85" t="str">
        <f t="shared" si="15"/>
        <v>[{"2":45},{"4":37},{"5":37},{"12":10400},{"7":8},{"6":0},{"8":10},{"9":0}]</v>
      </c>
      <c r="AG85">
        <v>16</v>
      </c>
      <c r="AH85">
        <v>11</v>
      </c>
      <c r="AI85">
        <v>11</v>
      </c>
      <c r="AJ85">
        <v>648</v>
      </c>
      <c r="AK85">
        <v>4</v>
      </c>
      <c r="AL85">
        <v>8</v>
      </c>
      <c r="AM85">
        <v>0</v>
      </c>
      <c r="AN85">
        <v>10</v>
      </c>
    </row>
    <row r="86" ht="16.5" spans="1:40">
      <c r="A86">
        <v>84</v>
      </c>
      <c r="B86">
        <f t="shared" si="17"/>
        <v>56</v>
      </c>
      <c r="C86">
        <f t="shared" si="18"/>
        <v>45</v>
      </c>
      <c r="D86">
        <f t="shared" si="19"/>
        <v>37</v>
      </c>
      <c r="E86">
        <f t="shared" si="20"/>
        <v>37</v>
      </c>
      <c r="F86" s="3">
        <v>20800</v>
      </c>
      <c r="G86">
        <v>8</v>
      </c>
      <c r="H86">
        <v>0</v>
      </c>
      <c r="I86">
        <v>10</v>
      </c>
      <c r="J86">
        <v>0</v>
      </c>
      <c r="K86" s="3">
        <v>6933</v>
      </c>
      <c r="L86" s="3">
        <v>10400</v>
      </c>
      <c r="N86" t="str">
        <f t="shared" si="21"/>
        <v>[{"1":57},{"4":37},{"5":37},{"12":21043},{"7":8},{"6":0},{"8":10},{"9":0}]</v>
      </c>
      <c r="W86" t="str">
        <f t="shared" si="16"/>
        <v>[{"2":46},{"4":37},{"5":37},{"12":7014},{"7":8},{"6":0},{"8":10},{"9":0}]</v>
      </c>
      <c r="AE86" t="str">
        <f t="shared" si="15"/>
        <v>[{"2":46},{"4":37},{"5":37},{"12":10522},{"7":8},{"6":0},{"8":10},{"9":0}]</v>
      </c>
      <c r="AG86">
        <v>16</v>
      </c>
      <c r="AH86">
        <v>11</v>
      </c>
      <c r="AI86">
        <v>11</v>
      </c>
      <c r="AJ86">
        <v>656</v>
      </c>
      <c r="AK86">
        <v>4</v>
      </c>
      <c r="AL86">
        <v>8</v>
      </c>
      <c r="AM86">
        <v>0</v>
      </c>
      <c r="AN86">
        <v>10</v>
      </c>
    </row>
    <row r="87" ht="16.5" spans="1:40">
      <c r="A87">
        <v>85</v>
      </c>
      <c r="B87">
        <f t="shared" si="17"/>
        <v>57</v>
      </c>
      <c r="C87">
        <f t="shared" si="18"/>
        <v>46</v>
      </c>
      <c r="D87">
        <f t="shared" si="19"/>
        <v>37</v>
      </c>
      <c r="E87">
        <f t="shared" si="20"/>
        <v>37</v>
      </c>
      <c r="F87" s="3">
        <v>21043</v>
      </c>
      <c r="G87">
        <v>8</v>
      </c>
      <c r="H87">
        <v>0</v>
      </c>
      <c r="I87">
        <v>10</v>
      </c>
      <c r="J87">
        <v>0</v>
      </c>
      <c r="K87" s="3">
        <v>7014</v>
      </c>
      <c r="L87" s="3">
        <v>10522</v>
      </c>
      <c r="N87" t="str">
        <f t="shared" si="21"/>
        <v>[{"1":57},{"4":37},{"5":37},{"12":21286},{"7":8},{"6":0},{"8":10},{"9":0}]</v>
      </c>
      <c r="W87" t="str">
        <f t="shared" si="16"/>
        <v>[{"2":46},{"4":37},{"5":37},{"12":7095},{"7":8},{"6":0},{"8":10},{"9":0}]</v>
      </c>
      <c r="AE87" t="str">
        <f t="shared" si="15"/>
        <v>[{"2":46},{"4":37},{"5":37},{"12":10643},{"7":8},{"6":0},{"8":10},{"9":0}]</v>
      </c>
      <c r="AG87">
        <v>17</v>
      </c>
      <c r="AH87">
        <v>11</v>
      </c>
      <c r="AI87">
        <v>11</v>
      </c>
      <c r="AJ87">
        <v>664</v>
      </c>
      <c r="AK87">
        <v>4</v>
      </c>
      <c r="AL87">
        <v>8</v>
      </c>
      <c r="AM87">
        <v>0</v>
      </c>
      <c r="AN87">
        <v>10</v>
      </c>
    </row>
    <row r="88" ht="16.5" spans="1:40">
      <c r="A88">
        <v>86</v>
      </c>
      <c r="B88">
        <f t="shared" si="17"/>
        <v>57</v>
      </c>
      <c r="C88">
        <f t="shared" si="18"/>
        <v>46</v>
      </c>
      <c r="D88">
        <f t="shared" si="19"/>
        <v>37</v>
      </c>
      <c r="E88">
        <f t="shared" si="20"/>
        <v>37</v>
      </c>
      <c r="F88" s="3">
        <v>21286</v>
      </c>
      <c r="G88">
        <v>8</v>
      </c>
      <c r="H88">
        <v>0</v>
      </c>
      <c r="I88">
        <v>10</v>
      </c>
      <c r="J88">
        <v>0</v>
      </c>
      <c r="K88" s="3">
        <v>7095</v>
      </c>
      <c r="L88" s="3">
        <v>10643</v>
      </c>
      <c r="N88" t="str">
        <f t="shared" si="21"/>
        <v>[{"1":57},{"4":37},{"5":37},{"12":21529},{"7":8},{"6":0},{"8":10},{"9":0}]</v>
      </c>
      <c r="W88" t="str">
        <f t="shared" si="16"/>
        <v>[{"2":46},{"4":37},{"5":37},{"12":7176},{"7":8},{"6":0},{"8":10},{"9":0}]</v>
      </c>
      <c r="AE88" t="str">
        <f t="shared" si="15"/>
        <v>[{"2":46},{"4":37},{"5":37},{"12":10765},{"7":8},{"6":0},{"8":10},{"9":0}]</v>
      </c>
      <c r="AG88">
        <v>17</v>
      </c>
      <c r="AH88">
        <v>11</v>
      </c>
      <c r="AI88">
        <v>11</v>
      </c>
      <c r="AJ88">
        <v>672</v>
      </c>
      <c r="AK88">
        <v>4</v>
      </c>
      <c r="AL88">
        <v>8</v>
      </c>
      <c r="AM88">
        <v>0</v>
      </c>
      <c r="AN88">
        <v>10</v>
      </c>
    </row>
    <row r="89" ht="16.5" spans="1:40">
      <c r="A89">
        <v>87</v>
      </c>
      <c r="B89">
        <f t="shared" si="17"/>
        <v>57</v>
      </c>
      <c r="C89">
        <f t="shared" si="18"/>
        <v>46</v>
      </c>
      <c r="D89">
        <f t="shared" si="19"/>
        <v>37</v>
      </c>
      <c r="E89">
        <f t="shared" si="20"/>
        <v>37</v>
      </c>
      <c r="F89" s="3">
        <v>21529</v>
      </c>
      <c r="G89">
        <v>8</v>
      </c>
      <c r="H89">
        <v>0</v>
      </c>
      <c r="I89">
        <v>10</v>
      </c>
      <c r="J89">
        <v>0</v>
      </c>
      <c r="K89" s="3">
        <v>7176</v>
      </c>
      <c r="L89" s="3">
        <v>10765</v>
      </c>
      <c r="N89" t="str">
        <f t="shared" si="21"/>
        <v>[{"1":57},{"4":37},{"5":37},{"12":21772},{"7":8},{"6":0},{"8":10},{"9":0}]</v>
      </c>
      <c r="W89" t="str">
        <f t="shared" si="16"/>
        <v>[{"2":46},{"4":37},{"5":37},{"12":7257},{"7":8},{"6":0},{"8":10},{"9":0}]</v>
      </c>
      <c r="AE89" t="str">
        <f t="shared" ref="AE89:AE120" si="22">$N$1&amp;$P$1&amp;$T$1&amp;$C$2&amp;$T$1&amp;$R$1&amp;C90&amp;$Q$1&amp;$S$1&amp;$P$1&amp;$T$1&amp;$D$2&amp;$T$1&amp;$R$1&amp;D90&amp;$Q$1&amp;$S$1&amp;$P$1&amp;$T$1&amp;$E$2&amp;$T$1&amp;$R$1&amp;E90&amp;$Q$1&amp;$S$1&amp;$P$1&amp;$T$1&amp;$F$2&amp;$T$1&amp;$R$1&amp;L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[{"2":46},{"4":37},{"5":37},{"12":10886},{"7":8},{"6":0},{"8":10},{"9":0}]</v>
      </c>
      <c r="AG89">
        <v>17</v>
      </c>
      <c r="AH89">
        <v>11</v>
      </c>
      <c r="AI89">
        <v>11</v>
      </c>
      <c r="AJ89">
        <v>680</v>
      </c>
      <c r="AK89">
        <v>4</v>
      </c>
      <c r="AL89">
        <v>8</v>
      </c>
      <c r="AM89">
        <v>0</v>
      </c>
      <c r="AN89">
        <v>10</v>
      </c>
    </row>
    <row r="90" ht="16.5" spans="1:40">
      <c r="A90">
        <v>88</v>
      </c>
      <c r="B90">
        <f t="shared" si="17"/>
        <v>57</v>
      </c>
      <c r="C90">
        <f t="shared" si="18"/>
        <v>46</v>
      </c>
      <c r="D90">
        <f t="shared" si="19"/>
        <v>37</v>
      </c>
      <c r="E90">
        <f t="shared" si="20"/>
        <v>37</v>
      </c>
      <c r="F90" s="3">
        <v>21772</v>
      </c>
      <c r="G90">
        <v>8</v>
      </c>
      <c r="H90">
        <v>0</v>
      </c>
      <c r="I90">
        <v>10</v>
      </c>
      <c r="J90">
        <v>0</v>
      </c>
      <c r="K90" s="3">
        <v>7257</v>
      </c>
      <c r="L90" s="3">
        <v>10886</v>
      </c>
      <c r="N90" t="str">
        <f t="shared" si="21"/>
        <v>[{"1":57},{"4":37},{"5":37},{"12":22016},{"7":8},{"6":0},{"8":10},{"9":0}]</v>
      </c>
      <c r="W90" t="str">
        <f t="shared" si="16"/>
        <v>[{"2":46},{"4":37},{"5":37},{"12":7338},{"7":8},{"6":0},{"8":10},{"9":0}]</v>
      </c>
      <c r="AE90" t="str">
        <f t="shared" si="22"/>
        <v>[{"2":46},{"4":37},{"5":37},{"12":11008},{"7":8},{"6":0},{"8":10},{"9":0}]</v>
      </c>
      <c r="AG90">
        <v>17</v>
      </c>
      <c r="AH90">
        <v>11</v>
      </c>
      <c r="AI90">
        <v>11</v>
      </c>
      <c r="AJ90">
        <v>689</v>
      </c>
      <c r="AK90">
        <v>4</v>
      </c>
      <c r="AL90">
        <v>8</v>
      </c>
      <c r="AM90">
        <v>0</v>
      </c>
      <c r="AN90">
        <v>10</v>
      </c>
    </row>
    <row r="91" ht="16.5" spans="1:40">
      <c r="A91">
        <v>89</v>
      </c>
      <c r="B91">
        <f t="shared" si="17"/>
        <v>57</v>
      </c>
      <c r="C91">
        <f t="shared" si="18"/>
        <v>46</v>
      </c>
      <c r="D91">
        <f t="shared" si="19"/>
        <v>37</v>
      </c>
      <c r="E91">
        <f t="shared" si="20"/>
        <v>37</v>
      </c>
      <c r="F91" s="3">
        <v>22016</v>
      </c>
      <c r="G91">
        <v>8</v>
      </c>
      <c r="H91">
        <v>0</v>
      </c>
      <c r="I91">
        <v>10</v>
      </c>
      <c r="J91">
        <v>0</v>
      </c>
      <c r="K91" s="3">
        <v>7338</v>
      </c>
      <c r="L91" s="3">
        <v>11008</v>
      </c>
      <c r="N91" t="str">
        <f t="shared" si="21"/>
        <v>[{"1":58},{"4":38},{"5":38},{"12":22259},{"7":8},{"6":0},{"8":10},{"9":0}]</v>
      </c>
      <c r="W91" t="str">
        <f t="shared" si="16"/>
        <v>[{"2":47},{"4":38},{"5":38},{"12":7419},{"7":8},{"6":0},{"8":10},{"9":0}]</v>
      </c>
      <c r="AE91" t="str">
        <f t="shared" si="22"/>
        <v>[{"2":47},{"4":38},{"5":38},{"12":11130},{"7":8},{"6":0},{"8":10},{"9":0}]</v>
      </c>
      <c r="AG91">
        <v>17</v>
      </c>
      <c r="AH91">
        <v>11</v>
      </c>
      <c r="AI91">
        <v>11</v>
      </c>
      <c r="AJ91">
        <v>697</v>
      </c>
      <c r="AK91">
        <v>4</v>
      </c>
      <c r="AL91">
        <v>8</v>
      </c>
      <c r="AM91">
        <v>0</v>
      </c>
      <c r="AN91">
        <v>10</v>
      </c>
    </row>
    <row r="92" ht="16.5" spans="1:40">
      <c r="A92">
        <v>90</v>
      </c>
      <c r="B92">
        <f t="shared" si="17"/>
        <v>58</v>
      </c>
      <c r="C92">
        <f t="shared" si="18"/>
        <v>47</v>
      </c>
      <c r="D92">
        <f t="shared" si="19"/>
        <v>38</v>
      </c>
      <c r="E92">
        <f t="shared" si="20"/>
        <v>38</v>
      </c>
      <c r="F92" s="3">
        <v>22259</v>
      </c>
      <c r="G92">
        <v>8</v>
      </c>
      <c r="H92">
        <v>0</v>
      </c>
      <c r="I92">
        <v>10</v>
      </c>
      <c r="J92">
        <v>0</v>
      </c>
      <c r="K92" s="3">
        <v>7419</v>
      </c>
      <c r="L92" s="3">
        <v>11130</v>
      </c>
      <c r="N92" t="str">
        <f t="shared" si="21"/>
        <v>[{"1":58},{"4":38},{"5":38},{"12":22502},{"7":8},{"6":0},{"8":10},{"9":0}]</v>
      </c>
      <c r="W92" t="str">
        <f t="shared" si="16"/>
        <v>[{"2":47},{"4":38},{"5":38},{"12":7500},{"7":8},{"6":0},{"8":10},{"9":0}]</v>
      </c>
      <c r="AE92" t="str">
        <f t="shared" si="22"/>
        <v>[{"2":47},{"4":38},{"5":38},{"12":11251},{"7":8},{"6":0},{"8":10},{"9":0}]</v>
      </c>
      <c r="AG92">
        <v>18</v>
      </c>
      <c r="AH92">
        <v>12</v>
      </c>
      <c r="AI92">
        <v>12</v>
      </c>
      <c r="AJ92">
        <v>705</v>
      </c>
      <c r="AK92">
        <v>4</v>
      </c>
      <c r="AL92">
        <v>8</v>
      </c>
      <c r="AM92">
        <v>0</v>
      </c>
      <c r="AN92">
        <v>10</v>
      </c>
    </row>
    <row r="93" ht="16.5" spans="1:40">
      <c r="A93">
        <v>91</v>
      </c>
      <c r="B93">
        <f t="shared" si="17"/>
        <v>58</v>
      </c>
      <c r="C93">
        <f t="shared" si="18"/>
        <v>47</v>
      </c>
      <c r="D93">
        <f t="shared" si="19"/>
        <v>38</v>
      </c>
      <c r="E93">
        <f t="shared" si="20"/>
        <v>38</v>
      </c>
      <c r="F93" s="3">
        <v>22502</v>
      </c>
      <c r="G93">
        <v>8</v>
      </c>
      <c r="H93">
        <v>0</v>
      </c>
      <c r="I93">
        <v>10</v>
      </c>
      <c r="J93">
        <v>0</v>
      </c>
      <c r="K93" s="3">
        <v>7500</v>
      </c>
      <c r="L93" s="3">
        <v>11251</v>
      </c>
      <c r="N93" t="str">
        <f t="shared" si="21"/>
        <v>[{"1":58},{"4":38},{"5":38},{"12":22745},{"7":8},{"6":0},{"8":10},{"9":0}]</v>
      </c>
      <c r="W93" t="str">
        <f t="shared" si="16"/>
        <v>[{"2":47},{"4":38},{"5":38},{"12":7581},{"7":8},{"6":0},{"8":10},{"9":0}]</v>
      </c>
      <c r="AE93" t="str">
        <f t="shared" si="22"/>
        <v>[{"2":47},{"4":38},{"5":38},{"12":11373},{"7":8},{"6":0},{"8":10},{"9":0}]</v>
      </c>
      <c r="AG93">
        <v>18</v>
      </c>
      <c r="AH93">
        <v>12</v>
      </c>
      <c r="AI93">
        <v>12</v>
      </c>
      <c r="AJ93">
        <v>713</v>
      </c>
      <c r="AK93">
        <v>4</v>
      </c>
      <c r="AL93">
        <v>8</v>
      </c>
      <c r="AM93">
        <v>0</v>
      </c>
      <c r="AN93">
        <v>10</v>
      </c>
    </row>
    <row r="94" ht="16.5" spans="1:40">
      <c r="A94">
        <v>92</v>
      </c>
      <c r="B94">
        <f t="shared" si="17"/>
        <v>58</v>
      </c>
      <c r="C94">
        <f t="shared" si="18"/>
        <v>47</v>
      </c>
      <c r="D94">
        <f t="shared" si="19"/>
        <v>38</v>
      </c>
      <c r="E94">
        <f t="shared" si="20"/>
        <v>38</v>
      </c>
      <c r="F94" s="3">
        <v>22745</v>
      </c>
      <c r="G94">
        <v>8</v>
      </c>
      <c r="H94">
        <v>0</v>
      </c>
      <c r="I94">
        <v>10</v>
      </c>
      <c r="J94">
        <v>0</v>
      </c>
      <c r="K94" s="3">
        <v>7581</v>
      </c>
      <c r="L94" s="3">
        <v>11373</v>
      </c>
      <c r="N94" t="str">
        <f t="shared" si="21"/>
        <v>[{"1":58},{"4":38},{"5":38},{"12":22985},{"7":8},{"6":0},{"8":10},{"9":0}]</v>
      </c>
      <c r="W94" t="str">
        <f t="shared" si="16"/>
        <v>[{"2":47},{"4":38},{"5":38},{"12":7661},{"7":8},{"6":0},{"8":10},{"9":0}]</v>
      </c>
      <c r="AE94" t="str">
        <f t="shared" si="22"/>
        <v>[{"2":47},{"4":38},{"5":38},{"12":11493},{"7":8},{"6":0},{"8":10},{"9":0}]</v>
      </c>
      <c r="AG94">
        <v>18</v>
      </c>
      <c r="AH94">
        <v>12</v>
      </c>
      <c r="AI94">
        <v>12</v>
      </c>
      <c r="AJ94">
        <v>721</v>
      </c>
      <c r="AK94">
        <v>4</v>
      </c>
      <c r="AL94">
        <v>8</v>
      </c>
      <c r="AM94">
        <v>0</v>
      </c>
      <c r="AN94">
        <v>10</v>
      </c>
    </row>
    <row r="95" ht="16.5" spans="1:40">
      <c r="A95">
        <v>93</v>
      </c>
      <c r="B95">
        <f t="shared" si="17"/>
        <v>58</v>
      </c>
      <c r="C95">
        <f t="shared" si="18"/>
        <v>47</v>
      </c>
      <c r="D95">
        <f t="shared" si="19"/>
        <v>38</v>
      </c>
      <c r="E95">
        <f t="shared" si="20"/>
        <v>38</v>
      </c>
      <c r="F95" s="3">
        <v>22985</v>
      </c>
      <c r="G95">
        <v>8</v>
      </c>
      <c r="H95">
        <v>0</v>
      </c>
      <c r="I95">
        <v>10</v>
      </c>
      <c r="J95">
        <v>0</v>
      </c>
      <c r="K95" s="3">
        <v>7661</v>
      </c>
      <c r="L95" s="3">
        <v>11493</v>
      </c>
      <c r="N95" t="str">
        <f t="shared" si="21"/>
        <v>[{"1":58},{"4":38},{"5":38},{"12":23228},{"7":8},{"6":0},{"8":10},{"9":0}]</v>
      </c>
      <c r="W95" t="str">
        <f t="shared" si="16"/>
        <v>[{"2":47},{"4":38},{"5":38},{"12":7742},{"7":8},{"6":0},{"8":10},{"9":0}]</v>
      </c>
      <c r="AE95" t="str">
        <f t="shared" si="22"/>
        <v>[{"2":47},{"4":38},{"5":38},{"12":11614},{"7":8},{"6":0},{"8":10},{"9":0}]</v>
      </c>
      <c r="AG95">
        <v>18</v>
      </c>
      <c r="AH95">
        <v>12</v>
      </c>
      <c r="AI95">
        <v>12</v>
      </c>
      <c r="AJ95">
        <v>729</v>
      </c>
      <c r="AK95">
        <v>4</v>
      </c>
      <c r="AL95">
        <v>8</v>
      </c>
      <c r="AM95">
        <v>0</v>
      </c>
      <c r="AN95">
        <v>10</v>
      </c>
    </row>
    <row r="96" ht="16.5" spans="1:40">
      <c r="A96">
        <v>94</v>
      </c>
      <c r="B96">
        <f t="shared" si="17"/>
        <v>58</v>
      </c>
      <c r="C96">
        <f t="shared" si="18"/>
        <v>47</v>
      </c>
      <c r="D96">
        <f t="shared" si="19"/>
        <v>38</v>
      </c>
      <c r="E96">
        <f t="shared" si="20"/>
        <v>38</v>
      </c>
      <c r="F96" s="3">
        <v>23228</v>
      </c>
      <c r="G96">
        <v>8</v>
      </c>
      <c r="H96">
        <v>0</v>
      </c>
      <c r="I96">
        <v>10</v>
      </c>
      <c r="J96">
        <v>0</v>
      </c>
      <c r="K96" s="3">
        <v>7742</v>
      </c>
      <c r="L96" s="3">
        <v>11614</v>
      </c>
      <c r="N96" t="str">
        <f t="shared" si="21"/>
        <v>[{"1":59},{"4":39},{"5":39},{"12":23472},{"7":8},{"6":0},{"8":10},{"9":0}]</v>
      </c>
      <c r="W96" t="str">
        <f t="shared" si="16"/>
        <v>[{"2":48},{"4":39},{"5":39},{"12":7824},{"7":8},{"6":0},{"8":10},{"9":0}]</v>
      </c>
      <c r="AE96" t="str">
        <f t="shared" si="22"/>
        <v>[{"2":48},{"4":39},{"5":39},{"12":11736},{"7":8},{"6":0},{"8":10},{"9":0}]</v>
      </c>
      <c r="AG96">
        <v>18</v>
      </c>
      <c r="AH96">
        <v>12</v>
      </c>
      <c r="AI96">
        <v>12</v>
      </c>
      <c r="AJ96">
        <v>737</v>
      </c>
      <c r="AK96">
        <v>4</v>
      </c>
      <c r="AL96">
        <v>8</v>
      </c>
      <c r="AM96">
        <v>0</v>
      </c>
      <c r="AN96">
        <v>10</v>
      </c>
    </row>
    <row r="97" ht="16.5" spans="1:40">
      <c r="A97">
        <v>95</v>
      </c>
      <c r="B97">
        <f t="shared" si="17"/>
        <v>59</v>
      </c>
      <c r="C97">
        <f t="shared" si="18"/>
        <v>48</v>
      </c>
      <c r="D97">
        <f t="shared" si="19"/>
        <v>39</v>
      </c>
      <c r="E97">
        <f t="shared" si="20"/>
        <v>39</v>
      </c>
      <c r="F97" s="3">
        <v>23472</v>
      </c>
      <c r="G97">
        <v>8</v>
      </c>
      <c r="H97">
        <v>0</v>
      </c>
      <c r="I97">
        <v>10</v>
      </c>
      <c r="J97">
        <v>0</v>
      </c>
      <c r="K97" s="3">
        <v>7824</v>
      </c>
      <c r="L97" s="3">
        <v>11736</v>
      </c>
      <c r="N97" t="str">
        <f t="shared" si="21"/>
        <v>[{"1":59},{"4":39},{"5":39},{"12":23715},{"7":8},{"6":0},{"8":10},{"9":0}]</v>
      </c>
      <c r="W97" t="str">
        <f t="shared" si="16"/>
        <v>[{"2":48},{"4":39},{"5":39},{"12":7905},{"7":8},{"6":0},{"8":10},{"9":0}]</v>
      </c>
      <c r="AE97" t="str">
        <f t="shared" si="22"/>
        <v>[{"2":48},{"4":39},{"5":39},{"12":11858},{"7":8},{"6":0},{"8":10},{"9":0}]</v>
      </c>
      <c r="AG97">
        <v>19</v>
      </c>
      <c r="AH97">
        <v>13</v>
      </c>
      <c r="AI97">
        <v>13</v>
      </c>
      <c r="AJ97">
        <v>745</v>
      </c>
      <c r="AK97">
        <v>4</v>
      </c>
      <c r="AL97">
        <v>8</v>
      </c>
      <c r="AM97">
        <v>0</v>
      </c>
      <c r="AN97">
        <v>10</v>
      </c>
    </row>
    <row r="98" ht="16.5" spans="1:40">
      <c r="A98">
        <v>96</v>
      </c>
      <c r="B98">
        <f t="shared" si="17"/>
        <v>59</v>
      </c>
      <c r="C98">
        <f t="shared" si="18"/>
        <v>48</v>
      </c>
      <c r="D98">
        <f t="shared" si="19"/>
        <v>39</v>
      </c>
      <c r="E98">
        <f t="shared" si="20"/>
        <v>39</v>
      </c>
      <c r="F98" s="3">
        <v>23715</v>
      </c>
      <c r="G98">
        <v>8</v>
      </c>
      <c r="H98">
        <v>0</v>
      </c>
      <c r="I98">
        <v>10</v>
      </c>
      <c r="J98">
        <v>0</v>
      </c>
      <c r="K98" s="3">
        <v>7905</v>
      </c>
      <c r="L98" s="3">
        <v>11858</v>
      </c>
      <c r="N98" t="str">
        <f t="shared" si="21"/>
        <v>[{"1":59},{"4":39},{"5":39},{"12":23958},{"7":8},{"6":0},{"8":10},{"9":0}]</v>
      </c>
      <c r="W98" t="str">
        <f t="shared" si="16"/>
        <v>[{"2":48},{"4":39},{"5":39},{"12":7986},{"7":8},{"6":0},{"8":10},{"9":0}]</v>
      </c>
      <c r="AE98" t="str">
        <f t="shared" si="22"/>
        <v>[{"2":48},{"4":39},{"5":39},{"12":11979},{"7":8},{"6":0},{"8":10},{"9":0}]</v>
      </c>
      <c r="AG98">
        <v>19</v>
      </c>
      <c r="AH98">
        <v>13</v>
      </c>
      <c r="AI98">
        <v>13</v>
      </c>
      <c r="AJ98">
        <v>753</v>
      </c>
      <c r="AK98">
        <v>4</v>
      </c>
      <c r="AL98">
        <v>8</v>
      </c>
      <c r="AM98">
        <v>0</v>
      </c>
      <c r="AN98">
        <v>10</v>
      </c>
    </row>
    <row r="99" ht="16.5" spans="1:40">
      <c r="A99">
        <v>97</v>
      </c>
      <c r="B99">
        <f t="shared" si="17"/>
        <v>59</v>
      </c>
      <c r="C99">
        <f t="shared" si="18"/>
        <v>48</v>
      </c>
      <c r="D99">
        <f t="shared" si="19"/>
        <v>39</v>
      </c>
      <c r="E99">
        <f t="shared" si="20"/>
        <v>39</v>
      </c>
      <c r="F99" s="3">
        <v>23958</v>
      </c>
      <c r="G99">
        <v>8</v>
      </c>
      <c r="H99">
        <v>0</v>
      </c>
      <c r="I99">
        <v>10</v>
      </c>
      <c r="J99">
        <v>0</v>
      </c>
      <c r="K99" s="3">
        <v>7986</v>
      </c>
      <c r="L99" s="3">
        <v>11979</v>
      </c>
      <c r="N99" t="str">
        <f t="shared" si="21"/>
        <v>[{"1":59},{"4":39},{"5":39},{"12":24201},{"7":8},{"6":0},{"8":10},{"9":0}]</v>
      </c>
      <c r="W99" t="str">
        <f t="shared" ref="W99:W130" si="23">$N$1&amp;$P$1&amp;$T$1&amp;$C$2&amp;$T$1&amp;$R$1&amp;C100&amp;$Q$1&amp;$S$1&amp;$P$1&amp;$T$1&amp;$D$2&amp;$T$1&amp;$R$1&amp;D100&amp;$Q$1&amp;$S$1&amp;$P$1&amp;$T$1&amp;$E$2&amp;$T$1&amp;$R$1&amp;E100&amp;$Q$1&amp;$S$1&amp;$P$1&amp;$T$1&amp;$F$2&amp;$T$1&amp;$R$1&amp;K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[{"2":48},{"4":39},{"5":39},{"12":8067},{"7":8},{"6":0},{"8":10},{"9":0}]</v>
      </c>
      <c r="AE99" t="str">
        <f t="shared" si="22"/>
        <v>[{"2":48},{"4":39},{"5":39},{"12":12101},{"7":8},{"6":0},{"8":10},{"9":0}]</v>
      </c>
      <c r="AG99">
        <v>19</v>
      </c>
      <c r="AH99">
        <v>13</v>
      </c>
      <c r="AI99">
        <v>13</v>
      </c>
      <c r="AJ99">
        <v>761</v>
      </c>
      <c r="AK99">
        <v>4</v>
      </c>
      <c r="AL99">
        <v>8</v>
      </c>
      <c r="AM99">
        <v>0</v>
      </c>
      <c r="AN99">
        <v>10</v>
      </c>
    </row>
    <row r="100" ht="16.5" spans="1:40">
      <c r="A100">
        <v>98</v>
      </c>
      <c r="B100">
        <f t="shared" ref="B100:B131" si="24">$AP$2+AG100</f>
        <v>59</v>
      </c>
      <c r="C100">
        <f t="shared" ref="C100:C131" si="25">INT(B100*0.82)</f>
        <v>48</v>
      </c>
      <c r="D100">
        <f t="shared" ref="D100:D131" si="26">AH100+$AQ$2</f>
        <v>39</v>
      </c>
      <c r="E100">
        <f t="shared" ref="E100:E131" si="27">D100</f>
        <v>39</v>
      </c>
      <c r="F100" s="3">
        <v>24201</v>
      </c>
      <c r="G100">
        <v>8</v>
      </c>
      <c r="H100">
        <v>0</v>
      </c>
      <c r="I100">
        <v>10</v>
      </c>
      <c r="J100">
        <v>0</v>
      </c>
      <c r="K100" s="3">
        <v>8067</v>
      </c>
      <c r="L100" s="3">
        <v>12101</v>
      </c>
      <c r="N100" t="str">
        <f t="shared" si="21"/>
        <v>[{"1":59},{"4":39},{"5":39},{"12":24444},{"7":8},{"6":0},{"8":10},{"9":0}]</v>
      </c>
      <c r="W100" t="str">
        <f t="shared" si="23"/>
        <v>[{"2":48},{"4":39},{"5":39},{"12":8148},{"7":8},{"6":0},{"8":10},{"9":0}]</v>
      </c>
      <c r="AE100" t="str">
        <f t="shared" si="22"/>
        <v>[{"2":48},{"4":39},{"5":39},{"12":12222},{"7":8},{"6":0},{"8":10},{"9":0}]</v>
      </c>
      <c r="AG100">
        <v>19</v>
      </c>
      <c r="AH100">
        <v>13</v>
      </c>
      <c r="AI100">
        <v>13</v>
      </c>
      <c r="AJ100">
        <v>769</v>
      </c>
      <c r="AK100">
        <v>4</v>
      </c>
      <c r="AL100">
        <v>8</v>
      </c>
      <c r="AM100">
        <v>0</v>
      </c>
      <c r="AN100">
        <v>10</v>
      </c>
    </row>
    <row r="101" ht="16.5" spans="1:40">
      <c r="A101">
        <v>99</v>
      </c>
      <c r="B101">
        <f t="shared" si="24"/>
        <v>59</v>
      </c>
      <c r="C101">
        <f t="shared" si="25"/>
        <v>48</v>
      </c>
      <c r="D101">
        <f t="shared" si="26"/>
        <v>39</v>
      </c>
      <c r="E101">
        <f t="shared" si="27"/>
        <v>39</v>
      </c>
      <c r="F101" s="3">
        <v>24444</v>
      </c>
      <c r="G101">
        <v>8</v>
      </c>
      <c r="H101">
        <v>0</v>
      </c>
      <c r="I101">
        <v>10</v>
      </c>
      <c r="J101">
        <v>0</v>
      </c>
      <c r="K101" s="3">
        <v>8148</v>
      </c>
      <c r="L101" s="3">
        <v>12222</v>
      </c>
      <c r="N101" t="str">
        <f t="shared" si="21"/>
        <v>[{"1":61},{"4":40},{"5":40},{"12":24688},{"7":8},{"6":0},{"8":10},{"9":0}]</v>
      </c>
      <c r="W101" t="str">
        <f t="shared" si="23"/>
        <v>[{"2":50},{"4":40},{"5":40},{"12":8229},{"7":8},{"6":0},{"8":10},{"9":0}]</v>
      </c>
      <c r="AE101" t="str">
        <f t="shared" si="22"/>
        <v>[{"2":50},{"4":40},{"5":40},{"12":12344},{"7":8},{"6":0},{"8":10},{"9":0}]</v>
      </c>
      <c r="AG101">
        <v>19</v>
      </c>
      <c r="AH101">
        <v>13</v>
      </c>
      <c r="AI101">
        <v>13</v>
      </c>
      <c r="AJ101">
        <v>777</v>
      </c>
      <c r="AK101">
        <v>4</v>
      </c>
      <c r="AL101">
        <v>8</v>
      </c>
      <c r="AM101">
        <v>0</v>
      </c>
      <c r="AN101">
        <v>10</v>
      </c>
    </row>
    <row r="102" ht="16.5" spans="1:40">
      <c r="A102">
        <v>100</v>
      </c>
      <c r="B102">
        <f t="shared" si="24"/>
        <v>61</v>
      </c>
      <c r="C102">
        <f t="shared" si="25"/>
        <v>50</v>
      </c>
      <c r="D102">
        <f t="shared" si="26"/>
        <v>40</v>
      </c>
      <c r="E102">
        <f t="shared" si="27"/>
        <v>40</v>
      </c>
      <c r="F102" s="3">
        <v>24688</v>
      </c>
      <c r="G102">
        <v>8</v>
      </c>
      <c r="H102">
        <v>0</v>
      </c>
      <c r="I102">
        <v>10</v>
      </c>
      <c r="J102">
        <v>0</v>
      </c>
      <c r="K102" s="3">
        <v>8229</v>
      </c>
      <c r="L102" s="3">
        <v>12344</v>
      </c>
      <c r="N102" t="str">
        <f t="shared" si="21"/>
        <v>[{"1":61},{"4":40},{"5":40},{"12":24931},{"7":8},{"6":0},{"8":10},{"9":0}]</v>
      </c>
      <c r="W102" t="str">
        <f t="shared" si="23"/>
        <v>[{"2":50},{"4":40},{"5":40},{"12":8310},{"7":8},{"6":0},{"8":10},{"9":0}]</v>
      </c>
      <c r="AE102" t="str">
        <f t="shared" si="22"/>
        <v>[{"2":50},{"4":40},{"5":40},{"12":12466},{"7":8},{"6":0},{"8":10},{"9":0}]</v>
      </c>
      <c r="AG102">
        <v>21</v>
      </c>
      <c r="AH102">
        <v>14</v>
      </c>
      <c r="AI102">
        <v>14</v>
      </c>
      <c r="AJ102">
        <v>785</v>
      </c>
      <c r="AK102">
        <v>4</v>
      </c>
      <c r="AL102">
        <v>8</v>
      </c>
      <c r="AM102">
        <v>0</v>
      </c>
      <c r="AN102">
        <v>10</v>
      </c>
    </row>
    <row r="103" ht="16.5" spans="1:40">
      <c r="A103">
        <v>101</v>
      </c>
      <c r="B103">
        <f t="shared" si="24"/>
        <v>61</v>
      </c>
      <c r="C103">
        <f t="shared" si="25"/>
        <v>50</v>
      </c>
      <c r="D103">
        <f t="shared" si="26"/>
        <v>40</v>
      </c>
      <c r="E103">
        <f t="shared" si="27"/>
        <v>40</v>
      </c>
      <c r="F103" s="3">
        <v>24931</v>
      </c>
      <c r="G103">
        <v>8</v>
      </c>
      <c r="H103">
        <v>0</v>
      </c>
      <c r="I103">
        <v>10</v>
      </c>
      <c r="J103">
        <v>0</v>
      </c>
      <c r="K103" s="3">
        <v>8310</v>
      </c>
      <c r="L103" s="3">
        <v>12466</v>
      </c>
      <c r="N103" t="str">
        <f t="shared" si="21"/>
        <v>[{"1":61},{"4":40},{"5":40},{"12":25174},{"7":8},{"6":0},{"8":10},{"9":0}]</v>
      </c>
      <c r="W103" t="str">
        <f t="shared" si="23"/>
        <v>[{"2":50},{"4":40},{"5":40},{"12":8391},{"7":8},{"6":0},{"8":10},{"9":0}]</v>
      </c>
      <c r="AE103" t="str">
        <f t="shared" si="22"/>
        <v>[{"2":50},{"4":40},{"5":40},{"12":12587},{"7":8},{"6":0},{"8":10},{"9":0}]</v>
      </c>
      <c r="AG103">
        <v>21</v>
      </c>
      <c r="AH103">
        <v>14</v>
      </c>
      <c r="AI103">
        <v>14</v>
      </c>
      <c r="AJ103">
        <v>794</v>
      </c>
      <c r="AK103">
        <v>4</v>
      </c>
      <c r="AL103">
        <v>8</v>
      </c>
      <c r="AM103">
        <v>0</v>
      </c>
      <c r="AN103">
        <v>10</v>
      </c>
    </row>
    <row r="104" ht="16.5" spans="1:40">
      <c r="A104">
        <v>102</v>
      </c>
      <c r="B104">
        <f t="shared" si="24"/>
        <v>61</v>
      </c>
      <c r="C104">
        <f t="shared" si="25"/>
        <v>50</v>
      </c>
      <c r="D104">
        <f t="shared" si="26"/>
        <v>40</v>
      </c>
      <c r="E104">
        <f t="shared" si="27"/>
        <v>40</v>
      </c>
      <c r="F104" s="3">
        <v>25174</v>
      </c>
      <c r="G104">
        <v>8</v>
      </c>
      <c r="H104">
        <v>0</v>
      </c>
      <c r="I104">
        <v>10</v>
      </c>
      <c r="J104">
        <v>0</v>
      </c>
      <c r="K104" s="3">
        <v>8391</v>
      </c>
      <c r="L104" s="3">
        <v>12587</v>
      </c>
      <c r="N104" t="str">
        <f t="shared" si="21"/>
        <v>[{"1":61},{"4":40},{"5":40},{"12":25414},{"7":8},{"6":0},{"8":10},{"9":0}]</v>
      </c>
      <c r="W104" t="str">
        <f t="shared" si="23"/>
        <v>[{"2":50},{"4":40},{"5":40},{"12":8471},{"7":8},{"6":0},{"8":10},{"9":0}]</v>
      </c>
      <c r="AE104" t="str">
        <f t="shared" si="22"/>
        <v>[{"2":50},{"4":40},{"5":40},{"12":12707},{"7":8},{"6":0},{"8":10},{"9":0}]</v>
      </c>
      <c r="AG104">
        <v>21</v>
      </c>
      <c r="AH104">
        <v>14</v>
      </c>
      <c r="AI104">
        <v>14</v>
      </c>
      <c r="AJ104">
        <v>802</v>
      </c>
      <c r="AK104">
        <v>4</v>
      </c>
      <c r="AL104">
        <v>8</v>
      </c>
      <c r="AM104">
        <v>0</v>
      </c>
      <c r="AN104">
        <v>10</v>
      </c>
    </row>
    <row r="105" ht="16.5" spans="1:40">
      <c r="A105">
        <v>103</v>
      </c>
      <c r="B105">
        <f t="shared" si="24"/>
        <v>61</v>
      </c>
      <c r="C105">
        <f t="shared" si="25"/>
        <v>50</v>
      </c>
      <c r="D105">
        <f t="shared" si="26"/>
        <v>40</v>
      </c>
      <c r="E105">
        <f t="shared" si="27"/>
        <v>40</v>
      </c>
      <c r="F105" s="3">
        <v>25414</v>
      </c>
      <c r="G105">
        <v>8</v>
      </c>
      <c r="H105">
        <v>0</v>
      </c>
      <c r="I105">
        <v>10</v>
      </c>
      <c r="J105">
        <v>0</v>
      </c>
      <c r="K105" s="3">
        <v>8471</v>
      </c>
      <c r="L105" s="3">
        <v>12707</v>
      </c>
      <c r="N105" t="str">
        <f t="shared" si="21"/>
        <v>[{"1":61},{"4":40},{"5":40},{"12":25657},{"7":8},{"6":0},{"8":10},{"9":0}]</v>
      </c>
      <c r="W105" t="str">
        <f t="shared" si="23"/>
        <v>[{"2":50},{"4":40},{"5":40},{"12":8552},{"7":8},{"6":0},{"8":10},{"9":0}]</v>
      </c>
      <c r="AE105" t="str">
        <f t="shared" si="22"/>
        <v>[{"2":50},{"4":40},{"5":40},{"12":12829},{"7":8},{"6":0},{"8":10},{"9":0}]</v>
      </c>
      <c r="AG105">
        <v>21</v>
      </c>
      <c r="AH105">
        <v>14</v>
      </c>
      <c r="AI105">
        <v>14</v>
      </c>
      <c r="AJ105">
        <v>810</v>
      </c>
      <c r="AK105">
        <v>4</v>
      </c>
      <c r="AL105">
        <v>8</v>
      </c>
      <c r="AM105">
        <v>0</v>
      </c>
      <c r="AN105">
        <v>10</v>
      </c>
    </row>
    <row r="106" ht="16.5" spans="1:40">
      <c r="A106">
        <v>104</v>
      </c>
      <c r="B106">
        <f t="shared" si="24"/>
        <v>61</v>
      </c>
      <c r="C106">
        <f t="shared" si="25"/>
        <v>50</v>
      </c>
      <c r="D106">
        <f t="shared" si="26"/>
        <v>40</v>
      </c>
      <c r="E106">
        <f t="shared" si="27"/>
        <v>40</v>
      </c>
      <c r="F106" s="3">
        <v>25657</v>
      </c>
      <c r="G106">
        <v>8</v>
      </c>
      <c r="H106">
        <v>0</v>
      </c>
      <c r="I106">
        <v>10</v>
      </c>
      <c r="J106">
        <v>0</v>
      </c>
      <c r="K106" s="3">
        <v>8552</v>
      </c>
      <c r="L106" s="3">
        <v>12829</v>
      </c>
      <c r="N106" t="str">
        <f t="shared" ref="N106:N137" si="28">$N$1&amp;$P$1&amp;$T$1&amp;$B$2&amp;$T$1&amp;$R$1&amp;B107&amp;$Q$1&amp;$S$1&amp;$P$1&amp;$T$1&amp;$D$2&amp;$T$1&amp;$R$1&amp;D107&amp;$Q$1&amp;$S$1&amp;$P$1&amp;$T$1&amp;$E$2&amp;$T$1&amp;$R$1&amp;E107&amp;$Q$1&amp;$S$1&amp;$P$1&amp;$T$1&amp;$F$2&amp;$T$1&amp;$R$1&amp;F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[{"1":61},{"4":40},{"5":40},{"12":25900},{"7":8},{"6":0},{"8":10},{"9":0}]</v>
      </c>
      <c r="W106" t="str">
        <f t="shared" si="23"/>
        <v>[{"2":50},{"4":40},{"5":40},{"12":8633},{"7":8},{"6":0},{"8":10},{"9":0}]</v>
      </c>
      <c r="AE106" t="str">
        <f t="shared" si="22"/>
        <v>[{"2":50},{"4":40},{"5":40},{"12":12950},{"7":8},{"6":0},{"8":10},{"9":0}]</v>
      </c>
      <c r="AG106">
        <v>21</v>
      </c>
      <c r="AH106">
        <v>14</v>
      </c>
      <c r="AI106">
        <v>14</v>
      </c>
      <c r="AJ106">
        <v>818</v>
      </c>
      <c r="AK106">
        <v>4</v>
      </c>
      <c r="AL106">
        <v>8</v>
      </c>
      <c r="AM106">
        <v>0</v>
      </c>
      <c r="AN106">
        <v>10</v>
      </c>
    </row>
    <row r="107" ht="16.5" spans="1:40">
      <c r="A107">
        <v>105</v>
      </c>
      <c r="B107">
        <f t="shared" si="24"/>
        <v>61</v>
      </c>
      <c r="C107">
        <f t="shared" si="25"/>
        <v>50</v>
      </c>
      <c r="D107">
        <f t="shared" si="26"/>
        <v>40</v>
      </c>
      <c r="E107">
        <f t="shared" si="27"/>
        <v>40</v>
      </c>
      <c r="F107" s="3">
        <v>25900</v>
      </c>
      <c r="G107">
        <v>8</v>
      </c>
      <c r="H107">
        <v>0</v>
      </c>
      <c r="I107">
        <v>10</v>
      </c>
      <c r="J107">
        <v>0</v>
      </c>
      <c r="K107" s="3">
        <v>8633</v>
      </c>
      <c r="L107" s="3">
        <v>12950</v>
      </c>
      <c r="N107" t="str">
        <f t="shared" si="28"/>
        <v>[{"1":61},{"4":40},{"5":40},{"12":26144},{"7":8},{"6":0},{"8":10},{"9":0}]</v>
      </c>
      <c r="W107" t="str">
        <f t="shared" si="23"/>
        <v>[{"2":50},{"4":40},{"5":40},{"12":8714},{"7":8},{"6":0},{"8":10},{"9":0}]</v>
      </c>
      <c r="AE107" t="str">
        <f t="shared" si="22"/>
        <v>[{"2":50},{"4":40},{"5":40},{"12":13072},{"7":8},{"6":0},{"8":10},{"9":0}]</v>
      </c>
      <c r="AG107">
        <v>21</v>
      </c>
      <c r="AH107">
        <v>14</v>
      </c>
      <c r="AI107">
        <v>14</v>
      </c>
      <c r="AJ107">
        <v>826</v>
      </c>
      <c r="AK107">
        <v>4</v>
      </c>
      <c r="AL107">
        <v>8</v>
      </c>
      <c r="AM107">
        <v>0</v>
      </c>
      <c r="AN107">
        <v>10</v>
      </c>
    </row>
    <row r="108" ht="16.5" spans="1:40">
      <c r="A108">
        <v>106</v>
      </c>
      <c r="B108">
        <f t="shared" si="24"/>
        <v>61</v>
      </c>
      <c r="C108">
        <f t="shared" si="25"/>
        <v>50</v>
      </c>
      <c r="D108">
        <f t="shared" si="26"/>
        <v>40</v>
      </c>
      <c r="E108">
        <f t="shared" si="27"/>
        <v>40</v>
      </c>
      <c r="F108" s="3">
        <v>26144</v>
      </c>
      <c r="G108">
        <v>8</v>
      </c>
      <c r="H108">
        <v>0</v>
      </c>
      <c r="I108">
        <v>10</v>
      </c>
      <c r="J108">
        <v>0</v>
      </c>
      <c r="K108" s="3">
        <v>8714</v>
      </c>
      <c r="L108" s="3">
        <v>13072</v>
      </c>
      <c r="N108" t="str">
        <f t="shared" si="28"/>
        <v>[{"1":61},{"4":40},{"5":40},{"12":26387},{"7":8},{"6":0},{"8":10},{"9":0}]</v>
      </c>
      <c r="W108" t="str">
        <f t="shared" si="23"/>
        <v>[{"2":50},{"4":40},{"5":40},{"12":8795},{"7":8},{"6":0},{"8":10},{"9":0}]</v>
      </c>
      <c r="AE108" t="str">
        <f t="shared" si="22"/>
        <v>[{"2":50},{"4":40},{"5":40},{"12":13194},{"7":8},{"6":0},{"8":10},{"9":0}]</v>
      </c>
      <c r="AG108">
        <v>21</v>
      </c>
      <c r="AH108">
        <v>14</v>
      </c>
      <c r="AI108">
        <v>14</v>
      </c>
      <c r="AJ108">
        <v>834</v>
      </c>
      <c r="AK108">
        <v>4</v>
      </c>
      <c r="AL108">
        <v>8</v>
      </c>
      <c r="AM108">
        <v>0</v>
      </c>
      <c r="AN108">
        <v>10</v>
      </c>
    </row>
    <row r="109" ht="16.5" spans="1:40">
      <c r="A109">
        <v>107</v>
      </c>
      <c r="B109">
        <f t="shared" si="24"/>
        <v>61</v>
      </c>
      <c r="C109">
        <f t="shared" si="25"/>
        <v>50</v>
      </c>
      <c r="D109">
        <f t="shared" si="26"/>
        <v>40</v>
      </c>
      <c r="E109">
        <f t="shared" si="27"/>
        <v>40</v>
      </c>
      <c r="F109" s="3">
        <v>26387</v>
      </c>
      <c r="G109">
        <v>8</v>
      </c>
      <c r="H109">
        <v>0</v>
      </c>
      <c r="I109">
        <v>10</v>
      </c>
      <c r="J109">
        <v>0</v>
      </c>
      <c r="K109" s="3">
        <v>8795</v>
      </c>
      <c r="L109" s="3">
        <v>13194</v>
      </c>
      <c r="N109" t="str">
        <f t="shared" si="28"/>
        <v>[{"1":61},{"4":40},{"5":40},{"12":26630},{"7":8},{"6":0},{"8":10},{"9":0}]</v>
      </c>
      <c r="W109" t="str">
        <f t="shared" si="23"/>
        <v>[{"2":50},{"4":40},{"5":40},{"12":8876},{"7":8},{"6":0},{"8":10},{"9":0}]</v>
      </c>
      <c r="AE109" t="str">
        <f t="shared" si="22"/>
        <v>[{"2":50},{"4":40},{"5":40},{"12":13315},{"7":8},{"6":0},{"8":10},{"9":0}]</v>
      </c>
      <c r="AG109">
        <v>21</v>
      </c>
      <c r="AH109">
        <v>14</v>
      </c>
      <c r="AI109">
        <v>14</v>
      </c>
      <c r="AJ109">
        <v>843</v>
      </c>
      <c r="AK109">
        <v>4</v>
      </c>
      <c r="AL109">
        <v>8</v>
      </c>
      <c r="AM109">
        <v>0</v>
      </c>
      <c r="AN109">
        <v>10</v>
      </c>
    </row>
    <row r="110" ht="16.5" spans="1:40">
      <c r="A110">
        <v>108</v>
      </c>
      <c r="B110">
        <f t="shared" si="24"/>
        <v>61</v>
      </c>
      <c r="C110">
        <f t="shared" si="25"/>
        <v>50</v>
      </c>
      <c r="D110">
        <f t="shared" si="26"/>
        <v>40</v>
      </c>
      <c r="E110">
        <f t="shared" si="27"/>
        <v>40</v>
      </c>
      <c r="F110" s="3">
        <v>26630</v>
      </c>
      <c r="G110">
        <v>8</v>
      </c>
      <c r="H110">
        <v>0</v>
      </c>
      <c r="I110">
        <v>10</v>
      </c>
      <c r="J110">
        <v>0</v>
      </c>
      <c r="K110" s="3">
        <v>8876</v>
      </c>
      <c r="L110" s="3">
        <v>13315</v>
      </c>
      <c r="N110" t="str">
        <f t="shared" si="28"/>
        <v>[{"1":61},{"4":40},{"5":40},{"12":26873},{"7":8},{"6":0},{"8":10},{"9":0}]</v>
      </c>
      <c r="W110" t="str">
        <f t="shared" si="23"/>
        <v>[{"2":50},{"4":40},{"5":40},{"12":8957},{"7":8},{"6":0},{"8":10},{"9":0}]</v>
      </c>
      <c r="AE110" t="str">
        <f t="shared" si="22"/>
        <v>[{"2":50},{"4":40},{"5":40},{"12":13437},{"7":8},{"6":0},{"8":10},{"9":0}]</v>
      </c>
      <c r="AG110">
        <v>21</v>
      </c>
      <c r="AH110">
        <v>14</v>
      </c>
      <c r="AI110">
        <v>14</v>
      </c>
      <c r="AJ110">
        <v>851</v>
      </c>
      <c r="AK110">
        <v>4</v>
      </c>
      <c r="AL110">
        <v>8</v>
      </c>
      <c r="AM110">
        <v>0</v>
      </c>
      <c r="AN110">
        <v>10</v>
      </c>
    </row>
    <row r="111" ht="16.5" spans="1:40">
      <c r="A111">
        <v>109</v>
      </c>
      <c r="B111">
        <f t="shared" si="24"/>
        <v>61</v>
      </c>
      <c r="C111">
        <f t="shared" si="25"/>
        <v>50</v>
      </c>
      <c r="D111">
        <f t="shared" si="26"/>
        <v>40</v>
      </c>
      <c r="E111">
        <f t="shared" si="27"/>
        <v>40</v>
      </c>
      <c r="F111" s="3">
        <v>26873</v>
      </c>
      <c r="G111">
        <v>8</v>
      </c>
      <c r="H111">
        <v>0</v>
      </c>
      <c r="I111">
        <v>10</v>
      </c>
      <c r="J111">
        <v>0</v>
      </c>
      <c r="K111" s="3">
        <v>8957</v>
      </c>
      <c r="L111" s="3">
        <v>13437</v>
      </c>
      <c r="N111" t="str">
        <f t="shared" si="28"/>
        <v>[{"1":63},{"4":41},{"5":41},{"12":27116},{"7":8},{"6":0},{"8":10},{"9":0}]</v>
      </c>
      <c r="W111" t="str">
        <f t="shared" si="23"/>
        <v>[{"2":51},{"4":41},{"5":41},{"12":9038},{"7":8},{"6":0},{"8":10},{"9":0}]</v>
      </c>
      <c r="AE111" t="str">
        <f t="shared" si="22"/>
        <v>[{"2":51},{"4":41},{"5":41},{"12":13558},{"7":8},{"6":0},{"8":10},{"9":0}]</v>
      </c>
      <c r="AG111">
        <v>21</v>
      </c>
      <c r="AH111">
        <v>14</v>
      </c>
      <c r="AI111">
        <v>14</v>
      </c>
      <c r="AJ111">
        <v>859</v>
      </c>
      <c r="AK111">
        <v>4</v>
      </c>
      <c r="AL111">
        <v>8</v>
      </c>
      <c r="AM111">
        <v>0</v>
      </c>
      <c r="AN111">
        <v>10</v>
      </c>
    </row>
    <row r="112" ht="16.5" spans="1:40">
      <c r="A112">
        <v>110</v>
      </c>
      <c r="B112">
        <f t="shared" si="24"/>
        <v>63</v>
      </c>
      <c r="C112">
        <f t="shared" si="25"/>
        <v>51</v>
      </c>
      <c r="D112">
        <f t="shared" si="26"/>
        <v>41</v>
      </c>
      <c r="E112">
        <f t="shared" si="27"/>
        <v>41</v>
      </c>
      <c r="F112" s="3">
        <v>27116</v>
      </c>
      <c r="G112">
        <v>8</v>
      </c>
      <c r="H112">
        <v>0</v>
      </c>
      <c r="I112">
        <v>10</v>
      </c>
      <c r="J112">
        <v>0</v>
      </c>
      <c r="K112" s="3">
        <v>9038</v>
      </c>
      <c r="L112" s="3">
        <v>13558</v>
      </c>
      <c r="N112" t="str">
        <f t="shared" si="28"/>
        <v>[{"1":63},{"4":41},{"5":41},{"12":27360},{"7":8},{"6":0},{"8":10},{"9":0}]</v>
      </c>
      <c r="W112" t="str">
        <f t="shared" si="23"/>
        <v>[{"2":51},{"4":41},{"5":41},{"12":9120},{"7":8},{"6":0},{"8":10},{"9":0}]</v>
      </c>
      <c r="AE112" t="str">
        <f t="shared" si="22"/>
        <v>[{"2":51},{"4":41},{"5":41},{"12":13680},{"7":8},{"6":0},{"8":10},{"9":0}]</v>
      </c>
      <c r="AG112">
        <v>23</v>
      </c>
      <c r="AH112">
        <v>15</v>
      </c>
      <c r="AI112">
        <v>15</v>
      </c>
      <c r="AJ112">
        <v>867</v>
      </c>
      <c r="AK112">
        <v>4</v>
      </c>
      <c r="AL112">
        <v>8</v>
      </c>
      <c r="AM112">
        <v>0</v>
      </c>
      <c r="AN112">
        <v>10</v>
      </c>
    </row>
    <row r="113" ht="16.5" spans="1:40">
      <c r="A113">
        <v>111</v>
      </c>
      <c r="B113">
        <f t="shared" si="24"/>
        <v>63</v>
      </c>
      <c r="C113">
        <f t="shared" si="25"/>
        <v>51</v>
      </c>
      <c r="D113">
        <f t="shared" si="26"/>
        <v>41</v>
      </c>
      <c r="E113">
        <f t="shared" si="27"/>
        <v>41</v>
      </c>
      <c r="F113" s="3">
        <v>27360</v>
      </c>
      <c r="G113">
        <v>8</v>
      </c>
      <c r="H113">
        <v>0</v>
      </c>
      <c r="I113">
        <v>10</v>
      </c>
      <c r="J113">
        <v>0</v>
      </c>
      <c r="K113" s="3">
        <v>9120</v>
      </c>
      <c r="L113" s="3">
        <v>13680</v>
      </c>
      <c r="N113" t="str">
        <f t="shared" si="28"/>
        <v>[{"1":63},{"4":41},{"5":41},{"12":27603},{"7":8},{"6":0},{"8":10},{"9":0}]</v>
      </c>
      <c r="W113" t="str">
        <f t="shared" si="23"/>
        <v>[{"2":51},{"4":41},{"5":41},{"12":9201},{"7":8},{"6":0},{"8":10},{"9":0}]</v>
      </c>
      <c r="AE113" t="str">
        <f t="shared" si="22"/>
        <v>[{"2":51},{"4":41},{"5":41},{"12":13802},{"7":8},{"6":0},{"8":10},{"9":0}]</v>
      </c>
      <c r="AG113">
        <v>23</v>
      </c>
      <c r="AH113">
        <v>15</v>
      </c>
      <c r="AI113">
        <v>15</v>
      </c>
      <c r="AJ113">
        <v>875</v>
      </c>
      <c r="AK113">
        <v>4</v>
      </c>
      <c r="AL113">
        <v>8</v>
      </c>
      <c r="AM113">
        <v>0</v>
      </c>
      <c r="AN113">
        <v>10</v>
      </c>
    </row>
    <row r="114" ht="16.5" spans="1:40">
      <c r="A114">
        <v>112</v>
      </c>
      <c r="B114">
        <f t="shared" si="24"/>
        <v>63</v>
      </c>
      <c r="C114">
        <f t="shared" si="25"/>
        <v>51</v>
      </c>
      <c r="D114">
        <f t="shared" si="26"/>
        <v>41</v>
      </c>
      <c r="E114">
        <f t="shared" si="27"/>
        <v>41</v>
      </c>
      <c r="F114" s="3">
        <v>27603</v>
      </c>
      <c r="G114">
        <v>8</v>
      </c>
      <c r="H114">
        <v>0</v>
      </c>
      <c r="I114">
        <v>10</v>
      </c>
      <c r="J114">
        <v>0</v>
      </c>
      <c r="K114" s="3">
        <v>9201</v>
      </c>
      <c r="L114" s="3">
        <v>13802</v>
      </c>
      <c r="N114" t="str">
        <f t="shared" si="28"/>
        <v>[{"1":63},{"4":41},{"5":41},{"12":27843},{"7":8},{"6":0},{"8":10},{"9":0}]</v>
      </c>
      <c r="W114" t="str">
        <f t="shared" si="23"/>
        <v>[{"2":51},{"4":41},{"5":41},{"12":9281},{"7":8},{"6":0},{"8":10},{"9":0}]</v>
      </c>
      <c r="AE114" t="str">
        <f t="shared" si="22"/>
        <v>[{"2":51},{"4":41},{"5":41},{"12":13922},{"7":8},{"6":0},{"8":10},{"9":0}]</v>
      </c>
      <c r="AG114">
        <v>23</v>
      </c>
      <c r="AH114">
        <v>15</v>
      </c>
      <c r="AI114">
        <v>15</v>
      </c>
      <c r="AJ114">
        <v>884</v>
      </c>
      <c r="AK114">
        <v>4</v>
      </c>
      <c r="AL114">
        <v>8</v>
      </c>
      <c r="AM114">
        <v>0</v>
      </c>
      <c r="AN114">
        <v>10</v>
      </c>
    </row>
    <row r="115" ht="16.5" spans="1:40">
      <c r="A115">
        <v>113</v>
      </c>
      <c r="B115">
        <f t="shared" si="24"/>
        <v>63</v>
      </c>
      <c r="C115">
        <f t="shared" si="25"/>
        <v>51</v>
      </c>
      <c r="D115">
        <f t="shared" si="26"/>
        <v>41</v>
      </c>
      <c r="E115">
        <f t="shared" si="27"/>
        <v>41</v>
      </c>
      <c r="F115" s="3">
        <v>27843</v>
      </c>
      <c r="G115">
        <v>8</v>
      </c>
      <c r="H115">
        <v>0</v>
      </c>
      <c r="I115">
        <v>10</v>
      </c>
      <c r="J115">
        <v>0</v>
      </c>
      <c r="K115" s="3">
        <v>9281</v>
      </c>
      <c r="L115" s="3">
        <v>13922</v>
      </c>
      <c r="N115" t="str">
        <f t="shared" si="28"/>
        <v>[{"1":63},{"4":41},{"5":41},{"12":28086},{"7":8},{"6":0},{"8":10},{"9":0}]</v>
      </c>
      <c r="W115" t="str">
        <f t="shared" si="23"/>
        <v>[{"2":51},{"4":41},{"5":41},{"12":9362},{"7":8},{"6":0},{"8":10},{"9":0}]</v>
      </c>
      <c r="AE115" t="str">
        <f t="shared" si="22"/>
        <v>[{"2":51},{"4":41},{"5":41},{"12":14043},{"7":8},{"6":0},{"8":10},{"9":0}]</v>
      </c>
      <c r="AG115">
        <v>23</v>
      </c>
      <c r="AH115">
        <v>15</v>
      </c>
      <c r="AI115">
        <v>15</v>
      </c>
      <c r="AJ115">
        <v>892</v>
      </c>
      <c r="AK115">
        <v>4</v>
      </c>
      <c r="AL115">
        <v>8</v>
      </c>
      <c r="AM115">
        <v>0</v>
      </c>
      <c r="AN115">
        <v>10</v>
      </c>
    </row>
    <row r="116" ht="16.5" spans="1:40">
      <c r="A116">
        <v>114</v>
      </c>
      <c r="B116">
        <f t="shared" si="24"/>
        <v>63</v>
      </c>
      <c r="C116">
        <f t="shared" si="25"/>
        <v>51</v>
      </c>
      <c r="D116">
        <f t="shared" si="26"/>
        <v>41</v>
      </c>
      <c r="E116">
        <f t="shared" si="27"/>
        <v>41</v>
      </c>
      <c r="F116" s="3">
        <v>28086</v>
      </c>
      <c r="G116">
        <v>8</v>
      </c>
      <c r="H116">
        <v>0</v>
      </c>
      <c r="I116">
        <v>10</v>
      </c>
      <c r="J116">
        <v>0</v>
      </c>
      <c r="K116" s="3">
        <v>9362</v>
      </c>
      <c r="L116" s="3">
        <v>14043</v>
      </c>
      <c r="N116" t="str">
        <f t="shared" si="28"/>
        <v>[{"1":63},{"4":42},{"5":42},{"12":28329},{"7":8},{"6":0},{"8":10},{"9":0}]</v>
      </c>
      <c r="W116" t="str">
        <f t="shared" si="23"/>
        <v>[{"2":51},{"4":42},{"5":42},{"12":9443},{"7":8},{"6":0},{"8":10},{"9":0}]</v>
      </c>
      <c r="AE116" t="str">
        <f t="shared" si="22"/>
        <v>[{"2":51},{"4":42},{"5":42},{"12":14165},{"7":8},{"6":0},{"8":10},{"9":0}]</v>
      </c>
      <c r="AG116">
        <v>23</v>
      </c>
      <c r="AH116">
        <v>15</v>
      </c>
      <c r="AI116">
        <v>15</v>
      </c>
      <c r="AJ116">
        <v>900</v>
      </c>
      <c r="AK116">
        <v>4</v>
      </c>
      <c r="AL116">
        <v>8</v>
      </c>
      <c r="AM116">
        <v>0</v>
      </c>
      <c r="AN116">
        <v>10</v>
      </c>
    </row>
    <row r="117" ht="16.5" spans="1:40">
      <c r="A117">
        <v>115</v>
      </c>
      <c r="B117">
        <f t="shared" si="24"/>
        <v>63</v>
      </c>
      <c r="C117">
        <f t="shared" si="25"/>
        <v>51</v>
      </c>
      <c r="D117">
        <f t="shared" si="26"/>
        <v>42</v>
      </c>
      <c r="E117">
        <f t="shared" si="27"/>
        <v>42</v>
      </c>
      <c r="F117" s="3">
        <v>28329</v>
      </c>
      <c r="G117">
        <v>8</v>
      </c>
      <c r="H117">
        <v>0</v>
      </c>
      <c r="I117">
        <v>10</v>
      </c>
      <c r="J117">
        <v>0</v>
      </c>
      <c r="K117" s="3">
        <v>9443</v>
      </c>
      <c r="L117" s="3">
        <v>14165</v>
      </c>
      <c r="N117" t="str">
        <f t="shared" si="28"/>
        <v>[{"1":63},{"4":42},{"5":42},{"12":28572},{"7":8},{"6":0},{"8":10},{"9":0}]</v>
      </c>
      <c r="W117" t="str">
        <f t="shared" si="23"/>
        <v>[{"2":51},{"4":42},{"5":42},{"12":9524},{"7":8},{"6":0},{"8":10},{"9":0}]</v>
      </c>
      <c r="AE117" t="str">
        <f t="shared" si="22"/>
        <v>[{"2":51},{"4":42},{"5":42},{"12":14286},{"7":8},{"6":0},{"8":10},{"9":0}]</v>
      </c>
      <c r="AG117">
        <v>23</v>
      </c>
      <c r="AH117">
        <v>16</v>
      </c>
      <c r="AI117">
        <v>16</v>
      </c>
      <c r="AJ117">
        <v>908</v>
      </c>
      <c r="AK117">
        <v>4</v>
      </c>
      <c r="AL117">
        <v>8</v>
      </c>
      <c r="AM117">
        <v>0</v>
      </c>
      <c r="AN117">
        <v>10</v>
      </c>
    </row>
    <row r="118" ht="16.5" spans="1:40">
      <c r="A118">
        <v>116</v>
      </c>
      <c r="B118">
        <f t="shared" si="24"/>
        <v>63</v>
      </c>
      <c r="C118">
        <f t="shared" si="25"/>
        <v>51</v>
      </c>
      <c r="D118">
        <f t="shared" si="26"/>
        <v>42</v>
      </c>
      <c r="E118">
        <f t="shared" si="27"/>
        <v>42</v>
      </c>
      <c r="F118" s="3">
        <v>28572</v>
      </c>
      <c r="G118">
        <v>8</v>
      </c>
      <c r="H118">
        <v>0</v>
      </c>
      <c r="I118">
        <v>10</v>
      </c>
      <c r="J118">
        <v>0</v>
      </c>
      <c r="K118" s="3">
        <v>9524</v>
      </c>
      <c r="L118" s="3">
        <v>14286</v>
      </c>
      <c r="N118" t="str">
        <f t="shared" si="28"/>
        <v>[{"1":63},{"4":42},{"5":42},{"12":28816},{"7":8},{"6":0},{"8":10},{"9":0}]</v>
      </c>
      <c r="W118" t="str">
        <f t="shared" si="23"/>
        <v>[{"2":51},{"4":42},{"5":42},{"12":9605},{"7":8},{"6":0},{"8":10},{"9":0}]</v>
      </c>
      <c r="AE118" t="str">
        <f t="shared" si="22"/>
        <v>[{"2":51},{"4":42},{"5":42},{"12":14408},{"7":8},{"6":0},{"8":10},{"9":0}]</v>
      </c>
      <c r="AG118">
        <v>23</v>
      </c>
      <c r="AH118">
        <v>16</v>
      </c>
      <c r="AI118">
        <v>16</v>
      </c>
      <c r="AJ118">
        <v>917</v>
      </c>
      <c r="AK118">
        <v>4</v>
      </c>
      <c r="AL118">
        <v>8</v>
      </c>
      <c r="AM118">
        <v>0</v>
      </c>
      <c r="AN118">
        <v>10</v>
      </c>
    </row>
    <row r="119" ht="16.5" spans="1:40">
      <c r="A119">
        <v>117</v>
      </c>
      <c r="B119">
        <f t="shared" si="24"/>
        <v>63</v>
      </c>
      <c r="C119">
        <f t="shared" si="25"/>
        <v>51</v>
      </c>
      <c r="D119">
        <f t="shared" si="26"/>
        <v>42</v>
      </c>
      <c r="E119">
        <f t="shared" si="27"/>
        <v>42</v>
      </c>
      <c r="F119" s="3">
        <v>28816</v>
      </c>
      <c r="G119">
        <v>8</v>
      </c>
      <c r="H119">
        <v>0</v>
      </c>
      <c r="I119">
        <v>10</v>
      </c>
      <c r="J119">
        <v>0</v>
      </c>
      <c r="K119" s="3">
        <v>9605</v>
      </c>
      <c r="L119" s="3">
        <v>14408</v>
      </c>
      <c r="N119" t="str">
        <f t="shared" si="28"/>
        <v>[{"1":63},{"4":42},{"5":42},{"12":29059},{"7":8},{"6":0},{"8":10},{"9":0}]</v>
      </c>
      <c r="W119" t="str">
        <f t="shared" si="23"/>
        <v>[{"2":51},{"4":42},{"5":42},{"12":9686},{"7":8},{"6":0},{"8":10},{"9":0}]</v>
      </c>
      <c r="AE119" t="str">
        <f t="shared" si="22"/>
        <v>[{"2":51},{"4":42},{"5":42},{"12":14530},{"7":8},{"6":0},{"8":10},{"9":0}]</v>
      </c>
      <c r="AG119">
        <v>23</v>
      </c>
      <c r="AH119">
        <v>16</v>
      </c>
      <c r="AI119">
        <v>16</v>
      </c>
      <c r="AJ119">
        <v>925</v>
      </c>
      <c r="AK119">
        <v>4</v>
      </c>
      <c r="AL119">
        <v>8</v>
      </c>
      <c r="AM119">
        <v>0</v>
      </c>
      <c r="AN119">
        <v>10</v>
      </c>
    </row>
    <row r="120" ht="16.5" spans="1:40">
      <c r="A120">
        <v>118</v>
      </c>
      <c r="B120">
        <f t="shared" si="24"/>
        <v>63</v>
      </c>
      <c r="C120">
        <f t="shared" si="25"/>
        <v>51</v>
      </c>
      <c r="D120">
        <f t="shared" si="26"/>
        <v>42</v>
      </c>
      <c r="E120">
        <f t="shared" si="27"/>
        <v>42</v>
      </c>
      <c r="F120" s="3">
        <v>29059</v>
      </c>
      <c r="G120">
        <v>8</v>
      </c>
      <c r="H120">
        <v>0</v>
      </c>
      <c r="I120">
        <v>10</v>
      </c>
      <c r="J120">
        <v>0</v>
      </c>
      <c r="K120" s="3">
        <v>9686</v>
      </c>
      <c r="L120" s="3">
        <v>14530</v>
      </c>
      <c r="N120" t="str">
        <f t="shared" si="28"/>
        <v>[{"1":63},{"4":42},{"5":42},{"12":29302},{"7":8},{"6":0},{"8":10},{"9":0}]</v>
      </c>
      <c r="W120" t="str">
        <f t="shared" si="23"/>
        <v>[{"2":51},{"4":42},{"5":42},{"12":9767},{"7":8},{"6":0},{"8":10},{"9":0}]</v>
      </c>
      <c r="AE120" t="str">
        <f t="shared" si="22"/>
        <v>[{"2":51},{"4":42},{"5":42},{"12":14651},{"7":8},{"6":0},{"8":10},{"9":0}]</v>
      </c>
      <c r="AG120">
        <v>23</v>
      </c>
      <c r="AH120">
        <v>16</v>
      </c>
      <c r="AI120">
        <v>16</v>
      </c>
      <c r="AJ120">
        <v>933</v>
      </c>
      <c r="AK120">
        <v>4</v>
      </c>
      <c r="AL120">
        <v>8</v>
      </c>
      <c r="AM120">
        <v>0</v>
      </c>
      <c r="AN120">
        <v>10</v>
      </c>
    </row>
    <row r="121" ht="16.5" spans="1:40">
      <c r="A121">
        <v>119</v>
      </c>
      <c r="B121">
        <f t="shared" si="24"/>
        <v>63</v>
      </c>
      <c r="C121">
        <f t="shared" si="25"/>
        <v>51</v>
      </c>
      <c r="D121">
        <f t="shared" si="26"/>
        <v>42</v>
      </c>
      <c r="E121">
        <f t="shared" si="27"/>
        <v>42</v>
      </c>
      <c r="F121" s="3">
        <v>29302</v>
      </c>
      <c r="G121">
        <v>8</v>
      </c>
      <c r="H121">
        <v>0</v>
      </c>
      <c r="I121">
        <v>10</v>
      </c>
      <c r="J121">
        <v>0</v>
      </c>
      <c r="K121" s="3">
        <v>9767</v>
      </c>
      <c r="L121" s="3">
        <v>14651</v>
      </c>
      <c r="N121" t="str">
        <f t="shared" si="28"/>
        <v>[{"1":65},{"4":42},{"5":42},{"12":29545},{"7":8},{"6":0},{"8":10},{"9":0}]</v>
      </c>
      <c r="W121" t="str">
        <f t="shared" si="23"/>
        <v>[{"2":53},{"4":42},{"5":42},{"12":9848},{"7":8},{"6":0},{"8":10},{"9":0}]</v>
      </c>
      <c r="AE121" t="str">
        <f t="shared" ref="AE121:AE152" si="29">$N$1&amp;$P$1&amp;$T$1&amp;$C$2&amp;$T$1&amp;$R$1&amp;C122&amp;$Q$1&amp;$S$1&amp;$P$1&amp;$T$1&amp;$D$2&amp;$T$1&amp;$R$1&amp;D122&amp;$Q$1&amp;$S$1&amp;$P$1&amp;$T$1&amp;$E$2&amp;$T$1&amp;$R$1&amp;E122&amp;$Q$1&amp;$S$1&amp;$P$1&amp;$T$1&amp;$F$2&amp;$T$1&amp;$R$1&amp;L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[{"2":53},{"4":42},{"5":42},{"12":14773},{"7":8},{"6":0},{"8":10},{"9":0}]</v>
      </c>
      <c r="AG121">
        <v>23</v>
      </c>
      <c r="AH121">
        <v>16</v>
      </c>
      <c r="AI121">
        <v>16</v>
      </c>
      <c r="AJ121">
        <v>941</v>
      </c>
      <c r="AK121">
        <v>4</v>
      </c>
      <c r="AL121">
        <v>8</v>
      </c>
      <c r="AM121">
        <v>0</v>
      </c>
      <c r="AN121">
        <v>10</v>
      </c>
    </row>
    <row r="122" ht="16.5" spans="1:40">
      <c r="A122">
        <v>120</v>
      </c>
      <c r="B122">
        <f t="shared" si="24"/>
        <v>65</v>
      </c>
      <c r="C122">
        <f t="shared" si="25"/>
        <v>53</v>
      </c>
      <c r="D122">
        <f t="shared" si="26"/>
        <v>42</v>
      </c>
      <c r="E122">
        <f t="shared" si="27"/>
        <v>42</v>
      </c>
      <c r="F122" s="3">
        <v>29545</v>
      </c>
      <c r="G122">
        <v>8</v>
      </c>
      <c r="H122">
        <v>0</v>
      </c>
      <c r="I122">
        <v>10</v>
      </c>
      <c r="J122">
        <v>0</v>
      </c>
      <c r="K122" s="3">
        <v>9848</v>
      </c>
      <c r="L122" s="3">
        <v>14773</v>
      </c>
      <c r="N122" t="str">
        <f t="shared" si="28"/>
        <v>[{"1":65},{"4":42},{"5":42},{"12":29788},{"7":8},{"6":0},{"8":10},{"9":0}]</v>
      </c>
      <c r="W122" t="str">
        <f t="shared" si="23"/>
        <v>[{"2":53},{"4":42},{"5":42},{"12":9929},{"7":8},{"6":0},{"8":10},{"9":0}]</v>
      </c>
      <c r="AE122" t="str">
        <f t="shared" si="29"/>
        <v>[{"2":53},{"4":42},{"5":42},{"12":14894},{"7":8},{"6":0},{"8":10},{"9":0}]</v>
      </c>
      <c r="AG122">
        <v>25</v>
      </c>
      <c r="AH122">
        <v>16</v>
      </c>
      <c r="AI122">
        <v>16</v>
      </c>
      <c r="AJ122">
        <v>950</v>
      </c>
      <c r="AK122">
        <v>4</v>
      </c>
      <c r="AL122">
        <v>8</v>
      </c>
      <c r="AM122">
        <v>0</v>
      </c>
      <c r="AN122">
        <v>10</v>
      </c>
    </row>
    <row r="123" ht="16.5" spans="1:40">
      <c r="A123">
        <v>121</v>
      </c>
      <c r="B123">
        <f t="shared" si="24"/>
        <v>65</v>
      </c>
      <c r="C123">
        <f t="shared" si="25"/>
        <v>53</v>
      </c>
      <c r="D123">
        <f t="shared" si="26"/>
        <v>42</v>
      </c>
      <c r="E123">
        <f t="shared" si="27"/>
        <v>42</v>
      </c>
      <c r="F123" s="3">
        <v>29788</v>
      </c>
      <c r="G123">
        <v>8</v>
      </c>
      <c r="H123">
        <v>0</v>
      </c>
      <c r="I123">
        <v>10</v>
      </c>
      <c r="J123">
        <v>0</v>
      </c>
      <c r="K123" s="3">
        <v>9929</v>
      </c>
      <c r="L123" s="3">
        <v>14894</v>
      </c>
      <c r="N123" t="str">
        <f t="shared" si="28"/>
        <v>[{"1":65},{"4":42},{"5":42},{"12":30028},{"7":8},{"6":0},{"8":10},{"9":0}]</v>
      </c>
      <c r="W123" t="str">
        <f t="shared" si="23"/>
        <v>[{"2":53},{"4":42},{"5":42},{"12":10009},{"7":8},{"6":0},{"8":10},{"9":0}]</v>
      </c>
      <c r="AE123" t="str">
        <f t="shared" si="29"/>
        <v>[{"2":53},{"4":42},{"5":42},{"12":15014},{"7":8},{"6":0},{"8":10},{"9":0}]</v>
      </c>
      <c r="AG123">
        <v>25</v>
      </c>
      <c r="AH123">
        <v>16</v>
      </c>
      <c r="AI123">
        <v>16</v>
      </c>
      <c r="AJ123">
        <v>958</v>
      </c>
      <c r="AK123">
        <v>4</v>
      </c>
      <c r="AL123">
        <v>8</v>
      </c>
      <c r="AM123">
        <v>0</v>
      </c>
      <c r="AN123">
        <v>10</v>
      </c>
    </row>
    <row r="124" ht="16.5" spans="1:40">
      <c r="A124">
        <v>122</v>
      </c>
      <c r="B124">
        <f t="shared" si="24"/>
        <v>65</v>
      </c>
      <c r="C124">
        <f t="shared" si="25"/>
        <v>53</v>
      </c>
      <c r="D124">
        <f t="shared" si="26"/>
        <v>42</v>
      </c>
      <c r="E124">
        <f t="shared" si="27"/>
        <v>42</v>
      </c>
      <c r="F124" s="3">
        <v>30028</v>
      </c>
      <c r="G124">
        <v>8</v>
      </c>
      <c r="H124">
        <v>0</v>
      </c>
      <c r="I124">
        <v>10</v>
      </c>
      <c r="J124">
        <v>0</v>
      </c>
      <c r="K124" s="3">
        <v>10009</v>
      </c>
      <c r="L124" s="3">
        <v>15014</v>
      </c>
      <c r="N124" t="str">
        <f t="shared" si="28"/>
        <v>[{"1":65},{"4":42},{"5":42},{"12":30272},{"7":8},{"6":0},{"8":10},{"9":0}]</v>
      </c>
      <c r="W124" t="str">
        <f t="shared" si="23"/>
        <v>[{"2":53},{"4":42},{"5":42},{"12":10090},{"7":8},{"6":0},{"8":10},{"9":0}]</v>
      </c>
      <c r="AE124" t="str">
        <f t="shared" si="29"/>
        <v>[{"2":53},{"4":42},{"5":42},{"12":15136},{"7":8},{"6":0},{"8":10},{"9":0}]</v>
      </c>
      <c r="AG124">
        <v>25</v>
      </c>
      <c r="AH124">
        <v>16</v>
      </c>
      <c r="AI124">
        <v>16</v>
      </c>
      <c r="AJ124">
        <v>966</v>
      </c>
      <c r="AK124">
        <v>4</v>
      </c>
      <c r="AL124">
        <v>8</v>
      </c>
      <c r="AM124">
        <v>0</v>
      </c>
      <c r="AN124">
        <v>10</v>
      </c>
    </row>
    <row r="125" ht="16.5" spans="1:40">
      <c r="A125">
        <v>123</v>
      </c>
      <c r="B125">
        <f t="shared" si="24"/>
        <v>65</v>
      </c>
      <c r="C125">
        <f t="shared" si="25"/>
        <v>53</v>
      </c>
      <c r="D125">
        <f t="shared" si="26"/>
        <v>42</v>
      </c>
      <c r="E125">
        <f t="shared" si="27"/>
        <v>42</v>
      </c>
      <c r="F125" s="3">
        <v>30272</v>
      </c>
      <c r="G125">
        <v>8</v>
      </c>
      <c r="H125">
        <v>0</v>
      </c>
      <c r="I125">
        <v>10</v>
      </c>
      <c r="J125">
        <v>0</v>
      </c>
      <c r="K125" s="3">
        <v>10090</v>
      </c>
      <c r="L125" s="3">
        <v>15136</v>
      </c>
      <c r="N125" t="str">
        <f t="shared" si="28"/>
        <v>[{"1":65},{"4":42},{"5":42},{"12":30515},{"7":8},{"6":0},{"8":10},{"9":0}]</v>
      </c>
      <c r="W125" t="str">
        <f t="shared" si="23"/>
        <v>[{"2":53},{"4":42},{"5":42},{"12":10171},{"7":8},{"6":0},{"8":10},{"9":0}]</v>
      </c>
      <c r="AE125" t="str">
        <f t="shared" si="29"/>
        <v>[{"2":53},{"4":42},{"5":42},{"12":15258},{"7":8},{"6":0},{"8":10},{"9":0}]</v>
      </c>
      <c r="AG125">
        <v>25</v>
      </c>
      <c r="AH125">
        <v>16</v>
      </c>
      <c r="AI125">
        <v>16</v>
      </c>
      <c r="AJ125">
        <v>975</v>
      </c>
      <c r="AK125">
        <v>4</v>
      </c>
      <c r="AL125">
        <v>8</v>
      </c>
      <c r="AM125">
        <v>0</v>
      </c>
      <c r="AN125">
        <v>10</v>
      </c>
    </row>
    <row r="126" ht="16.5" spans="1:40">
      <c r="A126">
        <v>124</v>
      </c>
      <c r="B126">
        <f t="shared" si="24"/>
        <v>65</v>
      </c>
      <c r="C126">
        <f t="shared" si="25"/>
        <v>53</v>
      </c>
      <c r="D126">
        <f t="shared" si="26"/>
        <v>42</v>
      </c>
      <c r="E126">
        <f t="shared" si="27"/>
        <v>42</v>
      </c>
      <c r="F126" s="3">
        <v>30515</v>
      </c>
      <c r="G126">
        <v>8</v>
      </c>
      <c r="H126">
        <v>0</v>
      </c>
      <c r="I126">
        <v>10</v>
      </c>
      <c r="J126">
        <v>0</v>
      </c>
      <c r="K126" s="3">
        <v>10171</v>
      </c>
      <c r="L126" s="3">
        <v>15258</v>
      </c>
      <c r="N126" t="str">
        <f t="shared" si="28"/>
        <v>[{"1":66},{"4":43},{"5":43},{"12":30758},{"7":8},{"6":0},{"8":10},{"9":0}]</v>
      </c>
      <c r="W126" t="str">
        <f t="shared" si="23"/>
        <v>[{"2":54},{"4":43},{"5":43},{"12":10252},{"7":8},{"6":0},{"8":10},{"9":0}]</v>
      </c>
      <c r="AE126" t="str">
        <f t="shared" si="29"/>
        <v>[{"2":54},{"4":43},{"5":43},{"12":15379},{"7":8},{"6":0},{"8":10},{"9":0}]</v>
      </c>
      <c r="AG126">
        <v>25</v>
      </c>
      <c r="AH126">
        <v>16</v>
      </c>
      <c r="AI126">
        <v>16</v>
      </c>
      <c r="AJ126">
        <v>983</v>
      </c>
      <c r="AK126">
        <v>4</v>
      </c>
      <c r="AL126">
        <v>8</v>
      </c>
      <c r="AM126">
        <v>0</v>
      </c>
      <c r="AN126">
        <v>10</v>
      </c>
    </row>
    <row r="127" ht="16.5" spans="1:40">
      <c r="A127">
        <v>125</v>
      </c>
      <c r="B127">
        <f t="shared" si="24"/>
        <v>66</v>
      </c>
      <c r="C127">
        <f t="shared" si="25"/>
        <v>54</v>
      </c>
      <c r="D127">
        <f t="shared" si="26"/>
        <v>43</v>
      </c>
      <c r="E127">
        <f t="shared" si="27"/>
        <v>43</v>
      </c>
      <c r="F127" s="3">
        <v>30758</v>
      </c>
      <c r="G127">
        <v>8</v>
      </c>
      <c r="H127">
        <v>0</v>
      </c>
      <c r="I127">
        <v>10</v>
      </c>
      <c r="J127">
        <v>0</v>
      </c>
      <c r="K127" s="3">
        <v>10252</v>
      </c>
      <c r="L127" s="3">
        <v>15379</v>
      </c>
      <c r="N127" t="str">
        <f t="shared" si="28"/>
        <v>[{"1":66},{"4":43},{"5":43},{"12":31001},{"7":8},{"6":0},{"8":10},{"9":0}]</v>
      </c>
      <c r="W127" t="str">
        <f t="shared" si="23"/>
        <v>[{"2":54},{"4":43},{"5":43},{"12":10333},{"7":8},{"6":0},{"8":10},{"9":0}]</v>
      </c>
      <c r="AE127" t="str">
        <f t="shared" si="29"/>
        <v>[{"2":54},{"4":43},{"5":43},{"12":15501},{"7":8},{"6":0},{"8":10},{"9":0}]</v>
      </c>
      <c r="AG127">
        <v>26</v>
      </c>
      <c r="AH127">
        <v>17</v>
      </c>
      <c r="AI127">
        <v>17</v>
      </c>
      <c r="AJ127">
        <v>991</v>
      </c>
      <c r="AK127">
        <v>4</v>
      </c>
      <c r="AL127">
        <v>8</v>
      </c>
      <c r="AM127">
        <v>0</v>
      </c>
      <c r="AN127">
        <v>10</v>
      </c>
    </row>
    <row r="128" ht="16.5" spans="1:40">
      <c r="A128">
        <v>126</v>
      </c>
      <c r="B128">
        <f t="shared" si="24"/>
        <v>66</v>
      </c>
      <c r="C128">
        <f t="shared" si="25"/>
        <v>54</v>
      </c>
      <c r="D128">
        <f t="shared" si="26"/>
        <v>43</v>
      </c>
      <c r="E128">
        <f t="shared" si="27"/>
        <v>43</v>
      </c>
      <c r="F128" s="3">
        <v>31001</v>
      </c>
      <c r="G128">
        <v>8</v>
      </c>
      <c r="H128">
        <v>0</v>
      </c>
      <c r="I128">
        <v>10</v>
      </c>
      <c r="J128">
        <v>0</v>
      </c>
      <c r="K128" s="3">
        <v>10333</v>
      </c>
      <c r="L128" s="3">
        <v>15501</v>
      </c>
      <c r="N128" t="str">
        <f t="shared" si="28"/>
        <v>[{"1":66},{"4":43},{"5":43},{"12":31244},{"7":8},{"6":0},{"8":10},{"9":0}]</v>
      </c>
      <c r="W128" t="str">
        <f t="shared" si="23"/>
        <v>[{"2":54},{"4":43},{"5":43},{"12":10414},{"7":8},{"6":0},{"8":10},{"9":0}]</v>
      </c>
      <c r="AE128" t="str">
        <f t="shared" si="29"/>
        <v>[{"2":54},{"4":43},{"5":43},{"12":15622},{"7":8},{"6":0},{"8":10},{"9":0}]</v>
      </c>
      <c r="AG128">
        <v>26</v>
      </c>
      <c r="AH128">
        <v>17</v>
      </c>
      <c r="AI128">
        <v>17</v>
      </c>
      <c r="AJ128">
        <v>1000</v>
      </c>
      <c r="AK128">
        <v>4</v>
      </c>
      <c r="AL128">
        <v>8</v>
      </c>
      <c r="AM128">
        <v>0</v>
      </c>
      <c r="AN128">
        <v>10</v>
      </c>
    </row>
    <row r="129" ht="16.5" spans="1:40">
      <c r="A129">
        <v>127</v>
      </c>
      <c r="B129">
        <f t="shared" si="24"/>
        <v>66</v>
      </c>
      <c r="C129">
        <f t="shared" si="25"/>
        <v>54</v>
      </c>
      <c r="D129">
        <f t="shared" si="26"/>
        <v>43</v>
      </c>
      <c r="E129">
        <f t="shared" si="27"/>
        <v>43</v>
      </c>
      <c r="F129" s="3">
        <v>31244</v>
      </c>
      <c r="G129">
        <v>8</v>
      </c>
      <c r="H129">
        <v>0</v>
      </c>
      <c r="I129">
        <v>10</v>
      </c>
      <c r="J129">
        <v>0</v>
      </c>
      <c r="K129" s="3">
        <v>10414</v>
      </c>
      <c r="L129" s="3">
        <v>15622</v>
      </c>
      <c r="N129" t="str">
        <f t="shared" si="28"/>
        <v>[{"1":66},{"4":43},{"5":43},{"12":31488},{"7":8},{"6":0},{"8":10},{"9":0}]</v>
      </c>
      <c r="W129" t="str">
        <f t="shared" si="23"/>
        <v>[{"2":54},{"4":43},{"5":43},{"12":10496},{"7":8},{"6":0},{"8":10},{"9":0}]</v>
      </c>
      <c r="AE129" t="str">
        <f t="shared" si="29"/>
        <v>[{"2":54},{"4":43},{"5":43},{"12":15744},{"7":8},{"6":0},{"8":10},{"9":0}]</v>
      </c>
      <c r="AG129">
        <v>26</v>
      </c>
      <c r="AH129">
        <v>17</v>
      </c>
      <c r="AI129">
        <v>17</v>
      </c>
      <c r="AJ129">
        <v>1008</v>
      </c>
      <c r="AK129">
        <v>4</v>
      </c>
      <c r="AL129">
        <v>8</v>
      </c>
      <c r="AM129">
        <v>0</v>
      </c>
      <c r="AN129">
        <v>10</v>
      </c>
    </row>
    <row r="130" ht="16.5" spans="1:40">
      <c r="A130">
        <v>128</v>
      </c>
      <c r="B130">
        <f t="shared" si="24"/>
        <v>66</v>
      </c>
      <c r="C130">
        <f t="shared" si="25"/>
        <v>54</v>
      </c>
      <c r="D130">
        <f t="shared" si="26"/>
        <v>43</v>
      </c>
      <c r="E130">
        <f t="shared" si="27"/>
        <v>43</v>
      </c>
      <c r="F130" s="3">
        <v>31488</v>
      </c>
      <c r="G130">
        <v>8</v>
      </c>
      <c r="H130">
        <v>0</v>
      </c>
      <c r="I130">
        <v>10</v>
      </c>
      <c r="J130">
        <v>0</v>
      </c>
      <c r="K130" s="3">
        <v>10496</v>
      </c>
      <c r="L130" s="3">
        <v>15744</v>
      </c>
      <c r="N130" t="str">
        <f t="shared" si="28"/>
        <v>[{"1":66},{"4":43},{"5":43},{"12":31731},{"7":8},{"6":0},{"8":10},{"9":0}]</v>
      </c>
      <c r="W130" t="str">
        <f t="shared" si="23"/>
        <v>[{"2":54},{"4":43},{"5":43},{"12":10577},{"7":8},{"6":0},{"8":10},{"9":0}]</v>
      </c>
      <c r="AE130" t="str">
        <f t="shared" si="29"/>
        <v>[{"2":54},{"4":43},{"5":43},{"12":15866},{"7":8},{"6":0},{"8":10},{"9":0}]</v>
      </c>
      <c r="AG130">
        <v>26</v>
      </c>
      <c r="AH130">
        <v>17</v>
      </c>
      <c r="AI130">
        <v>17</v>
      </c>
      <c r="AJ130">
        <v>1016</v>
      </c>
      <c r="AK130">
        <v>4</v>
      </c>
      <c r="AL130">
        <v>8</v>
      </c>
      <c r="AM130">
        <v>0</v>
      </c>
      <c r="AN130">
        <v>10</v>
      </c>
    </row>
    <row r="131" ht="16.5" spans="1:40">
      <c r="A131">
        <v>129</v>
      </c>
      <c r="B131">
        <f t="shared" si="24"/>
        <v>66</v>
      </c>
      <c r="C131">
        <f t="shared" si="25"/>
        <v>54</v>
      </c>
      <c r="D131">
        <f t="shared" si="26"/>
        <v>43</v>
      </c>
      <c r="E131">
        <f t="shared" si="27"/>
        <v>43</v>
      </c>
      <c r="F131" s="3">
        <v>31731</v>
      </c>
      <c r="G131">
        <v>8</v>
      </c>
      <c r="H131">
        <v>0</v>
      </c>
      <c r="I131">
        <v>10</v>
      </c>
      <c r="J131">
        <v>0</v>
      </c>
      <c r="K131" s="3">
        <v>10577</v>
      </c>
      <c r="L131" s="3">
        <v>15866</v>
      </c>
      <c r="N131" t="str">
        <f t="shared" si="28"/>
        <v>[{"1":67},{"4":44},{"5":44},{"12":41841},{"7":8},{"6":0},{"8":10},{"9":0}]</v>
      </c>
      <c r="W131" t="str">
        <f t="shared" ref="W131:W152" si="30">$N$1&amp;$P$1&amp;$T$1&amp;$C$2&amp;$T$1&amp;$R$1&amp;C132&amp;$Q$1&amp;$S$1&amp;$P$1&amp;$T$1&amp;$D$2&amp;$T$1&amp;$R$1&amp;D132&amp;$Q$1&amp;$S$1&amp;$P$1&amp;$T$1&amp;$E$2&amp;$T$1&amp;$R$1&amp;E132&amp;$Q$1&amp;$S$1&amp;$P$1&amp;$T$1&amp;$F$2&amp;$T$1&amp;$R$1&amp;K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[{"2":54},{"4":44},{"5":44},{"12":13947},{"7":8},{"6":0},{"8":10},{"9":0}]</v>
      </c>
      <c r="AE131" t="str">
        <f t="shared" si="29"/>
        <v>[{"2":54},{"4":44},{"5":44},{"12":20921},{"7":8},{"6":0},{"8":10},{"9":0}]</v>
      </c>
      <c r="AG131">
        <v>26</v>
      </c>
      <c r="AH131">
        <v>17</v>
      </c>
      <c r="AI131">
        <v>17</v>
      </c>
      <c r="AJ131">
        <v>1025</v>
      </c>
      <c r="AK131">
        <v>4</v>
      </c>
      <c r="AL131">
        <v>8</v>
      </c>
      <c r="AM131">
        <v>0</v>
      </c>
      <c r="AN131">
        <v>10</v>
      </c>
    </row>
    <row r="132" ht="16.5" spans="1:40">
      <c r="A132">
        <v>130</v>
      </c>
      <c r="B132">
        <f t="shared" ref="B132:B152" si="31">$AP$2+AG132</f>
        <v>67</v>
      </c>
      <c r="C132">
        <f t="shared" ref="C132:C152" si="32">INT(B132*0.82)</f>
        <v>54</v>
      </c>
      <c r="D132">
        <f t="shared" ref="D132:D152" si="33">AH132+$AQ$2</f>
        <v>44</v>
      </c>
      <c r="E132">
        <f t="shared" ref="E132:E152" si="34">D132</f>
        <v>44</v>
      </c>
      <c r="F132" s="3">
        <v>41841</v>
      </c>
      <c r="G132">
        <v>8</v>
      </c>
      <c r="H132">
        <v>0</v>
      </c>
      <c r="I132">
        <v>10</v>
      </c>
      <c r="J132">
        <v>0</v>
      </c>
      <c r="K132" s="3">
        <v>13947</v>
      </c>
      <c r="L132" s="3">
        <v>20921</v>
      </c>
      <c r="N132" t="str">
        <f t="shared" si="28"/>
        <v>[{"1":67},{"4":44},{"5":44},{"12":42160},{"7":8},{"6":0},{"8":10},{"9":0}]</v>
      </c>
      <c r="W132" t="str">
        <f t="shared" si="30"/>
        <v>[{"2":54},{"4":44},{"5":44},{"12":14053},{"7":8},{"6":0},{"8":10},{"9":0}]</v>
      </c>
      <c r="AE132" t="str">
        <f t="shared" si="29"/>
        <v>[{"2":54},{"4":44},{"5":44},{"12":21080},{"7":8},{"6":0},{"8":10},{"9":0}]</v>
      </c>
      <c r="AG132">
        <v>27</v>
      </c>
      <c r="AH132">
        <v>18</v>
      </c>
      <c r="AI132">
        <v>18</v>
      </c>
      <c r="AJ132">
        <v>1033</v>
      </c>
      <c r="AK132">
        <v>4</v>
      </c>
      <c r="AL132">
        <v>8</v>
      </c>
      <c r="AM132">
        <v>0</v>
      </c>
      <c r="AN132">
        <v>10</v>
      </c>
    </row>
    <row r="133" ht="16.5" spans="1:40">
      <c r="A133">
        <v>131</v>
      </c>
      <c r="B133">
        <f t="shared" si="31"/>
        <v>67</v>
      </c>
      <c r="C133">
        <f t="shared" si="32"/>
        <v>54</v>
      </c>
      <c r="D133">
        <f t="shared" si="33"/>
        <v>44</v>
      </c>
      <c r="E133">
        <f t="shared" si="34"/>
        <v>44</v>
      </c>
      <c r="F133" s="3">
        <v>42160</v>
      </c>
      <c r="G133">
        <v>8</v>
      </c>
      <c r="H133">
        <v>0</v>
      </c>
      <c r="I133">
        <v>10</v>
      </c>
      <c r="J133">
        <v>0</v>
      </c>
      <c r="K133" s="3">
        <v>14053</v>
      </c>
      <c r="L133" s="3">
        <v>21080</v>
      </c>
      <c r="N133" t="str">
        <f t="shared" si="28"/>
        <v>[{"1":67},{"4":44},{"5":44},{"12":42475},{"7":8},{"6":0},{"8":10},{"9":0}]</v>
      </c>
      <c r="W133" t="str">
        <f t="shared" si="30"/>
        <v>[{"2":54},{"4":44},{"5":44},{"12":14158},{"7":8},{"6":0},{"8":10},{"9":0}]</v>
      </c>
      <c r="AE133" t="str">
        <f t="shared" si="29"/>
        <v>[{"2":54},{"4":44},{"5":44},{"12":21238},{"7":8},{"6":0},{"8":10},{"9":0}]</v>
      </c>
      <c r="AG133">
        <v>27</v>
      </c>
      <c r="AH133">
        <v>18</v>
      </c>
      <c r="AI133">
        <v>18</v>
      </c>
      <c r="AJ133">
        <v>1042</v>
      </c>
      <c r="AK133">
        <v>4</v>
      </c>
      <c r="AL133">
        <v>8</v>
      </c>
      <c r="AM133">
        <v>0</v>
      </c>
      <c r="AN133">
        <v>10</v>
      </c>
    </row>
    <row r="134" ht="16.5" spans="1:40">
      <c r="A134">
        <v>132</v>
      </c>
      <c r="B134">
        <f t="shared" si="31"/>
        <v>67</v>
      </c>
      <c r="C134">
        <f t="shared" si="32"/>
        <v>54</v>
      </c>
      <c r="D134">
        <f t="shared" si="33"/>
        <v>44</v>
      </c>
      <c r="E134">
        <f t="shared" si="34"/>
        <v>44</v>
      </c>
      <c r="F134" s="3">
        <v>42475</v>
      </c>
      <c r="G134">
        <v>8</v>
      </c>
      <c r="H134">
        <v>0</v>
      </c>
      <c r="I134">
        <v>10</v>
      </c>
      <c r="J134">
        <v>0</v>
      </c>
      <c r="K134" s="3">
        <v>14158</v>
      </c>
      <c r="L134" s="3">
        <v>21238</v>
      </c>
      <c r="N134" t="str">
        <f t="shared" si="28"/>
        <v>[{"1":67},{"4":44},{"5":44},{"12":42794},{"7":8},{"6":0},{"8":10},{"9":0}]</v>
      </c>
      <c r="W134" t="str">
        <f t="shared" si="30"/>
        <v>[{"2":54},{"4":44},{"5":44},{"12":14264},{"7":8},{"6":0},{"8":10},{"9":0}]</v>
      </c>
      <c r="AE134" t="str">
        <f t="shared" si="29"/>
        <v>[{"2":54},{"4":44},{"5":44},{"12":21397},{"7":8},{"6":0},{"8":10},{"9":0}]</v>
      </c>
      <c r="AG134">
        <v>27</v>
      </c>
      <c r="AH134">
        <v>18</v>
      </c>
      <c r="AI134">
        <v>18</v>
      </c>
      <c r="AJ134">
        <v>1050</v>
      </c>
      <c r="AK134">
        <v>4</v>
      </c>
      <c r="AL134">
        <v>8</v>
      </c>
      <c r="AM134">
        <v>0</v>
      </c>
      <c r="AN134">
        <v>10</v>
      </c>
    </row>
    <row r="135" ht="16.5" spans="1:40">
      <c r="A135">
        <v>133</v>
      </c>
      <c r="B135">
        <f t="shared" si="31"/>
        <v>67</v>
      </c>
      <c r="C135">
        <f t="shared" si="32"/>
        <v>54</v>
      </c>
      <c r="D135">
        <f t="shared" si="33"/>
        <v>44</v>
      </c>
      <c r="E135">
        <f t="shared" si="34"/>
        <v>44</v>
      </c>
      <c r="F135" s="3">
        <v>42794</v>
      </c>
      <c r="G135">
        <v>8</v>
      </c>
      <c r="H135">
        <v>0</v>
      </c>
      <c r="I135">
        <v>10</v>
      </c>
      <c r="J135">
        <v>0</v>
      </c>
      <c r="K135" s="3">
        <v>14264</v>
      </c>
      <c r="L135" s="3">
        <v>21397</v>
      </c>
      <c r="N135" t="str">
        <f t="shared" si="28"/>
        <v>[{"1":67},{"4":44},{"5":44},{"12":43114},{"7":8},{"6":0},{"8":10},{"9":0}]</v>
      </c>
      <c r="W135" t="str">
        <f t="shared" si="30"/>
        <v>[{"2":54},{"4":44},{"5":44},{"12":14371},{"7":8},{"6":0},{"8":10},{"9":0}]</v>
      </c>
      <c r="AE135" t="str">
        <f t="shared" si="29"/>
        <v>[{"2":54},{"4":44},{"5":44},{"12":21557},{"7":8},{"6":0},{"8":10},{"9":0}]</v>
      </c>
      <c r="AG135">
        <v>27</v>
      </c>
      <c r="AH135">
        <v>18</v>
      </c>
      <c r="AI135">
        <v>18</v>
      </c>
      <c r="AJ135">
        <v>1058</v>
      </c>
      <c r="AK135">
        <v>4</v>
      </c>
      <c r="AL135">
        <v>8</v>
      </c>
      <c r="AM135">
        <v>0</v>
      </c>
      <c r="AN135">
        <v>10</v>
      </c>
    </row>
    <row r="136" ht="16.5" spans="1:40">
      <c r="A136">
        <v>134</v>
      </c>
      <c r="B136">
        <f t="shared" si="31"/>
        <v>67</v>
      </c>
      <c r="C136">
        <f t="shared" si="32"/>
        <v>54</v>
      </c>
      <c r="D136">
        <f t="shared" si="33"/>
        <v>44</v>
      </c>
      <c r="E136">
        <f t="shared" si="34"/>
        <v>44</v>
      </c>
      <c r="F136" s="3">
        <v>43114</v>
      </c>
      <c r="G136">
        <v>8</v>
      </c>
      <c r="H136">
        <v>0</v>
      </c>
      <c r="I136">
        <v>10</v>
      </c>
      <c r="J136">
        <v>0</v>
      </c>
      <c r="K136" s="3">
        <v>14371</v>
      </c>
      <c r="L136" s="3">
        <v>21557</v>
      </c>
      <c r="N136" t="str">
        <f t="shared" si="28"/>
        <v>[{"1":68},{"4":44},{"5":44},{"12":43433},{"7":8},{"6":0},{"8":10},{"9":0}]</v>
      </c>
      <c r="W136" t="str">
        <f t="shared" si="30"/>
        <v>[{"2":55},{"4":44},{"5":44},{"12":14477},{"7":8},{"6":0},{"8":10},{"9":0}]</v>
      </c>
      <c r="AE136" t="str">
        <f t="shared" si="29"/>
        <v>[{"2":55},{"4":44},{"5":44},{"12":21717},{"7":8},{"6":0},{"8":10},{"9":0}]</v>
      </c>
      <c r="AG136">
        <v>27</v>
      </c>
      <c r="AH136">
        <v>18</v>
      </c>
      <c r="AI136">
        <v>18</v>
      </c>
      <c r="AJ136">
        <v>1067</v>
      </c>
      <c r="AK136">
        <v>4</v>
      </c>
      <c r="AL136">
        <v>8</v>
      </c>
      <c r="AM136">
        <v>0</v>
      </c>
      <c r="AN136">
        <v>10</v>
      </c>
    </row>
    <row r="137" ht="16.5" spans="1:40">
      <c r="A137">
        <v>135</v>
      </c>
      <c r="B137">
        <f t="shared" si="31"/>
        <v>68</v>
      </c>
      <c r="C137">
        <f t="shared" si="32"/>
        <v>55</v>
      </c>
      <c r="D137">
        <f t="shared" si="33"/>
        <v>44</v>
      </c>
      <c r="E137">
        <f t="shared" si="34"/>
        <v>44</v>
      </c>
      <c r="F137" s="3">
        <v>43433</v>
      </c>
      <c r="G137">
        <v>8</v>
      </c>
      <c r="H137">
        <v>0</v>
      </c>
      <c r="I137">
        <v>10</v>
      </c>
      <c r="J137">
        <v>0</v>
      </c>
      <c r="K137" s="3">
        <v>14477</v>
      </c>
      <c r="L137" s="3">
        <v>21717</v>
      </c>
      <c r="N137" t="str">
        <f t="shared" si="28"/>
        <v>[{"1":68},{"4":44},{"5":44},{"12":43752},{"7":8},{"6":0},{"8":10},{"9":0}]</v>
      </c>
      <c r="W137" t="str">
        <f t="shared" si="30"/>
        <v>[{"2":55},{"4":44},{"5":44},{"12":14584},{"7":8},{"6":0},{"8":10},{"9":0}]</v>
      </c>
      <c r="AE137" t="str">
        <f t="shared" si="29"/>
        <v>[{"2":55},{"4":44},{"5":44},{"12":21876},{"7":8},{"6":0},{"8":10},{"9":0}]</v>
      </c>
      <c r="AG137">
        <v>28</v>
      </c>
      <c r="AH137">
        <v>18</v>
      </c>
      <c r="AI137">
        <v>18</v>
      </c>
      <c r="AJ137">
        <v>1075</v>
      </c>
      <c r="AK137">
        <v>4</v>
      </c>
      <c r="AL137">
        <v>8</v>
      </c>
      <c r="AM137">
        <v>0</v>
      </c>
      <c r="AN137">
        <v>10</v>
      </c>
    </row>
    <row r="138" ht="16.5" spans="1:40">
      <c r="A138">
        <v>136</v>
      </c>
      <c r="B138">
        <f t="shared" si="31"/>
        <v>68</v>
      </c>
      <c r="C138">
        <f t="shared" si="32"/>
        <v>55</v>
      </c>
      <c r="D138">
        <f t="shared" si="33"/>
        <v>44</v>
      </c>
      <c r="E138">
        <f t="shared" si="34"/>
        <v>44</v>
      </c>
      <c r="F138" s="3">
        <v>43752</v>
      </c>
      <c r="G138">
        <v>8</v>
      </c>
      <c r="H138">
        <v>0</v>
      </c>
      <c r="I138">
        <v>10</v>
      </c>
      <c r="J138">
        <v>0</v>
      </c>
      <c r="K138" s="3">
        <v>14584</v>
      </c>
      <c r="L138" s="3">
        <v>21876</v>
      </c>
      <c r="N138" t="str">
        <f>$N$1&amp;$P$1&amp;$T$1&amp;$B$2&amp;$T$1&amp;$R$1&amp;B139&amp;$Q$1&amp;$S$1&amp;$P$1&amp;$T$1&amp;$D$2&amp;$T$1&amp;$R$1&amp;D139&amp;$Q$1&amp;$S$1&amp;$P$1&amp;$T$1&amp;$E$2&amp;$T$1&amp;$R$1&amp;E139&amp;$Q$1&amp;$S$1&amp;$P$1&amp;$T$1&amp;$F$2&amp;$T$1&amp;$R$1&amp;F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[{"1":68},{"4":44},{"5":44},{"12":44071},{"7":8},{"6":0},{"8":10},{"9":0}]</v>
      </c>
      <c r="W138" t="str">
        <f t="shared" si="30"/>
        <v>[{"2":55},{"4":44},{"5":44},{"12":14690},{"7":8},{"6":0},{"8":10},{"9":0}]</v>
      </c>
      <c r="AE138" t="str">
        <f t="shared" si="29"/>
        <v>[{"2":55},{"4":44},{"5":44},{"12":22036},{"7":8},{"6":0},{"8":10},{"9":0}]</v>
      </c>
      <c r="AG138">
        <v>28</v>
      </c>
      <c r="AH138">
        <v>18</v>
      </c>
      <c r="AI138">
        <v>18</v>
      </c>
      <c r="AJ138">
        <v>1084</v>
      </c>
      <c r="AK138">
        <v>4</v>
      </c>
      <c r="AL138">
        <v>8</v>
      </c>
      <c r="AM138">
        <v>0</v>
      </c>
      <c r="AN138">
        <v>10</v>
      </c>
    </row>
    <row r="139" ht="16.5" spans="1:40">
      <c r="A139">
        <v>137</v>
      </c>
      <c r="B139">
        <f t="shared" si="31"/>
        <v>68</v>
      </c>
      <c r="C139">
        <f t="shared" si="32"/>
        <v>55</v>
      </c>
      <c r="D139">
        <f t="shared" si="33"/>
        <v>44</v>
      </c>
      <c r="E139">
        <f t="shared" si="34"/>
        <v>44</v>
      </c>
      <c r="F139" s="3">
        <v>44071</v>
      </c>
      <c r="G139">
        <v>8</v>
      </c>
      <c r="H139">
        <v>0</v>
      </c>
      <c r="I139">
        <v>10</v>
      </c>
      <c r="J139">
        <v>0</v>
      </c>
      <c r="K139" s="3">
        <v>14690</v>
      </c>
      <c r="L139" s="3">
        <v>22036</v>
      </c>
      <c r="N139" t="str">
        <f>$N$1&amp;$P$1&amp;$T$1&amp;$B$2&amp;$T$1&amp;$R$1&amp;B140&amp;$Q$1&amp;$S$1&amp;$P$1&amp;$T$1&amp;$D$2&amp;$T$1&amp;$R$1&amp;D140&amp;$Q$1&amp;$S$1&amp;$P$1&amp;$T$1&amp;$E$2&amp;$T$1&amp;$R$1&amp;E140&amp;$Q$1&amp;$S$1&amp;$P$1&amp;$T$1&amp;$F$2&amp;$T$1&amp;$R$1&amp;F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[{"1":68},{"4":44},{"5":44},{"12":44390},{"7":8},{"6":0},{"8":10},{"9":0}]</v>
      </c>
      <c r="W139" t="str">
        <f t="shared" si="30"/>
        <v>[{"2":55},{"4":44},{"5":44},{"12":14796},{"7":8},{"6":0},{"8":10},{"9":0}]</v>
      </c>
      <c r="AE139" t="str">
        <f t="shared" si="29"/>
        <v>[{"2":55},{"4":44},{"5":44},{"12":22195},{"7":8},{"6":0},{"8":10},{"9":0}]</v>
      </c>
      <c r="AG139">
        <v>28</v>
      </c>
      <c r="AH139">
        <v>18</v>
      </c>
      <c r="AI139">
        <v>18</v>
      </c>
      <c r="AJ139">
        <v>1092</v>
      </c>
      <c r="AK139">
        <v>4</v>
      </c>
      <c r="AL139">
        <v>8</v>
      </c>
      <c r="AM139">
        <v>0</v>
      </c>
      <c r="AN139">
        <v>10</v>
      </c>
    </row>
    <row r="140" ht="16.5" spans="1:40">
      <c r="A140">
        <v>138</v>
      </c>
      <c r="B140">
        <f t="shared" si="31"/>
        <v>68</v>
      </c>
      <c r="C140">
        <f t="shared" si="32"/>
        <v>55</v>
      </c>
      <c r="D140">
        <f t="shared" si="33"/>
        <v>44</v>
      </c>
      <c r="E140">
        <f t="shared" si="34"/>
        <v>44</v>
      </c>
      <c r="F140" s="3">
        <v>44390</v>
      </c>
      <c r="G140">
        <v>8</v>
      </c>
      <c r="H140">
        <v>0</v>
      </c>
      <c r="I140">
        <v>10</v>
      </c>
      <c r="J140">
        <v>0</v>
      </c>
      <c r="K140" s="3">
        <v>14796</v>
      </c>
      <c r="L140" s="3">
        <v>22195</v>
      </c>
      <c r="N140" t="str">
        <f>$N$1&amp;$P$1&amp;$T$1&amp;$B$2&amp;$T$1&amp;$R$1&amp;B141&amp;$Q$1&amp;$S$1&amp;$P$1&amp;$T$1&amp;$D$2&amp;$T$1&amp;$R$1&amp;D141&amp;$Q$1&amp;$S$1&amp;$P$1&amp;$T$1&amp;$E$2&amp;$T$1&amp;$R$1&amp;E141&amp;$Q$1&amp;$S$1&amp;$P$1&amp;$T$1&amp;$F$2&amp;$T$1&amp;$R$1&amp;F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[{"1":68},{"4":44},{"5":44},{"12":44710},{"7":8},{"6":0},{"8":10},{"9":0}]</v>
      </c>
      <c r="W140" t="str">
        <f t="shared" si="30"/>
        <v>[{"2":55},{"4":44},{"5":44},{"12":14903},{"7":8},{"6":0},{"8":10},{"9":0}]</v>
      </c>
      <c r="AE140" t="str">
        <f t="shared" si="29"/>
        <v>[{"2":55},{"4":44},{"5":44},{"12":22355},{"7":8},{"6":0},{"8":10},{"9":0}]</v>
      </c>
      <c r="AG140">
        <v>28</v>
      </c>
      <c r="AH140">
        <v>18</v>
      </c>
      <c r="AI140">
        <v>18</v>
      </c>
      <c r="AJ140">
        <v>1100</v>
      </c>
      <c r="AK140">
        <v>4</v>
      </c>
      <c r="AL140">
        <v>8</v>
      </c>
      <c r="AM140">
        <v>0</v>
      </c>
      <c r="AN140">
        <v>10</v>
      </c>
    </row>
    <row r="141" ht="16.5" spans="1:40">
      <c r="A141">
        <v>139</v>
      </c>
      <c r="B141">
        <f t="shared" si="31"/>
        <v>68</v>
      </c>
      <c r="C141">
        <f t="shared" si="32"/>
        <v>55</v>
      </c>
      <c r="D141">
        <f t="shared" si="33"/>
        <v>44</v>
      </c>
      <c r="E141">
        <f t="shared" si="34"/>
        <v>44</v>
      </c>
      <c r="F141" s="3">
        <v>44710</v>
      </c>
      <c r="G141">
        <v>8</v>
      </c>
      <c r="H141">
        <v>0</v>
      </c>
      <c r="I141">
        <v>10</v>
      </c>
      <c r="J141">
        <v>0</v>
      </c>
      <c r="K141" s="3">
        <v>14903</v>
      </c>
      <c r="L141" s="3">
        <v>22355</v>
      </c>
      <c r="N141" t="str">
        <f>$N$1&amp;$P$1&amp;$T$1&amp;$B$2&amp;$T$1&amp;$R$1&amp;B142&amp;$Q$1&amp;$S$1&amp;$P$1&amp;$T$1&amp;$D$2&amp;$T$1&amp;$R$1&amp;D142&amp;$Q$1&amp;$S$1&amp;$P$1&amp;$T$1&amp;$E$2&amp;$T$1&amp;$R$1&amp;E142&amp;$Q$1&amp;$S$1&amp;$P$1&amp;$T$1&amp;$F$2&amp;$T$1&amp;$R$1&amp;F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[{"1":69},{"4":45},{"5":45},{"12":45029},{"7":8},{"6":0},{"8":10},{"9":0}]</v>
      </c>
      <c r="W141" t="str">
        <f t="shared" si="30"/>
        <v>[{"2":56},{"4":45},{"5":45},{"12":15009},{"7":8},{"6":0},{"8":10},{"9":0}]</v>
      </c>
      <c r="AE141" t="str">
        <f t="shared" si="29"/>
        <v>[{"2":56},{"4":45},{"5":45},{"12":22515},{"7":8},{"6":0},{"8":10},{"9":0}]</v>
      </c>
      <c r="AG141">
        <v>28</v>
      </c>
      <c r="AH141">
        <v>18</v>
      </c>
      <c r="AI141">
        <v>18</v>
      </c>
      <c r="AJ141">
        <v>1109</v>
      </c>
      <c r="AK141">
        <v>4</v>
      </c>
      <c r="AL141">
        <v>8</v>
      </c>
      <c r="AM141">
        <v>0</v>
      </c>
      <c r="AN141">
        <v>10</v>
      </c>
    </row>
    <row r="142" ht="16.5" spans="1:40">
      <c r="A142">
        <v>140</v>
      </c>
      <c r="B142">
        <f t="shared" si="31"/>
        <v>69</v>
      </c>
      <c r="C142">
        <f t="shared" si="32"/>
        <v>56</v>
      </c>
      <c r="D142">
        <f t="shared" si="33"/>
        <v>45</v>
      </c>
      <c r="E142">
        <f t="shared" si="34"/>
        <v>45</v>
      </c>
      <c r="F142" s="3">
        <v>45029</v>
      </c>
      <c r="G142">
        <v>8</v>
      </c>
      <c r="H142">
        <v>0</v>
      </c>
      <c r="I142">
        <v>10</v>
      </c>
      <c r="J142">
        <v>0</v>
      </c>
      <c r="K142" s="3">
        <v>15009</v>
      </c>
      <c r="L142" s="3">
        <v>22515</v>
      </c>
      <c r="N142" t="str">
        <f>$N$1&amp;$P$1&amp;$T$1&amp;$B$2&amp;$T$1&amp;$R$1&amp;B143&amp;$Q$1&amp;$S$1&amp;$P$1&amp;$T$1&amp;$D$2&amp;$T$1&amp;$R$1&amp;D143&amp;$Q$1&amp;$S$1&amp;$P$1&amp;$T$1&amp;$E$2&amp;$T$1&amp;$R$1&amp;E143&amp;$Q$1&amp;$S$1&amp;$P$1&amp;$T$1&amp;$F$2&amp;$T$1&amp;$R$1&amp;F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[{"1":69},{"4":45},{"5":45},{"12":45348},{"7":8},{"6":0},{"8":10},{"9":0}]</v>
      </c>
      <c r="W142" t="str">
        <f t="shared" si="30"/>
        <v>[{"2":56},{"4":45},{"5":45},{"12":15116},{"7":8},{"6":0},{"8":10},{"9":0}]</v>
      </c>
      <c r="AE142" t="str">
        <f t="shared" si="29"/>
        <v>[{"2":56},{"4":45},{"5":45},{"12":22674},{"7":8},{"6":0},{"8":10},{"9":0}]</v>
      </c>
      <c r="AG142">
        <v>29</v>
      </c>
      <c r="AH142">
        <v>19</v>
      </c>
      <c r="AI142">
        <v>19</v>
      </c>
      <c r="AJ142">
        <v>1117</v>
      </c>
      <c r="AK142">
        <v>4</v>
      </c>
      <c r="AL142">
        <v>8</v>
      </c>
      <c r="AM142">
        <v>0</v>
      </c>
      <c r="AN142">
        <v>10</v>
      </c>
    </row>
    <row r="143" ht="16.5" spans="1:40">
      <c r="A143">
        <v>141</v>
      </c>
      <c r="B143">
        <f t="shared" si="31"/>
        <v>69</v>
      </c>
      <c r="C143">
        <f t="shared" si="32"/>
        <v>56</v>
      </c>
      <c r="D143">
        <f t="shared" si="33"/>
        <v>45</v>
      </c>
      <c r="E143">
        <f t="shared" si="34"/>
        <v>45</v>
      </c>
      <c r="F143" s="3">
        <v>45348</v>
      </c>
      <c r="G143">
        <v>8</v>
      </c>
      <c r="H143">
        <v>0</v>
      </c>
      <c r="I143">
        <v>10</v>
      </c>
      <c r="J143">
        <v>0</v>
      </c>
      <c r="K143" s="3">
        <v>15116</v>
      </c>
      <c r="L143" s="3">
        <v>22674</v>
      </c>
      <c r="N143" t="str">
        <f>$N$1&amp;$P$1&amp;$T$1&amp;$B$2&amp;$T$1&amp;$R$1&amp;B144&amp;$Q$1&amp;$S$1&amp;$P$1&amp;$T$1&amp;$D$2&amp;$T$1&amp;$R$1&amp;D144&amp;$Q$1&amp;$S$1&amp;$P$1&amp;$T$1&amp;$E$2&amp;$T$1&amp;$R$1&amp;E144&amp;$Q$1&amp;$S$1&amp;$P$1&amp;$T$1&amp;$F$2&amp;$T$1&amp;$R$1&amp;F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[{"1":69},{"4":45},{"5":45},{"12":45663},{"7":8},{"6":0},{"8":10},{"9":0}]</v>
      </c>
      <c r="W143" t="str">
        <f t="shared" si="30"/>
        <v>[{"2":56},{"4":45},{"5":45},{"12":15221},{"7":8},{"6":0},{"8":10},{"9":0}]</v>
      </c>
      <c r="AE143" t="str">
        <f t="shared" si="29"/>
        <v>[{"2":56},{"4":45},{"5":45},{"12":22832},{"7":8},{"6":0},{"8":10},{"9":0}]</v>
      </c>
      <c r="AG143">
        <v>29</v>
      </c>
      <c r="AH143">
        <v>19</v>
      </c>
      <c r="AI143">
        <v>19</v>
      </c>
      <c r="AJ143">
        <v>1126</v>
      </c>
      <c r="AK143">
        <v>4</v>
      </c>
      <c r="AL143">
        <v>8</v>
      </c>
      <c r="AM143">
        <v>0</v>
      </c>
      <c r="AN143">
        <v>10</v>
      </c>
    </row>
    <row r="144" ht="16.5" spans="1:40">
      <c r="A144">
        <v>142</v>
      </c>
      <c r="B144">
        <f t="shared" si="31"/>
        <v>69</v>
      </c>
      <c r="C144">
        <f t="shared" si="32"/>
        <v>56</v>
      </c>
      <c r="D144">
        <f t="shared" si="33"/>
        <v>45</v>
      </c>
      <c r="E144">
        <f t="shared" si="34"/>
        <v>45</v>
      </c>
      <c r="F144" s="3">
        <v>45663</v>
      </c>
      <c r="G144">
        <v>8</v>
      </c>
      <c r="H144">
        <v>0</v>
      </c>
      <c r="I144">
        <v>10</v>
      </c>
      <c r="J144">
        <v>0</v>
      </c>
      <c r="K144" s="3">
        <v>15221</v>
      </c>
      <c r="L144" s="3">
        <v>22832</v>
      </c>
      <c r="N144" t="str">
        <f>$N$1&amp;$P$1&amp;$T$1&amp;$B$2&amp;$T$1&amp;$R$1&amp;B145&amp;$Q$1&amp;$S$1&amp;$P$1&amp;$T$1&amp;$D$2&amp;$T$1&amp;$R$1&amp;D145&amp;$Q$1&amp;$S$1&amp;$P$1&amp;$T$1&amp;$E$2&amp;$T$1&amp;$R$1&amp;E145&amp;$Q$1&amp;$S$1&amp;$P$1&amp;$T$1&amp;$F$2&amp;$T$1&amp;$R$1&amp;F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[{"1":69},{"4":45},{"5":45},{"12":45982},{"7":8},{"6":0},{"8":10},{"9":0}]</v>
      </c>
      <c r="W144" t="str">
        <f t="shared" si="30"/>
        <v>[{"2":56},{"4":45},{"5":45},{"12":15327},{"7":8},{"6":0},{"8":10},{"9":0}]</v>
      </c>
      <c r="AE144" t="str">
        <f t="shared" si="29"/>
        <v>[{"2":56},{"4":45},{"5":45},{"12":22991},{"7":8},{"6":0},{"8":10},{"9":0}]</v>
      </c>
      <c r="AG144">
        <v>29</v>
      </c>
      <c r="AH144">
        <v>19</v>
      </c>
      <c r="AI144">
        <v>19</v>
      </c>
      <c r="AJ144">
        <v>1134</v>
      </c>
      <c r="AK144">
        <v>4</v>
      </c>
      <c r="AL144">
        <v>8</v>
      </c>
      <c r="AM144">
        <v>0</v>
      </c>
      <c r="AN144">
        <v>10</v>
      </c>
    </row>
    <row r="145" ht="16.5" spans="1:40">
      <c r="A145">
        <v>143</v>
      </c>
      <c r="B145">
        <f t="shared" si="31"/>
        <v>69</v>
      </c>
      <c r="C145">
        <f t="shared" si="32"/>
        <v>56</v>
      </c>
      <c r="D145">
        <f t="shared" si="33"/>
        <v>45</v>
      </c>
      <c r="E145">
        <f t="shared" si="34"/>
        <v>45</v>
      </c>
      <c r="F145" s="3">
        <v>45982</v>
      </c>
      <c r="G145">
        <v>8</v>
      </c>
      <c r="H145">
        <v>0</v>
      </c>
      <c r="I145">
        <v>10</v>
      </c>
      <c r="J145">
        <v>0</v>
      </c>
      <c r="K145" s="3">
        <v>15327</v>
      </c>
      <c r="L145" s="3">
        <v>22991</v>
      </c>
      <c r="N145" t="str">
        <f>$N$1&amp;$P$1&amp;$T$1&amp;$B$2&amp;$T$1&amp;$R$1&amp;B146&amp;$Q$1&amp;$S$1&amp;$P$1&amp;$T$1&amp;$D$2&amp;$T$1&amp;$R$1&amp;D146&amp;$Q$1&amp;$S$1&amp;$P$1&amp;$T$1&amp;$E$2&amp;$T$1&amp;$R$1&amp;E146&amp;$Q$1&amp;$S$1&amp;$P$1&amp;$T$1&amp;$F$2&amp;$T$1&amp;$R$1&amp;F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[{"1":69},{"4":45},{"5":45},{"12":46301},{"7":8},{"6":0},{"8":10},{"9":0}]</v>
      </c>
      <c r="W145" t="str">
        <f t="shared" si="30"/>
        <v>[{"2":56},{"4":45},{"5":45},{"12":15433},{"7":8},{"6":0},{"8":10},{"9":0}]</v>
      </c>
      <c r="AE145" t="str">
        <f t="shared" si="29"/>
        <v>[{"2":56},{"4":45},{"5":45},{"12":23151},{"7":8},{"6":0},{"8":10},{"9":0}]</v>
      </c>
      <c r="AG145">
        <v>29</v>
      </c>
      <c r="AH145">
        <v>19</v>
      </c>
      <c r="AI145">
        <v>19</v>
      </c>
      <c r="AJ145">
        <v>1143</v>
      </c>
      <c r="AK145">
        <v>4</v>
      </c>
      <c r="AL145">
        <v>8</v>
      </c>
      <c r="AM145">
        <v>0</v>
      </c>
      <c r="AN145">
        <v>10</v>
      </c>
    </row>
    <row r="146" ht="16.5" spans="1:40">
      <c r="A146">
        <v>144</v>
      </c>
      <c r="B146">
        <f t="shared" si="31"/>
        <v>69</v>
      </c>
      <c r="C146">
        <f t="shared" si="32"/>
        <v>56</v>
      </c>
      <c r="D146">
        <f t="shared" si="33"/>
        <v>45</v>
      </c>
      <c r="E146">
        <f t="shared" si="34"/>
        <v>45</v>
      </c>
      <c r="F146" s="3">
        <v>46301</v>
      </c>
      <c r="G146">
        <v>8</v>
      </c>
      <c r="H146">
        <v>0</v>
      </c>
      <c r="I146">
        <v>10</v>
      </c>
      <c r="J146">
        <v>0</v>
      </c>
      <c r="K146" s="3">
        <v>15433</v>
      </c>
      <c r="L146" s="3">
        <v>23151</v>
      </c>
      <c r="N146" t="str">
        <f>$N$1&amp;$P$1&amp;$T$1&amp;$B$2&amp;$T$1&amp;$R$1&amp;B147&amp;$Q$1&amp;$S$1&amp;$P$1&amp;$T$1&amp;$D$2&amp;$T$1&amp;$R$1&amp;D147&amp;$Q$1&amp;$S$1&amp;$P$1&amp;$T$1&amp;$E$2&amp;$T$1&amp;$R$1&amp;E147&amp;$Q$1&amp;$S$1&amp;$P$1&amp;$T$1&amp;$F$2&amp;$T$1&amp;$R$1&amp;F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[{"1":70},{"4":46},{"5":46},{"12":46621},{"7":8},{"6":0},{"8":10},{"9":0}]</v>
      </c>
      <c r="W146" t="str">
        <f t="shared" si="30"/>
        <v>[{"2":57},{"4":46},{"5":46},{"12":15540},{"7":8},{"6":0},{"8":10},{"9":0}]</v>
      </c>
      <c r="AE146" t="str">
        <f t="shared" si="29"/>
        <v>[{"2":57},{"4":46},{"5":46},{"12":23311},{"7":8},{"6":0},{"8":10},{"9":0}]</v>
      </c>
      <c r="AG146">
        <v>29</v>
      </c>
      <c r="AH146">
        <v>19</v>
      </c>
      <c r="AI146">
        <v>19</v>
      </c>
      <c r="AJ146">
        <v>1151</v>
      </c>
      <c r="AK146">
        <v>4</v>
      </c>
      <c r="AL146">
        <v>8</v>
      </c>
      <c r="AM146">
        <v>0</v>
      </c>
      <c r="AN146">
        <v>10</v>
      </c>
    </row>
    <row r="147" ht="16.5" spans="1:40">
      <c r="A147">
        <v>145</v>
      </c>
      <c r="B147">
        <f t="shared" si="31"/>
        <v>70</v>
      </c>
      <c r="C147">
        <f t="shared" si="32"/>
        <v>57</v>
      </c>
      <c r="D147">
        <f t="shared" si="33"/>
        <v>46</v>
      </c>
      <c r="E147">
        <f t="shared" si="34"/>
        <v>46</v>
      </c>
      <c r="F147" s="3">
        <v>46621</v>
      </c>
      <c r="G147">
        <v>8</v>
      </c>
      <c r="H147">
        <v>0</v>
      </c>
      <c r="I147">
        <v>10</v>
      </c>
      <c r="J147">
        <v>0</v>
      </c>
      <c r="K147" s="3">
        <v>15540</v>
      </c>
      <c r="L147" s="3">
        <v>23311</v>
      </c>
      <c r="N147" t="str">
        <f>$N$1&amp;$P$1&amp;$T$1&amp;$B$2&amp;$T$1&amp;$R$1&amp;B148&amp;$Q$1&amp;$S$1&amp;$P$1&amp;$T$1&amp;$D$2&amp;$T$1&amp;$R$1&amp;D148&amp;$Q$1&amp;$S$1&amp;$P$1&amp;$T$1&amp;$E$2&amp;$T$1&amp;$R$1&amp;E148&amp;$Q$1&amp;$S$1&amp;$P$1&amp;$T$1&amp;$F$2&amp;$T$1&amp;$R$1&amp;F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[{"1":70},{"4":46},{"5":46},{"12":46940},{"7":8},{"6":0},{"8":10},{"9":0}]</v>
      </c>
      <c r="W147" t="str">
        <f t="shared" si="30"/>
        <v>[{"2":57},{"4":46},{"5":46},{"12":15646},{"7":8},{"6":0},{"8":10},{"9":0}]</v>
      </c>
      <c r="AE147" t="str">
        <f t="shared" si="29"/>
        <v>[{"2":57},{"4":46},{"5":46},{"12":23470},{"7":8},{"6":0},{"8":10},{"9":0}]</v>
      </c>
      <c r="AG147">
        <v>30</v>
      </c>
      <c r="AH147">
        <v>20</v>
      </c>
      <c r="AI147">
        <v>20</v>
      </c>
      <c r="AJ147">
        <v>1160</v>
      </c>
      <c r="AK147">
        <v>4</v>
      </c>
      <c r="AL147">
        <v>8</v>
      </c>
      <c r="AM147">
        <v>0</v>
      </c>
      <c r="AN147">
        <v>10</v>
      </c>
    </row>
    <row r="148" ht="16.5" spans="1:40">
      <c r="A148">
        <v>146</v>
      </c>
      <c r="B148">
        <f t="shared" si="31"/>
        <v>70</v>
      </c>
      <c r="C148">
        <f t="shared" si="32"/>
        <v>57</v>
      </c>
      <c r="D148">
        <f t="shared" si="33"/>
        <v>46</v>
      </c>
      <c r="E148">
        <f t="shared" si="34"/>
        <v>46</v>
      </c>
      <c r="F148" s="3">
        <v>46940</v>
      </c>
      <c r="G148">
        <v>8</v>
      </c>
      <c r="H148">
        <v>0</v>
      </c>
      <c r="I148">
        <v>10</v>
      </c>
      <c r="J148">
        <v>0</v>
      </c>
      <c r="K148" s="3">
        <v>15646</v>
      </c>
      <c r="L148" s="3">
        <v>23470</v>
      </c>
      <c r="N148" t="str">
        <f>$N$1&amp;$P$1&amp;$T$1&amp;$B$2&amp;$T$1&amp;$R$1&amp;B149&amp;$Q$1&amp;$S$1&amp;$P$1&amp;$T$1&amp;$D$2&amp;$T$1&amp;$R$1&amp;D149&amp;$Q$1&amp;$S$1&amp;$P$1&amp;$T$1&amp;$E$2&amp;$T$1&amp;$R$1&amp;E149&amp;$Q$1&amp;$S$1&amp;$P$1&amp;$T$1&amp;$F$2&amp;$T$1&amp;$R$1&amp;F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[{"1":70},{"4":46},{"5":46},{"12":47259},{"7":8},{"6":0},{"8":10},{"9":0}]</v>
      </c>
      <c r="W148" t="str">
        <f t="shared" si="30"/>
        <v>[{"2":57},{"4":46},{"5":46},{"12":15753},{"7":8},{"6":0},{"8":10},{"9":0}]</v>
      </c>
      <c r="AE148" t="str">
        <f t="shared" si="29"/>
        <v>[{"2":57},{"4":46},{"5":46},{"12":23630},{"7":8},{"6":0},{"8":10},{"9":0}]</v>
      </c>
      <c r="AG148">
        <v>30</v>
      </c>
      <c r="AH148">
        <v>20</v>
      </c>
      <c r="AI148">
        <v>20</v>
      </c>
      <c r="AJ148">
        <v>1168</v>
      </c>
      <c r="AK148">
        <v>4</v>
      </c>
      <c r="AL148">
        <v>8</v>
      </c>
      <c r="AM148">
        <v>0</v>
      </c>
      <c r="AN148">
        <v>10</v>
      </c>
    </row>
    <row r="149" ht="16.5" spans="1:40">
      <c r="A149">
        <v>147</v>
      </c>
      <c r="B149">
        <f t="shared" si="31"/>
        <v>70</v>
      </c>
      <c r="C149">
        <f t="shared" si="32"/>
        <v>57</v>
      </c>
      <c r="D149">
        <f t="shared" si="33"/>
        <v>46</v>
      </c>
      <c r="E149">
        <f t="shared" si="34"/>
        <v>46</v>
      </c>
      <c r="F149" s="3">
        <v>47259</v>
      </c>
      <c r="G149">
        <v>8</v>
      </c>
      <c r="H149">
        <v>0</v>
      </c>
      <c r="I149">
        <v>10</v>
      </c>
      <c r="J149">
        <v>0</v>
      </c>
      <c r="K149" s="3">
        <v>15753</v>
      </c>
      <c r="L149" s="3">
        <v>23630</v>
      </c>
      <c r="N149" t="str">
        <f>$N$1&amp;$P$1&amp;$T$1&amp;$B$2&amp;$T$1&amp;$R$1&amp;B150&amp;$Q$1&amp;$S$1&amp;$P$1&amp;$T$1&amp;$D$2&amp;$T$1&amp;$R$1&amp;D150&amp;$Q$1&amp;$S$1&amp;$P$1&amp;$T$1&amp;$E$2&amp;$T$1&amp;$R$1&amp;E150&amp;$Q$1&amp;$S$1&amp;$P$1&amp;$T$1&amp;$F$2&amp;$T$1&amp;$R$1&amp;F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[{"1":70},{"4":46},{"5":46},{"12":47578},{"7":8},{"6":0},{"8":10},{"9":0}]</v>
      </c>
      <c r="W149" t="str">
        <f t="shared" si="30"/>
        <v>[{"2":57},{"4":46},{"5":46},{"12":15859},{"7":8},{"6":0},{"8":10},{"9":0}]</v>
      </c>
      <c r="AE149" t="str">
        <f t="shared" si="29"/>
        <v>[{"2":57},{"4":46},{"5":46},{"12":23789},{"7":8},{"6":0},{"8":10},{"9":0}]</v>
      </c>
      <c r="AG149">
        <v>30</v>
      </c>
      <c r="AH149">
        <v>20</v>
      </c>
      <c r="AI149">
        <v>20</v>
      </c>
      <c r="AJ149">
        <v>1177</v>
      </c>
      <c r="AK149">
        <v>4</v>
      </c>
      <c r="AL149">
        <v>8</v>
      </c>
      <c r="AM149">
        <v>0</v>
      </c>
      <c r="AN149">
        <v>10</v>
      </c>
    </row>
    <row r="150" ht="16.5" spans="1:40">
      <c r="A150">
        <v>148</v>
      </c>
      <c r="B150">
        <f t="shared" si="31"/>
        <v>70</v>
      </c>
      <c r="C150">
        <f t="shared" si="32"/>
        <v>57</v>
      </c>
      <c r="D150">
        <f t="shared" si="33"/>
        <v>46</v>
      </c>
      <c r="E150">
        <f t="shared" si="34"/>
        <v>46</v>
      </c>
      <c r="F150" s="3">
        <v>47578</v>
      </c>
      <c r="G150">
        <v>8</v>
      </c>
      <c r="H150">
        <v>0</v>
      </c>
      <c r="I150">
        <v>10</v>
      </c>
      <c r="J150">
        <v>0</v>
      </c>
      <c r="K150" s="3">
        <v>15859</v>
      </c>
      <c r="L150" s="3">
        <v>23789</v>
      </c>
      <c r="N150" t="str">
        <f>$N$1&amp;$P$1&amp;$T$1&amp;$B$2&amp;$T$1&amp;$R$1&amp;B151&amp;$Q$1&amp;$S$1&amp;$P$1&amp;$T$1&amp;$D$2&amp;$T$1&amp;$R$1&amp;D151&amp;$Q$1&amp;$S$1&amp;$P$1&amp;$T$1&amp;$E$2&amp;$T$1&amp;$R$1&amp;E151&amp;$Q$1&amp;$S$1&amp;$P$1&amp;$T$1&amp;$F$2&amp;$T$1&amp;$R$1&amp;F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[{"1":70},{"4":46},{"5":46},{"12":47897},{"7":8},{"6":0},{"8":10},{"9":0}]</v>
      </c>
      <c r="W150" t="str">
        <f t="shared" si="30"/>
        <v>[{"2":57},{"4":46},{"5":46},{"12":15965},{"7":8},{"6":0},{"8":10},{"9":0}]</v>
      </c>
      <c r="AE150" t="str">
        <f t="shared" si="29"/>
        <v>[{"2":57},{"4":46},{"5":46},{"12":23949},{"7":8},{"6":0},{"8":10},{"9":0}]</v>
      </c>
      <c r="AG150">
        <v>30</v>
      </c>
      <c r="AH150">
        <v>20</v>
      </c>
      <c r="AI150">
        <v>20</v>
      </c>
      <c r="AJ150">
        <v>1185</v>
      </c>
      <c r="AK150">
        <v>4</v>
      </c>
      <c r="AL150">
        <v>8</v>
      </c>
      <c r="AM150">
        <v>0</v>
      </c>
      <c r="AN150">
        <v>10</v>
      </c>
    </row>
    <row r="151" ht="16.5" spans="1:40">
      <c r="A151">
        <v>149</v>
      </c>
      <c r="B151">
        <f t="shared" si="31"/>
        <v>70</v>
      </c>
      <c r="C151">
        <f t="shared" si="32"/>
        <v>57</v>
      </c>
      <c r="D151">
        <f t="shared" si="33"/>
        <v>46</v>
      </c>
      <c r="E151">
        <f t="shared" si="34"/>
        <v>46</v>
      </c>
      <c r="F151" s="3">
        <v>47897</v>
      </c>
      <c r="G151">
        <v>8</v>
      </c>
      <c r="H151">
        <v>0</v>
      </c>
      <c r="I151">
        <v>10</v>
      </c>
      <c r="J151">
        <v>0</v>
      </c>
      <c r="K151" s="3">
        <v>15965</v>
      </c>
      <c r="L151" s="3">
        <v>23949</v>
      </c>
      <c r="N151" t="str">
        <f>$N$1&amp;$P$1&amp;$T$1&amp;$B$2&amp;$T$1&amp;$R$1&amp;B152&amp;$Q$1&amp;$S$1&amp;$P$1&amp;$T$1&amp;$D$2&amp;$T$1&amp;$R$1&amp;D152&amp;$Q$1&amp;$S$1&amp;$P$1&amp;$T$1&amp;$E$2&amp;$T$1&amp;$R$1&amp;E152&amp;$Q$1&amp;$S$1&amp;$P$1&amp;$T$1&amp;$F$2&amp;$T$1&amp;$R$1&amp;F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[{"1":71},{"4":47},{"5":47},{"12":48217},{"7":8},{"6":0},{"8":10},{"9":0}]</v>
      </c>
      <c r="W151" t="str">
        <f t="shared" si="30"/>
        <v>[{"2":58},{"4":47},{"5":47},{"12":16072},{"7":8},{"6":0},{"8":10},{"9":0}]</v>
      </c>
      <c r="AE151" t="str">
        <f t="shared" si="29"/>
        <v>[{"2":58},{"4":47},{"5":47},{"12":24109},{"7":8},{"6":0},{"8":10},{"9":0}]</v>
      </c>
      <c r="AG151">
        <v>30</v>
      </c>
      <c r="AH151">
        <v>20</v>
      </c>
      <c r="AI151">
        <v>20</v>
      </c>
      <c r="AJ151">
        <v>1194</v>
      </c>
      <c r="AK151">
        <v>4</v>
      </c>
      <c r="AL151">
        <v>8</v>
      </c>
      <c r="AM151">
        <v>0</v>
      </c>
      <c r="AN151">
        <v>10</v>
      </c>
    </row>
    <row r="152" ht="16.5" spans="1:40">
      <c r="A152">
        <v>150</v>
      </c>
      <c r="B152">
        <f t="shared" si="31"/>
        <v>71</v>
      </c>
      <c r="C152">
        <f t="shared" si="32"/>
        <v>58</v>
      </c>
      <c r="D152">
        <f t="shared" si="33"/>
        <v>47</v>
      </c>
      <c r="E152">
        <f t="shared" si="34"/>
        <v>47</v>
      </c>
      <c r="F152" s="3">
        <v>48217</v>
      </c>
      <c r="G152">
        <v>8</v>
      </c>
      <c r="H152">
        <v>0</v>
      </c>
      <c r="I152">
        <v>10</v>
      </c>
      <c r="J152">
        <v>0</v>
      </c>
      <c r="K152" s="3">
        <v>16072</v>
      </c>
      <c r="L152" s="3">
        <v>24109</v>
      </c>
      <c r="N152" t="str">
        <f>$N$1&amp;$P$1&amp;$T$1&amp;$B$2&amp;$T$1&amp;$R$1&amp;B153&amp;$Q$1&amp;$S$1&amp;$P$1&amp;$T$1&amp;$D$2&amp;$T$1&amp;$R$1&amp;D153&amp;$Q$1&amp;$S$1&amp;$P$1&amp;$T$1&amp;$E$2&amp;$T$1&amp;$R$1&amp;E153&amp;$Q$1&amp;$S$1&amp;$P$1&amp;$T$1&amp;$F$2&amp;$T$1&amp;$R$1&amp;F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[{"1":},{"4":},{"5":},{"12":},{"7":},{"6":},{"8":},{"9":}]</v>
      </c>
      <c r="W152" t="str">
        <f t="shared" si="30"/>
        <v>[{"2":},{"4":},{"5":},{"12":},{"7":},{"6":},{"8":},{"9":}]</v>
      </c>
      <c r="AE152" t="str">
        <f t="shared" si="29"/>
        <v>[{"2":},{"4":},{"5":},{"12":},{"7":},{"6":},{"8":},{"9":}]</v>
      </c>
      <c r="AG152">
        <v>31</v>
      </c>
      <c r="AH152">
        <v>21</v>
      </c>
      <c r="AI152">
        <v>21</v>
      </c>
      <c r="AJ152">
        <v>1202</v>
      </c>
      <c r="AK152">
        <v>4</v>
      </c>
      <c r="AL152">
        <v>8</v>
      </c>
      <c r="AM152">
        <v>0</v>
      </c>
      <c r="AN152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2"/>
  <sheetViews>
    <sheetView workbookViewId="0">
      <selection activeCell="AJ3" sqref="AJ3"/>
    </sheetView>
  </sheetViews>
  <sheetFormatPr defaultColWidth="9" defaultRowHeight="13.5"/>
  <cols>
    <col min="6" max="6" width="10.875" style="1" customWidth="1"/>
    <col min="11" max="11" width="14.875" style="1" customWidth="1"/>
    <col min="12" max="12" width="10.875" style="1" customWidth="1"/>
    <col min="13" max="13" width="10.25" customWidth="1"/>
    <col min="30" max="30" width="10" customWidth="1"/>
    <col min="31" max="31" width="82.625" customWidth="1"/>
    <col min="32" max="32" width="10" customWidth="1"/>
  </cols>
  <sheetData>
    <row r="1" customFormat="1" spans="1:48">
      <c r="A1" t="s">
        <v>1</v>
      </c>
      <c r="B1" t="s">
        <v>12</v>
      </c>
      <c r="C1" t="s">
        <v>13</v>
      </c>
      <c r="D1" t="s">
        <v>14</v>
      </c>
      <c r="E1" t="s">
        <v>15</v>
      </c>
      <c r="F1" s="1" t="s">
        <v>16</v>
      </c>
      <c r="G1" t="s">
        <v>17</v>
      </c>
      <c r="H1" t="s">
        <v>18</v>
      </c>
      <c r="I1" t="s">
        <v>19</v>
      </c>
      <c r="J1" t="s">
        <v>20</v>
      </c>
      <c r="K1" s="1" t="s">
        <v>21</v>
      </c>
      <c r="L1" s="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29</v>
      </c>
      <c r="W1" t="s">
        <v>30</v>
      </c>
      <c r="AE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17</v>
      </c>
      <c r="AM1" t="s">
        <v>18</v>
      </c>
      <c r="AN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</row>
    <row r="2" customFormat="1" spans="1:48">
      <c r="A2">
        <v>0</v>
      </c>
      <c r="B2">
        <v>1</v>
      </c>
      <c r="C2">
        <v>2</v>
      </c>
      <c r="D2">
        <v>4</v>
      </c>
      <c r="E2">
        <v>5</v>
      </c>
      <c r="F2" s="1">
        <v>12</v>
      </c>
      <c r="G2">
        <v>7</v>
      </c>
      <c r="H2">
        <v>6</v>
      </c>
      <c r="I2">
        <v>8</v>
      </c>
      <c r="J2">
        <v>9</v>
      </c>
      <c r="K2" s="1">
        <f>INT(F2/4)</f>
        <v>3</v>
      </c>
      <c r="L2" s="1"/>
      <c r="N2" t="str">
        <f>$N$1&amp;$P$1&amp;$T$1&amp;$B$2&amp;$T$1&amp;$R$1&amp;B3&amp;$Q$1&amp;$S$1&amp;$P$1&amp;$T$1&amp;$D$2&amp;$T$1&amp;$R$1&amp;D3&amp;$Q$1&amp;$S$1&amp;$P$1&amp;$T$1&amp;$E$2&amp;$T$1&amp;$R$1&amp;E3&amp;$Q$1&amp;$S$1&amp;$P$1&amp;$T$1&amp;$F$2&amp;$T$1&amp;$R$1&amp;F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[{"1":101},{"4":66},{"5":66},{"12":658},{"7":8},{"6":0},{"8":10},{"9":0}]</v>
      </c>
      <c r="W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K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[{"2":121},{"4":66},{"5":66},{"12":219},{"7":8},{"6":0},{"8":10},{"9":0}]</v>
      </c>
      <c r="AE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L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[{"2":121},{"4":66},{"5":66},{"12":329},{"7":8},{"6":0},{"8":10},{"9":0}]</v>
      </c>
      <c r="AG2">
        <v>1.5</v>
      </c>
      <c r="AH2">
        <v>1</v>
      </c>
      <c r="AI2">
        <v>1</v>
      </c>
      <c r="AJ2">
        <v>10</v>
      </c>
      <c r="AK2">
        <v>0.4</v>
      </c>
      <c r="AL2">
        <v>0.4</v>
      </c>
      <c r="AM2">
        <v>0.4</v>
      </c>
      <c r="AN2">
        <v>0.4</v>
      </c>
      <c r="AP2">
        <v>100</v>
      </c>
      <c r="AQ2">
        <f>INT(AP2/1.5)</f>
        <v>66</v>
      </c>
      <c r="AR2">
        <f>AQ2</f>
        <v>66</v>
      </c>
      <c r="AS2">
        <v>500</v>
      </c>
      <c r="AT2">
        <v>10</v>
      </c>
      <c r="AU2">
        <v>0</v>
      </c>
      <c r="AV2">
        <v>10</v>
      </c>
    </row>
    <row r="3" customFormat="1" ht="16.5" spans="1:40">
      <c r="A3">
        <v>1</v>
      </c>
      <c r="B3">
        <f>$AP$2+AG3</f>
        <v>101</v>
      </c>
      <c r="C3">
        <f>INT(B3*1.2)</f>
        <v>121</v>
      </c>
      <c r="D3">
        <f>AH3+$AQ$2</f>
        <v>66</v>
      </c>
      <c r="E3">
        <f t="shared" ref="E3:E66" si="0">D3</f>
        <v>66</v>
      </c>
      <c r="F3" s="4">
        <f>INT(主角属性配置!F3/3+$AS$2)</f>
        <v>658</v>
      </c>
      <c r="G3">
        <v>8</v>
      </c>
      <c r="H3">
        <v>0</v>
      </c>
      <c r="I3">
        <v>10</v>
      </c>
      <c r="J3">
        <v>0</v>
      </c>
      <c r="K3" s="3">
        <f>ROUND(F3/3,0)</f>
        <v>219</v>
      </c>
      <c r="L3" s="3">
        <f>ROUND(F3/2,0)</f>
        <v>329</v>
      </c>
      <c r="N3" t="str">
        <f>$N$1&amp;$P$1&amp;$T$1&amp;$B$2&amp;$T$1&amp;$R$1&amp;B4&amp;$Q$1&amp;$S$1&amp;$P$1&amp;$T$1&amp;$D$2&amp;$T$1&amp;$R$1&amp;D4&amp;$Q$1&amp;$S$1&amp;$P$1&amp;$T$1&amp;$E$2&amp;$T$1&amp;$R$1&amp;E4&amp;$Q$1&amp;$S$1&amp;$P$1&amp;$T$1&amp;$F$2&amp;$T$1&amp;$R$1&amp;F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[{"1":102},{"4":67},{"5":67},{"12":684},{"7":8},{"6":0},{"8":10},{"9":0}]</v>
      </c>
      <c r="W3" t="str">
        <f>$N$1&amp;$P$1&amp;$T$1&amp;$C$2&amp;$T$1&amp;$R$1&amp;C4&amp;$Q$1&amp;$S$1&amp;$P$1&amp;$T$1&amp;$D$2&amp;$T$1&amp;$R$1&amp;D4&amp;$Q$1&amp;$S$1&amp;$P$1&amp;$T$1&amp;$E$2&amp;$T$1&amp;$R$1&amp;E4&amp;$Q$1&amp;$S$1&amp;$P$1&amp;$T$1&amp;$F$2&amp;$T$1&amp;$R$1&amp;K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[{"2":122},{"4":67},{"5":67},{"12":228},{"7":8},{"6":0},{"8":10},{"9":0}]</v>
      </c>
      <c r="AE3" t="str">
        <f>$N$1&amp;$P$1&amp;$T$1&amp;$C$2&amp;$T$1&amp;$R$1&amp;C4&amp;$Q$1&amp;$S$1&amp;$P$1&amp;$T$1&amp;$D$2&amp;$T$1&amp;$R$1&amp;D4&amp;$Q$1&amp;$S$1&amp;$P$1&amp;$T$1&amp;$E$2&amp;$T$1&amp;$R$1&amp;E4&amp;$Q$1&amp;$S$1&amp;$P$1&amp;$T$1&amp;$F$2&amp;$T$1&amp;$R$1&amp;L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[{"2":122},{"4":67},{"5":67},{"12":342},{"7":8},{"6":0},{"8":10},{"9":0}]</v>
      </c>
      <c r="AG3">
        <v>1</v>
      </c>
      <c r="AH3">
        <f>INT(AG3/1.5)</f>
        <v>0</v>
      </c>
      <c r="AI3">
        <f>AH3</f>
        <v>0</v>
      </c>
      <c r="AJ3">
        <v>22</v>
      </c>
      <c r="AK3">
        <v>4</v>
      </c>
      <c r="AL3">
        <v>8</v>
      </c>
      <c r="AM3">
        <v>0</v>
      </c>
      <c r="AN3">
        <v>10</v>
      </c>
    </row>
    <row r="4" customFormat="1" ht="16.5" spans="1:40">
      <c r="A4">
        <v>2</v>
      </c>
      <c r="B4">
        <f>$AP$2+AG4</f>
        <v>102</v>
      </c>
      <c r="C4">
        <f t="shared" ref="C4:C35" si="1">INT(B4*1.2)</f>
        <v>122</v>
      </c>
      <c r="D4">
        <f>AH4+$AQ$2</f>
        <v>67</v>
      </c>
      <c r="E4">
        <f t="shared" si="0"/>
        <v>67</v>
      </c>
      <c r="F4" s="4">
        <f>INT(主角属性配置!F4/3+$AS$2)</f>
        <v>684</v>
      </c>
      <c r="G4">
        <v>8</v>
      </c>
      <c r="H4">
        <v>0</v>
      </c>
      <c r="I4">
        <v>10</v>
      </c>
      <c r="J4">
        <v>0</v>
      </c>
      <c r="K4" s="3">
        <f t="shared" ref="K4:K35" si="2">ROUND(F4/3,0)</f>
        <v>228</v>
      </c>
      <c r="L4" s="3">
        <f t="shared" ref="L4:L35" si="3">ROUND(F4/2,0)</f>
        <v>342</v>
      </c>
      <c r="N4" t="str">
        <f>$N$1&amp;$P$1&amp;$T$1&amp;$B$2&amp;$T$1&amp;$R$1&amp;B5&amp;$Q$1&amp;$S$1&amp;$P$1&amp;$T$1&amp;$D$2&amp;$T$1&amp;$R$1&amp;D5&amp;$Q$1&amp;$S$1&amp;$P$1&amp;$T$1&amp;$E$2&amp;$T$1&amp;$R$1&amp;E5&amp;$Q$1&amp;$S$1&amp;$P$1&amp;$T$1&amp;$F$2&amp;$T$1&amp;$R$1&amp;F5&amp;$Q$1&amp;$S$1&amp;$P$1&amp;$T$1&amp;$G$2&amp;$T$1&amp;$R$1&amp;G5&amp;$Q$1&amp;$S$1&amp;$P$1&amp;$T$1&amp;$H$2&amp;$T$1&amp;$R$1&amp;H5&amp;$Q$1&amp;$S$1&amp;$P$1&amp;$T$1&amp;$I$2&amp;$T$1&amp;$R$1&amp;I5&amp;$Q$1&amp;$S$1&amp;$P$1&amp;$T$1&amp;$J$2&amp;$T$1&amp;$R$1&amp;J5&amp;$Q$1&amp;$O$1</f>
        <v>[{"1":103},{"4":68},{"5":68},{"12":709},{"7":8},{"6":0},{"8":10},{"9":0}]</v>
      </c>
      <c r="W4" t="str">
        <f>$N$1&amp;$P$1&amp;$T$1&amp;$C$2&amp;$T$1&amp;$R$1&amp;C5&amp;$Q$1&amp;$S$1&amp;$P$1&amp;$T$1&amp;$D$2&amp;$T$1&amp;$R$1&amp;D5&amp;$Q$1&amp;$S$1&amp;$P$1&amp;$T$1&amp;$E$2&amp;$T$1&amp;$R$1&amp;E5&amp;$Q$1&amp;$S$1&amp;$P$1&amp;$T$1&amp;$F$2&amp;$T$1&amp;$R$1&amp;K5&amp;$Q$1&amp;$S$1&amp;$P$1&amp;$T$1&amp;$G$2&amp;$T$1&amp;$R$1&amp;G5&amp;$Q$1&amp;$S$1&amp;$P$1&amp;$T$1&amp;$H$2&amp;$T$1&amp;$R$1&amp;H5&amp;$Q$1&amp;$S$1&amp;$P$1&amp;$T$1&amp;$I$2&amp;$T$1&amp;$R$1&amp;I5&amp;$Q$1&amp;$S$1&amp;$P$1&amp;$T$1&amp;$J$2&amp;$T$1&amp;$R$1&amp;J5&amp;$Q$1&amp;$O$1</f>
        <v>[{"2":123},{"4":68},{"5":68},{"12":236},{"7":8},{"6":0},{"8":10},{"9":0}]</v>
      </c>
      <c r="AE4" t="str">
        <f>$N$1&amp;$P$1&amp;$T$1&amp;$C$2&amp;$T$1&amp;$R$1&amp;C5&amp;$Q$1&amp;$S$1&amp;$P$1&amp;$T$1&amp;$D$2&amp;$T$1&amp;$R$1&amp;D5&amp;$Q$1&amp;$S$1&amp;$P$1&amp;$T$1&amp;$E$2&amp;$T$1&amp;$R$1&amp;E5&amp;$Q$1&amp;$S$1&amp;$P$1&amp;$T$1&amp;$F$2&amp;$T$1&amp;$R$1&amp;L5&amp;$Q$1&amp;$S$1&amp;$P$1&amp;$T$1&amp;$G$2&amp;$T$1&amp;$R$1&amp;G5&amp;$Q$1&amp;$S$1&amp;$P$1&amp;$T$1&amp;$H$2&amp;$T$1&amp;$R$1&amp;H5&amp;$Q$1&amp;$S$1&amp;$P$1&amp;$T$1&amp;$I$2&amp;$T$1&amp;$R$1&amp;I5&amp;$Q$1&amp;$S$1&amp;$P$1&amp;$T$1&amp;$J$2&amp;$T$1&amp;$R$1&amp;J5&amp;$Q$1&amp;$O$1</f>
        <v>[{"2":123},{"4":68},{"5":68},{"12":355},{"7":8},{"6":0},{"8":10},{"9":0}]</v>
      </c>
      <c r="AG4">
        <v>2</v>
      </c>
      <c r="AH4">
        <f t="shared" ref="AH4:AH35" si="4">INT(AG4/1.5)</f>
        <v>1</v>
      </c>
      <c r="AI4">
        <f t="shared" ref="AI4:AI35" si="5">AH4</f>
        <v>1</v>
      </c>
      <c r="AJ4">
        <v>29</v>
      </c>
      <c r="AK4">
        <v>4</v>
      </c>
      <c r="AL4">
        <v>8</v>
      </c>
      <c r="AM4">
        <v>0</v>
      </c>
      <c r="AN4">
        <v>10</v>
      </c>
    </row>
    <row r="5" customFormat="1" ht="16.5" spans="1:40">
      <c r="A5">
        <v>3</v>
      </c>
      <c r="B5">
        <f>$AP$2+AG5</f>
        <v>103</v>
      </c>
      <c r="C5">
        <f t="shared" si="1"/>
        <v>123</v>
      </c>
      <c r="D5">
        <f>AH5+$AQ$2</f>
        <v>68</v>
      </c>
      <c r="E5">
        <f t="shared" si="0"/>
        <v>68</v>
      </c>
      <c r="F5" s="4">
        <f>INT(主角属性配置!F5/3+$AS$2)</f>
        <v>709</v>
      </c>
      <c r="G5">
        <v>8</v>
      </c>
      <c r="H5">
        <v>0</v>
      </c>
      <c r="I5">
        <v>10</v>
      </c>
      <c r="J5">
        <v>0</v>
      </c>
      <c r="K5" s="3">
        <f t="shared" si="2"/>
        <v>236</v>
      </c>
      <c r="L5" s="3">
        <f t="shared" si="3"/>
        <v>355</v>
      </c>
      <c r="N5" t="str">
        <f>$N$1&amp;$P$1&amp;$T$1&amp;$B$2&amp;$T$1&amp;$R$1&amp;B6&amp;$Q$1&amp;$S$1&amp;$P$1&amp;$T$1&amp;$D$2&amp;$T$1&amp;$R$1&amp;D6&amp;$Q$1&amp;$S$1&amp;$P$1&amp;$T$1&amp;$E$2&amp;$T$1&amp;$R$1&amp;E6&amp;$Q$1&amp;$S$1&amp;$P$1&amp;$T$1&amp;$F$2&amp;$T$1&amp;$R$1&amp;F6&amp;$Q$1&amp;$S$1&amp;$P$1&amp;$T$1&amp;$G$2&amp;$T$1&amp;$R$1&amp;G6&amp;$Q$1&amp;$S$1&amp;$P$1&amp;$T$1&amp;$H$2&amp;$T$1&amp;$R$1&amp;H6&amp;$Q$1&amp;$S$1&amp;$P$1&amp;$T$1&amp;$I$2&amp;$T$1&amp;$R$1&amp;I6&amp;$Q$1&amp;$S$1&amp;$P$1&amp;$T$1&amp;$J$2&amp;$T$1&amp;$R$1&amp;J6&amp;$Q$1&amp;$O$1</f>
        <v>[{"1":104},{"4":68},{"5":68},{"12":734},{"7":8},{"6":0},{"8":10},{"9":0}]</v>
      </c>
      <c r="W5" t="str">
        <f>$N$1&amp;$P$1&amp;$T$1&amp;$C$2&amp;$T$1&amp;$R$1&amp;C6&amp;$Q$1&amp;$S$1&amp;$P$1&amp;$T$1&amp;$D$2&amp;$T$1&amp;$R$1&amp;D6&amp;$Q$1&amp;$S$1&amp;$P$1&amp;$T$1&amp;$E$2&amp;$T$1&amp;$R$1&amp;E6&amp;$Q$1&amp;$S$1&amp;$P$1&amp;$T$1&amp;$F$2&amp;$T$1&amp;$R$1&amp;K6&amp;$Q$1&amp;$S$1&amp;$P$1&amp;$T$1&amp;$G$2&amp;$T$1&amp;$R$1&amp;G6&amp;$Q$1&amp;$S$1&amp;$P$1&amp;$T$1&amp;$H$2&amp;$T$1&amp;$R$1&amp;H6&amp;$Q$1&amp;$S$1&amp;$P$1&amp;$T$1&amp;$I$2&amp;$T$1&amp;$R$1&amp;I6&amp;$Q$1&amp;$S$1&amp;$P$1&amp;$T$1&amp;$J$2&amp;$T$1&amp;$R$1&amp;J6&amp;$Q$1&amp;$O$1</f>
        <v>[{"2":124},{"4":68},{"5":68},{"12":245},{"7":8},{"6":0},{"8":10},{"9":0}]</v>
      </c>
      <c r="AE5" t="str">
        <f>$N$1&amp;$P$1&amp;$T$1&amp;$C$2&amp;$T$1&amp;$R$1&amp;C6&amp;$Q$1&amp;$S$1&amp;$P$1&amp;$T$1&amp;$D$2&amp;$T$1&amp;$R$1&amp;D6&amp;$Q$1&amp;$S$1&amp;$P$1&amp;$T$1&amp;$E$2&amp;$T$1&amp;$R$1&amp;E6&amp;$Q$1&amp;$S$1&amp;$P$1&amp;$T$1&amp;$F$2&amp;$T$1&amp;$R$1&amp;L6&amp;$Q$1&amp;$S$1&amp;$P$1&amp;$T$1&amp;$G$2&amp;$T$1&amp;$R$1&amp;G6&amp;$Q$1&amp;$S$1&amp;$P$1&amp;$T$1&amp;$H$2&amp;$T$1&amp;$R$1&amp;H6&amp;$Q$1&amp;$S$1&amp;$P$1&amp;$T$1&amp;$I$2&amp;$T$1&amp;$R$1&amp;I6&amp;$Q$1&amp;$S$1&amp;$P$1&amp;$T$1&amp;$J$2&amp;$T$1&amp;$R$1&amp;J6&amp;$Q$1&amp;$O$1</f>
        <v>[{"2":124},{"4":68},{"5":68},{"12":367},{"7":8},{"6":0},{"8":10},{"9":0}]</v>
      </c>
      <c r="AG5">
        <v>3</v>
      </c>
      <c r="AH5">
        <f t="shared" si="4"/>
        <v>2</v>
      </c>
      <c r="AI5">
        <f t="shared" si="5"/>
        <v>2</v>
      </c>
      <c r="AJ5">
        <v>36</v>
      </c>
      <c r="AK5">
        <v>4</v>
      </c>
      <c r="AL5">
        <v>8</v>
      </c>
      <c r="AM5">
        <v>0</v>
      </c>
      <c r="AN5">
        <v>10</v>
      </c>
    </row>
    <row r="6" customFormat="1" ht="16.5" spans="1:40">
      <c r="A6">
        <v>4</v>
      </c>
      <c r="B6">
        <f>$AP$2+AG6</f>
        <v>104</v>
      </c>
      <c r="C6">
        <f t="shared" si="1"/>
        <v>124</v>
      </c>
      <c r="D6">
        <f>AH6+$AQ$2</f>
        <v>68</v>
      </c>
      <c r="E6">
        <f t="shared" si="0"/>
        <v>68</v>
      </c>
      <c r="F6" s="4">
        <f>INT(主角属性配置!F6/3+$AS$2)</f>
        <v>734</v>
      </c>
      <c r="G6">
        <v>8</v>
      </c>
      <c r="H6">
        <v>0</v>
      </c>
      <c r="I6">
        <v>10</v>
      </c>
      <c r="J6">
        <v>0</v>
      </c>
      <c r="K6" s="3">
        <f t="shared" si="2"/>
        <v>245</v>
      </c>
      <c r="L6" s="3">
        <f t="shared" si="3"/>
        <v>367</v>
      </c>
      <c r="N6" t="str">
        <f>$N$1&amp;$P$1&amp;$T$1&amp;$B$2&amp;$T$1&amp;$R$1&amp;B7&amp;$Q$1&amp;$S$1&amp;$P$1&amp;$T$1&amp;$D$2&amp;$T$1&amp;$R$1&amp;D7&amp;$Q$1&amp;$S$1&amp;$P$1&amp;$T$1&amp;$E$2&amp;$T$1&amp;$R$1&amp;E7&amp;$Q$1&amp;$S$1&amp;$P$1&amp;$T$1&amp;$F$2&amp;$T$1&amp;$R$1&amp;F7&amp;$Q$1&amp;$S$1&amp;$P$1&amp;$T$1&amp;$G$2&amp;$T$1&amp;$R$1&amp;G7&amp;$Q$1&amp;$S$1&amp;$P$1&amp;$T$1&amp;$H$2&amp;$T$1&amp;$R$1&amp;H7&amp;$Q$1&amp;$S$1&amp;$P$1&amp;$T$1&amp;$I$2&amp;$T$1&amp;$R$1&amp;I7&amp;$Q$1&amp;$S$1&amp;$P$1&amp;$T$1&amp;$J$2&amp;$T$1&amp;$R$1&amp;J7&amp;$Q$1&amp;$O$1</f>
        <v>[{"1":105},{"4":69},{"5":69},{"12":759},{"7":8},{"6":0},{"8":10},{"9":0}]</v>
      </c>
      <c r="W6" t="str">
        <f>$N$1&amp;$P$1&amp;$T$1&amp;$C$2&amp;$T$1&amp;$R$1&amp;C7&amp;$Q$1&amp;$S$1&amp;$P$1&amp;$T$1&amp;$D$2&amp;$T$1&amp;$R$1&amp;D7&amp;$Q$1&amp;$S$1&amp;$P$1&amp;$T$1&amp;$E$2&amp;$T$1&amp;$R$1&amp;E7&amp;$Q$1&amp;$S$1&amp;$P$1&amp;$T$1&amp;$F$2&amp;$T$1&amp;$R$1&amp;K7&amp;$Q$1&amp;$S$1&amp;$P$1&amp;$T$1&amp;$G$2&amp;$T$1&amp;$R$1&amp;G7&amp;$Q$1&amp;$S$1&amp;$P$1&amp;$T$1&amp;$H$2&amp;$T$1&amp;$R$1&amp;H7&amp;$Q$1&amp;$S$1&amp;$P$1&amp;$T$1&amp;$I$2&amp;$T$1&amp;$R$1&amp;I7&amp;$Q$1&amp;$S$1&amp;$P$1&amp;$T$1&amp;$J$2&amp;$T$1&amp;$R$1&amp;J7&amp;$Q$1&amp;$O$1</f>
        <v>[{"2":126},{"4":69},{"5":69},{"12":253},{"7":8},{"6":0},{"8":10},{"9":0}]</v>
      </c>
      <c r="AE6" t="str">
        <f>$N$1&amp;$P$1&amp;$T$1&amp;$C$2&amp;$T$1&amp;$R$1&amp;C7&amp;$Q$1&amp;$S$1&amp;$P$1&amp;$T$1&amp;$D$2&amp;$T$1&amp;$R$1&amp;D7&amp;$Q$1&amp;$S$1&amp;$P$1&amp;$T$1&amp;$E$2&amp;$T$1&amp;$R$1&amp;E7&amp;$Q$1&amp;$S$1&amp;$P$1&amp;$T$1&amp;$F$2&amp;$T$1&amp;$R$1&amp;L7&amp;$Q$1&amp;$S$1&amp;$P$1&amp;$T$1&amp;$G$2&amp;$T$1&amp;$R$1&amp;G7&amp;$Q$1&amp;$S$1&amp;$P$1&amp;$T$1&amp;$H$2&amp;$T$1&amp;$R$1&amp;H7&amp;$Q$1&amp;$S$1&amp;$P$1&amp;$T$1&amp;$I$2&amp;$T$1&amp;$R$1&amp;I7&amp;$Q$1&amp;$S$1&amp;$P$1&amp;$T$1&amp;$J$2&amp;$T$1&amp;$R$1&amp;J7&amp;$Q$1&amp;$O$1</f>
        <v>[{"2":126},{"4":69},{"5":69},{"12":380},{"7":8},{"6":0},{"8":10},{"9":0}]</v>
      </c>
      <c r="AG6">
        <v>4</v>
      </c>
      <c r="AH6">
        <f t="shared" si="4"/>
        <v>2</v>
      </c>
      <c r="AI6">
        <f t="shared" si="5"/>
        <v>2</v>
      </c>
      <c r="AJ6">
        <v>44</v>
      </c>
      <c r="AK6">
        <v>4</v>
      </c>
      <c r="AL6">
        <v>8</v>
      </c>
      <c r="AM6">
        <v>0</v>
      </c>
      <c r="AN6">
        <v>10</v>
      </c>
    </row>
    <row r="7" customFormat="1" ht="16.5" spans="1:40">
      <c r="A7">
        <v>5</v>
      </c>
      <c r="B7">
        <f>$AP$2+AG7</f>
        <v>105</v>
      </c>
      <c r="C7">
        <f t="shared" si="1"/>
        <v>126</v>
      </c>
      <c r="D7">
        <f>AH7+$AQ$2</f>
        <v>69</v>
      </c>
      <c r="E7">
        <f t="shared" si="0"/>
        <v>69</v>
      </c>
      <c r="F7" s="4">
        <f>INT(主角属性配置!F7/3+$AS$2)</f>
        <v>759</v>
      </c>
      <c r="G7">
        <v>8</v>
      </c>
      <c r="H7">
        <v>0</v>
      </c>
      <c r="I7">
        <v>10</v>
      </c>
      <c r="J7">
        <v>0</v>
      </c>
      <c r="K7" s="3">
        <f t="shared" si="2"/>
        <v>253</v>
      </c>
      <c r="L7" s="3">
        <f t="shared" si="3"/>
        <v>380</v>
      </c>
      <c r="N7" t="str">
        <f>$N$1&amp;$P$1&amp;$T$1&amp;$B$2&amp;$T$1&amp;$R$1&amp;B8&amp;$Q$1&amp;$S$1&amp;$P$1&amp;$T$1&amp;$D$2&amp;$T$1&amp;$R$1&amp;D8&amp;$Q$1&amp;$S$1&amp;$P$1&amp;$T$1&amp;$E$2&amp;$T$1&amp;$R$1&amp;E8&amp;$Q$1&amp;$S$1&amp;$P$1&amp;$T$1&amp;$F$2&amp;$T$1&amp;$R$1&amp;F8&amp;$Q$1&amp;$S$1&amp;$P$1&amp;$T$1&amp;$G$2&amp;$T$1&amp;$R$1&amp;G8&amp;$Q$1&amp;$S$1&amp;$P$1&amp;$T$1&amp;$H$2&amp;$T$1&amp;$R$1&amp;H8&amp;$Q$1&amp;$S$1&amp;$P$1&amp;$T$1&amp;$I$2&amp;$T$1&amp;$R$1&amp;I8&amp;$Q$1&amp;$S$1&amp;$P$1&amp;$T$1&amp;$J$2&amp;$T$1&amp;$R$1&amp;J8&amp;$Q$1&amp;$O$1</f>
        <v>[{"1":106},{"4":70},{"5":70},{"12":785},{"7":8},{"6":0},{"8":10},{"9":0}]</v>
      </c>
      <c r="W7" t="str">
        <f>$N$1&amp;$P$1&amp;$T$1&amp;$C$2&amp;$T$1&amp;$R$1&amp;C8&amp;$Q$1&amp;$S$1&amp;$P$1&amp;$T$1&amp;$D$2&amp;$T$1&amp;$R$1&amp;D8&amp;$Q$1&amp;$S$1&amp;$P$1&amp;$T$1&amp;$E$2&amp;$T$1&amp;$R$1&amp;E8&amp;$Q$1&amp;$S$1&amp;$P$1&amp;$T$1&amp;$F$2&amp;$T$1&amp;$R$1&amp;K8&amp;$Q$1&amp;$S$1&amp;$P$1&amp;$T$1&amp;$G$2&amp;$T$1&amp;$R$1&amp;G8&amp;$Q$1&amp;$S$1&amp;$P$1&amp;$T$1&amp;$H$2&amp;$T$1&amp;$R$1&amp;H8&amp;$Q$1&amp;$S$1&amp;$P$1&amp;$T$1&amp;$I$2&amp;$T$1&amp;$R$1&amp;I8&amp;$Q$1&amp;$S$1&amp;$P$1&amp;$T$1&amp;$J$2&amp;$T$1&amp;$R$1&amp;J8&amp;$Q$1&amp;$O$1</f>
        <v>[{"2":127},{"4":70},{"5":70},{"12":262},{"7":8},{"6":0},{"8":10},{"9":0}]</v>
      </c>
      <c r="AE7" t="str">
        <f>$N$1&amp;$P$1&amp;$T$1&amp;$C$2&amp;$T$1&amp;$R$1&amp;C8&amp;$Q$1&amp;$S$1&amp;$P$1&amp;$T$1&amp;$D$2&amp;$T$1&amp;$R$1&amp;D8&amp;$Q$1&amp;$S$1&amp;$P$1&amp;$T$1&amp;$E$2&amp;$T$1&amp;$R$1&amp;E8&amp;$Q$1&amp;$S$1&amp;$P$1&amp;$T$1&amp;$F$2&amp;$T$1&amp;$R$1&amp;L8&amp;$Q$1&amp;$S$1&amp;$P$1&amp;$T$1&amp;$G$2&amp;$T$1&amp;$R$1&amp;G8&amp;$Q$1&amp;$S$1&amp;$P$1&amp;$T$1&amp;$H$2&amp;$T$1&amp;$R$1&amp;H8&amp;$Q$1&amp;$S$1&amp;$P$1&amp;$T$1&amp;$I$2&amp;$T$1&amp;$R$1&amp;I8&amp;$Q$1&amp;$S$1&amp;$P$1&amp;$T$1&amp;$J$2&amp;$T$1&amp;$R$1&amp;J8&amp;$Q$1&amp;$O$1</f>
        <v>[{"2":127},{"4":70},{"5":70},{"12":393},{"7":8},{"6":0},{"8":10},{"9":0}]</v>
      </c>
      <c r="AG7">
        <v>5</v>
      </c>
      <c r="AH7">
        <f t="shared" si="4"/>
        <v>3</v>
      </c>
      <c r="AI7">
        <f t="shared" si="5"/>
        <v>3</v>
      </c>
      <c r="AJ7">
        <v>51</v>
      </c>
      <c r="AK7">
        <v>4</v>
      </c>
      <c r="AL7">
        <v>8</v>
      </c>
      <c r="AM7">
        <v>0</v>
      </c>
      <c r="AN7">
        <v>10</v>
      </c>
    </row>
    <row r="8" customFormat="1" ht="16.5" spans="1:40">
      <c r="A8">
        <v>6</v>
      </c>
      <c r="B8">
        <f>$AP$2+AG8</f>
        <v>106</v>
      </c>
      <c r="C8">
        <f t="shared" si="1"/>
        <v>127</v>
      </c>
      <c r="D8">
        <f>AH8+$AQ$2</f>
        <v>70</v>
      </c>
      <c r="E8">
        <f t="shared" si="0"/>
        <v>70</v>
      </c>
      <c r="F8" s="4">
        <f>INT(主角属性配置!F8/3+$AS$2)</f>
        <v>785</v>
      </c>
      <c r="G8">
        <v>8</v>
      </c>
      <c r="H8">
        <v>0</v>
      </c>
      <c r="I8">
        <v>10</v>
      </c>
      <c r="J8">
        <v>0</v>
      </c>
      <c r="K8" s="3">
        <f t="shared" si="2"/>
        <v>262</v>
      </c>
      <c r="L8" s="3">
        <f t="shared" si="3"/>
        <v>393</v>
      </c>
      <c r="N8" t="str">
        <f>$N$1&amp;$P$1&amp;$T$1&amp;$B$2&amp;$T$1&amp;$R$1&amp;B9&amp;$Q$1&amp;$S$1&amp;$P$1&amp;$T$1&amp;$D$2&amp;$T$1&amp;$R$1&amp;D9&amp;$Q$1&amp;$S$1&amp;$P$1&amp;$T$1&amp;$E$2&amp;$T$1&amp;$R$1&amp;E9&amp;$Q$1&amp;$S$1&amp;$P$1&amp;$T$1&amp;$F$2&amp;$T$1&amp;$R$1&amp;F9&amp;$Q$1&amp;$S$1&amp;$P$1&amp;$T$1&amp;$G$2&amp;$T$1&amp;$R$1&amp;G9&amp;$Q$1&amp;$S$1&amp;$P$1&amp;$T$1&amp;$H$2&amp;$T$1&amp;$R$1&amp;H9&amp;$Q$1&amp;$S$1&amp;$P$1&amp;$T$1&amp;$I$2&amp;$T$1&amp;$R$1&amp;I9&amp;$Q$1&amp;$S$1&amp;$P$1&amp;$T$1&amp;$J$2&amp;$T$1&amp;$R$1&amp;J9&amp;$Q$1&amp;$O$1</f>
        <v>[{"1":107},{"4":70},{"5":70},{"12":810},{"7":8},{"6":0},{"8":10},{"9":0}]</v>
      </c>
      <c r="W8" t="str">
        <f>$N$1&amp;$P$1&amp;$T$1&amp;$C$2&amp;$T$1&amp;$R$1&amp;C9&amp;$Q$1&amp;$S$1&amp;$P$1&amp;$T$1&amp;$D$2&amp;$T$1&amp;$R$1&amp;D9&amp;$Q$1&amp;$S$1&amp;$P$1&amp;$T$1&amp;$E$2&amp;$T$1&amp;$R$1&amp;E9&amp;$Q$1&amp;$S$1&amp;$P$1&amp;$T$1&amp;$F$2&amp;$T$1&amp;$R$1&amp;K9&amp;$Q$1&amp;$S$1&amp;$P$1&amp;$T$1&amp;$G$2&amp;$T$1&amp;$R$1&amp;G9&amp;$Q$1&amp;$S$1&amp;$P$1&amp;$T$1&amp;$H$2&amp;$T$1&amp;$R$1&amp;H9&amp;$Q$1&amp;$S$1&amp;$P$1&amp;$T$1&amp;$I$2&amp;$T$1&amp;$R$1&amp;I9&amp;$Q$1&amp;$S$1&amp;$P$1&amp;$T$1&amp;$J$2&amp;$T$1&amp;$R$1&amp;J9&amp;$Q$1&amp;$O$1</f>
        <v>[{"2":128},{"4":70},{"5":70},{"12":270},{"7":8},{"6":0},{"8":10},{"9":0}]</v>
      </c>
      <c r="AE8" t="str">
        <f>$N$1&amp;$P$1&amp;$T$1&amp;$C$2&amp;$T$1&amp;$R$1&amp;C9&amp;$Q$1&amp;$S$1&amp;$P$1&amp;$T$1&amp;$D$2&amp;$T$1&amp;$R$1&amp;D9&amp;$Q$1&amp;$S$1&amp;$P$1&amp;$T$1&amp;$E$2&amp;$T$1&amp;$R$1&amp;E9&amp;$Q$1&amp;$S$1&amp;$P$1&amp;$T$1&amp;$F$2&amp;$T$1&amp;$R$1&amp;L9&amp;$Q$1&amp;$S$1&amp;$P$1&amp;$T$1&amp;$G$2&amp;$T$1&amp;$R$1&amp;G9&amp;$Q$1&amp;$S$1&amp;$P$1&amp;$T$1&amp;$H$2&amp;$T$1&amp;$R$1&amp;H9&amp;$Q$1&amp;$S$1&amp;$P$1&amp;$T$1&amp;$I$2&amp;$T$1&amp;$R$1&amp;I9&amp;$Q$1&amp;$S$1&amp;$P$1&amp;$T$1&amp;$J$2&amp;$T$1&amp;$R$1&amp;J9&amp;$Q$1&amp;$O$1</f>
        <v>[{"2":128},{"4":70},{"5":70},{"12":405},{"7":8},{"6":0},{"8":10},{"9":0}]</v>
      </c>
      <c r="AG8">
        <v>6</v>
      </c>
      <c r="AH8">
        <f t="shared" si="4"/>
        <v>4</v>
      </c>
      <c r="AI8">
        <f t="shared" si="5"/>
        <v>4</v>
      </c>
      <c r="AJ8">
        <v>58</v>
      </c>
      <c r="AK8">
        <v>4</v>
      </c>
      <c r="AL8">
        <v>8</v>
      </c>
      <c r="AM8">
        <v>0</v>
      </c>
      <c r="AN8">
        <v>10</v>
      </c>
    </row>
    <row r="9" customFormat="1" ht="16.5" spans="1:40">
      <c r="A9">
        <v>7</v>
      </c>
      <c r="B9">
        <f>$AP$2+AG9</f>
        <v>107</v>
      </c>
      <c r="C9">
        <f t="shared" si="1"/>
        <v>128</v>
      </c>
      <c r="D9">
        <f>AH9+$AQ$2</f>
        <v>70</v>
      </c>
      <c r="E9">
        <f t="shared" si="0"/>
        <v>70</v>
      </c>
      <c r="F9" s="4">
        <f>INT(主角属性配置!F9/3+$AS$2)</f>
        <v>810</v>
      </c>
      <c r="G9">
        <v>8</v>
      </c>
      <c r="H9">
        <v>0</v>
      </c>
      <c r="I9">
        <v>10</v>
      </c>
      <c r="J9">
        <v>0</v>
      </c>
      <c r="K9" s="3">
        <f t="shared" si="2"/>
        <v>270</v>
      </c>
      <c r="L9" s="3">
        <f t="shared" si="3"/>
        <v>405</v>
      </c>
      <c r="N9" t="str">
        <f>$N$1&amp;$P$1&amp;$T$1&amp;$B$2&amp;$T$1&amp;$R$1&amp;B10&amp;$Q$1&amp;$S$1&amp;$P$1&amp;$T$1&amp;$D$2&amp;$T$1&amp;$R$1&amp;D10&amp;$Q$1&amp;$S$1&amp;$P$1&amp;$T$1&amp;$E$2&amp;$T$1&amp;$R$1&amp;E10&amp;$Q$1&amp;$S$1&amp;$P$1&amp;$T$1&amp;$F$2&amp;$T$1&amp;$R$1&amp;F10&amp;$Q$1&amp;$S$1&amp;$P$1&amp;$T$1&amp;$G$2&amp;$T$1&amp;$R$1&amp;G10&amp;$Q$1&amp;$S$1&amp;$P$1&amp;$T$1&amp;$H$2&amp;$T$1&amp;$R$1&amp;H10&amp;$Q$1&amp;$S$1&amp;$P$1&amp;$T$1&amp;$I$2&amp;$T$1&amp;$R$1&amp;I10&amp;$Q$1&amp;$S$1&amp;$P$1&amp;$T$1&amp;$J$2&amp;$T$1&amp;$R$1&amp;J10&amp;$Q$1&amp;$O$1</f>
        <v>[{"1":108},{"4":71},{"5":71},{"12":835},{"7":8},{"6":0},{"8":10},{"9":0}]</v>
      </c>
      <c r="W9" t="str">
        <f>$N$1&amp;$P$1&amp;$T$1&amp;$C$2&amp;$T$1&amp;$R$1&amp;C10&amp;$Q$1&amp;$S$1&amp;$P$1&amp;$T$1&amp;$D$2&amp;$T$1&amp;$R$1&amp;D10&amp;$Q$1&amp;$S$1&amp;$P$1&amp;$T$1&amp;$E$2&amp;$T$1&amp;$R$1&amp;E10&amp;$Q$1&amp;$S$1&amp;$P$1&amp;$T$1&amp;$F$2&amp;$T$1&amp;$R$1&amp;K10&amp;$Q$1&amp;$S$1&amp;$P$1&amp;$T$1&amp;$G$2&amp;$T$1&amp;$R$1&amp;G10&amp;$Q$1&amp;$S$1&amp;$P$1&amp;$T$1&amp;$H$2&amp;$T$1&amp;$R$1&amp;H10&amp;$Q$1&amp;$S$1&amp;$P$1&amp;$T$1&amp;$I$2&amp;$T$1&amp;$R$1&amp;I10&amp;$Q$1&amp;$S$1&amp;$P$1&amp;$T$1&amp;$J$2&amp;$T$1&amp;$R$1&amp;J10&amp;$Q$1&amp;$O$1</f>
        <v>[{"2":129},{"4":71},{"5":71},{"12":278},{"7":8},{"6":0},{"8":10},{"9":0}]</v>
      </c>
      <c r="AE9" t="str">
        <f>$N$1&amp;$P$1&amp;$T$1&amp;$C$2&amp;$T$1&amp;$R$1&amp;C10&amp;$Q$1&amp;$S$1&amp;$P$1&amp;$T$1&amp;$D$2&amp;$T$1&amp;$R$1&amp;D10&amp;$Q$1&amp;$S$1&amp;$P$1&amp;$T$1&amp;$E$2&amp;$T$1&amp;$R$1&amp;E10&amp;$Q$1&amp;$S$1&amp;$P$1&amp;$T$1&amp;$F$2&amp;$T$1&amp;$R$1&amp;L10&amp;$Q$1&amp;$S$1&amp;$P$1&amp;$T$1&amp;$G$2&amp;$T$1&amp;$R$1&amp;G10&amp;$Q$1&amp;$S$1&amp;$P$1&amp;$T$1&amp;$H$2&amp;$T$1&amp;$R$1&amp;H10&amp;$Q$1&amp;$S$1&amp;$P$1&amp;$T$1&amp;$I$2&amp;$T$1&amp;$R$1&amp;I10&amp;$Q$1&amp;$S$1&amp;$P$1&amp;$T$1&amp;$J$2&amp;$T$1&amp;$R$1&amp;J10&amp;$Q$1&amp;$O$1</f>
        <v>[{"2":129},{"4":71},{"5":71},{"12":418},{"7":8},{"6":0},{"8":10},{"9":0}]</v>
      </c>
      <c r="AG9">
        <v>7</v>
      </c>
      <c r="AH9">
        <f t="shared" si="4"/>
        <v>4</v>
      </c>
      <c r="AI9">
        <f t="shared" si="5"/>
        <v>4</v>
      </c>
      <c r="AJ9">
        <v>66</v>
      </c>
      <c r="AK9">
        <v>4</v>
      </c>
      <c r="AL9">
        <v>8</v>
      </c>
      <c r="AM9">
        <v>0</v>
      </c>
      <c r="AN9">
        <v>10</v>
      </c>
    </row>
    <row r="10" customFormat="1" ht="16.5" spans="1:40">
      <c r="A10">
        <v>8</v>
      </c>
      <c r="B10">
        <f>$AP$2+AG10</f>
        <v>108</v>
      </c>
      <c r="C10">
        <f t="shared" si="1"/>
        <v>129</v>
      </c>
      <c r="D10">
        <f>AH10+$AQ$2</f>
        <v>71</v>
      </c>
      <c r="E10">
        <f t="shared" si="0"/>
        <v>71</v>
      </c>
      <c r="F10" s="4">
        <f>INT(主角属性配置!F10/3+$AS$2)</f>
        <v>835</v>
      </c>
      <c r="G10">
        <v>8</v>
      </c>
      <c r="H10">
        <v>0</v>
      </c>
      <c r="I10">
        <v>10</v>
      </c>
      <c r="J10">
        <v>0</v>
      </c>
      <c r="K10" s="3">
        <f t="shared" si="2"/>
        <v>278</v>
      </c>
      <c r="L10" s="3">
        <f t="shared" si="3"/>
        <v>418</v>
      </c>
      <c r="N10" t="str">
        <f>$N$1&amp;$P$1&amp;$T$1&amp;$B$2&amp;$T$1&amp;$R$1&amp;B11&amp;$Q$1&amp;$S$1&amp;$P$1&amp;$T$1&amp;$D$2&amp;$T$1&amp;$R$1&amp;D11&amp;$Q$1&amp;$S$1&amp;$P$1&amp;$T$1&amp;$E$2&amp;$T$1&amp;$R$1&amp;E11&amp;$Q$1&amp;$S$1&amp;$P$1&amp;$T$1&amp;$F$2&amp;$T$1&amp;$R$1&amp;F11&amp;$Q$1&amp;$S$1&amp;$P$1&amp;$T$1&amp;$G$2&amp;$T$1&amp;$R$1&amp;G11&amp;$Q$1&amp;$S$1&amp;$P$1&amp;$T$1&amp;$H$2&amp;$T$1&amp;$R$1&amp;H11&amp;$Q$1&amp;$S$1&amp;$P$1&amp;$T$1&amp;$I$2&amp;$T$1&amp;$R$1&amp;I11&amp;$Q$1&amp;$S$1&amp;$P$1&amp;$T$1&amp;$J$2&amp;$T$1&amp;$R$1&amp;J11&amp;$Q$1&amp;$O$1</f>
        <v>[{"1":109},{"4":72},{"5":72},{"12":861},{"7":8},{"6":0},{"8":10},{"9":0}]</v>
      </c>
      <c r="W10" t="str">
        <f>$N$1&amp;$P$1&amp;$T$1&amp;$C$2&amp;$T$1&amp;$R$1&amp;C11&amp;$Q$1&amp;$S$1&amp;$P$1&amp;$T$1&amp;$D$2&amp;$T$1&amp;$R$1&amp;D11&amp;$Q$1&amp;$S$1&amp;$P$1&amp;$T$1&amp;$E$2&amp;$T$1&amp;$R$1&amp;E11&amp;$Q$1&amp;$S$1&amp;$P$1&amp;$T$1&amp;$F$2&amp;$T$1&amp;$R$1&amp;K11&amp;$Q$1&amp;$S$1&amp;$P$1&amp;$T$1&amp;$G$2&amp;$T$1&amp;$R$1&amp;G11&amp;$Q$1&amp;$S$1&amp;$P$1&amp;$T$1&amp;$H$2&amp;$T$1&amp;$R$1&amp;H11&amp;$Q$1&amp;$S$1&amp;$P$1&amp;$T$1&amp;$I$2&amp;$T$1&amp;$R$1&amp;I11&amp;$Q$1&amp;$S$1&amp;$P$1&amp;$T$1&amp;$J$2&amp;$T$1&amp;$R$1&amp;J11&amp;$Q$1&amp;$O$1</f>
        <v>[{"2":130},{"4":72},{"5":72},{"12":287},{"7":8},{"6":0},{"8":10},{"9":0}]</v>
      </c>
      <c r="AE10" t="str">
        <f>$N$1&amp;$P$1&amp;$T$1&amp;$C$2&amp;$T$1&amp;$R$1&amp;C11&amp;$Q$1&amp;$S$1&amp;$P$1&amp;$T$1&amp;$D$2&amp;$T$1&amp;$R$1&amp;D11&amp;$Q$1&amp;$S$1&amp;$P$1&amp;$T$1&amp;$E$2&amp;$T$1&amp;$R$1&amp;E11&amp;$Q$1&amp;$S$1&amp;$P$1&amp;$T$1&amp;$F$2&amp;$T$1&amp;$R$1&amp;L11&amp;$Q$1&amp;$S$1&amp;$P$1&amp;$T$1&amp;$G$2&amp;$T$1&amp;$R$1&amp;G11&amp;$Q$1&amp;$S$1&amp;$P$1&amp;$T$1&amp;$H$2&amp;$T$1&amp;$R$1&amp;H11&amp;$Q$1&amp;$S$1&amp;$P$1&amp;$T$1&amp;$I$2&amp;$T$1&amp;$R$1&amp;I11&amp;$Q$1&amp;$S$1&amp;$P$1&amp;$T$1&amp;$J$2&amp;$T$1&amp;$R$1&amp;J11&amp;$Q$1&amp;$O$1</f>
        <v>[{"2":130},{"4":72},{"5":72},{"12":431},{"7":8},{"6":0},{"8":10},{"9":0}]</v>
      </c>
      <c r="AG10">
        <v>8</v>
      </c>
      <c r="AH10">
        <f t="shared" si="4"/>
        <v>5</v>
      </c>
      <c r="AI10">
        <f t="shared" si="5"/>
        <v>5</v>
      </c>
      <c r="AJ10">
        <v>73</v>
      </c>
      <c r="AK10">
        <v>4</v>
      </c>
      <c r="AL10">
        <v>8</v>
      </c>
      <c r="AM10">
        <v>0</v>
      </c>
      <c r="AN10">
        <v>10</v>
      </c>
    </row>
    <row r="11" customFormat="1" ht="16.5" spans="1:40">
      <c r="A11">
        <v>9</v>
      </c>
      <c r="B11">
        <f>$AP$2+AG11</f>
        <v>109</v>
      </c>
      <c r="C11">
        <f t="shared" si="1"/>
        <v>130</v>
      </c>
      <c r="D11">
        <f>AH11+$AQ$2</f>
        <v>72</v>
      </c>
      <c r="E11">
        <f t="shared" si="0"/>
        <v>72</v>
      </c>
      <c r="F11" s="4">
        <f>INT(主角属性配置!F11/3+$AS$2)</f>
        <v>861</v>
      </c>
      <c r="G11">
        <v>8</v>
      </c>
      <c r="H11">
        <v>0</v>
      </c>
      <c r="I11">
        <v>10</v>
      </c>
      <c r="J11">
        <v>0</v>
      </c>
      <c r="K11" s="3">
        <f t="shared" si="2"/>
        <v>287</v>
      </c>
      <c r="L11" s="3">
        <f t="shared" si="3"/>
        <v>431</v>
      </c>
      <c r="N11" t="str">
        <f>$N$1&amp;$P$1&amp;$T$1&amp;$B$2&amp;$T$1&amp;$R$1&amp;B12&amp;$Q$1&amp;$S$1&amp;$P$1&amp;$T$1&amp;$D$2&amp;$T$1&amp;$R$1&amp;D12&amp;$Q$1&amp;$S$1&amp;$P$1&amp;$T$1&amp;$E$2&amp;$T$1&amp;$R$1&amp;E12&amp;$Q$1&amp;$S$1&amp;$P$1&amp;$T$1&amp;$F$2&amp;$T$1&amp;$R$1&amp;F12&amp;$Q$1&amp;$S$1&amp;$P$1&amp;$T$1&amp;$G$2&amp;$T$1&amp;$R$1&amp;G12&amp;$Q$1&amp;$S$1&amp;$P$1&amp;$T$1&amp;$H$2&amp;$T$1&amp;$R$1&amp;H12&amp;$Q$1&amp;$S$1&amp;$P$1&amp;$T$1&amp;$I$2&amp;$T$1&amp;$R$1&amp;I12&amp;$Q$1&amp;$S$1&amp;$P$1&amp;$T$1&amp;$J$2&amp;$T$1&amp;$R$1&amp;J12&amp;$Q$1&amp;$O$1</f>
        <v>[{"1":110},{"4":72},{"5":72},{"12":886},{"7":8},{"6":0},{"8":10},{"9":0}]</v>
      </c>
      <c r="W11" t="str">
        <f>$N$1&amp;$P$1&amp;$T$1&amp;$C$2&amp;$T$1&amp;$R$1&amp;C12&amp;$Q$1&amp;$S$1&amp;$P$1&amp;$T$1&amp;$D$2&amp;$T$1&amp;$R$1&amp;D12&amp;$Q$1&amp;$S$1&amp;$P$1&amp;$T$1&amp;$E$2&amp;$T$1&amp;$R$1&amp;E12&amp;$Q$1&amp;$S$1&amp;$P$1&amp;$T$1&amp;$F$2&amp;$T$1&amp;$R$1&amp;K12&amp;$Q$1&amp;$S$1&amp;$P$1&amp;$T$1&amp;$G$2&amp;$T$1&amp;$R$1&amp;G12&amp;$Q$1&amp;$S$1&amp;$P$1&amp;$T$1&amp;$H$2&amp;$T$1&amp;$R$1&amp;H12&amp;$Q$1&amp;$S$1&amp;$P$1&amp;$T$1&amp;$I$2&amp;$T$1&amp;$R$1&amp;I12&amp;$Q$1&amp;$S$1&amp;$P$1&amp;$T$1&amp;$J$2&amp;$T$1&amp;$R$1&amp;J12&amp;$Q$1&amp;$O$1</f>
        <v>[{"2":132},{"4":72},{"5":72},{"12":295},{"7":8},{"6":0},{"8":10},{"9":0}]</v>
      </c>
      <c r="AE11" t="str">
        <f>$N$1&amp;$P$1&amp;$T$1&amp;$C$2&amp;$T$1&amp;$R$1&amp;C12&amp;$Q$1&amp;$S$1&amp;$P$1&amp;$T$1&amp;$D$2&amp;$T$1&amp;$R$1&amp;D12&amp;$Q$1&amp;$S$1&amp;$P$1&amp;$T$1&amp;$E$2&amp;$T$1&amp;$R$1&amp;E12&amp;$Q$1&amp;$S$1&amp;$P$1&amp;$T$1&amp;$F$2&amp;$T$1&amp;$R$1&amp;L12&amp;$Q$1&amp;$S$1&amp;$P$1&amp;$T$1&amp;$G$2&amp;$T$1&amp;$R$1&amp;G12&amp;$Q$1&amp;$S$1&amp;$P$1&amp;$T$1&amp;$H$2&amp;$T$1&amp;$R$1&amp;H12&amp;$Q$1&amp;$S$1&amp;$P$1&amp;$T$1&amp;$I$2&amp;$T$1&amp;$R$1&amp;I12&amp;$Q$1&amp;$S$1&amp;$P$1&amp;$T$1&amp;$J$2&amp;$T$1&amp;$R$1&amp;J12&amp;$Q$1&amp;$O$1</f>
        <v>[{"2":132},{"4":72},{"5":72},{"12":443},{"7":8},{"6":0},{"8":10},{"9":0}]</v>
      </c>
      <c r="AG11">
        <v>9</v>
      </c>
      <c r="AH11">
        <f t="shared" si="4"/>
        <v>6</v>
      </c>
      <c r="AI11">
        <f t="shared" si="5"/>
        <v>6</v>
      </c>
      <c r="AJ11">
        <v>80</v>
      </c>
      <c r="AK11">
        <v>4</v>
      </c>
      <c r="AL11">
        <v>8</v>
      </c>
      <c r="AM11">
        <v>0</v>
      </c>
      <c r="AN11">
        <v>10</v>
      </c>
    </row>
    <row r="12" customFormat="1" ht="16.5" spans="1:40">
      <c r="A12">
        <v>10</v>
      </c>
      <c r="B12">
        <f>$AP$2+AG12</f>
        <v>110</v>
      </c>
      <c r="C12">
        <f t="shared" si="1"/>
        <v>132</v>
      </c>
      <c r="D12">
        <f>AH12+$AQ$2</f>
        <v>72</v>
      </c>
      <c r="E12">
        <f t="shared" si="0"/>
        <v>72</v>
      </c>
      <c r="F12" s="4">
        <f>INT(主角属性配置!F12/3+$AS$2)</f>
        <v>886</v>
      </c>
      <c r="G12">
        <v>8</v>
      </c>
      <c r="H12">
        <v>0</v>
      </c>
      <c r="I12">
        <v>10</v>
      </c>
      <c r="J12">
        <v>0</v>
      </c>
      <c r="K12" s="3">
        <f t="shared" si="2"/>
        <v>295</v>
      </c>
      <c r="L12" s="3">
        <f t="shared" si="3"/>
        <v>443</v>
      </c>
      <c r="N12" t="str">
        <f>$N$1&amp;$P$1&amp;$T$1&amp;$B$2&amp;$T$1&amp;$R$1&amp;B13&amp;$Q$1&amp;$S$1&amp;$P$1&amp;$T$1&amp;$D$2&amp;$T$1&amp;$R$1&amp;D13&amp;$Q$1&amp;$S$1&amp;$P$1&amp;$T$1&amp;$E$2&amp;$T$1&amp;$R$1&amp;E13&amp;$Q$1&amp;$S$1&amp;$P$1&amp;$T$1&amp;$F$2&amp;$T$1&amp;$R$1&amp;F13&amp;$Q$1&amp;$S$1&amp;$P$1&amp;$T$1&amp;$G$2&amp;$T$1&amp;$R$1&amp;G13&amp;$Q$1&amp;$S$1&amp;$P$1&amp;$T$1&amp;$H$2&amp;$T$1&amp;$R$1&amp;H13&amp;$Q$1&amp;$S$1&amp;$P$1&amp;$T$1&amp;$I$2&amp;$T$1&amp;$R$1&amp;I13&amp;$Q$1&amp;$S$1&amp;$P$1&amp;$T$1&amp;$J$2&amp;$T$1&amp;$R$1&amp;J13&amp;$Q$1&amp;$O$1</f>
        <v>[{"1":111},{"4":73},{"5":73},{"12":911},{"7":8},{"6":0},{"8":10},{"9":0}]</v>
      </c>
      <c r="W12" t="str">
        <f>$N$1&amp;$P$1&amp;$T$1&amp;$C$2&amp;$T$1&amp;$R$1&amp;C13&amp;$Q$1&amp;$S$1&amp;$P$1&amp;$T$1&amp;$D$2&amp;$T$1&amp;$R$1&amp;D13&amp;$Q$1&amp;$S$1&amp;$P$1&amp;$T$1&amp;$E$2&amp;$T$1&amp;$R$1&amp;E13&amp;$Q$1&amp;$S$1&amp;$P$1&amp;$T$1&amp;$F$2&amp;$T$1&amp;$R$1&amp;K13&amp;$Q$1&amp;$S$1&amp;$P$1&amp;$T$1&amp;$G$2&amp;$T$1&amp;$R$1&amp;G13&amp;$Q$1&amp;$S$1&amp;$P$1&amp;$T$1&amp;$H$2&amp;$T$1&amp;$R$1&amp;H13&amp;$Q$1&amp;$S$1&amp;$P$1&amp;$T$1&amp;$I$2&amp;$T$1&amp;$R$1&amp;I13&amp;$Q$1&amp;$S$1&amp;$P$1&amp;$T$1&amp;$J$2&amp;$T$1&amp;$R$1&amp;J13&amp;$Q$1&amp;$O$1</f>
        <v>[{"2":133},{"4":73},{"5":73},{"12":304},{"7":8},{"6":0},{"8":10},{"9":0}]</v>
      </c>
      <c r="AE12" t="str">
        <f>$N$1&amp;$P$1&amp;$T$1&amp;$C$2&amp;$T$1&amp;$R$1&amp;C13&amp;$Q$1&amp;$S$1&amp;$P$1&amp;$T$1&amp;$D$2&amp;$T$1&amp;$R$1&amp;D13&amp;$Q$1&amp;$S$1&amp;$P$1&amp;$T$1&amp;$E$2&amp;$T$1&amp;$R$1&amp;E13&amp;$Q$1&amp;$S$1&amp;$P$1&amp;$T$1&amp;$F$2&amp;$T$1&amp;$R$1&amp;L13&amp;$Q$1&amp;$S$1&amp;$P$1&amp;$T$1&amp;$G$2&amp;$T$1&amp;$R$1&amp;G13&amp;$Q$1&amp;$S$1&amp;$P$1&amp;$T$1&amp;$H$2&amp;$T$1&amp;$R$1&amp;H13&amp;$Q$1&amp;$S$1&amp;$P$1&amp;$T$1&amp;$I$2&amp;$T$1&amp;$R$1&amp;I13&amp;$Q$1&amp;$S$1&amp;$P$1&amp;$T$1&amp;$J$2&amp;$T$1&amp;$R$1&amp;J13&amp;$Q$1&amp;$O$1</f>
        <v>[{"2":133},{"4":73},{"5":73},{"12":456},{"7":8},{"6":0},{"8":10},{"9":0}]</v>
      </c>
      <c r="AG12">
        <v>10</v>
      </c>
      <c r="AH12">
        <f t="shared" si="4"/>
        <v>6</v>
      </c>
      <c r="AI12">
        <f t="shared" si="5"/>
        <v>6</v>
      </c>
      <c r="AJ12">
        <v>88</v>
      </c>
      <c r="AK12">
        <v>4</v>
      </c>
      <c r="AL12">
        <v>8</v>
      </c>
      <c r="AM12">
        <v>0</v>
      </c>
      <c r="AN12">
        <v>10</v>
      </c>
    </row>
    <row r="13" customFormat="1" ht="16.5" spans="1:40">
      <c r="A13">
        <v>11</v>
      </c>
      <c r="B13">
        <f>$AP$2+AG13</f>
        <v>111</v>
      </c>
      <c r="C13">
        <f t="shared" si="1"/>
        <v>133</v>
      </c>
      <c r="D13">
        <f>AH13+$AQ$2</f>
        <v>73</v>
      </c>
      <c r="E13">
        <f t="shared" si="0"/>
        <v>73</v>
      </c>
      <c r="F13" s="4">
        <f>INT(主角属性配置!F13/3+$AS$2)</f>
        <v>911</v>
      </c>
      <c r="G13">
        <v>8</v>
      </c>
      <c r="H13">
        <v>0</v>
      </c>
      <c r="I13">
        <v>10</v>
      </c>
      <c r="J13">
        <v>0</v>
      </c>
      <c r="K13" s="3">
        <f t="shared" si="2"/>
        <v>304</v>
      </c>
      <c r="L13" s="3">
        <f t="shared" si="3"/>
        <v>456</v>
      </c>
      <c r="N13" t="str">
        <f>$N$1&amp;$P$1&amp;$T$1&amp;$B$2&amp;$T$1&amp;$R$1&amp;B14&amp;$Q$1&amp;$S$1&amp;$P$1&amp;$T$1&amp;$D$2&amp;$T$1&amp;$R$1&amp;D14&amp;$Q$1&amp;$S$1&amp;$P$1&amp;$T$1&amp;$E$2&amp;$T$1&amp;$R$1&amp;E14&amp;$Q$1&amp;$S$1&amp;$P$1&amp;$T$1&amp;$F$2&amp;$T$1&amp;$R$1&amp;F14&amp;$Q$1&amp;$S$1&amp;$P$1&amp;$T$1&amp;$G$2&amp;$T$1&amp;$R$1&amp;G14&amp;$Q$1&amp;$S$1&amp;$P$1&amp;$T$1&amp;$H$2&amp;$T$1&amp;$R$1&amp;H14&amp;$Q$1&amp;$S$1&amp;$P$1&amp;$T$1&amp;$I$2&amp;$T$1&amp;$R$1&amp;I14&amp;$Q$1&amp;$S$1&amp;$P$1&amp;$T$1&amp;$J$2&amp;$T$1&amp;$R$1&amp;J14&amp;$Q$1&amp;$O$1</f>
        <v>[{"1":112},{"4":74},{"5":74},{"12":937},{"7":8},{"6":0},{"8":10},{"9":0}]</v>
      </c>
      <c r="W13" t="str">
        <f>$N$1&amp;$P$1&amp;$T$1&amp;$C$2&amp;$T$1&amp;$R$1&amp;C14&amp;$Q$1&amp;$S$1&amp;$P$1&amp;$T$1&amp;$D$2&amp;$T$1&amp;$R$1&amp;D14&amp;$Q$1&amp;$S$1&amp;$P$1&amp;$T$1&amp;$E$2&amp;$T$1&amp;$R$1&amp;E14&amp;$Q$1&amp;$S$1&amp;$P$1&amp;$T$1&amp;$F$2&amp;$T$1&amp;$R$1&amp;K14&amp;$Q$1&amp;$S$1&amp;$P$1&amp;$T$1&amp;$G$2&amp;$T$1&amp;$R$1&amp;G14&amp;$Q$1&amp;$S$1&amp;$P$1&amp;$T$1&amp;$H$2&amp;$T$1&amp;$R$1&amp;H14&amp;$Q$1&amp;$S$1&amp;$P$1&amp;$T$1&amp;$I$2&amp;$T$1&amp;$R$1&amp;I14&amp;$Q$1&amp;$S$1&amp;$P$1&amp;$T$1&amp;$J$2&amp;$T$1&amp;$R$1&amp;J14&amp;$Q$1&amp;$O$1</f>
        <v>[{"2":134},{"4":74},{"5":74},{"12":312},{"7":8},{"6":0},{"8":10},{"9":0}]</v>
      </c>
      <c r="AE13" t="str">
        <f>$N$1&amp;$P$1&amp;$T$1&amp;$C$2&amp;$T$1&amp;$R$1&amp;C14&amp;$Q$1&amp;$S$1&amp;$P$1&amp;$T$1&amp;$D$2&amp;$T$1&amp;$R$1&amp;D14&amp;$Q$1&amp;$S$1&amp;$P$1&amp;$T$1&amp;$E$2&amp;$T$1&amp;$R$1&amp;E14&amp;$Q$1&amp;$S$1&amp;$P$1&amp;$T$1&amp;$F$2&amp;$T$1&amp;$R$1&amp;L14&amp;$Q$1&amp;$S$1&amp;$P$1&amp;$T$1&amp;$G$2&amp;$T$1&amp;$R$1&amp;G14&amp;$Q$1&amp;$S$1&amp;$P$1&amp;$T$1&amp;$H$2&amp;$T$1&amp;$R$1&amp;H14&amp;$Q$1&amp;$S$1&amp;$P$1&amp;$T$1&amp;$I$2&amp;$T$1&amp;$R$1&amp;I14&amp;$Q$1&amp;$S$1&amp;$P$1&amp;$T$1&amp;$J$2&amp;$T$1&amp;$R$1&amp;J14&amp;$Q$1&amp;$O$1</f>
        <v>[{"2":134},{"4":74},{"5":74},{"12":469},{"7":8},{"6":0},{"8":10},{"9":0}]</v>
      </c>
      <c r="AG13">
        <v>11</v>
      </c>
      <c r="AH13">
        <f t="shared" si="4"/>
        <v>7</v>
      </c>
      <c r="AI13">
        <f t="shared" si="5"/>
        <v>7</v>
      </c>
      <c r="AJ13">
        <v>95</v>
      </c>
      <c r="AK13">
        <v>4</v>
      </c>
      <c r="AL13">
        <v>8</v>
      </c>
      <c r="AM13">
        <v>0</v>
      </c>
      <c r="AN13">
        <v>10</v>
      </c>
    </row>
    <row r="14" customFormat="1" ht="16.5" spans="1:40">
      <c r="A14">
        <v>12</v>
      </c>
      <c r="B14">
        <f>$AP$2+AG14</f>
        <v>112</v>
      </c>
      <c r="C14">
        <f t="shared" si="1"/>
        <v>134</v>
      </c>
      <c r="D14">
        <f>AH14+$AQ$2</f>
        <v>74</v>
      </c>
      <c r="E14">
        <f t="shared" si="0"/>
        <v>74</v>
      </c>
      <c r="F14" s="4">
        <f>INT(主角属性配置!F14/3+$AS$2)</f>
        <v>937</v>
      </c>
      <c r="G14">
        <v>8</v>
      </c>
      <c r="H14">
        <v>0</v>
      </c>
      <c r="I14">
        <v>10</v>
      </c>
      <c r="J14">
        <v>0</v>
      </c>
      <c r="K14" s="3">
        <f t="shared" si="2"/>
        <v>312</v>
      </c>
      <c r="L14" s="3">
        <f t="shared" si="3"/>
        <v>469</v>
      </c>
      <c r="N14" t="str">
        <f>$N$1&amp;$P$1&amp;$T$1&amp;$B$2&amp;$T$1&amp;$R$1&amp;B15&amp;$Q$1&amp;$S$1&amp;$P$1&amp;$T$1&amp;$D$2&amp;$T$1&amp;$R$1&amp;D15&amp;$Q$1&amp;$S$1&amp;$P$1&amp;$T$1&amp;$E$2&amp;$T$1&amp;$R$1&amp;E15&amp;$Q$1&amp;$S$1&amp;$P$1&amp;$T$1&amp;$F$2&amp;$T$1&amp;$R$1&amp;F15&amp;$Q$1&amp;$S$1&amp;$P$1&amp;$T$1&amp;$G$2&amp;$T$1&amp;$R$1&amp;G15&amp;$Q$1&amp;$S$1&amp;$P$1&amp;$T$1&amp;$H$2&amp;$T$1&amp;$R$1&amp;H15&amp;$Q$1&amp;$S$1&amp;$P$1&amp;$T$1&amp;$I$2&amp;$T$1&amp;$R$1&amp;I15&amp;$Q$1&amp;$S$1&amp;$P$1&amp;$T$1&amp;$J$2&amp;$T$1&amp;$R$1&amp;J15&amp;$Q$1&amp;$O$1</f>
        <v>[{"1":113},{"4":74},{"5":74},{"12":962},{"7":8},{"6":0},{"8":10},{"9":0}]</v>
      </c>
      <c r="W14" t="str">
        <f>$N$1&amp;$P$1&amp;$T$1&amp;$C$2&amp;$T$1&amp;$R$1&amp;C15&amp;$Q$1&amp;$S$1&amp;$P$1&amp;$T$1&amp;$D$2&amp;$T$1&amp;$R$1&amp;D15&amp;$Q$1&amp;$S$1&amp;$P$1&amp;$T$1&amp;$E$2&amp;$T$1&amp;$R$1&amp;E15&amp;$Q$1&amp;$S$1&amp;$P$1&amp;$T$1&amp;$F$2&amp;$T$1&amp;$R$1&amp;K15&amp;$Q$1&amp;$S$1&amp;$P$1&amp;$T$1&amp;$G$2&amp;$T$1&amp;$R$1&amp;G15&amp;$Q$1&amp;$S$1&amp;$P$1&amp;$T$1&amp;$H$2&amp;$T$1&amp;$R$1&amp;H15&amp;$Q$1&amp;$S$1&amp;$P$1&amp;$T$1&amp;$I$2&amp;$T$1&amp;$R$1&amp;I15&amp;$Q$1&amp;$S$1&amp;$P$1&amp;$T$1&amp;$J$2&amp;$T$1&amp;$R$1&amp;J15&amp;$Q$1&amp;$O$1</f>
        <v>[{"2":135},{"4":74},{"5":74},{"12":321},{"7":8},{"6":0},{"8":10},{"9":0}]</v>
      </c>
      <c r="AE14" t="str">
        <f>$N$1&amp;$P$1&amp;$T$1&amp;$C$2&amp;$T$1&amp;$R$1&amp;C15&amp;$Q$1&amp;$S$1&amp;$P$1&amp;$T$1&amp;$D$2&amp;$T$1&amp;$R$1&amp;D15&amp;$Q$1&amp;$S$1&amp;$P$1&amp;$T$1&amp;$E$2&amp;$T$1&amp;$R$1&amp;E15&amp;$Q$1&amp;$S$1&amp;$P$1&amp;$T$1&amp;$F$2&amp;$T$1&amp;$R$1&amp;L15&amp;$Q$1&amp;$S$1&amp;$P$1&amp;$T$1&amp;$G$2&amp;$T$1&amp;$R$1&amp;G15&amp;$Q$1&amp;$S$1&amp;$P$1&amp;$T$1&amp;$H$2&amp;$T$1&amp;$R$1&amp;H15&amp;$Q$1&amp;$S$1&amp;$P$1&amp;$T$1&amp;$I$2&amp;$T$1&amp;$R$1&amp;I15&amp;$Q$1&amp;$S$1&amp;$P$1&amp;$T$1&amp;$J$2&amp;$T$1&amp;$R$1&amp;J15&amp;$Q$1&amp;$O$1</f>
        <v>[{"2":135},{"4":74},{"5":74},{"12":481},{"7":8},{"6":0},{"8":10},{"9":0}]</v>
      </c>
      <c r="AG14">
        <v>12</v>
      </c>
      <c r="AH14">
        <f t="shared" si="4"/>
        <v>8</v>
      </c>
      <c r="AI14">
        <f t="shared" si="5"/>
        <v>8</v>
      </c>
      <c r="AJ14">
        <v>103</v>
      </c>
      <c r="AK14">
        <v>4</v>
      </c>
      <c r="AL14">
        <v>8</v>
      </c>
      <c r="AM14">
        <v>0</v>
      </c>
      <c r="AN14">
        <v>10</v>
      </c>
    </row>
    <row r="15" customFormat="1" ht="16.5" spans="1:40">
      <c r="A15">
        <v>13</v>
      </c>
      <c r="B15">
        <f>$AP$2+AG15</f>
        <v>113</v>
      </c>
      <c r="C15">
        <f t="shared" si="1"/>
        <v>135</v>
      </c>
      <c r="D15">
        <f>AH15+$AQ$2</f>
        <v>74</v>
      </c>
      <c r="E15">
        <f t="shared" si="0"/>
        <v>74</v>
      </c>
      <c r="F15" s="4">
        <f>INT(主角属性配置!F15/3+$AS$2)</f>
        <v>962</v>
      </c>
      <c r="G15">
        <v>8</v>
      </c>
      <c r="H15">
        <v>0</v>
      </c>
      <c r="I15">
        <v>10</v>
      </c>
      <c r="J15">
        <v>0</v>
      </c>
      <c r="K15" s="3">
        <f t="shared" si="2"/>
        <v>321</v>
      </c>
      <c r="L15" s="3">
        <f t="shared" si="3"/>
        <v>481</v>
      </c>
      <c r="N15" t="str">
        <f>$N$1&amp;$P$1&amp;$T$1&amp;$B$2&amp;$T$1&amp;$R$1&amp;B16&amp;$Q$1&amp;$S$1&amp;$P$1&amp;$T$1&amp;$D$2&amp;$T$1&amp;$R$1&amp;D16&amp;$Q$1&amp;$S$1&amp;$P$1&amp;$T$1&amp;$E$2&amp;$T$1&amp;$R$1&amp;E16&amp;$Q$1&amp;$S$1&amp;$P$1&amp;$T$1&amp;$F$2&amp;$T$1&amp;$R$1&amp;F16&amp;$Q$1&amp;$S$1&amp;$P$1&amp;$T$1&amp;$G$2&amp;$T$1&amp;$R$1&amp;G16&amp;$Q$1&amp;$S$1&amp;$P$1&amp;$T$1&amp;$H$2&amp;$T$1&amp;$R$1&amp;H16&amp;$Q$1&amp;$S$1&amp;$P$1&amp;$T$1&amp;$I$2&amp;$T$1&amp;$R$1&amp;I16&amp;$Q$1&amp;$S$1&amp;$P$1&amp;$T$1&amp;$J$2&amp;$T$1&amp;$R$1&amp;J16&amp;$Q$1&amp;$O$1</f>
        <v>[{"1":114},{"4":75},{"5":75},{"12":987},{"7":8},{"6":0},{"8":10},{"9":0}]</v>
      </c>
      <c r="W15" t="str">
        <f>$N$1&amp;$P$1&amp;$T$1&amp;$C$2&amp;$T$1&amp;$R$1&amp;C16&amp;$Q$1&amp;$S$1&amp;$P$1&amp;$T$1&amp;$D$2&amp;$T$1&amp;$R$1&amp;D16&amp;$Q$1&amp;$S$1&amp;$P$1&amp;$T$1&amp;$E$2&amp;$T$1&amp;$R$1&amp;E16&amp;$Q$1&amp;$S$1&amp;$P$1&amp;$T$1&amp;$F$2&amp;$T$1&amp;$R$1&amp;K16&amp;$Q$1&amp;$S$1&amp;$P$1&amp;$T$1&amp;$G$2&amp;$T$1&amp;$R$1&amp;G16&amp;$Q$1&amp;$S$1&amp;$P$1&amp;$T$1&amp;$H$2&amp;$T$1&amp;$R$1&amp;H16&amp;$Q$1&amp;$S$1&amp;$P$1&amp;$T$1&amp;$I$2&amp;$T$1&amp;$R$1&amp;I16&amp;$Q$1&amp;$S$1&amp;$P$1&amp;$T$1&amp;$J$2&amp;$T$1&amp;$R$1&amp;J16&amp;$Q$1&amp;$O$1</f>
        <v>[{"2":136},{"4":75},{"5":75},{"12":329},{"7":8},{"6":0},{"8":10},{"9":0}]</v>
      </c>
      <c r="AE15" t="str">
        <f>$N$1&amp;$P$1&amp;$T$1&amp;$C$2&amp;$T$1&amp;$R$1&amp;C16&amp;$Q$1&amp;$S$1&amp;$P$1&amp;$T$1&amp;$D$2&amp;$T$1&amp;$R$1&amp;D16&amp;$Q$1&amp;$S$1&amp;$P$1&amp;$T$1&amp;$E$2&amp;$T$1&amp;$R$1&amp;E16&amp;$Q$1&amp;$S$1&amp;$P$1&amp;$T$1&amp;$F$2&amp;$T$1&amp;$R$1&amp;L16&amp;$Q$1&amp;$S$1&amp;$P$1&amp;$T$1&amp;$G$2&amp;$T$1&amp;$R$1&amp;G16&amp;$Q$1&amp;$S$1&amp;$P$1&amp;$T$1&amp;$H$2&amp;$T$1&amp;$R$1&amp;H16&amp;$Q$1&amp;$S$1&amp;$P$1&amp;$T$1&amp;$I$2&amp;$T$1&amp;$R$1&amp;I16&amp;$Q$1&amp;$S$1&amp;$P$1&amp;$T$1&amp;$J$2&amp;$T$1&amp;$R$1&amp;J16&amp;$Q$1&amp;$O$1</f>
        <v>[{"2":136},{"4":75},{"5":75},{"12":494},{"7":8},{"6":0},{"8":10},{"9":0}]</v>
      </c>
      <c r="AG15">
        <v>13</v>
      </c>
      <c r="AH15">
        <f t="shared" si="4"/>
        <v>8</v>
      </c>
      <c r="AI15">
        <f t="shared" si="5"/>
        <v>8</v>
      </c>
      <c r="AJ15">
        <v>110</v>
      </c>
      <c r="AK15">
        <v>4</v>
      </c>
      <c r="AL15">
        <v>8</v>
      </c>
      <c r="AM15">
        <v>0</v>
      </c>
      <c r="AN15">
        <v>10</v>
      </c>
    </row>
    <row r="16" customFormat="1" ht="16.5" spans="1:40">
      <c r="A16">
        <v>14</v>
      </c>
      <c r="B16">
        <f>$AP$2+AG16</f>
        <v>114</v>
      </c>
      <c r="C16">
        <f t="shared" si="1"/>
        <v>136</v>
      </c>
      <c r="D16">
        <f>AH16+$AQ$2</f>
        <v>75</v>
      </c>
      <c r="E16">
        <f t="shared" si="0"/>
        <v>75</v>
      </c>
      <c r="F16" s="4">
        <f>INT(主角属性配置!F16/3+$AS$2)</f>
        <v>987</v>
      </c>
      <c r="G16">
        <v>8</v>
      </c>
      <c r="H16">
        <v>0</v>
      </c>
      <c r="I16">
        <v>10</v>
      </c>
      <c r="J16">
        <v>0</v>
      </c>
      <c r="K16" s="3">
        <f t="shared" si="2"/>
        <v>329</v>
      </c>
      <c r="L16" s="3">
        <f t="shared" si="3"/>
        <v>494</v>
      </c>
      <c r="N16" t="str">
        <f>$N$1&amp;$P$1&amp;$T$1&amp;$B$2&amp;$T$1&amp;$R$1&amp;B17&amp;$Q$1&amp;$S$1&amp;$P$1&amp;$T$1&amp;$D$2&amp;$T$1&amp;$R$1&amp;D17&amp;$Q$1&amp;$S$1&amp;$P$1&amp;$T$1&amp;$E$2&amp;$T$1&amp;$R$1&amp;E17&amp;$Q$1&amp;$S$1&amp;$P$1&amp;$T$1&amp;$F$2&amp;$T$1&amp;$R$1&amp;F17&amp;$Q$1&amp;$S$1&amp;$P$1&amp;$T$1&amp;$G$2&amp;$T$1&amp;$R$1&amp;G17&amp;$Q$1&amp;$S$1&amp;$P$1&amp;$T$1&amp;$H$2&amp;$T$1&amp;$R$1&amp;H17&amp;$Q$1&amp;$S$1&amp;$P$1&amp;$T$1&amp;$I$2&amp;$T$1&amp;$R$1&amp;I17&amp;$Q$1&amp;$S$1&amp;$P$1&amp;$T$1&amp;$J$2&amp;$T$1&amp;$R$1&amp;J17&amp;$Q$1&amp;$O$1</f>
        <v>[{"1":115},{"4":76},{"5":76},{"12":1012},{"7":8},{"6":0},{"8":10},{"9":0}]</v>
      </c>
      <c r="W16" t="str">
        <f>$N$1&amp;$P$1&amp;$T$1&amp;$C$2&amp;$T$1&amp;$R$1&amp;C17&amp;$Q$1&amp;$S$1&amp;$P$1&amp;$T$1&amp;$D$2&amp;$T$1&amp;$R$1&amp;D17&amp;$Q$1&amp;$S$1&amp;$P$1&amp;$T$1&amp;$E$2&amp;$T$1&amp;$R$1&amp;E17&amp;$Q$1&amp;$S$1&amp;$P$1&amp;$T$1&amp;$F$2&amp;$T$1&amp;$R$1&amp;K17&amp;$Q$1&amp;$S$1&amp;$P$1&amp;$T$1&amp;$G$2&amp;$T$1&amp;$R$1&amp;G17&amp;$Q$1&amp;$S$1&amp;$P$1&amp;$T$1&amp;$H$2&amp;$T$1&amp;$R$1&amp;H17&amp;$Q$1&amp;$S$1&amp;$P$1&amp;$T$1&amp;$I$2&amp;$T$1&amp;$R$1&amp;I17&amp;$Q$1&amp;$S$1&amp;$P$1&amp;$T$1&amp;$J$2&amp;$T$1&amp;$R$1&amp;J17&amp;$Q$1&amp;$O$1</f>
        <v>[{"2":138},{"4":76},{"5":76},{"12":337},{"7":8},{"6":0},{"8":10},{"9":0}]</v>
      </c>
      <c r="AE16" t="str">
        <f>$N$1&amp;$P$1&amp;$T$1&amp;$C$2&amp;$T$1&amp;$R$1&amp;C17&amp;$Q$1&amp;$S$1&amp;$P$1&amp;$T$1&amp;$D$2&amp;$T$1&amp;$R$1&amp;D17&amp;$Q$1&amp;$S$1&amp;$P$1&amp;$T$1&amp;$E$2&amp;$T$1&amp;$R$1&amp;E17&amp;$Q$1&amp;$S$1&amp;$P$1&amp;$T$1&amp;$F$2&amp;$T$1&amp;$R$1&amp;L17&amp;$Q$1&amp;$S$1&amp;$P$1&amp;$T$1&amp;$G$2&amp;$T$1&amp;$R$1&amp;G17&amp;$Q$1&amp;$S$1&amp;$P$1&amp;$T$1&amp;$H$2&amp;$T$1&amp;$R$1&amp;H17&amp;$Q$1&amp;$S$1&amp;$P$1&amp;$T$1&amp;$I$2&amp;$T$1&amp;$R$1&amp;I17&amp;$Q$1&amp;$S$1&amp;$P$1&amp;$T$1&amp;$J$2&amp;$T$1&amp;$R$1&amp;J17&amp;$Q$1&amp;$O$1</f>
        <v>[{"2":138},{"4":76},{"5":76},{"12":506},{"7":8},{"6":0},{"8":10},{"9":0}]</v>
      </c>
      <c r="AG16">
        <v>14</v>
      </c>
      <c r="AH16">
        <f t="shared" si="4"/>
        <v>9</v>
      </c>
      <c r="AI16">
        <f t="shared" si="5"/>
        <v>9</v>
      </c>
      <c r="AJ16">
        <v>117</v>
      </c>
      <c r="AK16">
        <v>4</v>
      </c>
      <c r="AL16">
        <v>8</v>
      </c>
      <c r="AM16">
        <v>0</v>
      </c>
      <c r="AN16">
        <v>10</v>
      </c>
    </row>
    <row r="17" customFormat="1" ht="16.5" spans="1:40">
      <c r="A17">
        <v>15</v>
      </c>
      <c r="B17">
        <f>$AP$2+AG17</f>
        <v>115</v>
      </c>
      <c r="C17">
        <f t="shared" si="1"/>
        <v>138</v>
      </c>
      <c r="D17">
        <f>AH17+$AQ$2</f>
        <v>76</v>
      </c>
      <c r="E17">
        <f t="shared" si="0"/>
        <v>76</v>
      </c>
      <c r="F17" s="4">
        <f>INT(主角属性配置!F17/3+$AS$2)</f>
        <v>1012</v>
      </c>
      <c r="G17">
        <v>8</v>
      </c>
      <c r="H17">
        <v>0</v>
      </c>
      <c r="I17">
        <v>10</v>
      </c>
      <c r="J17">
        <v>0</v>
      </c>
      <c r="K17" s="3">
        <f t="shared" si="2"/>
        <v>337</v>
      </c>
      <c r="L17" s="3">
        <f t="shared" si="3"/>
        <v>506</v>
      </c>
      <c r="N17" t="str">
        <f>$N$1&amp;$P$1&amp;$T$1&amp;$B$2&amp;$T$1&amp;$R$1&amp;B18&amp;$Q$1&amp;$S$1&amp;$P$1&amp;$T$1&amp;$D$2&amp;$T$1&amp;$R$1&amp;D18&amp;$Q$1&amp;$S$1&amp;$P$1&amp;$T$1&amp;$E$2&amp;$T$1&amp;$R$1&amp;E18&amp;$Q$1&amp;$S$1&amp;$P$1&amp;$T$1&amp;$F$2&amp;$T$1&amp;$R$1&amp;F18&amp;$Q$1&amp;$S$1&amp;$P$1&amp;$T$1&amp;$G$2&amp;$T$1&amp;$R$1&amp;G18&amp;$Q$1&amp;$S$1&amp;$P$1&amp;$T$1&amp;$H$2&amp;$T$1&amp;$R$1&amp;H18&amp;$Q$1&amp;$S$1&amp;$P$1&amp;$T$1&amp;$I$2&amp;$T$1&amp;$R$1&amp;I18&amp;$Q$1&amp;$S$1&amp;$P$1&amp;$T$1&amp;$J$2&amp;$T$1&amp;$R$1&amp;J18&amp;$Q$1&amp;$O$1</f>
        <v>[{"1":116},{"4":76},{"5":76},{"12":1038},{"7":8},{"6":0},{"8":10},{"9":0}]</v>
      </c>
      <c r="W17" t="str">
        <f>$N$1&amp;$P$1&amp;$T$1&amp;$C$2&amp;$T$1&amp;$R$1&amp;C18&amp;$Q$1&amp;$S$1&amp;$P$1&amp;$T$1&amp;$D$2&amp;$T$1&amp;$R$1&amp;D18&amp;$Q$1&amp;$S$1&amp;$P$1&amp;$T$1&amp;$E$2&amp;$T$1&amp;$R$1&amp;E18&amp;$Q$1&amp;$S$1&amp;$P$1&amp;$T$1&amp;$F$2&amp;$T$1&amp;$R$1&amp;K18&amp;$Q$1&amp;$S$1&amp;$P$1&amp;$T$1&amp;$G$2&amp;$T$1&amp;$R$1&amp;G18&amp;$Q$1&amp;$S$1&amp;$P$1&amp;$T$1&amp;$H$2&amp;$T$1&amp;$R$1&amp;H18&amp;$Q$1&amp;$S$1&amp;$P$1&amp;$T$1&amp;$I$2&amp;$T$1&amp;$R$1&amp;I18&amp;$Q$1&amp;$S$1&amp;$P$1&amp;$T$1&amp;$J$2&amp;$T$1&amp;$R$1&amp;J18&amp;$Q$1&amp;$O$1</f>
        <v>[{"2":139},{"4":76},{"5":76},{"12":346},{"7":8},{"6":0},{"8":10},{"9":0}]</v>
      </c>
      <c r="AE17" t="str">
        <f>$N$1&amp;$P$1&amp;$T$1&amp;$C$2&amp;$T$1&amp;$R$1&amp;C18&amp;$Q$1&amp;$S$1&amp;$P$1&amp;$T$1&amp;$D$2&amp;$T$1&amp;$R$1&amp;D18&amp;$Q$1&amp;$S$1&amp;$P$1&amp;$T$1&amp;$E$2&amp;$T$1&amp;$R$1&amp;E18&amp;$Q$1&amp;$S$1&amp;$P$1&amp;$T$1&amp;$F$2&amp;$T$1&amp;$R$1&amp;L18&amp;$Q$1&amp;$S$1&amp;$P$1&amp;$T$1&amp;$G$2&amp;$T$1&amp;$R$1&amp;G18&amp;$Q$1&amp;$S$1&amp;$P$1&amp;$T$1&amp;$H$2&amp;$T$1&amp;$R$1&amp;H18&amp;$Q$1&amp;$S$1&amp;$P$1&amp;$T$1&amp;$I$2&amp;$T$1&amp;$R$1&amp;I18&amp;$Q$1&amp;$S$1&amp;$P$1&amp;$T$1&amp;$J$2&amp;$T$1&amp;$R$1&amp;J18&amp;$Q$1&amp;$O$1</f>
        <v>[{"2":139},{"4":76},{"5":76},{"12":519},{"7":8},{"6":0},{"8":10},{"9":0}]</v>
      </c>
      <c r="AG17">
        <v>15</v>
      </c>
      <c r="AH17">
        <f t="shared" si="4"/>
        <v>10</v>
      </c>
      <c r="AI17">
        <f t="shared" si="5"/>
        <v>10</v>
      </c>
      <c r="AJ17">
        <v>125</v>
      </c>
      <c r="AK17">
        <v>4</v>
      </c>
      <c r="AL17">
        <v>8</v>
      </c>
      <c r="AM17">
        <v>0</v>
      </c>
      <c r="AN17">
        <v>10</v>
      </c>
    </row>
    <row r="18" customFormat="1" ht="16.5" spans="1:40">
      <c r="A18">
        <v>16</v>
      </c>
      <c r="B18">
        <f>$AP$2+AG18</f>
        <v>116</v>
      </c>
      <c r="C18">
        <f t="shared" si="1"/>
        <v>139</v>
      </c>
      <c r="D18">
        <f>AH18+$AQ$2</f>
        <v>76</v>
      </c>
      <c r="E18">
        <f t="shared" si="0"/>
        <v>76</v>
      </c>
      <c r="F18" s="4">
        <f>INT(主角属性配置!F18/3+$AS$2)</f>
        <v>1038</v>
      </c>
      <c r="G18">
        <v>8</v>
      </c>
      <c r="H18">
        <v>0</v>
      </c>
      <c r="I18">
        <v>10</v>
      </c>
      <c r="J18">
        <v>0</v>
      </c>
      <c r="K18" s="3">
        <f t="shared" si="2"/>
        <v>346</v>
      </c>
      <c r="L18" s="3">
        <f t="shared" si="3"/>
        <v>519</v>
      </c>
      <c r="N18" t="str">
        <f>$N$1&amp;$P$1&amp;$T$1&amp;$B$2&amp;$T$1&amp;$R$1&amp;B19&amp;$Q$1&amp;$S$1&amp;$P$1&amp;$T$1&amp;$D$2&amp;$T$1&amp;$R$1&amp;D19&amp;$Q$1&amp;$S$1&amp;$P$1&amp;$T$1&amp;$E$2&amp;$T$1&amp;$R$1&amp;E19&amp;$Q$1&amp;$S$1&amp;$P$1&amp;$T$1&amp;$F$2&amp;$T$1&amp;$R$1&amp;F19&amp;$Q$1&amp;$S$1&amp;$P$1&amp;$T$1&amp;$G$2&amp;$T$1&amp;$R$1&amp;G19&amp;$Q$1&amp;$S$1&amp;$P$1&amp;$T$1&amp;$H$2&amp;$T$1&amp;$R$1&amp;H19&amp;$Q$1&amp;$S$1&amp;$P$1&amp;$T$1&amp;$I$2&amp;$T$1&amp;$R$1&amp;I19&amp;$Q$1&amp;$S$1&amp;$P$1&amp;$T$1&amp;$J$2&amp;$T$1&amp;$R$1&amp;J19&amp;$Q$1&amp;$O$1</f>
        <v>[{"1":117},{"4":77},{"5":77},{"12":1063},{"7":8},{"6":0},{"8":10},{"9":0}]</v>
      </c>
      <c r="W18" t="str">
        <f>$N$1&amp;$P$1&amp;$T$1&amp;$C$2&amp;$T$1&amp;$R$1&amp;C19&amp;$Q$1&amp;$S$1&amp;$P$1&amp;$T$1&amp;$D$2&amp;$T$1&amp;$R$1&amp;D19&amp;$Q$1&amp;$S$1&amp;$P$1&amp;$T$1&amp;$E$2&amp;$T$1&amp;$R$1&amp;E19&amp;$Q$1&amp;$S$1&amp;$P$1&amp;$T$1&amp;$F$2&amp;$T$1&amp;$R$1&amp;K19&amp;$Q$1&amp;$S$1&amp;$P$1&amp;$T$1&amp;$G$2&amp;$T$1&amp;$R$1&amp;G19&amp;$Q$1&amp;$S$1&amp;$P$1&amp;$T$1&amp;$H$2&amp;$T$1&amp;$R$1&amp;H19&amp;$Q$1&amp;$S$1&amp;$P$1&amp;$T$1&amp;$I$2&amp;$T$1&amp;$R$1&amp;I19&amp;$Q$1&amp;$S$1&amp;$P$1&amp;$T$1&amp;$J$2&amp;$T$1&amp;$R$1&amp;J19&amp;$Q$1&amp;$O$1</f>
        <v>[{"2":140},{"4":77},{"5":77},{"12":354},{"7":8},{"6":0},{"8":10},{"9":0}]</v>
      </c>
      <c r="AE18" t="str">
        <f>$N$1&amp;$P$1&amp;$T$1&amp;$C$2&amp;$T$1&amp;$R$1&amp;C19&amp;$Q$1&amp;$S$1&amp;$P$1&amp;$T$1&amp;$D$2&amp;$T$1&amp;$R$1&amp;D19&amp;$Q$1&amp;$S$1&amp;$P$1&amp;$T$1&amp;$E$2&amp;$T$1&amp;$R$1&amp;E19&amp;$Q$1&amp;$S$1&amp;$P$1&amp;$T$1&amp;$F$2&amp;$T$1&amp;$R$1&amp;L19&amp;$Q$1&amp;$S$1&amp;$P$1&amp;$T$1&amp;$G$2&amp;$T$1&amp;$R$1&amp;G19&amp;$Q$1&amp;$S$1&amp;$P$1&amp;$T$1&amp;$H$2&amp;$T$1&amp;$R$1&amp;H19&amp;$Q$1&amp;$S$1&amp;$P$1&amp;$T$1&amp;$I$2&amp;$T$1&amp;$R$1&amp;I19&amp;$Q$1&amp;$S$1&amp;$P$1&amp;$T$1&amp;$J$2&amp;$T$1&amp;$R$1&amp;J19&amp;$Q$1&amp;$O$1</f>
        <v>[{"2":140},{"4":77},{"5":77},{"12":532},{"7":8},{"6":0},{"8":10},{"9":0}]</v>
      </c>
      <c r="AG18">
        <v>16</v>
      </c>
      <c r="AH18">
        <f t="shared" si="4"/>
        <v>10</v>
      </c>
      <c r="AI18">
        <f t="shared" si="5"/>
        <v>10</v>
      </c>
      <c r="AJ18">
        <v>132</v>
      </c>
      <c r="AK18">
        <v>4</v>
      </c>
      <c r="AL18">
        <v>8</v>
      </c>
      <c r="AM18">
        <v>0</v>
      </c>
      <c r="AN18">
        <v>10</v>
      </c>
    </row>
    <row r="19" customFormat="1" ht="16.5" spans="1:40">
      <c r="A19">
        <v>17</v>
      </c>
      <c r="B19">
        <f>$AP$2+AG19</f>
        <v>117</v>
      </c>
      <c r="C19">
        <f t="shared" si="1"/>
        <v>140</v>
      </c>
      <c r="D19">
        <f>AH19+$AQ$2</f>
        <v>77</v>
      </c>
      <c r="E19">
        <f t="shared" si="0"/>
        <v>77</v>
      </c>
      <c r="F19" s="4">
        <f>INT(主角属性配置!F19/3+$AS$2)</f>
        <v>1063</v>
      </c>
      <c r="G19">
        <v>8</v>
      </c>
      <c r="H19">
        <v>0</v>
      </c>
      <c r="I19">
        <v>10</v>
      </c>
      <c r="J19">
        <v>0</v>
      </c>
      <c r="K19" s="3">
        <f t="shared" si="2"/>
        <v>354</v>
      </c>
      <c r="L19" s="3">
        <f t="shared" si="3"/>
        <v>532</v>
      </c>
      <c r="N19" t="str">
        <f>$N$1&amp;$P$1&amp;$T$1&amp;$B$2&amp;$T$1&amp;$R$1&amp;B20&amp;$Q$1&amp;$S$1&amp;$P$1&amp;$T$1&amp;$D$2&amp;$T$1&amp;$R$1&amp;D20&amp;$Q$1&amp;$S$1&amp;$P$1&amp;$T$1&amp;$E$2&amp;$T$1&amp;$R$1&amp;E20&amp;$Q$1&amp;$S$1&amp;$P$1&amp;$T$1&amp;$F$2&amp;$T$1&amp;$R$1&amp;F20&amp;$Q$1&amp;$S$1&amp;$P$1&amp;$T$1&amp;$G$2&amp;$T$1&amp;$R$1&amp;G20&amp;$Q$1&amp;$S$1&amp;$P$1&amp;$T$1&amp;$H$2&amp;$T$1&amp;$R$1&amp;H20&amp;$Q$1&amp;$S$1&amp;$P$1&amp;$T$1&amp;$I$2&amp;$T$1&amp;$R$1&amp;I20&amp;$Q$1&amp;$S$1&amp;$P$1&amp;$T$1&amp;$J$2&amp;$T$1&amp;$R$1&amp;J20&amp;$Q$1&amp;$O$1</f>
        <v>[{"1":118},{"4":78},{"5":78},{"12":1088},{"7":8},{"6":0},{"8":10},{"9":0}]</v>
      </c>
      <c r="W19" t="str">
        <f>$N$1&amp;$P$1&amp;$T$1&amp;$C$2&amp;$T$1&amp;$R$1&amp;C20&amp;$Q$1&amp;$S$1&amp;$P$1&amp;$T$1&amp;$D$2&amp;$T$1&amp;$R$1&amp;D20&amp;$Q$1&amp;$S$1&amp;$P$1&amp;$T$1&amp;$E$2&amp;$T$1&amp;$R$1&amp;E20&amp;$Q$1&amp;$S$1&amp;$P$1&amp;$T$1&amp;$F$2&amp;$T$1&amp;$R$1&amp;K20&amp;$Q$1&amp;$S$1&amp;$P$1&amp;$T$1&amp;$G$2&amp;$T$1&amp;$R$1&amp;G20&amp;$Q$1&amp;$S$1&amp;$P$1&amp;$T$1&amp;$H$2&amp;$T$1&amp;$R$1&amp;H20&amp;$Q$1&amp;$S$1&amp;$P$1&amp;$T$1&amp;$I$2&amp;$T$1&amp;$R$1&amp;I20&amp;$Q$1&amp;$S$1&amp;$P$1&amp;$T$1&amp;$J$2&amp;$T$1&amp;$R$1&amp;J20&amp;$Q$1&amp;$O$1</f>
        <v>[{"2":141},{"4":78},{"5":78},{"12":363},{"7":8},{"6":0},{"8":10},{"9":0}]</v>
      </c>
      <c r="AE19" t="str">
        <f>$N$1&amp;$P$1&amp;$T$1&amp;$C$2&amp;$T$1&amp;$R$1&amp;C20&amp;$Q$1&amp;$S$1&amp;$P$1&amp;$T$1&amp;$D$2&amp;$T$1&amp;$R$1&amp;D20&amp;$Q$1&amp;$S$1&amp;$P$1&amp;$T$1&amp;$E$2&amp;$T$1&amp;$R$1&amp;E20&amp;$Q$1&amp;$S$1&amp;$P$1&amp;$T$1&amp;$F$2&amp;$T$1&amp;$R$1&amp;L20&amp;$Q$1&amp;$S$1&amp;$P$1&amp;$T$1&amp;$G$2&amp;$T$1&amp;$R$1&amp;G20&amp;$Q$1&amp;$S$1&amp;$P$1&amp;$T$1&amp;$H$2&amp;$T$1&amp;$R$1&amp;H20&amp;$Q$1&amp;$S$1&amp;$P$1&amp;$T$1&amp;$I$2&amp;$T$1&amp;$R$1&amp;I20&amp;$Q$1&amp;$S$1&amp;$P$1&amp;$T$1&amp;$J$2&amp;$T$1&amp;$R$1&amp;J20&amp;$Q$1&amp;$O$1</f>
        <v>[{"2":141},{"4":78},{"5":78},{"12":544},{"7":8},{"6":0},{"8":10},{"9":0}]</v>
      </c>
      <c r="AG19">
        <v>17</v>
      </c>
      <c r="AH19">
        <f t="shared" si="4"/>
        <v>11</v>
      </c>
      <c r="AI19">
        <f t="shared" si="5"/>
        <v>11</v>
      </c>
      <c r="AJ19">
        <v>140</v>
      </c>
      <c r="AK19">
        <v>4</v>
      </c>
      <c r="AL19">
        <v>8</v>
      </c>
      <c r="AM19">
        <v>0</v>
      </c>
      <c r="AN19">
        <v>10</v>
      </c>
    </row>
    <row r="20" customFormat="1" ht="16.5" spans="1:40">
      <c r="A20">
        <v>18</v>
      </c>
      <c r="B20">
        <f>$AP$2+AG20</f>
        <v>118</v>
      </c>
      <c r="C20">
        <f t="shared" si="1"/>
        <v>141</v>
      </c>
      <c r="D20">
        <f>AH20+$AQ$2</f>
        <v>78</v>
      </c>
      <c r="E20">
        <f t="shared" si="0"/>
        <v>78</v>
      </c>
      <c r="F20" s="4">
        <f>INT(主角属性配置!F20/3+$AS$2)</f>
        <v>1088</v>
      </c>
      <c r="G20">
        <v>8</v>
      </c>
      <c r="H20">
        <v>0</v>
      </c>
      <c r="I20">
        <v>10</v>
      </c>
      <c r="J20">
        <v>0</v>
      </c>
      <c r="K20" s="3">
        <f t="shared" si="2"/>
        <v>363</v>
      </c>
      <c r="L20" s="3">
        <f t="shared" si="3"/>
        <v>544</v>
      </c>
      <c r="N20" t="str">
        <f>$N$1&amp;$P$1&amp;$T$1&amp;$B$2&amp;$T$1&amp;$R$1&amp;B21&amp;$Q$1&amp;$S$1&amp;$P$1&amp;$T$1&amp;$D$2&amp;$T$1&amp;$R$1&amp;D21&amp;$Q$1&amp;$S$1&amp;$P$1&amp;$T$1&amp;$E$2&amp;$T$1&amp;$R$1&amp;E21&amp;$Q$1&amp;$S$1&amp;$P$1&amp;$T$1&amp;$F$2&amp;$T$1&amp;$R$1&amp;F21&amp;$Q$1&amp;$S$1&amp;$P$1&amp;$T$1&amp;$G$2&amp;$T$1&amp;$R$1&amp;G21&amp;$Q$1&amp;$S$1&amp;$P$1&amp;$T$1&amp;$H$2&amp;$T$1&amp;$R$1&amp;H21&amp;$Q$1&amp;$S$1&amp;$P$1&amp;$T$1&amp;$I$2&amp;$T$1&amp;$R$1&amp;I21&amp;$Q$1&amp;$S$1&amp;$P$1&amp;$T$1&amp;$J$2&amp;$T$1&amp;$R$1&amp;J21&amp;$Q$1&amp;$O$1</f>
        <v>[{"1":119},{"4":78},{"5":78},{"12":1114},{"7":8},{"6":0},{"8":10},{"9":0}]</v>
      </c>
      <c r="W20" t="str">
        <f>$N$1&amp;$P$1&amp;$T$1&amp;$C$2&amp;$T$1&amp;$R$1&amp;C21&amp;$Q$1&amp;$S$1&amp;$P$1&amp;$T$1&amp;$D$2&amp;$T$1&amp;$R$1&amp;D21&amp;$Q$1&amp;$S$1&amp;$P$1&amp;$T$1&amp;$E$2&amp;$T$1&amp;$R$1&amp;E21&amp;$Q$1&amp;$S$1&amp;$P$1&amp;$T$1&amp;$F$2&amp;$T$1&amp;$R$1&amp;K21&amp;$Q$1&amp;$S$1&amp;$P$1&amp;$T$1&amp;$G$2&amp;$T$1&amp;$R$1&amp;G21&amp;$Q$1&amp;$S$1&amp;$P$1&amp;$T$1&amp;$H$2&amp;$T$1&amp;$R$1&amp;H21&amp;$Q$1&amp;$S$1&amp;$P$1&amp;$T$1&amp;$I$2&amp;$T$1&amp;$R$1&amp;I21&amp;$Q$1&amp;$S$1&amp;$P$1&amp;$T$1&amp;$J$2&amp;$T$1&amp;$R$1&amp;J21&amp;$Q$1&amp;$O$1</f>
        <v>[{"2":142},{"4":78},{"5":78},{"12":371},{"7":8},{"6":0},{"8":10},{"9":0}]</v>
      </c>
      <c r="AE20" t="str">
        <f>$N$1&amp;$P$1&amp;$T$1&amp;$C$2&amp;$T$1&amp;$R$1&amp;C21&amp;$Q$1&amp;$S$1&amp;$P$1&amp;$T$1&amp;$D$2&amp;$T$1&amp;$R$1&amp;D21&amp;$Q$1&amp;$S$1&amp;$P$1&amp;$T$1&amp;$E$2&amp;$T$1&amp;$R$1&amp;E21&amp;$Q$1&amp;$S$1&amp;$P$1&amp;$T$1&amp;$F$2&amp;$T$1&amp;$R$1&amp;L21&amp;$Q$1&amp;$S$1&amp;$P$1&amp;$T$1&amp;$G$2&amp;$T$1&amp;$R$1&amp;G21&amp;$Q$1&amp;$S$1&amp;$P$1&amp;$T$1&amp;$H$2&amp;$T$1&amp;$R$1&amp;H21&amp;$Q$1&amp;$S$1&amp;$P$1&amp;$T$1&amp;$I$2&amp;$T$1&amp;$R$1&amp;I21&amp;$Q$1&amp;$S$1&amp;$P$1&amp;$T$1&amp;$J$2&amp;$T$1&amp;$R$1&amp;J21&amp;$Q$1&amp;$O$1</f>
        <v>[{"2":142},{"4":78},{"5":78},{"12":557},{"7":8},{"6":0},{"8":10},{"9":0}]</v>
      </c>
      <c r="AG20">
        <v>18</v>
      </c>
      <c r="AH20">
        <f t="shared" si="4"/>
        <v>12</v>
      </c>
      <c r="AI20">
        <f t="shared" si="5"/>
        <v>12</v>
      </c>
      <c r="AJ20">
        <v>147</v>
      </c>
      <c r="AK20">
        <v>4</v>
      </c>
      <c r="AL20">
        <v>8</v>
      </c>
      <c r="AM20">
        <v>0</v>
      </c>
      <c r="AN20">
        <v>10</v>
      </c>
    </row>
    <row r="21" customFormat="1" ht="16.5" spans="1:40">
      <c r="A21">
        <v>19</v>
      </c>
      <c r="B21">
        <f>$AP$2+AG21</f>
        <v>119</v>
      </c>
      <c r="C21">
        <f t="shared" si="1"/>
        <v>142</v>
      </c>
      <c r="D21">
        <f>AH21+$AQ$2</f>
        <v>78</v>
      </c>
      <c r="E21">
        <f t="shared" si="0"/>
        <v>78</v>
      </c>
      <c r="F21" s="4">
        <f>INT(主角属性配置!F21/3+$AS$2)</f>
        <v>1114</v>
      </c>
      <c r="G21">
        <v>8</v>
      </c>
      <c r="H21">
        <v>0</v>
      </c>
      <c r="I21">
        <v>10</v>
      </c>
      <c r="J21">
        <v>0</v>
      </c>
      <c r="K21" s="3">
        <f t="shared" si="2"/>
        <v>371</v>
      </c>
      <c r="L21" s="3">
        <f t="shared" si="3"/>
        <v>557</v>
      </c>
      <c r="N21" t="str">
        <f>$N$1&amp;$P$1&amp;$T$1&amp;$B$2&amp;$T$1&amp;$R$1&amp;B22&amp;$Q$1&amp;$S$1&amp;$P$1&amp;$T$1&amp;$D$2&amp;$T$1&amp;$R$1&amp;D22&amp;$Q$1&amp;$S$1&amp;$P$1&amp;$T$1&amp;$E$2&amp;$T$1&amp;$R$1&amp;E22&amp;$Q$1&amp;$S$1&amp;$P$1&amp;$T$1&amp;$F$2&amp;$T$1&amp;$R$1&amp;F22&amp;$Q$1&amp;$S$1&amp;$P$1&amp;$T$1&amp;$G$2&amp;$T$1&amp;$R$1&amp;G22&amp;$Q$1&amp;$S$1&amp;$P$1&amp;$T$1&amp;$H$2&amp;$T$1&amp;$R$1&amp;H22&amp;$Q$1&amp;$S$1&amp;$P$1&amp;$T$1&amp;$I$2&amp;$T$1&amp;$R$1&amp;I22&amp;$Q$1&amp;$S$1&amp;$P$1&amp;$T$1&amp;$J$2&amp;$T$1&amp;$R$1&amp;J22&amp;$Q$1&amp;$O$1</f>
        <v>[{"1":120},{"4":79},{"5":79},{"12":1265},{"7":8},{"6":0},{"8":10},{"9":0}]</v>
      </c>
      <c r="W21" t="str">
        <f>$N$1&amp;$P$1&amp;$T$1&amp;$C$2&amp;$T$1&amp;$R$1&amp;C22&amp;$Q$1&amp;$S$1&amp;$P$1&amp;$T$1&amp;$D$2&amp;$T$1&amp;$R$1&amp;D22&amp;$Q$1&amp;$S$1&amp;$P$1&amp;$T$1&amp;$E$2&amp;$T$1&amp;$R$1&amp;E22&amp;$Q$1&amp;$S$1&amp;$P$1&amp;$T$1&amp;$F$2&amp;$T$1&amp;$R$1&amp;K22&amp;$Q$1&amp;$S$1&amp;$P$1&amp;$T$1&amp;$G$2&amp;$T$1&amp;$R$1&amp;G22&amp;$Q$1&amp;$S$1&amp;$P$1&amp;$T$1&amp;$H$2&amp;$T$1&amp;$R$1&amp;H22&amp;$Q$1&amp;$S$1&amp;$P$1&amp;$T$1&amp;$I$2&amp;$T$1&amp;$R$1&amp;I22&amp;$Q$1&amp;$S$1&amp;$P$1&amp;$T$1&amp;$J$2&amp;$T$1&amp;$R$1&amp;J22&amp;$Q$1&amp;$O$1</f>
        <v>[{"2":144},{"4":79},{"5":79},{"12":422},{"7":8},{"6":0},{"8":10},{"9":0}]</v>
      </c>
      <c r="AE21" t="str">
        <f>$N$1&amp;$P$1&amp;$T$1&amp;$C$2&amp;$T$1&amp;$R$1&amp;C22&amp;$Q$1&amp;$S$1&amp;$P$1&amp;$T$1&amp;$D$2&amp;$T$1&amp;$R$1&amp;D22&amp;$Q$1&amp;$S$1&amp;$P$1&amp;$T$1&amp;$E$2&amp;$T$1&amp;$R$1&amp;E22&amp;$Q$1&amp;$S$1&amp;$P$1&amp;$T$1&amp;$F$2&amp;$T$1&amp;$R$1&amp;L22&amp;$Q$1&amp;$S$1&amp;$P$1&amp;$T$1&amp;$G$2&amp;$T$1&amp;$R$1&amp;G22&amp;$Q$1&amp;$S$1&amp;$P$1&amp;$T$1&amp;$H$2&amp;$T$1&amp;$R$1&amp;H22&amp;$Q$1&amp;$S$1&amp;$P$1&amp;$T$1&amp;$I$2&amp;$T$1&amp;$R$1&amp;I22&amp;$Q$1&amp;$S$1&amp;$P$1&amp;$T$1&amp;$J$2&amp;$T$1&amp;$R$1&amp;J22&amp;$Q$1&amp;$O$1</f>
        <v>[{"2":144},{"4":79},{"5":79},{"12":633},{"7":8},{"6":0},{"8":10},{"9":0}]</v>
      </c>
      <c r="AG21">
        <v>19</v>
      </c>
      <c r="AH21">
        <f t="shared" si="4"/>
        <v>12</v>
      </c>
      <c r="AI21">
        <f t="shared" si="5"/>
        <v>12</v>
      </c>
      <c r="AJ21">
        <v>155</v>
      </c>
      <c r="AK21">
        <v>4</v>
      </c>
      <c r="AL21">
        <v>8</v>
      </c>
      <c r="AM21">
        <v>0</v>
      </c>
      <c r="AN21">
        <v>10</v>
      </c>
    </row>
    <row r="22" customFormat="1" ht="16.5" spans="1:40">
      <c r="A22">
        <v>20</v>
      </c>
      <c r="B22">
        <f>$AP$2+AG22</f>
        <v>120</v>
      </c>
      <c r="C22">
        <f t="shared" si="1"/>
        <v>144</v>
      </c>
      <c r="D22">
        <f>AH22+$AQ$2</f>
        <v>79</v>
      </c>
      <c r="E22">
        <f t="shared" si="0"/>
        <v>79</v>
      </c>
      <c r="F22" s="4">
        <f>INT(主角属性配置!F22/3+$AS$2)</f>
        <v>1265</v>
      </c>
      <c r="G22">
        <v>8</v>
      </c>
      <c r="H22">
        <v>0</v>
      </c>
      <c r="I22">
        <v>10</v>
      </c>
      <c r="J22">
        <v>0</v>
      </c>
      <c r="K22" s="3">
        <f t="shared" si="2"/>
        <v>422</v>
      </c>
      <c r="L22" s="3">
        <f t="shared" si="3"/>
        <v>633</v>
      </c>
      <c r="N22" t="str">
        <f>$N$1&amp;$P$1&amp;$T$1&amp;$B$2&amp;$T$1&amp;$R$1&amp;B23&amp;$Q$1&amp;$S$1&amp;$P$1&amp;$T$1&amp;$D$2&amp;$T$1&amp;$R$1&amp;D23&amp;$Q$1&amp;$S$1&amp;$P$1&amp;$T$1&amp;$E$2&amp;$T$1&amp;$R$1&amp;E23&amp;$Q$1&amp;$S$1&amp;$P$1&amp;$T$1&amp;$F$2&amp;$T$1&amp;$R$1&amp;F23&amp;$Q$1&amp;$S$1&amp;$P$1&amp;$T$1&amp;$G$2&amp;$T$1&amp;$R$1&amp;G23&amp;$Q$1&amp;$S$1&amp;$P$1&amp;$T$1&amp;$H$2&amp;$T$1&amp;$R$1&amp;H23&amp;$Q$1&amp;$S$1&amp;$P$1&amp;$T$1&amp;$I$2&amp;$T$1&amp;$R$1&amp;I23&amp;$Q$1&amp;$S$1&amp;$P$1&amp;$T$1&amp;$J$2&amp;$T$1&amp;$R$1&amp;J23&amp;$Q$1&amp;$O$1</f>
        <v>[{"1":121},{"4":80},{"5":80},{"12":1297},{"7":8},{"6":0},{"8":10},{"9":0}]</v>
      </c>
      <c r="W22" t="str">
        <f>$N$1&amp;$P$1&amp;$T$1&amp;$C$2&amp;$T$1&amp;$R$1&amp;C23&amp;$Q$1&amp;$S$1&amp;$P$1&amp;$T$1&amp;$D$2&amp;$T$1&amp;$R$1&amp;D23&amp;$Q$1&amp;$S$1&amp;$P$1&amp;$T$1&amp;$E$2&amp;$T$1&amp;$R$1&amp;E23&amp;$Q$1&amp;$S$1&amp;$P$1&amp;$T$1&amp;$F$2&amp;$T$1&amp;$R$1&amp;K23&amp;$Q$1&amp;$S$1&amp;$P$1&amp;$T$1&amp;$G$2&amp;$T$1&amp;$R$1&amp;G23&amp;$Q$1&amp;$S$1&amp;$P$1&amp;$T$1&amp;$H$2&amp;$T$1&amp;$R$1&amp;H23&amp;$Q$1&amp;$S$1&amp;$P$1&amp;$T$1&amp;$I$2&amp;$T$1&amp;$R$1&amp;I23&amp;$Q$1&amp;$S$1&amp;$P$1&amp;$T$1&amp;$J$2&amp;$T$1&amp;$R$1&amp;J23&amp;$Q$1&amp;$O$1</f>
        <v>[{"2":145},{"4":80},{"5":80},{"12":432},{"7":8},{"6":0},{"8":10},{"9":0}]</v>
      </c>
      <c r="AE22" t="str">
        <f>$N$1&amp;$P$1&amp;$T$1&amp;$C$2&amp;$T$1&amp;$R$1&amp;C23&amp;$Q$1&amp;$S$1&amp;$P$1&amp;$T$1&amp;$D$2&amp;$T$1&amp;$R$1&amp;D23&amp;$Q$1&amp;$S$1&amp;$P$1&amp;$T$1&amp;$E$2&amp;$T$1&amp;$R$1&amp;E23&amp;$Q$1&amp;$S$1&amp;$P$1&amp;$T$1&amp;$F$2&amp;$T$1&amp;$R$1&amp;L23&amp;$Q$1&amp;$S$1&amp;$P$1&amp;$T$1&amp;$G$2&amp;$T$1&amp;$R$1&amp;G23&amp;$Q$1&amp;$S$1&amp;$P$1&amp;$T$1&amp;$H$2&amp;$T$1&amp;$R$1&amp;H23&amp;$Q$1&amp;$S$1&amp;$P$1&amp;$T$1&amp;$I$2&amp;$T$1&amp;$R$1&amp;I23&amp;$Q$1&amp;$S$1&amp;$P$1&amp;$T$1&amp;$J$2&amp;$T$1&amp;$R$1&amp;J23&amp;$Q$1&amp;$O$1</f>
        <v>[{"2":145},{"4":80},{"5":80},{"12":649},{"7":8},{"6":0},{"8":10},{"9":0}]</v>
      </c>
      <c r="AG22">
        <v>20</v>
      </c>
      <c r="AH22">
        <f t="shared" si="4"/>
        <v>13</v>
      </c>
      <c r="AI22">
        <f t="shared" si="5"/>
        <v>13</v>
      </c>
      <c r="AJ22">
        <v>162</v>
      </c>
      <c r="AK22">
        <v>4</v>
      </c>
      <c r="AL22">
        <v>8</v>
      </c>
      <c r="AM22">
        <v>0</v>
      </c>
      <c r="AN22">
        <v>10</v>
      </c>
    </row>
    <row r="23" customFormat="1" ht="16.5" spans="1:40">
      <c r="A23">
        <v>21</v>
      </c>
      <c r="B23">
        <f>$AP$2+AG23</f>
        <v>121</v>
      </c>
      <c r="C23">
        <f t="shared" si="1"/>
        <v>145</v>
      </c>
      <c r="D23">
        <f>AH23+$AQ$2</f>
        <v>80</v>
      </c>
      <c r="E23">
        <f t="shared" si="0"/>
        <v>80</v>
      </c>
      <c r="F23" s="4">
        <f>INT(主角属性配置!F23/3+$AS$2)</f>
        <v>1297</v>
      </c>
      <c r="G23">
        <v>8</v>
      </c>
      <c r="H23">
        <v>0</v>
      </c>
      <c r="I23">
        <v>10</v>
      </c>
      <c r="J23">
        <v>0</v>
      </c>
      <c r="K23" s="3">
        <f t="shared" si="2"/>
        <v>432</v>
      </c>
      <c r="L23" s="3">
        <f t="shared" si="3"/>
        <v>649</v>
      </c>
      <c r="N23" t="str">
        <f>$N$1&amp;$P$1&amp;$T$1&amp;$B$2&amp;$T$1&amp;$R$1&amp;B24&amp;$Q$1&amp;$S$1&amp;$P$1&amp;$T$1&amp;$D$2&amp;$T$1&amp;$R$1&amp;D24&amp;$Q$1&amp;$S$1&amp;$P$1&amp;$T$1&amp;$E$2&amp;$T$1&amp;$R$1&amp;E24&amp;$Q$1&amp;$S$1&amp;$P$1&amp;$T$1&amp;$F$2&amp;$T$1&amp;$R$1&amp;F24&amp;$Q$1&amp;$S$1&amp;$P$1&amp;$T$1&amp;$G$2&amp;$T$1&amp;$R$1&amp;G24&amp;$Q$1&amp;$S$1&amp;$P$1&amp;$T$1&amp;$H$2&amp;$T$1&amp;$R$1&amp;H24&amp;$Q$1&amp;$S$1&amp;$P$1&amp;$T$1&amp;$I$2&amp;$T$1&amp;$R$1&amp;I24&amp;$Q$1&amp;$S$1&amp;$P$1&amp;$T$1&amp;$J$2&amp;$T$1&amp;$R$1&amp;J24&amp;$Q$1&amp;$O$1</f>
        <v>[{"1":122},{"4":80},{"5":80},{"12":1329},{"7":8},{"6":0},{"8":10},{"9":0}]</v>
      </c>
      <c r="W23" t="str">
        <f>$N$1&amp;$P$1&amp;$T$1&amp;$C$2&amp;$T$1&amp;$R$1&amp;C24&amp;$Q$1&amp;$S$1&amp;$P$1&amp;$T$1&amp;$D$2&amp;$T$1&amp;$R$1&amp;D24&amp;$Q$1&amp;$S$1&amp;$P$1&amp;$T$1&amp;$E$2&amp;$T$1&amp;$R$1&amp;E24&amp;$Q$1&amp;$S$1&amp;$P$1&amp;$T$1&amp;$F$2&amp;$T$1&amp;$R$1&amp;K24&amp;$Q$1&amp;$S$1&amp;$P$1&amp;$T$1&amp;$G$2&amp;$T$1&amp;$R$1&amp;G24&amp;$Q$1&amp;$S$1&amp;$P$1&amp;$T$1&amp;$H$2&amp;$T$1&amp;$R$1&amp;H24&amp;$Q$1&amp;$S$1&amp;$P$1&amp;$T$1&amp;$I$2&amp;$T$1&amp;$R$1&amp;I24&amp;$Q$1&amp;$S$1&amp;$P$1&amp;$T$1&amp;$J$2&amp;$T$1&amp;$R$1&amp;J24&amp;$Q$1&amp;$O$1</f>
        <v>[{"2":146},{"4":80},{"5":80},{"12":443},{"7":8},{"6":0},{"8":10},{"9":0}]</v>
      </c>
      <c r="AE23" t="str">
        <f>$N$1&amp;$P$1&amp;$T$1&amp;$C$2&amp;$T$1&amp;$R$1&amp;C24&amp;$Q$1&amp;$S$1&amp;$P$1&amp;$T$1&amp;$D$2&amp;$T$1&amp;$R$1&amp;D24&amp;$Q$1&amp;$S$1&amp;$P$1&amp;$T$1&amp;$E$2&amp;$T$1&amp;$R$1&amp;E24&amp;$Q$1&amp;$S$1&amp;$P$1&amp;$T$1&amp;$F$2&amp;$T$1&amp;$R$1&amp;L24&amp;$Q$1&amp;$S$1&amp;$P$1&amp;$T$1&amp;$G$2&amp;$T$1&amp;$R$1&amp;G24&amp;$Q$1&amp;$S$1&amp;$P$1&amp;$T$1&amp;$H$2&amp;$T$1&amp;$R$1&amp;H24&amp;$Q$1&amp;$S$1&amp;$P$1&amp;$T$1&amp;$I$2&amp;$T$1&amp;$R$1&amp;I24&amp;$Q$1&amp;$S$1&amp;$P$1&amp;$T$1&amp;$J$2&amp;$T$1&amp;$R$1&amp;J24&amp;$Q$1&amp;$O$1</f>
        <v>[{"2":146},{"4":80},{"5":80},{"12":665},{"7":8},{"6":0},{"8":10},{"9":0}]</v>
      </c>
      <c r="AG23">
        <v>21</v>
      </c>
      <c r="AH23">
        <f t="shared" si="4"/>
        <v>14</v>
      </c>
      <c r="AI23">
        <f t="shared" si="5"/>
        <v>14</v>
      </c>
      <c r="AJ23">
        <v>169</v>
      </c>
      <c r="AK23">
        <v>4</v>
      </c>
      <c r="AL23">
        <v>8</v>
      </c>
      <c r="AM23">
        <v>0</v>
      </c>
      <c r="AN23">
        <v>10</v>
      </c>
    </row>
    <row r="24" customFormat="1" ht="16.5" spans="1:40">
      <c r="A24">
        <v>22</v>
      </c>
      <c r="B24">
        <f>$AP$2+AG24</f>
        <v>122</v>
      </c>
      <c r="C24">
        <f t="shared" si="1"/>
        <v>146</v>
      </c>
      <c r="D24">
        <f>AH24+$AQ$2</f>
        <v>80</v>
      </c>
      <c r="E24">
        <f t="shared" si="0"/>
        <v>80</v>
      </c>
      <c r="F24" s="4">
        <f>INT(主角属性配置!F24/3+$AS$2)</f>
        <v>1329</v>
      </c>
      <c r="G24">
        <v>8</v>
      </c>
      <c r="H24">
        <v>0</v>
      </c>
      <c r="I24">
        <v>10</v>
      </c>
      <c r="J24">
        <v>0</v>
      </c>
      <c r="K24" s="3">
        <f t="shared" si="2"/>
        <v>443</v>
      </c>
      <c r="L24" s="3">
        <f t="shared" si="3"/>
        <v>665</v>
      </c>
      <c r="N24" t="str">
        <f>$N$1&amp;$P$1&amp;$T$1&amp;$B$2&amp;$T$1&amp;$R$1&amp;B25&amp;$Q$1&amp;$S$1&amp;$P$1&amp;$T$1&amp;$D$2&amp;$T$1&amp;$R$1&amp;D25&amp;$Q$1&amp;$S$1&amp;$P$1&amp;$T$1&amp;$E$2&amp;$T$1&amp;$R$1&amp;E25&amp;$Q$1&amp;$S$1&amp;$P$1&amp;$T$1&amp;$F$2&amp;$T$1&amp;$R$1&amp;F25&amp;$Q$1&amp;$S$1&amp;$P$1&amp;$T$1&amp;$G$2&amp;$T$1&amp;$R$1&amp;G25&amp;$Q$1&amp;$S$1&amp;$P$1&amp;$T$1&amp;$H$2&amp;$T$1&amp;$R$1&amp;H25&amp;$Q$1&amp;$S$1&amp;$P$1&amp;$T$1&amp;$I$2&amp;$T$1&amp;$R$1&amp;I25&amp;$Q$1&amp;$S$1&amp;$P$1&amp;$T$1&amp;$J$2&amp;$T$1&amp;$R$1&amp;J25&amp;$Q$1&amp;$O$1</f>
        <v>[{"1":123},{"4":81},{"5":81},{"12":1360},{"7":8},{"6":0},{"8":10},{"9":0}]</v>
      </c>
      <c r="W24" t="str">
        <f>$N$1&amp;$P$1&amp;$T$1&amp;$C$2&amp;$T$1&amp;$R$1&amp;C25&amp;$Q$1&amp;$S$1&amp;$P$1&amp;$T$1&amp;$D$2&amp;$T$1&amp;$R$1&amp;D25&amp;$Q$1&amp;$S$1&amp;$P$1&amp;$T$1&amp;$E$2&amp;$T$1&amp;$R$1&amp;E25&amp;$Q$1&amp;$S$1&amp;$P$1&amp;$T$1&amp;$F$2&amp;$T$1&amp;$R$1&amp;K25&amp;$Q$1&amp;$S$1&amp;$P$1&amp;$T$1&amp;$G$2&amp;$T$1&amp;$R$1&amp;G25&amp;$Q$1&amp;$S$1&amp;$P$1&amp;$T$1&amp;$H$2&amp;$T$1&amp;$R$1&amp;H25&amp;$Q$1&amp;$S$1&amp;$P$1&amp;$T$1&amp;$I$2&amp;$T$1&amp;$R$1&amp;I25&amp;$Q$1&amp;$S$1&amp;$P$1&amp;$T$1&amp;$J$2&amp;$T$1&amp;$R$1&amp;J25&amp;$Q$1&amp;$O$1</f>
        <v>[{"2":147},{"4":81},{"5":81},{"12":453},{"7":8},{"6":0},{"8":10},{"9":0}]</v>
      </c>
      <c r="AE24" t="str">
        <f>$N$1&amp;$P$1&amp;$T$1&amp;$C$2&amp;$T$1&amp;$R$1&amp;C25&amp;$Q$1&amp;$S$1&amp;$P$1&amp;$T$1&amp;$D$2&amp;$T$1&amp;$R$1&amp;D25&amp;$Q$1&amp;$S$1&amp;$P$1&amp;$T$1&amp;$E$2&amp;$T$1&amp;$R$1&amp;E25&amp;$Q$1&amp;$S$1&amp;$P$1&amp;$T$1&amp;$F$2&amp;$T$1&amp;$R$1&amp;L25&amp;$Q$1&amp;$S$1&amp;$P$1&amp;$T$1&amp;$G$2&amp;$T$1&amp;$R$1&amp;G25&amp;$Q$1&amp;$S$1&amp;$P$1&amp;$T$1&amp;$H$2&amp;$T$1&amp;$R$1&amp;H25&amp;$Q$1&amp;$S$1&amp;$P$1&amp;$T$1&amp;$I$2&amp;$T$1&amp;$R$1&amp;I25&amp;$Q$1&amp;$S$1&amp;$P$1&amp;$T$1&amp;$J$2&amp;$T$1&amp;$R$1&amp;J25&amp;$Q$1&amp;$O$1</f>
        <v>[{"2":147},{"4":81},{"5":81},{"12":680},{"7":8},{"6":0},{"8":10},{"9":0}]</v>
      </c>
      <c r="AG24">
        <v>22</v>
      </c>
      <c r="AH24">
        <f t="shared" si="4"/>
        <v>14</v>
      </c>
      <c r="AI24">
        <f t="shared" si="5"/>
        <v>14</v>
      </c>
      <c r="AJ24">
        <v>177</v>
      </c>
      <c r="AK24">
        <v>4</v>
      </c>
      <c r="AL24">
        <v>8</v>
      </c>
      <c r="AM24">
        <v>0</v>
      </c>
      <c r="AN24">
        <v>10</v>
      </c>
    </row>
    <row r="25" customFormat="1" ht="16.5" spans="1:40">
      <c r="A25">
        <v>23</v>
      </c>
      <c r="B25">
        <f>$AP$2+AG25</f>
        <v>123</v>
      </c>
      <c r="C25">
        <f t="shared" si="1"/>
        <v>147</v>
      </c>
      <c r="D25">
        <f>AH25+$AQ$2</f>
        <v>81</v>
      </c>
      <c r="E25">
        <f t="shared" si="0"/>
        <v>81</v>
      </c>
      <c r="F25" s="4">
        <f>INT(主角属性配置!F25/3+$AS$2)</f>
        <v>1360</v>
      </c>
      <c r="G25">
        <v>8</v>
      </c>
      <c r="H25">
        <v>0</v>
      </c>
      <c r="I25">
        <v>10</v>
      </c>
      <c r="J25">
        <v>0</v>
      </c>
      <c r="K25" s="3">
        <f t="shared" si="2"/>
        <v>453</v>
      </c>
      <c r="L25" s="3">
        <f t="shared" si="3"/>
        <v>680</v>
      </c>
      <c r="N25" t="str">
        <f>$N$1&amp;$P$1&amp;$T$1&amp;$B$2&amp;$T$1&amp;$R$1&amp;B26&amp;$Q$1&amp;$S$1&amp;$P$1&amp;$T$1&amp;$D$2&amp;$T$1&amp;$R$1&amp;D26&amp;$Q$1&amp;$S$1&amp;$P$1&amp;$T$1&amp;$E$2&amp;$T$1&amp;$R$1&amp;E26&amp;$Q$1&amp;$S$1&amp;$P$1&amp;$T$1&amp;$F$2&amp;$T$1&amp;$R$1&amp;F26&amp;$Q$1&amp;$S$1&amp;$P$1&amp;$T$1&amp;$G$2&amp;$T$1&amp;$R$1&amp;G26&amp;$Q$1&amp;$S$1&amp;$P$1&amp;$T$1&amp;$H$2&amp;$T$1&amp;$R$1&amp;H26&amp;$Q$1&amp;$S$1&amp;$P$1&amp;$T$1&amp;$I$2&amp;$T$1&amp;$R$1&amp;I26&amp;$Q$1&amp;$S$1&amp;$P$1&amp;$T$1&amp;$J$2&amp;$T$1&amp;$R$1&amp;J26&amp;$Q$1&amp;$O$1</f>
        <v>[{"1":124},{"4":82},{"5":82},{"12":1392},{"7":8},{"6":0},{"8":10},{"9":0}]</v>
      </c>
      <c r="W25" t="str">
        <f>$N$1&amp;$P$1&amp;$T$1&amp;$C$2&amp;$T$1&amp;$R$1&amp;C26&amp;$Q$1&amp;$S$1&amp;$P$1&amp;$T$1&amp;$D$2&amp;$T$1&amp;$R$1&amp;D26&amp;$Q$1&amp;$S$1&amp;$P$1&amp;$T$1&amp;$E$2&amp;$T$1&amp;$R$1&amp;E26&amp;$Q$1&amp;$S$1&amp;$P$1&amp;$T$1&amp;$F$2&amp;$T$1&amp;$R$1&amp;K26&amp;$Q$1&amp;$S$1&amp;$P$1&amp;$T$1&amp;$G$2&amp;$T$1&amp;$R$1&amp;G26&amp;$Q$1&amp;$S$1&amp;$P$1&amp;$T$1&amp;$H$2&amp;$T$1&amp;$R$1&amp;H26&amp;$Q$1&amp;$S$1&amp;$P$1&amp;$T$1&amp;$I$2&amp;$T$1&amp;$R$1&amp;I26&amp;$Q$1&amp;$S$1&amp;$P$1&amp;$T$1&amp;$J$2&amp;$T$1&amp;$R$1&amp;J26&amp;$Q$1&amp;$O$1</f>
        <v>[{"2":148},{"4":82},{"5":82},{"12":464},{"7":8},{"6":0},{"8":10},{"9":0}]</v>
      </c>
      <c r="AE25" t="str">
        <f>$N$1&amp;$P$1&amp;$T$1&amp;$C$2&amp;$T$1&amp;$R$1&amp;C26&amp;$Q$1&amp;$S$1&amp;$P$1&amp;$T$1&amp;$D$2&amp;$T$1&amp;$R$1&amp;D26&amp;$Q$1&amp;$S$1&amp;$P$1&amp;$T$1&amp;$E$2&amp;$T$1&amp;$R$1&amp;E26&amp;$Q$1&amp;$S$1&amp;$P$1&amp;$T$1&amp;$F$2&amp;$T$1&amp;$R$1&amp;L26&amp;$Q$1&amp;$S$1&amp;$P$1&amp;$T$1&amp;$G$2&amp;$T$1&amp;$R$1&amp;G26&amp;$Q$1&amp;$S$1&amp;$P$1&amp;$T$1&amp;$H$2&amp;$T$1&amp;$R$1&amp;H26&amp;$Q$1&amp;$S$1&amp;$P$1&amp;$T$1&amp;$I$2&amp;$T$1&amp;$R$1&amp;I26&amp;$Q$1&amp;$S$1&amp;$P$1&amp;$T$1&amp;$J$2&amp;$T$1&amp;$R$1&amp;J26&amp;$Q$1&amp;$O$1</f>
        <v>[{"2":148},{"4":82},{"5":82},{"12":696},{"7":8},{"6":0},{"8":10},{"9":0}]</v>
      </c>
      <c r="AG25">
        <v>23</v>
      </c>
      <c r="AH25">
        <f t="shared" si="4"/>
        <v>15</v>
      </c>
      <c r="AI25">
        <f t="shared" si="5"/>
        <v>15</v>
      </c>
      <c r="AJ25">
        <v>184</v>
      </c>
      <c r="AK25">
        <v>4</v>
      </c>
      <c r="AL25">
        <v>8</v>
      </c>
      <c r="AM25">
        <v>0</v>
      </c>
      <c r="AN25">
        <v>10</v>
      </c>
    </row>
    <row r="26" customFormat="1" ht="16.5" spans="1:40">
      <c r="A26">
        <v>24</v>
      </c>
      <c r="B26">
        <f>$AP$2+AG26</f>
        <v>124</v>
      </c>
      <c r="C26">
        <f t="shared" si="1"/>
        <v>148</v>
      </c>
      <c r="D26">
        <f>AH26+$AQ$2</f>
        <v>82</v>
      </c>
      <c r="E26">
        <f t="shared" si="0"/>
        <v>82</v>
      </c>
      <c r="F26" s="4">
        <f>INT(主角属性配置!F26/3+$AS$2)</f>
        <v>1392</v>
      </c>
      <c r="G26">
        <v>8</v>
      </c>
      <c r="H26">
        <v>0</v>
      </c>
      <c r="I26">
        <v>10</v>
      </c>
      <c r="J26">
        <v>0</v>
      </c>
      <c r="K26" s="3">
        <f t="shared" si="2"/>
        <v>464</v>
      </c>
      <c r="L26" s="3">
        <f t="shared" si="3"/>
        <v>696</v>
      </c>
      <c r="N26" t="str">
        <f>$N$1&amp;$P$1&amp;$T$1&amp;$B$2&amp;$T$1&amp;$R$1&amp;B27&amp;$Q$1&amp;$S$1&amp;$P$1&amp;$T$1&amp;$D$2&amp;$T$1&amp;$R$1&amp;D27&amp;$Q$1&amp;$S$1&amp;$P$1&amp;$T$1&amp;$E$2&amp;$T$1&amp;$R$1&amp;E27&amp;$Q$1&amp;$S$1&amp;$P$1&amp;$T$1&amp;$F$2&amp;$T$1&amp;$R$1&amp;F27&amp;$Q$1&amp;$S$1&amp;$P$1&amp;$T$1&amp;$G$2&amp;$T$1&amp;$R$1&amp;G27&amp;$Q$1&amp;$S$1&amp;$P$1&amp;$T$1&amp;$H$2&amp;$T$1&amp;$R$1&amp;H27&amp;$Q$1&amp;$S$1&amp;$P$1&amp;$T$1&amp;$I$2&amp;$T$1&amp;$R$1&amp;I27&amp;$Q$1&amp;$S$1&amp;$P$1&amp;$T$1&amp;$J$2&amp;$T$1&amp;$R$1&amp;J27&amp;$Q$1&amp;$O$1</f>
        <v>[{"1":125},{"4":82},{"5":82},{"12":1423},{"7":8},{"6":0},{"8":10},{"9":0}]</v>
      </c>
      <c r="W26" t="str">
        <f>$N$1&amp;$P$1&amp;$T$1&amp;$C$2&amp;$T$1&amp;$R$1&amp;C27&amp;$Q$1&amp;$S$1&amp;$P$1&amp;$T$1&amp;$D$2&amp;$T$1&amp;$R$1&amp;D27&amp;$Q$1&amp;$S$1&amp;$P$1&amp;$T$1&amp;$E$2&amp;$T$1&amp;$R$1&amp;E27&amp;$Q$1&amp;$S$1&amp;$P$1&amp;$T$1&amp;$F$2&amp;$T$1&amp;$R$1&amp;K27&amp;$Q$1&amp;$S$1&amp;$P$1&amp;$T$1&amp;$G$2&amp;$T$1&amp;$R$1&amp;G27&amp;$Q$1&amp;$S$1&amp;$P$1&amp;$T$1&amp;$H$2&amp;$T$1&amp;$R$1&amp;H27&amp;$Q$1&amp;$S$1&amp;$P$1&amp;$T$1&amp;$I$2&amp;$T$1&amp;$R$1&amp;I27&amp;$Q$1&amp;$S$1&amp;$P$1&amp;$T$1&amp;$J$2&amp;$T$1&amp;$R$1&amp;J27&amp;$Q$1&amp;$O$1</f>
        <v>[{"2":150},{"4":82},{"5":82},{"12":474},{"7":8},{"6":0},{"8":10},{"9":0}]</v>
      </c>
      <c r="AE26" t="str">
        <f>$N$1&amp;$P$1&amp;$T$1&amp;$C$2&amp;$T$1&amp;$R$1&amp;C27&amp;$Q$1&amp;$S$1&amp;$P$1&amp;$T$1&amp;$D$2&amp;$T$1&amp;$R$1&amp;D27&amp;$Q$1&amp;$S$1&amp;$P$1&amp;$T$1&amp;$E$2&amp;$T$1&amp;$R$1&amp;E27&amp;$Q$1&amp;$S$1&amp;$P$1&amp;$T$1&amp;$F$2&amp;$T$1&amp;$R$1&amp;L27&amp;$Q$1&amp;$S$1&amp;$P$1&amp;$T$1&amp;$G$2&amp;$T$1&amp;$R$1&amp;G27&amp;$Q$1&amp;$S$1&amp;$P$1&amp;$T$1&amp;$H$2&amp;$T$1&amp;$R$1&amp;H27&amp;$Q$1&amp;$S$1&amp;$P$1&amp;$T$1&amp;$I$2&amp;$T$1&amp;$R$1&amp;I27&amp;$Q$1&amp;$S$1&amp;$P$1&amp;$T$1&amp;$J$2&amp;$T$1&amp;$R$1&amp;J27&amp;$Q$1&amp;$O$1</f>
        <v>[{"2":150},{"4":82},{"5":82},{"12":712},{"7":8},{"6":0},{"8":10},{"9":0}]</v>
      </c>
      <c r="AG26">
        <v>24</v>
      </c>
      <c r="AH26">
        <f t="shared" si="4"/>
        <v>16</v>
      </c>
      <c r="AI26">
        <f t="shared" si="5"/>
        <v>16</v>
      </c>
      <c r="AJ26">
        <v>192</v>
      </c>
      <c r="AK26">
        <v>4</v>
      </c>
      <c r="AL26">
        <v>8</v>
      </c>
      <c r="AM26">
        <v>0</v>
      </c>
      <c r="AN26">
        <v>10</v>
      </c>
    </row>
    <row r="27" customFormat="1" ht="16.5" spans="1:40">
      <c r="A27">
        <v>25</v>
      </c>
      <c r="B27">
        <f>$AP$2+AG27</f>
        <v>125</v>
      </c>
      <c r="C27">
        <f t="shared" si="1"/>
        <v>150</v>
      </c>
      <c r="D27">
        <f>AH27+$AQ$2</f>
        <v>82</v>
      </c>
      <c r="E27">
        <f t="shared" si="0"/>
        <v>82</v>
      </c>
      <c r="F27" s="4">
        <f>INT(主角属性配置!F27/3+$AS$2)</f>
        <v>1423</v>
      </c>
      <c r="G27">
        <v>8</v>
      </c>
      <c r="H27">
        <v>0</v>
      </c>
      <c r="I27">
        <v>10</v>
      </c>
      <c r="J27">
        <v>0</v>
      </c>
      <c r="K27" s="3">
        <f t="shared" si="2"/>
        <v>474</v>
      </c>
      <c r="L27" s="3">
        <f t="shared" si="3"/>
        <v>712</v>
      </c>
      <c r="N27" t="str">
        <f>$N$1&amp;$P$1&amp;$T$1&amp;$B$2&amp;$T$1&amp;$R$1&amp;B28&amp;$Q$1&amp;$S$1&amp;$P$1&amp;$T$1&amp;$D$2&amp;$T$1&amp;$R$1&amp;D28&amp;$Q$1&amp;$S$1&amp;$P$1&amp;$T$1&amp;$E$2&amp;$T$1&amp;$R$1&amp;E28&amp;$Q$1&amp;$S$1&amp;$P$1&amp;$T$1&amp;$F$2&amp;$T$1&amp;$R$1&amp;F28&amp;$Q$1&amp;$S$1&amp;$P$1&amp;$T$1&amp;$G$2&amp;$T$1&amp;$R$1&amp;G28&amp;$Q$1&amp;$S$1&amp;$P$1&amp;$T$1&amp;$H$2&amp;$T$1&amp;$R$1&amp;H28&amp;$Q$1&amp;$S$1&amp;$P$1&amp;$T$1&amp;$I$2&amp;$T$1&amp;$R$1&amp;I28&amp;$Q$1&amp;$S$1&amp;$P$1&amp;$T$1&amp;$J$2&amp;$T$1&amp;$R$1&amp;J28&amp;$Q$1&amp;$O$1</f>
        <v>[{"1":126},{"4":83},{"5":83},{"12":1455},{"7":8},{"6":0},{"8":10},{"9":0}]</v>
      </c>
      <c r="W27" t="str">
        <f>$N$1&amp;$P$1&amp;$T$1&amp;$C$2&amp;$T$1&amp;$R$1&amp;C28&amp;$Q$1&amp;$S$1&amp;$P$1&amp;$T$1&amp;$D$2&amp;$T$1&amp;$R$1&amp;D28&amp;$Q$1&amp;$S$1&amp;$P$1&amp;$T$1&amp;$E$2&amp;$T$1&amp;$R$1&amp;E28&amp;$Q$1&amp;$S$1&amp;$P$1&amp;$T$1&amp;$F$2&amp;$T$1&amp;$R$1&amp;K28&amp;$Q$1&amp;$S$1&amp;$P$1&amp;$T$1&amp;$G$2&amp;$T$1&amp;$R$1&amp;G28&amp;$Q$1&amp;$S$1&amp;$P$1&amp;$T$1&amp;$H$2&amp;$T$1&amp;$R$1&amp;H28&amp;$Q$1&amp;$S$1&amp;$P$1&amp;$T$1&amp;$I$2&amp;$T$1&amp;$R$1&amp;I28&amp;$Q$1&amp;$S$1&amp;$P$1&amp;$T$1&amp;$J$2&amp;$T$1&amp;$R$1&amp;J28&amp;$Q$1&amp;$O$1</f>
        <v>[{"2":151},{"4":83},{"5":83},{"12":485},{"7":8},{"6":0},{"8":10},{"9":0}]</v>
      </c>
      <c r="AE27" t="str">
        <f>$N$1&amp;$P$1&amp;$T$1&amp;$C$2&amp;$T$1&amp;$R$1&amp;C28&amp;$Q$1&amp;$S$1&amp;$P$1&amp;$T$1&amp;$D$2&amp;$T$1&amp;$R$1&amp;D28&amp;$Q$1&amp;$S$1&amp;$P$1&amp;$T$1&amp;$E$2&amp;$T$1&amp;$R$1&amp;E28&amp;$Q$1&amp;$S$1&amp;$P$1&amp;$T$1&amp;$F$2&amp;$T$1&amp;$R$1&amp;L28&amp;$Q$1&amp;$S$1&amp;$P$1&amp;$T$1&amp;$G$2&amp;$T$1&amp;$R$1&amp;G28&amp;$Q$1&amp;$S$1&amp;$P$1&amp;$T$1&amp;$H$2&amp;$T$1&amp;$R$1&amp;H28&amp;$Q$1&amp;$S$1&amp;$P$1&amp;$T$1&amp;$I$2&amp;$T$1&amp;$R$1&amp;I28&amp;$Q$1&amp;$S$1&amp;$P$1&amp;$T$1&amp;$J$2&amp;$T$1&amp;$R$1&amp;J28&amp;$Q$1&amp;$O$1</f>
        <v>[{"2":151},{"4":83},{"5":83},{"12":728},{"7":8},{"6":0},{"8":10},{"9":0}]</v>
      </c>
      <c r="AG27">
        <v>25</v>
      </c>
      <c r="AH27">
        <f t="shared" si="4"/>
        <v>16</v>
      </c>
      <c r="AI27">
        <f t="shared" si="5"/>
        <v>16</v>
      </c>
      <c r="AJ27">
        <v>199</v>
      </c>
      <c r="AK27">
        <v>4</v>
      </c>
      <c r="AL27">
        <v>8</v>
      </c>
      <c r="AM27">
        <v>0</v>
      </c>
      <c r="AN27">
        <v>10</v>
      </c>
    </row>
    <row r="28" customFormat="1" ht="16.5" spans="1:40">
      <c r="A28">
        <v>26</v>
      </c>
      <c r="B28">
        <f>$AP$2+AG28</f>
        <v>126</v>
      </c>
      <c r="C28">
        <f t="shared" si="1"/>
        <v>151</v>
      </c>
      <c r="D28">
        <f>AH28+$AQ$2</f>
        <v>83</v>
      </c>
      <c r="E28">
        <f t="shared" si="0"/>
        <v>83</v>
      </c>
      <c r="F28" s="4">
        <f>INT(主角属性配置!F28/3+$AS$2)</f>
        <v>1455</v>
      </c>
      <c r="G28">
        <v>8</v>
      </c>
      <c r="H28">
        <v>0</v>
      </c>
      <c r="I28">
        <v>10</v>
      </c>
      <c r="J28">
        <v>0</v>
      </c>
      <c r="K28" s="3">
        <f t="shared" si="2"/>
        <v>485</v>
      </c>
      <c r="L28" s="3">
        <f t="shared" si="3"/>
        <v>728</v>
      </c>
      <c r="N28" t="str">
        <f>$N$1&amp;$P$1&amp;$T$1&amp;$B$2&amp;$T$1&amp;$R$1&amp;B29&amp;$Q$1&amp;$S$1&amp;$P$1&amp;$T$1&amp;$D$2&amp;$T$1&amp;$R$1&amp;D29&amp;$Q$1&amp;$S$1&amp;$P$1&amp;$T$1&amp;$E$2&amp;$T$1&amp;$R$1&amp;E29&amp;$Q$1&amp;$S$1&amp;$P$1&amp;$T$1&amp;$F$2&amp;$T$1&amp;$R$1&amp;F29&amp;$Q$1&amp;$S$1&amp;$P$1&amp;$T$1&amp;$G$2&amp;$T$1&amp;$R$1&amp;G29&amp;$Q$1&amp;$S$1&amp;$P$1&amp;$T$1&amp;$H$2&amp;$T$1&amp;$R$1&amp;H29&amp;$Q$1&amp;$S$1&amp;$P$1&amp;$T$1&amp;$I$2&amp;$T$1&amp;$R$1&amp;I29&amp;$Q$1&amp;$S$1&amp;$P$1&amp;$T$1&amp;$J$2&amp;$T$1&amp;$R$1&amp;J29&amp;$Q$1&amp;$O$1</f>
        <v>[{"1":127},{"4":84},{"5":84},{"12":1487},{"7":8},{"6":0},{"8":10},{"9":0}]</v>
      </c>
      <c r="W28" t="str">
        <f>$N$1&amp;$P$1&amp;$T$1&amp;$C$2&amp;$T$1&amp;$R$1&amp;C29&amp;$Q$1&amp;$S$1&amp;$P$1&amp;$T$1&amp;$D$2&amp;$T$1&amp;$R$1&amp;D29&amp;$Q$1&amp;$S$1&amp;$P$1&amp;$T$1&amp;$E$2&amp;$T$1&amp;$R$1&amp;E29&amp;$Q$1&amp;$S$1&amp;$P$1&amp;$T$1&amp;$F$2&amp;$T$1&amp;$R$1&amp;K29&amp;$Q$1&amp;$S$1&amp;$P$1&amp;$T$1&amp;$G$2&amp;$T$1&amp;$R$1&amp;G29&amp;$Q$1&amp;$S$1&amp;$P$1&amp;$T$1&amp;$H$2&amp;$T$1&amp;$R$1&amp;H29&amp;$Q$1&amp;$S$1&amp;$P$1&amp;$T$1&amp;$I$2&amp;$T$1&amp;$R$1&amp;I29&amp;$Q$1&amp;$S$1&amp;$P$1&amp;$T$1&amp;$J$2&amp;$T$1&amp;$R$1&amp;J29&amp;$Q$1&amp;$O$1</f>
        <v>[{"2":152},{"4":84},{"5":84},{"12":496},{"7":8},{"6":0},{"8":10},{"9":0}]</v>
      </c>
      <c r="AE28" t="str">
        <f>$N$1&amp;$P$1&amp;$T$1&amp;$C$2&amp;$T$1&amp;$R$1&amp;C29&amp;$Q$1&amp;$S$1&amp;$P$1&amp;$T$1&amp;$D$2&amp;$T$1&amp;$R$1&amp;D29&amp;$Q$1&amp;$S$1&amp;$P$1&amp;$T$1&amp;$E$2&amp;$T$1&amp;$R$1&amp;E29&amp;$Q$1&amp;$S$1&amp;$P$1&amp;$T$1&amp;$F$2&amp;$T$1&amp;$R$1&amp;L29&amp;$Q$1&amp;$S$1&amp;$P$1&amp;$T$1&amp;$G$2&amp;$T$1&amp;$R$1&amp;G29&amp;$Q$1&amp;$S$1&amp;$P$1&amp;$T$1&amp;$H$2&amp;$T$1&amp;$R$1&amp;H29&amp;$Q$1&amp;$S$1&amp;$P$1&amp;$T$1&amp;$I$2&amp;$T$1&amp;$R$1&amp;I29&amp;$Q$1&amp;$S$1&amp;$P$1&amp;$T$1&amp;$J$2&amp;$T$1&amp;$R$1&amp;J29&amp;$Q$1&amp;$O$1</f>
        <v>[{"2":152},{"4":84},{"5":84},{"12":744},{"7":8},{"6":0},{"8":10},{"9":0}]</v>
      </c>
      <c r="AG28">
        <v>26</v>
      </c>
      <c r="AH28">
        <f t="shared" si="4"/>
        <v>17</v>
      </c>
      <c r="AI28">
        <f t="shared" si="5"/>
        <v>17</v>
      </c>
      <c r="AJ28">
        <v>207</v>
      </c>
      <c r="AK28">
        <v>4</v>
      </c>
      <c r="AL28">
        <v>8</v>
      </c>
      <c r="AM28">
        <v>0</v>
      </c>
      <c r="AN28">
        <v>10</v>
      </c>
    </row>
    <row r="29" customFormat="1" ht="16.5" spans="1:40">
      <c r="A29">
        <v>27</v>
      </c>
      <c r="B29">
        <f>$AP$2+AG29</f>
        <v>127</v>
      </c>
      <c r="C29">
        <f t="shared" si="1"/>
        <v>152</v>
      </c>
      <c r="D29">
        <f>AH29+$AQ$2</f>
        <v>84</v>
      </c>
      <c r="E29">
        <f t="shared" si="0"/>
        <v>84</v>
      </c>
      <c r="F29" s="4">
        <f>INT(主角属性配置!F29/3+$AS$2)</f>
        <v>1487</v>
      </c>
      <c r="G29">
        <v>8</v>
      </c>
      <c r="H29">
        <v>0</v>
      </c>
      <c r="I29">
        <v>10</v>
      </c>
      <c r="J29">
        <v>0</v>
      </c>
      <c r="K29" s="3">
        <f t="shared" si="2"/>
        <v>496</v>
      </c>
      <c r="L29" s="3">
        <f t="shared" si="3"/>
        <v>744</v>
      </c>
      <c r="N29" t="str">
        <f>$N$1&amp;$P$1&amp;$T$1&amp;$B$2&amp;$T$1&amp;$R$1&amp;B30&amp;$Q$1&amp;$S$1&amp;$P$1&amp;$T$1&amp;$D$2&amp;$T$1&amp;$R$1&amp;D30&amp;$Q$1&amp;$S$1&amp;$P$1&amp;$T$1&amp;$E$2&amp;$T$1&amp;$R$1&amp;E30&amp;$Q$1&amp;$S$1&amp;$P$1&amp;$T$1&amp;$F$2&amp;$T$1&amp;$R$1&amp;F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[{"1":128},{"4":84},{"5":84},{"12":1518},{"7":8},{"6":0},{"8":10},{"9":0}]</v>
      </c>
      <c r="W29" t="str">
        <f>$N$1&amp;$P$1&amp;$T$1&amp;$C$2&amp;$T$1&amp;$R$1&amp;C30&amp;$Q$1&amp;$S$1&amp;$P$1&amp;$T$1&amp;$D$2&amp;$T$1&amp;$R$1&amp;D30&amp;$Q$1&amp;$S$1&amp;$P$1&amp;$T$1&amp;$E$2&amp;$T$1&amp;$R$1&amp;E30&amp;$Q$1&amp;$S$1&amp;$P$1&amp;$T$1&amp;$F$2&amp;$T$1&amp;$R$1&amp;K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[{"2":153},{"4":84},{"5":84},{"12":506},{"7":8},{"6":0},{"8":10},{"9":0}]</v>
      </c>
      <c r="AE29" t="str">
        <f>$N$1&amp;$P$1&amp;$T$1&amp;$C$2&amp;$T$1&amp;$R$1&amp;C30&amp;$Q$1&amp;$S$1&amp;$P$1&amp;$T$1&amp;$D$2&amp;$T$1&amp;$R$1&amp;D30&amp;$Q$1&amp;$S$1&amp;$P$1&amp;$T$1&amp;$E$2&amp;$T$1&amp;$R$1&amp;E30&amp;$Q$1&amp;$S$1&amp;$P$1&amp;$T$1&amp;$F$2&amp;$T$1&amp;$R$1&amp;L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[{"2":153},{"4":84},{"5":84},{"12":759},{"7":8},{"6":0},{"8":10},{"9":0}]</v>
      </c>
      <c r="AG29">
        <v>27</v>
      </c>
      <c r="AH29">
        <f t="shared" si="4"/>
        <v>18</v>
      </c>
      <c r="AI29">
        <f t="shared" si="5"/>
        <v>18</v>
      </c>
      <c r="AJ29">
        <v>214</v>
      </c>
      <c r="AK29">
        <v>4</v>
      </c>
      <c r="AL29">
        <v>8</v>
      </c>
      <c r="AM29">
        <v>0</v>
      </c>
      <c r="AN29">
        <v>10</v>
      </c>
    </row>
    <row r="30" customFormat="1" ht="16.5" spans="1:40">
      <c r="A30">
        <v>28</v>
      </c>
      <c r="B30">
        <f>$AP$2+AG30</f>
        <v>128</v>
      </c>
      <c r="C30">
        <f t="shared" si="1"/>
        <v>153</v>
      </c>
      <c r="D30">
        <f>AH30+$AQ$2</f>
        <v>84</v>
      </c>
      <c r="E30">
        <f t="shared" si="0"/>
        <v>84</v>
      </c>
      <c r="F30" s="4">
        <f>INT(主角属性配置!F30/3+$AS$2)</f>
        <v>1518</v>
      </c>
      <c r="G30">
        <v>8</v>
      </c>
      <c r="H30">
        <v>0</v>
      </c>
      <c r="I30">
        <v>10</v>
      </c>
      <c r="J30">
        <v>0</v>
      </c>
      <c r="K30" s="3">
        <f t="shared" si="2"/>
        <v>506</v>
      </c>
      <c r="L30" s="3">
        <f t="shared" si="3"/>
        <v>759</v>
      </c>
      <c r="N30" t="str">
        <f>$N$1&amp;$P$1&amp;$T$1&amp;$B$2&amp;$T$1&amp;$R$1&amp;B31&amp;$Q$1&amp;$S$1&amp;$P$1&amp;$T$1&amp;$D$2&amp;$T$1&amp;$R$1&amp;D31&amp;$Q$1&amp;$S$1&amp;$P$1&amp;$T$1&amp;$E$2&amp;$T$1&amp;$R$1&amp;E31&amp;$Q$1&amp;$S$1&amp;$P$1&amp;$T$1&amp;$F$2&amp;$T$1&amp;$R$1&amp;F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[{"1":129},{"4":85},{"5":85},{"12":1550},{"7":8},{"6":0},{"8":10},{"9":0}]</v>
      </c>
      <c r="W30" t="str">
        <f>$N$1&amp;$P$1&amp;$T$1&amp;$C$2&amp;$T$1&amp;$R$1&amp;C31&amp;$Q$1&amp;$S$1&amp;$P$1&amp;$T$1&amp;$D$2&amp;$T$1&amp;$R$1&amp;D31&amp;$Q$1&amp;$S$1&amp;$P$1&amp;$T$1&amp;$E$2&amp;$T$1&amp;$R$1&amp;E31&amp;$Q$1&amp;$S$1&amp;$P$1&amp;$T$1&amp;$F$2&amp;$T$1&amp;$R$1&amp;K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[{"2":154},{"4":85},{"5":85},{"12":517},{"7":8},{"6":0},{"8":10},{"9":0}]</v>
      </c>
      <c r="AE30" t="str">
        <f>$N$1&amp;$P$1&amp;$T$1&amp;$C$2&amp;$T$1&amp;$R$1&amp;C31&amp;$Q$1&amp;$S$1&amp;$P$1&amp;$T$1&amp;$D$2&amp;$T$1&amp;$R$1&amp;D31&amp;$Q$1&amp;$S$1&amp;$P$1&amp;$T$1&amp;$E$2&amp;$T$1&amp;$R$1&amp;E31&amp;$Q$1&amp;$S$1&amp;$P$1&amp;$T$1&amp;$F$2&amp;$T$1&amp;$R$1&amp;L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[{"2":154},{"4":85},{"5":85},{"12":775},{"7":8},{"6":0},{"8":10},{"9":0}]</v>
      </c>
      <c r="AG30">
        <v>28</v>
      </c>
      <c r="AH30">
        <f t="shared" si="4"/>
        <v>18</v>
      </c>
      <c r="AI30">
        <f t="shared" si="5"/>
        <v>18</v>
      </c>
      <c r="AJ30">
        <v>222</v>
      </c>
      <c r="AK30">
        <v>4</v>
      </c>
      <c r="AL30">
        <v>8</v>
      </c>
      <c r="AM30">
        <v>0</v>
      </c>
      <c r="AN30">
        <v>10</v>
      </c>
    </row>
    <row r="31" customFormat="1" ht="16.5" spans="1:40">
      <c r="A31">
        <v>29</v>
      </c>
      <c r="B31">
        <f>$AP$2+AG31</f>
        <v>129</v>
      </c>
      <c r="C31">
        <f t="shared" si="1"/>
        <v>154</v>
      </c>
      <c r="D31">
        <f>AH31+$AQ$2</f>
        <v>85</v>
      </c>
      <c r="E31">
        <f t="shared" si="0"/>
        <v>85</v>
      </c>
      <c r="F31" s="4">
        <f>INT(主角属性配置!F31/3+$AS$2)</f>
        <v>1550</v>
      </c>
      <c r="G31">
        <v>8</v>
      </c>
      <c r="H31">
        <v>0</v>
      </c>
      <c r="I31">
        <v>10</v>
      </c>
      <c r="J31">
        <v>0</v>
      </c>
      <c r="K31" s="3">
        <f t="shared" si="2"/>
        <v>517</v>
      </c>
      <c r="L31" s="3">
        <f t="shared" si="3"/>
        <v>775</v>
      </c>
      <c r="N31" t="str">
        <f>$N$1&amp;$P$1&amp;$T$1&amp;$B$2&amp;$T$1&amp;$R$1&amp;B32&amp;$Q$1&amp;$S$1&amp;$P$1&amp;$T$1&amp;$D$2&amp;$T$1&amp;$R$1&amp;D32&amp;$Q$1&amp;$S$1&amp;$P$1&amp;$T$1&amp;$E$2&amp;$T$1&amp;$R$1&amp;E32&amp;$Q$1&amp;$S$1&amp;$P$1&amp;$T$1&amp;$F$2&amp;$T$1&amp;$R$1&amp;F32&amp;$Q$1&amp;$S$1&amp;$P$1&amp;$T$1&amp;$G$2&amp;$T$1&amp;$R$1&amp;G32&amp;$Q$1&amp;$S$1&amp;$P$1&amp;$T$1&amp;$H$2&amp;$T$1&amp;$R$1&amp;H32&amp;$Q$1&amp;$S$1&amp;$P$1&amp;$T$1&amp;$I$2&amp;$T$1&amp;$R$1&amp;I32&amp;$Q$1&amp;$S$1&amp;$P$1&amp;$T$1&amp;$J$2&amp;$T$1&amp;$R$1&amp;J32&amp;$Q$1&amp;$O$1</f>
        <v>[{"1":130},{"4":86},{"5":86},{"12":1809},{"7":8},{"6":0},{"8":10},{"9":0}]</v>
      </c>
      <c r="W31" t="str">
        <f>$N$1&amp;$P$1&amp;$T$1&amp;$C$2&amp;$T$1&amp;$R$1&amp;C32&amp;$Q$1&amp;$S$1&amp;$P$1&amp;$T$1&amp;$D$2&amp;$T$1&amp;$R$1&amp;D32&amp;$Q$1&amp;$S$1&amp;$P$1&amp;$T$1&amp;$E$2&amp;$T$1&amp;$R$1&amp;E32&amp;$Q$1&amp;$S$1&amp;$P$1&amp;$T$1&amp;$F$2&amp;$T$1&amp;$R$1&amp;K32&amp;$Q$1&amp;$S$1&amp;$P$1&amp;$T$1&amp;$G$2&amp;$T$1&amp;$R$1&amp;G32&amp;$Q$1&amp;$S$1&amp;$P$1&amp;$T$1&amp;$H$2&amp;$T$1&amp;$R$1&amp;H32&amp;$Q$1&amp;$S$1&amp;$P$1&amp;$T$1&amp;$I$2&amp;$T$1&amp;$R$1&amp;I32&amp;$Q$1&amp;$S$1&amp;$P$1&amp;$T$1&amp;$J$2&amp;$T$1&amp;$R$1&amp;J32&amp;$Q$1&amp;$O$1</f>
        <v>[{"2":156},{"4":86},{"5":86},{"12":603},{"7":8},{"6":0},{"8":10},{"9":0}]</v>
      </c>
      <c r="AE31" t="str">
        <f>$N$1&amp;$P$1&amp;$T$1&amp;$C$2&amp;$T$1&amp;$R$1&amp;C32&amp;$Q$1&amp;$S$1&amp;$P$1&amp;$T$1&amp;$D$2&amp;$T$1&amp;$R$1&amp;D32&amp;$Q$1&amp;$S$1&amp;$P$1&amp;$T$1&amp;$E$2&amp;$T$1&amp;$R$1&amp;E32&amp;$Q$1&amp;$S$1&amp;$P$1&amp;$T$1&amp;$F$2&amp;$T$1&amp;$R$1&amp;L32&amp;$Q$1&amp;$S$1&amp;$P$1&amp;$T$1&amp;$G$2&amp;$T$1&amp;$R$1&amp;G32&amp;$Q$1&amp;$S$1&amp;$P$1&amp;$T$1&amp;$H$2&amp;$T$1&amp;$R$1&amp;H32&amp;$Q$1&amp;$S$1&amp;$P$1&amp;$T$1&amp;$I$2&amp;$T$1&amp;$R$1&amp;I32&amp;$Q$1&amp;$S$1&amp;$P$1&amp;$T$1&amp;$J$2&amp;$T$1&amp;$R$1&amp;J32&amp;$Q$1&amp;$O$1</f>
        <v>[{"2":156},{"4":86},{"5":86},{"12":905},{"7":8},{"6":0},{"8":10},{"9":0}]</v>
      </c>
      <c r="AG31">
        <v>29</v>
      </c>
      <c r="AH31">
        <f t="shared" si="4"/>
        <v>19</v>
      </c>
      <c r="AI31">
        <f t="shared" si="5"/>
        <v>19</v>
      </c>
      <c r="AJ31">
        <v>229</v>
      </c>
      <c r="AK31">
        <v>4</v>
      </c>
      <c r="AL31">
        <v>8</v>
      </c>
      <c r="AM31">
        <v>0</v>
      </c>
      <c r="AN31">
        <v>10</v>
      </c>
    </row>
    <row r="32" customFormat="1" ht="16.5" spans="1:40">
      <c r="A32">
        <v>30</v>
      </c>
      <c r="B32">
        <f>$AP$2+AG32</f>
        <v>130</v>
      </c>
      <c r="C32">
        <f t="shared" si="1"/>
        <v>156</v>
      </c>
      <c r="D32">
        <f>AH32+$AQ$2</f>
        <v>86</v>
      </c>
      <c r="E32">
        <f t="shared" si="0"/>
        <v>86</v>
      </c>
      <c r="F32" s="4">
        <f>INT(主角属性配置!F32/3+$AS$2)</f>
        <v>1809</v>
      </c>
      <c r="G32">
        <v>8</v>
      </c>
      <c r="H32">
        <v>0</v>
      </c>
      <c r="I32">
        <v>10</v>
      </c>
      <c r="J32">
        <v>0</v>
      </c>
      <c r="K32" s="3">
        <f t="shared" si="2"/>
        <v>603</v>
      </c>
      <c r="L32" s="3">
        <f t="shared" si="3"/>
        <v>905</v>
      </c>
      <c r="N32" t="str">
        <f>$N$1&amp;$P$1&amp;$T$1&amp;$B$2&amp;$T$1&amp;$R$1&amp;B33&amp;$Q$1&amp;$S$1&amp;$P$1&amp;$T$1&amp;$D$2&amp;$T$1&amp;$R$1&amp;D33&amp;$Q$1&amp;$S$1&amp;$P$1&amp;$T$1&amp;$E$2&amp;$T$1&amp;$R$1&amp;E33&amp;$Q$1&amp;$S$1&amp;$P$1&amp;$T$1&amp;$F$2&amp;$T$1&amp;$R$1&amp;F33&amp;$Q$1&amp;$S$1&amp;$P$1&amp;$T$1&amp;$G$2&amp;$T$1&amp;$R$1&amp;G33&amp;$Q$1&amp;$S$1&amp;$P$1&amp;$T$1&amp;$H$2&amp;$T$1&amp;$R$1&amp;H33&amp;$Q$1&amp;$S$1&amp;$P$1&amp;$T$1&amp;$I$2&amp;$T$1&amp;$R$1&amp;I33&amp;$Q$1&amp;$S$1&amp;$P$1&amp;$T$1&amp;$J$2&amp;$T$1&amp;$R$1&amp;J33&amp;$Q$1&amp;$O$1</f>
        <v>[{"1":131},{"4":86},{"5":86},{"12":1849},{"7":8},{"6":0},{"8":10},{"9":0}]</v>
      </c>
      <c r="W32" t="str">
        <f>$N$1&amp;$P$1&amp;$T$1&amp;$C$2&amp;$T$1&amp;$R$1&amp;C33&amp;$Q$1&amp;$S$1&amp;$P$1&amp;$T$1&amp;$D$2&amp;$T$1&amp;$R$1&amp;D33&amp;$Q$1&amp;$S$1&amp;$P$1&amp;$T$1&amp;$E$2&amp;$T$1&amp;$R$1&amp;E33&amp;$Q$1&amp;$S$1&amp;$P$1&amp;$T$1&amp;$F$2&amp;$T$1&amp;$R$1&amp;K33&amp;$Q$1&amp;$S$1&amp;$P$1&amp;$T$1&amp;$G$2&amp;$T$1&amp;$R$1&amp;G33&amp;$Q$1&amp;$S$1&amp;$P$1&amp;$T$1&amp;$H$2&amp;$T$1&amp;$R$1&amp;H33&amp;$Q$1&amp;$S$1&amp;$P$1&amp;$T$1&amp;$I$2&amp;$T$1&amp;$R$1&amp;I33&amp;$Q$1&amp;$S$1&amp;$P$1&amp;$T$1&amp;$J$2&amp;$T$1&amp;$R$1&amp;J33&amp;$Q$1&amp;$O$1</f>
        <v>[{"2":157},{"4":86},{"5":86},{"12":616},{"7":8},{"6":0},{"8":10},{"9":0}]</v>
      </c>
      <c r="AE32" t="str">
        <f>$N$1&amp;$P$1&amp;$T$1&amp;$C$2&amp;$T$1&amp;$R$1&amp;C33&amp;$Q$1&amp;$S$1&amp;$P$1&amp;$T$1&amp;$D$2&amp;$T$1&amp;$R$1&amp;D33&amp;$Q$1&amp;$S$1&amp;$P$1&amp;$T$1&amp;$E$2&amp;$T$1&amp;$R$1&amp;E33&amp;$Q$1&amp;$S$1&amp;$P$1&amp;$T$1&amp;$F$2&amp;$T$1&amp;$R$1&amp;L33&amp;$Q$1&amp;$S$1&amp;$P$1&amp;$T$1&amp;$G$2&amp;$T$1&amp;$R$1&amp;G33&amp;$Q$1&amp;$S$1&amp;$P$1&amp;$T$1&amp;$H$2&amp;$T$1&amp;$R$1&amp;H33&amp;$Q$1&amp;$S$1&amp;$P$1&amp;$T$1&amp;$I$2&amp;$T$1&amp;$R$1&amp;I33&amp;$Q$1&amp;$S$1&amp;$P$1&amp;$T$1&amp;$J$2&amp;$T$1&amp;$R$1&amp;J33&amp;$Q$1&amp;$O$1</f>
        <v>[{"2":157},{"4":86},{"5":86},{"12":925},{"7":8},{"6":0},{"8":10},{"9":0}]</v>
      </c>
      <c r="AG32">
        <v>30</v>
      </c>
      <c r="AH32">
        <f t="shared" si="4"/>
        <v>20</v>
      </c>
      <c r="AI32">
        <f t="shared" si="5"/>
        <v>20</v>
      </c>
      <c r="AJ32">
        <v>237</v>
      </c>
      <c r="AK32">
        <v>4</v>
      </c>
      <c r="AL32">
        <v>8</v>
      </c>
      <c r="AM32">
        <v>0</v>
      </c>
      <c r="AN32">
        <v>10</v>
      </c>
    </row>
    <row r="33" customFormat="1" ht="16.5" spans="1:40">
      <c r="A33">
        <v>31</v>
      </c>
      <c r="B33">
        <f>$AP$2+AG33</f>
        <v>131</v>
      </c>
      <c r="C33">
        <f t="shared" si="1"/>
        <v>157</v>
      </c>
      <c r="D33">
        <f>AH33+$AQ$2</f>
        <v>86</v>
      </c>
      <c r="E33">
        <f t="shared" si="0"/>
        <v>86</v>
      </c>
      <c r="F33" s="4">
        <f>INT(主角属性配置!F33/3+$AS$2)</f>
        <v>1849</v>
      </c>
      <c r="G33">
        <v>8</v>
      </c>
      <c r="H33">
        <v>0</v>
      </c>
      <c r="I33">
        <v>10</v>
      </c>
      <c r="J33">
        <v>0</v>
      </c>
      <c r="K33" s="3">
        <f t="shared" si="2"/>
        <v>616</v>
      </c>
      <c r="L33" s="3">
        <f t="shared" si="3"/>
        <v>925</v>
      </c>
      <c r="N33" t="str">
        <f>$N$1&amp;$P$1&amp;$T$1&amp;$B$2&amp;$T$1&amp;$R$1&amp;B34&amp;$Q$1&amp;$S$1&amp;$P$1&amp;$T$1&amp;$D$2&amp;$T$1&amp;$R$1&amp;D34&amp;$Q$1&amp;$S$1&amp;$P$1&amp;$T$1&amp;$E$2&amp;$T$1&amp;$R$1&amp;E34&amp;$Q$1&amp;$S$1&amp;$P$1&amp;$T$1&amp;$F$2&amp;$T$1&amp;$R$1&amp;F34&amp;$Q$1&amp;$S$1&amp;$P$1&amp;$T$1&amp;$G$2&amp;$T$1&amp;$R$1&amp;G34&amp;$Q$1&amp;$S$1&amp;$P$1&amp;$T$1&amp;$H$2&amp;$T$1&amp;$R$1&amp;H34&amp;$Q$1&amp;$S$1&amp;$P$1&amp;$T$1&amp;$I$2&amp;$T$1&amp;$R$1&amp;I34&amp;$Q$1&amp;$S$1&amp;$P$1&amp;$T$1&amp;$J$2&amp;$T$1&amp;$R$1&amp;J34&amp;$Q$1&amp;$O$1</f>
        <v>[{"1":132},{"4":87},{"5":87},{"12":1888},{"7":8},{"6":0},{"8":10},{"9":0}]</v>
      </c>
      <c r="W33" t="str">
        <f>$N$1&amp;$P$1&amp;$T$1&amp;$C$2&amp;$T$1&amp;$R$1&amp;C34&amp;$Q$1&amp;$S$1&amp;$P$1&amp;$T$1&amp;$D$2&amp;$T$1&amp;$R$1&amp;D34&amp;$Q$1&amp;$S$1&amp;$P$1&amp;$T$1&amp;$E$2&amp;$T$1&amp;$R$1&amp;E34&amp;$Q$1&amp;$S$1&amp;$P$1&amp;$T$1&amp;$F$2&amp;$T$1&amp;$R$1&amp;K34&amp;$Q$1&amp;$S$1&amp;$P$1&amp;$T$1&amp;$G$2&amp;$T$1&amp;$R$1&amp;G34&amp;$Q$1&amp;$S$1&amp;$P$1&amp;$T$1&amp;$H$2&amp;$T$1&amp;$R$1&amp;H34&amp;$Q$1&amp;$S$1&amp;$P$1&amp;$T$1&amp;$I$2&amp;$T$1&amp;$R$1&amp;I34&amp;$Q$1&amp;$S$1&amp;$P$1&amp;$T$1&amp;$J$2&amp;$T$1&amp;$R$1&amp;J34&amp;$Q$1&amp;$O$1</f>
        <v>[{"2":158},{"4":87},{"5":87},{"12":629},{"7":8},{"6":0},{"8":10},{"9":0}]</v>
      </c>
      <c r="AE33" t="str">
        <f>$N$1&amp;$P$1&amp;$T$1&amp;$C$2&amp;$T$1&amp;$R$1&amp;C34&amp;$Q$1&amp;$S$1&amp;$P$1&amp;$T$1&amp;$D$2&amp;$T$1&amp;$R$1&amp;D34&amp;$Q$1&amp;$S$1&amp;$P$1&amp;$T$1&amp;$E$2&amp;$T$1&amp;$R$1&amp;E34&amp;$Q$1&amp;$S$1&amp;$P$1&amp;$T$1&amp;$F$2&amp;$T$1&amp;$R$1&amp;L34&amp;$Q$1&amp;$S$1&amp;$P$1&amp;$T$1&amp;$G$2&amp;$T$1&amp;$R$1&amp;G34&amp;$Q$1&amp;$S$1&amp;$P$1&amp;$T$1&amp;$H$2&amp;$T$1&amp;$R$1&amp;H34&amp;$Q$1&amp;$S$1&amp;$P$1&amp;$T$1&amp;$I$2&amp;$T$1&amp;$R$1&amp;I34&amp;$Q$1&amp;$S$1&amp;$P$1&amp;$T$1&amp;$J$2&amp;$T$1&amp;$R$1&amp;J34&amp;$Q$1&amp;$O$1</f>
        <v>[{"2":158},{"4":87},{"5":87},{"12":944},{"7":8},{"6":0},{"8":10},{"9":0}]</v>
      </c>
      <c r="AG33">
        <v>31</v>
      </c>
      <c r="AH33">
        <f t="shared" si="4"/>
        <v>20</v>
      </c>
      <c r="AI33">
        <f t="shared" si="5"/>
        <v>20</v>
      </c>
      <c r="AJ33">
        <v>245</v>
      </c>
      <c r="AK33">
        <v>4</v>
      </c>
      <c r="AL33">
        <v>8</v>
      </c>
      <c r="AM33">
        <v>0</v>
      </c>
      <c r="AN33">
        <v>10</v>
      </c>
    </row>
    <row r="34" customFormat="1" ht="16.5" spans="1:40">
      <c r="A34">
        <v>32</v>
      </c>
      <c r="B34">
        <f>$AP$2+AG34</f>
        <v>132</v>
      </c>
      <c r="C34">
        <f t="shared" si="1"/>
        <v>158</v>
      </c>
      <c r="D34">
        <f>AH34+$AQ$2</f>
        <v>87</v>
      </c>
      <c r="E34">
        <f t="shared" si="0"/>
        <v>87</v>
      </c>
      <c r="F34" s="4">
        <f>INT(主角属性配置!F34/3+$AS$2)</f>
        <v>1888</v>
      </c>
      <c r="G34">
        <v>8</v>
      </c>
      <c r="H34">
        <v>0</v>
      </c>
      <c r="I34">
        <v>10</v>
      </c>
      <c r="J34">
        <v>0</v>
      </c>
      <c r="K34" s="3">
        <f t="shared" si="2"/>
        <v>629</v>
      </c>
      <c r="L34" s="3">
        <f t="shared" si="3"/>
        <v>944</v>
      </c>
      <c r="N34" t="str">
        <f>$N$1&amp;$P$1&amp;$T$1&amp;$B$2&amp;$T$1&amp;$R$1&amp;B35&amp;$Q$1&amp;$S$1&amp;$P$1&amp;$T$1&amp;$D$2&amp;$T$1&amp;$R$1&amp;D35&amp;$Q$1&amp;$S$1&amp;$P$1&amp;$T$1&amp;$E$2&amp;$T$1&amp;$R$1&amp;E35&amp;$Q$1&amp;$S$1&amp;$P$1&amp;$T$1&amp;$F$2&amp;$T$1&amp;$R$1&amp;F35&amp;$Q$1&amp;$S$1&amp;$P$1&amp;$T$1&amp;$G$2&amp;$T$1&amp;$R$1&amp;G35&amp;$Q$1&amp;$S$1&amp;$P$1&amp;$T$1&amp;$H$2&amp;$T$1&amp;$R$1&amp;H35&amp;$Q$1&amp;$S$1&amp;$P$1&amp;$T$1&amp;$I$2&amp;$T$1&amp;$R$1&amp;I35&amp;$Q$1&amp;$S$1&amp;$P$1&amp;$T$1&amp;$J$2&amp;$T$1&amp;$R$1&amp;J35&amp;$Q$1&amp;$O$1</f>
        <v>[{"1":133},{"4":88},{"5":88},{"12":1927},{"7":8},{"6":0},{"8":10},{"9":0}]</v>
      </c>
      <c r="W34" t="str">
        <f>$N$1&amp;$P$1&amp;$T$1&amp;$C$2&amp;$T$1&amp;$R$1&amp;C35&amp;$Q$1&amp;$S$1&amp;$P$1&amp;$T$1&amp;$D$2&amp;$T$1&amp;$R$1&amp;D35&amp;$Q$1&amp;$S$1&amp;$P$1&amp;$T$1&amp;$E$2&amp;$T$1&amp;$R$1&amp;E35&amp;$Q$1&amp;$S$1&amp;$P$1&amp;$T$1&amp;$F$2&amp;$T$1&amp;$R$1&amp;K35&amp;$Q$1&amp;$S$1&amp;$P$1&amp;$T$1&amp;$G$2&amp;$T$1&amp;$R$1&amp;G35&amp;$Q$1&amp;$S$1&amp;$P$1&amp;$T$1&amp;$H$2&amp;$T$1&amp;$R$1&amp;H35&amp;$Q$1&amp;$S$1&amp;$P$1&amp;$T$1&amp;$I$2&amp;$T$1&amp;$R$1&amp;I35&amp;$Q$1&amp;$S$1&amp;$P$1&amp;$T$1&amp;$J$2&amp;$T$1&amp;$R$1&amp;J35&amp;$Q$1&amp;$O$1</f>
        <v>[{"2":159},{"4":88},{"5":88},{"12":642},{"7":8},{"6":0},{"8":10},{"9":0}]</v>
      </c>
      <c r="AE34" t="str">
        <f>$N$1&amp;$P$1&amp;$T$1&amp;$C$2&amp;$T$1&amp;$R$1&amp;C35&amp;$Q$1&amp;$S$1&amp;$P$1&amp;$T$1&amp;$D$2&amp;$T$1&amp;$R$1&amp;D35&amp;$Q$1&amp;$S$1&amp;$P$1&amp;$T$1&amp;$E$2&amp;$T$1&amp;$R$1&amp;E35&amp;$Q$1&amp;$S$1&amp;$P$1&amp;$T$1&amp;$F$2&amp;$T$1&amp;$R$1&amp;L35&amp;$Q$1&amp;$S$1&amp;$P$1&amp;$T$1&amp;$G$2&amp;$T$1&amp;$R$1&amp;G35&amp;$Q$1&amp;$S$1&amp;$P$1&amp;$T$1&amp;$H$2&amp;$T$1&amp;$R$1&amp;H35&amp;$Q$1&amp;$S$1&amp;$P$1&amp;$T$1&amp;$I$2&amp;$T$1&amp;$R$1&amp;I35&amp;$Q$1&amp;$S$1&amp;$P$1&amp;$T$1&amp;$J$2&amp;$T$1&amp;$R$1&amp;J35&amp;$Q$1&amp;$O$1</f>
        <v>[{"2":159},{"4":88},{"5":88},{"12":964},{"7":8},{"6":0},{"8":10},{"9":0}]</v>
      </c>
      <c r="AG34">
        <v>32</v>
      </c>
      <c r="AH34">
        <f t="shared" si="4"/>
        <v>21</v>
      </c>
      <c r="AI34">
        <f t="shared" si="5"/>
        <v>21</v>
      </c>
      <c r="AJ34">
        <v>252</v>
      </c>
      <c r="AK34">
        <v>4</v>
      </c>
      <c r="AL34">
        <v>8</v>
      </c>
      <c r="AM34">
        <v>0</v>
      </c>
      <c r="AN34">
        <v>10</v>
      </c>
    </row>
    <row r="35" customFormat="1" ht="16.5" spans="1:40">
      <c r="A35">
        <v>33</v>
      </c>
      <c r="B35">
        <f>$AP$2+AG35</f>
        <v>133</v>
      </c>
      <c r="C35">
        <f t="shared" si="1"/>
        <v>159</v>
      </c>
      <c r="D35">
        <f>AH35+$AQ$2</f>
        <v>88</v>
      </c>
      <c r="E35">
        <f t="shared" si="0"/>
        <v>88</v>
      </c>
      <c r="F35" s="4">
        <f>INT(主角属性配置!F35/3+$AS$2)</f>
        <v>1927</v>
      </c>
      <c r="G35">
        <v>8</v>
      </c>
      <c r="H35">
        <v>0</v>
      </c>
      <c r="I35">
        <v>10</v>
      </c>
      <c r="J35">
        <v>0</v>
      </c>
      <c r="K35" s="3">
        <f t="shared" si="2"/>
        <v>642</v>
      </c>
      <c r="L35" s="3">
        <f t="shared" si="3"/>
        <v>964</v>
      </c>
      <c r="N35" t="str">
        <f>$N$1&amp;$P$1&amp;$T$1&amp;$B$2&amp;$T$1&amp;$R$1&amp;B36&amp;$Q$1&amp;$S$1&amp;$P$1&amp;$T$1&amp;$D$2&amp;$T$1&amp;$R$1&amp;D36&amp;$Q$1&amp;$S$1&amp;$P$1&amp;$T$1&amp;$E$2&amp;$T$1&amp;$R$1&amp;E36&amp;$Q$1&amp;$S$1&amp;$P$1&amp;$T$1&amp;$F$2&amp;$T$1&amp;$R$1&amp;F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[{"1":134},{"4":88},{"5":88},{"12":1966},{"7":8},{"6":0},{"8":10},{"9":0}]</v>
      </c>
      <c r="W35" t="str">
        <f>$N$1&amp;$P$1&amp;$T$1&amp;$C$2&amp;$T$1&amp;$R$1&amp;C36&amp;$Q$1&amp;$S$1&amp;$P$1&amp;$T$1&amp;$D$2&amp;$T$1&amp;$R$1&amp;D36&amp;$Q$1&amp;$S$1&amp;$P$1&amp;$T$1&amp;$E$2&amp;$T$1&amp;$R$1&amp;E36&amp;$Q$1&amp;$S$1&amp;$P$1&amp;$T$1&amp;$F$2&amp;$T$1&amp;$R$1&amp;K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[{"2":160},{"4":88},{"5":88},{"12":655},{"7":8},{"6":0},{"8":10},{"9":0}]</v>
      </c>
      <c r="AE35" t="str">
        <f>$N$1&amp;$P$1&amp;$T$1&amp;$C$2&amp;$T$1&amp;$R$1&amp;C36&amp;$Q$1&amp;$S$1&amp;$P$1&amp;$T$1&amp;$D$2&amp;$T$1&amp;$R$1&amp;D36&amp;$Q$1&amp;$S$1&amp;$P$1&amp;$T$1&amp;$E$2&amp;$T$1&amp;$R$1&amp;E36&amp;$Q$1&amp;$S$1&amp;$P$1&amp;$T$1&amp;$F$2&amp;$T$1&amp;$R$1&amp;L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[{"2":160},{"4":88},{"5":88},{"12":983},{"7":8},{"6":0},{"8":10},{"9":0}]</v>
      </c>
      <c r="AG35">
        <v>33</v>
      </c>
      <c r="AH35">
        <f t="shared" si="4"/>
        <v>22</v>
      </c>
      <c r="AI35">
        <f t="shared" si="5"/>
        <v>22</v>
      </c>
      <c r="AJ35">
        <v>260</v>
      </c>
      <c r="AK35">
        <v>4</v>
      </c>
      <c r="AL35">
        <v>8</v>
      </c>
      <c r="AM35">
        <v>0</v>
      </c>
      <c r="AN35">
        <v>10</v>
      </c>
    </row>
    <row r="36" customFormat="1" ht="16.5" spans="1:40">
      <c r="A36">
        <v>34</v>
      </c>
      <c r="B36">
        <f>$AP$2+AG36</f>
        <v>134</v>
      </c>
      <c r="C36">
        <f t="shared" ref="C36:C67" si="6">INT(B36*1.2)</f>
        <v>160</v>
      </c>
      <c r="D36">
        <f>AH36+$AQ$2</f>
        <v>88</v>
      </c>
      <c r="E36">
        <f t="shared" si="0"/>
        <v>88</v>
      </c>
      <c r="F36" s="4">
        <f>INT(主角属性配置!F36/3+$AS$2)</f>
        <v>1966</v>
      </c>
      <c r="G36">
        <v>8</v>
      </c>
      <c r="H36">
        <v>0</v>
      </c>
      <c r="I36">
        <v>10</v>
      </c>
      <c r="J36">
        <v>0</v>
      </c>
      <c r="K36" s="3">
        <f t="shared" ref="K36:K67" si="7">ROUND(F36/3,0)</f>
        <v>655</v>
      </c>
      <c r="L36" s="3">
        <f t="shared" ref="L36:L67" si="8">ROUND(F36/2,0)</f>
        <v>983</v>
      </c>
      <c r="N36" t="str">
        <f>$N$1&amp;$P$1&amp;$T$1&amp;$B$2&amp;$T$1&amp;$R$1&amp;B37&amp;$Q$1&amp;$S$1&amp;$P$1&amp;$T$1&amp;$D$2&amp;$T$1&amp;$R$1&amp;D37&amp;$Q$1&amp;$S$1&amp;$P$1&amp;$T$1&amp;$E$2&amp;$T$1&amp;$R$1&amp;E37&amp;$Q$1&amp;$S$1&amp;$P$1&amp;$T$1&amp;$F$2&amp;$T$1&amp;$R$1&amp;F37&amp;$Q$1&amp;$S$1&amp;$P$1&amp;$T$1&amp;$G$2&amp;$T$1&amp;$R$1&amp;G37&amp;$Q$1&amp;$S$1&amp;$P$1&amp;$T$1&amp;$H$2&amp;$T$1&amp;$R$1&amp;H37&amp;$Q$1&amp;$S$1&amp;$P$1&amp;$T$1&amp;$I$2&amp;$T$1&amp;$R$1&amp;I37&amp;$Q$1&amp;$S$1&amp;$P$1&amp;$T$1&amp;$J$2&amp;$T$1&amp;$R$1&amp;J37&amp;$Q$1&amp;$O$1</f>
        <v>[{"1":135},{"4":89},{"5":89},{"12":2005},{"7":8},{"6":0},{"8":10},{"9":0}]</v>
      </c>
      <c r="W36" t="str">
        <f>$N$1&amp;$P$1&amp;$T$1&amp;$C$2&amp;$T$1&amp;$R$1&amp;C37&amp;$Q$1&amp;$S$1&amp;$P$1&amp;$T$1&amp;$D$2&amp;$T$1&amp;$R$1&amp;D37&amp;$Q$1&amp;$S$1&amp;$P$1&amp;$T$1&amp;$E$2&amp;$T$1&amp;$R$1&amp;E37&amp;$Q$1&amp;$S$1&amp;$P$1&amp;$T$1&amp;$F$2&amp;$T$1&amp;$R$1&amp;K37&amp;$Q$1&amp;$S$1&amp;$P$1&amp;$T$1&amp;$G$2&amp;$T$1&amp;$R$1&amp;G37&amp;$Q$1&amp;$S$1&amp;$P$1&amp;$T$1&amp;$H$2&amp;$T$1&amp;$R$1&amp;H37&amp;$Q$1&amp;$S$1&amp;$P$1&amp;$T$1&amp;$I$2&amp;$T$1&amp;$R$1&amp;I37&amp;$Q$1&amp;$S$1&amp;$P$1&amp;$T$1&amp;$J$2&amp;$T$1&amp;$R$1&amp;J37&amp;$Q$1&amp;$O$1</f>
        <v>[{"2":162},{"4":89},{"5":89},{"12":668},{"7":8},{"6":0},{"8":10},{"9":0}]</v>
      </c>
      <c r="AE36" t="str">
        <f>$N$1&amp;$P$1&amp;$T$1&amp;$C$2&amp;$T$1&amp;$R$1&amp;C37&amp;$Q$1&amp;$S$1&amp;$P$1&amp;$T$1&amp;$D$2&amp;$T$1&amp;$R$1&amp;D37&amp;$Q$1&amp;$S$1&amp;$P$1&amp;$T$1&amp;$E$2&amp;$T$1&amp;$R$1&amp;E37&amp;$Q$1&amp;$S$1&amp;$P$1&amp;$T$1&amp;$F$2&amp;$T$1&amp;$R$1&amp;L37&amp;$Q$1&amp;$S$1&amp;$P$1&amp;$T$1&amp;$G$2&amp;$T$1&amp;$R$1&amp;G37&amp;$Q$1&amp;$S$1&amp;$P$1&amp;$T$1&amp;$H$2&amp;$T$1&amp;$R$1&amp;H37&amp;$Q$1&amp;$S$1&amp;$P$1&amp;$T$1&amp;$I$2&amp;$T$1&amp;$R$1&amp;I37&amp;$Q$1&amp;$S$1&amp;$P$1&amp;$T$1&amp;$J$2&amp;$T$1&amp;$R$1&amp;J37&amp;$Q$1&amp;$O$1</f>
        <v>[{"2":162},{"4":89},{"5":89},{"12":1003},{"7":8},{"6":0},{"8":10},{"9":0}]</v>
      </c>
      <c r="AG36">
        <v>34</v>
      </c>
      <c r="AH36">
        <f t="shared" ref="AH36:AH67" si="9">INT(AG36/1.5)</f>
        <v>22</v>
      </c>
      <c r="AI36">
        <f t="shared" ref="AI36:AI67" si="10">AH36</f>
        <v>22</v>
      </c>
      <c r="AJ36">
        <v>267</v>
      </c>
      <c r="AK36">
        <v>4</v>
      </c>
      <c r="AL36">
        <v>8</v>
      </c>
      <c r="AM36">
        <v>0</v>
      </c>
      <c r="AN36">
        <v>10</v>
      </c>
    </row>
    <row r="37" customFormat="1" ht="16.5" spans="1:40">
      <c r="A37">
        <v>35</v>
      </c>
      <c r="B37">
        <f>$AP$2+AG37</f>
        <v>135</v>
      </c>
      <c r="C37">
        <f t="shared" si="6"/>
        <v>162</v>
      </c>
      <c r="D37">
        <f>AH37+$AQ$2</f>
        <v>89</v>
      </c>
      <c r="E37">
        <f t="shared" si="0"/>
        <v>89</v>
      </c>
      <c r="F37" s="4">
        <f>INT(主角属性配置!F37/3+$AS$2)</f>
        <v>2005</v>
      </c>
      <c r="G37">
        <v>8</v>
      </c>
      <c r="H37">
        <v>0</v>
      </c>
      <c r="I37">
        <v>10</v>
      </c>
      <c r="J37">
        <v>0</v>
      </c>
      <c r="K37" s="3">
        <f t="shared" si="7"/>
        <v>668</v>
      </c>
      <c r="L37" s="3">
        <f t="shared" si="8"/>
        <v>1003</v>
      </c>
      <c r="N37" t="str">
        <f>$N$1&amp;$P$1&amp;$T$1&amp;$B$2&amp;$T$1&amp;$R$1&amp;B38&amp;$Q$1&amp;$S$1&amp;$P$1&amp;$T$1&amp;$D$2&amp;$T$1&amp;$R$1&amp;D38&amp;$Q$1&amp;$S$1&amp;$P$1&amp;$T$1&amp;$E$2&amp;$T$1&amp;$R$1&amp;E38&amp;$Q$1&amp;$S$1&amp;$P$1&amp;$T$1&amp;$F$2&amp;$T$1&amp;$R$1&amp;F38&amp;$Q$1&amp;$S$1&amp;$P$1&amp;$T$1&amp;$G$2&amp;$T$1&amp;$R$1&amp;G38&amp;$Q$1&amp;$S$1&amp;$P$1&amp;$T$1&amp;$H$2&amp;$T$1&amp;$R$1&amp;H38&amp;$Q$1&amp;$S$1&amp;$P$1&amp;$T$1&amp;$I$2&amp;$T$1&amp;$R$1&amp;I38&amp;$Q$1&amp;$S$1&amp;$P$1&amp;$T$1&amp;$J$2&amp;$T$1&amp;$R$1&amp;J38&amp;$Q$1&amp;$O$1</f>
        <v>[{"1":136},{"4":90},{"5":90},{"12":2044},{"7":8},{"6":0},{"8":10},{"9":0}]</v>
      </c>
      <c r="W37" t="str">
        <f>$N$1&amp;$P$1&amp;$T$1&amp;$C$2&amp;$T$1&amp;$R$1&amp;C38&amp;$Q$1&amp;$S$1&amp;$P$1&amp;$T$1&amp;$D$2&amp;$T$1&amp;$R$1&amp;D38&amp;$Q$1&amp;$S$1&amp;$P$1&amp;$T$1&amp;$E$2&amp;$T$1&amp;$R$1&amp;E38&amp;$Q$1&amp;$S$1&amp;$P$1&amp;$T$1&amp;$F$2&amp;$T$1&amp;$R$1&amp;K38&amp;$Q$1&amp;$S$1&amp;$P$1&amp;$T$1&amp;$G$2&amp;$T$1&amp;$R$1&amp;G38&amp;$Q$1&amp;$S$1&amp;$P$1&amp;$T$1&amp;$H$2&amp;$T$1&amp;$R$1&amp;H38&amp;$Q$1&amp;$S$1&amp;$P$1&amp;$T$1&amp;$I$2&amp;$T$1&amp;$R$1&amp;I38&amp;$Q$1&amp;$S$1&amp;$P$1&amp;$T$1&amp;$J$2&amp;$T$1&amp;$R$1&amp;J38&amp;$Q$1&amp;$O$1</f>
        <v>[{"2":163},{"4":90},{"5":90},{"12":681},{"7":8},{"6":0},{"8":10},{"9":0}]</v>
      </c>
      <c r="AE37" t="str">
        <f>$N$1&amp;$P$1&amp;$T$1&amp;$C$2&amp;$T$1&amp;$R$1&amp;C38&amp;$Q$1&amp;$S$1&amp;$P$1&amp;$T$1&amp;$D$2&amp;$T$1&amp;$R$1&amp;D38&amp;$Q$1&amp;$S$1&amp;$P$1&amp;$T$1&amp;$E$2&amp;$T$1&amp;$R$1&amp;E38&amp;$Q$1&amp;$S$1&amp;$P$1&amp;$T$1&amp;$F$2&amp;$T$1&amp;$R$1&amp;L38&amp;$Q$1&amp;$S$1&amp;$P$1&amp;$T$1&amp;$G$2&amp;$T$1&amp;$R$1&amp;G38&amp;$Q$1&amp;$S$1&amp;$P$1&amp;$T$1&amp;$H$2&amp;$T$1&amp;$R$1&amp;H38&amp;$Q$1&amp;$S$1&amp;$P$1&amp;$T$1&amp;$I$2&amp;$T$1&amp;$R$1&amp;I38&amp;$Q$1&amp;$S$1&amp;$P$1&amp;$T$1&amp;$J$2&amp;$T$1&amp;$R$1&amp;J38&amp;$Q$1&amp;$O$1</f>
        <v>[{"2":163},{"4":90},{"5":90},{"12":1022},{"7":8},{"6":0},{"8":10},{"9":0}]</v>
      </c>
      <c r="AG37">
        <v>35</v>
      </c>
      <c r="AH37">
        <f t="shared" si="9"/>
        <v>23</v>
      </c>
      <c r="AI37">
        <f t="shared" si="10"/>
        <v>23</v>
      </c>
      <c r="AJ37">
        <v>275</v>
      </c>
      <c r="AK37">
        <v>4</v>
      </c>
      <c r="AL37">
        <v>8</v>
      </c>
      <c r="AM37">
        <v>0</v>
      </c>
      <c r="AN37">
        <v>10</v>
      </c>
    </row>
    <row r="38" customFormat="1" ht="16.5" spans="1:40">
      <c r="A38">
        <v>36</v>
      </c>
      <c r="B38">
        <f>$AP$2+AG38</f>
        <v>136</v>
      </c>
      <c r="C38">
        <f t="shared" si="6"/>
        <v>163</v>
      </c>
      <c r="D38">
        <f>AH38+$AQ$2</f>
        <v>90</v>
      </c>
      <c r="E38">
        <f t="shared" si="0"/>
        <v>90</v>
      </c>
      <c r="F38" s="4">
        <f>INT(主角属性配置!F38/3+$AS$2)</f>
        <v>2044</v>
      </c>
      <c r="G38">
        <v>8</v>
      </c>
      <c r="H38">
        <v>0</v>
      </c>
      <c r="I38">
        <v>10</v>
      </c>
      <c r="J38">
        <v>0</v>
      </c>
      <c r="K38" s="3">
        <f t="shared" si="7"/>
        <v>681</v>
      </c>
      <c r="L38" s="3">
        <f t="shared" si="8"/>
        <v>1022</v>
      </c>
      <c r="N38" t="str">
        <f>$N$1&amp;$P$1&amp;$T$1&amp;$B$2&amp;$T$1&amp;$R$1&amp;B39&amp;$Q$1&amp;$S$1&amp;$P$1&amp;$T$1&amp;$D$2&amp;$T$1&amp;$R$1&amp;D39&amp;$Q$1&amp;$S$1&amp;$P$1&amp;$T$1&amp;$E$2&amp;$T$1&amp;$R$1&amp;E39&amp;$Q$1&amp;$S$1&amp;$P$1&amp;$T$1&amp;$F$2&amp;$T$1&amp;$R$1&amp;F39&amp;$Q$1&amp;$S$1&amp;$P$1&amp;$T$1&amp;$G$2&amp;$T$1&amp;$R$1&amp;G39&amp;$Q$1&amp;$S$1&amp;$P$1&amp;$T$1&amp;$H$2&amp;$T$1&amp;$R$1&amp;H39&amp;$Q$1&amp;$S$1&amp;$P$1&amp;$T$1&amp;$I$2&amp;$T$1&amp;$R$1&amp;I39&amp;$Q$1&amp;$S$1&amp;$P$1&amp;$T$1&amp;$J$2&amp;$T$1&amp;$R$1&amp;J39&amp;$Q$1&amp;$O$1</f>
        <v>[{"1":137},{"4":90},{"5":90},{"12":2084},{"7":8},{"6":0},{"8":10},{"9":0}]</v>
      </c>
      <c r="W38" t="str">
        <f>$N$1&amp;$P$1&amp;$T$1&amp;$C$2&amp;$T$1&amp;$R$1&amp;C39&amp;$Q$1&amp;$S$1&amp;$P$1&amp;$T$1&amp;$D$2&amp;$T$1&amp;$R$1&amp;D39&amp;$Q$1&amp;$S$1&amp;$P$1&amp;$T$1&amp;$E$2&amp;$T$1&amp;$R$1&amp;E39&amp;$Q$1&amp;$S$1&amp;$P$1&amp;$T$1&amp;$F$2&amp;$T$1&amp;$R$1&amp;K39&amp;$Q$1&amp;$S$1&amp;$P$1&amp;$T$1&amp;$G$2&amp;$T$1&amp;$R$1&amp;G39&amp;$Q$1&amp;$S$1&amp;$P$1&amp;$T$1&amp;$H$2&amp;$T$1&amp;$R$1&amp;H39&amp;$Q$1&amp;$S$1&amp;$P$1&amp;$T$1&amp;$I$2&amp;$T$1&amp;$R$1&amp;I39&amp;$Q$1&amp;$S$1&amp;$P$1&amp;$T$1&amp;$J$2&amp;$T$1&amp;$R$1&amp;J39&amp;$Q$1&amp;$O$1</f>
        <v>[{"2":164},{"4":90},{"5":90},{"12":695},{"7":8},{"6":0},{"8":10},{"9":0}]</v>
      </c>
      <c r="AE38" t="str">
        <f>$N$1&amp;$P$1&amp;$T$1&amp;$C$2&amp;$T$1&amp;$R$1&amp;C39&amp;$Q$1&amp;$S$1&amp;$P$1&amp;$T$1&amp;$D$2&amp;$T$1&amp;$R$1&amp;D39&amp;$Q$1&amp;$S$1&amp;$P$1&amp;$T$1&amp;$E$2&amp;$T$1&amp;$R$1&amp;E39&amp;$Q$1&amp;$S$1&amp;$P$1&amp;$T$1&amp;$F$2&amp;$T$1&amp;$R$1&amp;L39&amp;$Q$1&amp;$S$1&amp;$P$1&amp;$T$1&amp;$G$2&amp;$T$1&amp;$R$1&amp;G39&amp;$Q$1&amp;$S$1&amp;$P$1&amp;$T$1&amp;$H$2&amp;$T$1&amp;$R$1&amp;H39&amp;$Q$1&amp;$S$1&amp;$P$1&amp;$T$1&amp;$I$2&amp;$T$1&amp;$R$1&amp;I39&amp;$Q$1&amp;$S$1&amp;$P$1&amp;$T$1&amp;$J$2&amp;$T$1&amp;$R$1&amp;J39&amp;$Q$1&amp;$O$1</f>
        <v>[{"2":164},{"4":90},{"5":90},{"12":1042},{"7":8},{"6":0},{"8":10},{"9":0}]</v>
      </c>
      <c r="AG38">
        <v>36</v>
      </c>
      <c r="AH38">
        <f t="shared" si="9"/>
        <v>24</v>
      </c>
      <c r="AI38">
        <f t="shared" si="10"/>
        <v>24</v>
      </c>
      <c r="AJ38">
        <v>282</v>
      </c>
      <c r="AK38">
        <v>4</v>
      </c>
      <c r="AL38">
        <v>8</v>
      </c>
      <c r="AM38">
        <v>0</v>
      </c>
      <c r="AN38">
        <v>10</v>
      </c>
    </row>
    <row r="39" customFormat="1" ht="16.5" spans="1:40">
      <c r="A39">
        <v>37</v>
      </c>
      <c r="B39">
        <f>$AP$2+AG39</f>
        <v>137</v>
      </c>
      <c r="C39">
        <f t="shared" si="6"/>
        <v>164</v>
      </c>
      <c r="D39">
        <f>AH39+$AQ$2</f>
        <v>90</v>
      </c>
      <c r="E39">
        <f t="shared" si="0"/>
        <v>90</v>
      </c>
      <c r="F39" s="4">
        <f>INT(主角属性配置!F39/3+$AS$2)</f>
        <v>2084</v>
      </c>
      <c r="G39">
        <v>8</v>
      </c>
      <c r="H39">
        <v>0</v>
      </c>
      <c r="I39">
        <v>10</v>
      </c>
      <c r="J39">
        <v>0</v>
      </c>
      <c r="K39" s="3">
        <f t="shared" si="7"/>
        <v>695</v>
      </c>
      <c r="L39" s="3">
        <f t="shared" si="8"/>
        <v>1042</v>
      </c>
      <c r="N39" t="str">
        <f>$N$1&amp;$P$1&amp;$T$1&amp;$B$2&amp;$T$1&amp;$R$1&amp;B40&amp;$Q$1&amp;$S$1&amp;$P$1&amp;$T$1&amp;$D$2&amp;$T$1&amp;$R$1&amp;D40&amp;$Q$1&amp;$S$1&amp;$P$1&amp;$T$1&amp;$E$2&amp;$T$1&amp;$R$1&amp;E40&amp;$Q$1&amp;$S$1&amp;$P$1&amp;$T$1&amp;$F$2&amp;$T$1&amp;$R$1&amp;F40&amp;$Q$1&amp;$S$1&amp;$P$1&amp;$T$1&amp;$G$2&amp;$T$1&amp;$R$1&amp;G40&amp;$Q$1&amp;$S$1&amp;$P$1&amp;$T$1&amp;$H$2&amp;$T$1&amp;$R$1&amp;H40&amp;$Q$1&amp;$S$1&amp;$P$1&amp;$T$1&amp;$I$2&amp;$T$1&amp;$R$1&amp;I40&amp;$Q$1&amp;$S$1&amp;$P$1&amp;$T$1&amp;$J$2&amp;$T$1&amp;$R$1&amp;J40&amp;$Q$1&amp;$O$1</f>
        <v>[{"1":138},{"4":91},{"5":91},{"12":2123},{"7":8},{"6":0},{"8":10},{"9":0}]</v>
      </c>
      <c r="W39" t="str">
        <f>$N$1&amp;$P$1&amp;$T$1&amp;$C$2&amp;$T$1&amp;$R$1&amp;C40&amp;$Q$1&amp;$S$1&amp;$P$1&amp;$T$1&amp;$D$2&amp;$T$1&amp;$R$1&amp;D40&amp;$Q$1&amp;$S$1&amp;$P$1&amp;$T$1&amp;$E$2&amp;$T$1&amp;$R$1&amp;E40&amp;$Q$1&amp;$S$1&amp;$P$1&amp;$T$1&amp;$F$2&amp;$T$1&amp;$R$1&amp;K40&amp;$Q$1&amp;$S$1&amp;$P$1&amp;$T$1&amp;$G$2&amp;$T$1&amp;$R$1&amp;G40&amp;$Q$1&amp;$S$1&amp;$P$1&amp;$T$1&amp;$H$2&amp;$T$1&amp;$R$1&amp;H40&amp;$Q$1&amp;$S$1&amp;$P$1&amp;$T$1&amp;$I$2&amp;$T$1&amp;$R$1&amp;I40&amp;$Q$1&amp;$S$1&amp;$P$1&amp;$T$1&amp;$J$2&amp;$T$1&amp;$R$1&amp;J40&amp;$Q$1&amp;$O$1</f>
        <v>[{"2":165},{"4":91},{"5":91},{"12":708},{"7":8},{"6":0},{"8":10},{"9":0}]</v>
      </c>
      <c r="AE39" t="str">
        <f>$N$1&amp;$P$1&amp;$T$1&amp;$C$2&amp;$T$1&amp;$R$1&amp;C40&amp;$Q$1&amp;$S$1&amp;$P$1&amp;$T$1&amp;$D$2&amp;$T$1&amp;$R$1&amp;D40&amp;$Q$1&amp;$S$1&amp;$P$1&amp;$T$1&amp;$E$2&amp;$T$1&amp;$R$1&amp;E40&amp;$Q$1&amp;$S$1&amp;$P$1&amp;$T$1&amp;$F$2&amp;$T$1&amp;$R$1&amp;L40&amp;$Q$1&amp;$S$1&amp;$P$1&amp;$T$1&amp;$G$2&amp;$T$1&amp;$R$1&amp;G40&amp;$Q$1&amp;$S$1&amp;$P$1&amp;$T$1&amp;$H$2&amp;$T$1&amp;$R$1&amp;H40&amp;$Q$1&amp;$S$1&amp;$P$1&amp;$T$1&amp;$I$2&amp;$T$1&amp;$R$1&amp;I40&amp;$Q$1&amp;$S$1&amp;$P$1&amp;$T$1&amp;$J$2&amp;$T$1&amp;$R$1&amp;J40&amp;$Q$1&amp;$O$1</f>
        <v>[{"2":165},{"4":91},{"5":91},{"12":1062},{"7":8},{"6":0},{"8":10},{"9":0}]</v>
      </c>
      <c r="AG39">
        <v>37</v>
      </c>
      <c r="AH39">
        <f t="shared" si="9"/>
        <v>24</v>
      </c>
      <c r="AI39">
        <f t="shared" si="10"/>
        <v>24</v>
      </c>
      <c r="AJ39">
        <v>290</v>
      </c>
      <c r="AK39">
        <v>4</v>
      </c>
      <c r="AL39">
        <v>8</v>
      </c>
      <c r="AM39">
        <v>0</v>
      </c>
      <c r="AN39">
        <v>10</v>
      </c>
    </row>
    <row r="40" customFormat="1" ht="16.5" spans="1:40">
      <c r="A40">
        <v>38</v>
      </c>
      <c r="B40">
        <f>$AP$2+AG40</f>
        <v>138</v>
      </c>
      <c r="C40">
        <f t="shared" si="6"/>
        <v>165</v>
      </c>
      <c r="D40">
        <f>AH40+$AQ$2</f>
        <v>91</v>
      </c>
      <c r="E40">
        <f t="shared" si="0"/>
        <v>91</v>
      </c>
      <c r="F40" s="4">
        <f>INT(主角属性配置!F40/3+$AS$2)</f>
        <v>2123</v>
      </c>
      <c r="G40">
        <v>8</v>
      </c>
      <c r="H40">
        <v>0</v>
      </c>
      <c r="I40">
        <v>10</v>
      </c>
      <c r="J40">
        <v>0</v>
      </c>
      <c r="K40" s="3">
        <f t="shared" si="7"/>
        <v>708</v>
      </c>
      <c r="L40" s="3">
        <f t="shared" si="8"/>
        <v>1062</v>
      </c>
      <c r="N40" t="str">
        <f>$N$1&amp;$P$1&amp;$T$1&amp;$B$2&amp;$T$1&amp;$R$1&amp;B41&amp;$Q$1&amp;$S$1&amp;$P$1&amp;$T$1&amp;$D$2&amp;$T$1&amp;$R$1&amp;D41&amp;$Q$1&amp;$S$1&amp;$P$1&amp;$T$1&amp;$E$2&amp;$T$1&amp;$R$1&amp;E41&amp;$Q$1&amp;$S$1&amp;$P$1&amp;$T$1&amp;$F$2&amp;$T$1&amp;$R$1&amp;F41&amp;$Q$1&amp;$S$1&amp;$P$1&amp;$T$1&amp;$G$2&amp;$T$1&amp;$R$1&amp;G41&amp;$Q$1&amp;$S$1&amp;$P$1&amp;$T$1&amp;$H$2&amp;$T$1&amp;$R$1&amp;H41&amp;$Q$1&amp;$S$1&amp;$P$1&amp;$T$1&amp;$I$2&amp;$T$1&amp;$R$1&amp;I41&amp;$Q$1&amp;$S$1&amp;$P$1&amp;$T$1&amp;$J$2&amp;$T$1&amp;$R$1&amp;J41&amp;$Q$1&amp;$O$1</f>
        <v>[{"1":139},{"4":92},{"5":92},{"12":2162},{"7":8},{"6":0},{"8":10},{"9":0}]</v>
      </c>
      <c r="W40" t="str">
        <f>$N$1&amp;$P$1&amp;$T$1&amp;$C$2&amp;$T$1&amp;$R$1&amp;C41&amp;$Q$1&amp;$S$1&amp;$P$1&amp;$T$1&amp;$D$2&amp;$T$1&amp;$R$1&amp;D41&amp;$Q$1&amp;$S$1&amp;$P$1&amp;$T$1&amp;$E$2&amp;$T$1&amp;$R$1&amp;E41&amp;$Q$1&amp;$S$1&amp;$P$1&amp;$T$1&amp;$F$2&amp;$T$1&amp;$R$1&amp;K41&amp;$Q$1&amp;$S$1&amp;$P$1&amp;$T$1&amp;$G$2&amp;$T$1&amp;$R$1&amp;G41&amp;$Q$1&amp;$S$1&amp;$P$1&amp;$T$1&amp;$H$2&amp;$T$1&amp;$R$1&amp;H41&amp;$Q$1&amp;$S$1&amp;$P$1&amp;$T$1&amp;$I$2&amp;$T$1&amp;$R$1&amp;I41&amp;$Q$1&amp;$S$1&amp;$P$1&amp;$T$1&amp;$J$2&amp;$T$1&amp;$R$1&amp;J41&amp;$Q$1&amp;$O$1</f>
        <v>[{"2":166},{"4":92},{"5":92},{"12":721},{"7":8},{"6":0},{"8":10},{"9":0}]</v>
      </c>
      <c r="AE40" t="str">
        <f>$N$1&amp;$P$1&amp;$T$1&amp;$C$2&amp;$T$1&amp;$R$1&amp;C41&amp;$Q$1&amp;$S$1&amp;$P$1&amp;$T$1&amp;$D$2&amp;$T$1&amp;$R$1&amp;D41&amp;$Q$1&amp;$S$1&amp;$P$1&amp;$T$1&amp;$E$2&amp;$T$1&amp;$R$1&amp;E41&amp;$Q$1&amp;$S$1&amp;$P$1&amp;$T$1&amp;$F$2&amp;$T$1&amp;$R$1&amp;L41&amp;$Q$1&amp;$S$1&amp;$P$1&amp;$T$1&amp;$G$2&amp;$T$1&amp;$R$1&amp;G41&amp;$Q$1&amp;$S$1&amp;$P$1&amp;$T$1&amp;$H$2&amp;$T$1&amp;$R$1&amp;H41&amp;$Q$1&amp;$S$1&amp;$P$1&amp;$T$1&amp;$I$2&amp;$T$1&amp;$R$1&amp;I41&amp;$Q$1&amp;$S$1&amp;$P$1&amp;$T$1&amp;$J$2&amp;$T$1&amp;$R$1&amp;J41&amp;$Q$1&amp;$O$1</f>
        <v>[{"2":166},{"4":92},{"5":92},{"12":1081},{"7":8},{"6":0},{"8":10},{"9":0}]</v>
      </c>
      <c r="AG40">
        <v>38</v>
      </c>
      <c r="AH40">
        <f t="shared" si="9"/>
        <v>25</v>
      </c>
      <c r="AI40">
        <f t="shared" si="10"/>
        <v>25</v>
      </c>
      <c r="AJ40">
        <v>298</v>
      </c>
      <c r="AK40">
        <v>4</v>
      </c>
      <c r="AL40">
        <v>8</v>
      </c>
      <c r="AM40">
        <v>0</v>
      </c>
      <c r="AN40">
        <v>10</v>
      </c>
    </row>
    <row r="41" customFormat="1" ht="16.5" spans="1:40">
      <c r="A41">
        <v>39</v>
      </c>
      <c r="B41">
        <f>$AP$2+AG41</f>
        <v>139</v>
      </c>
      <c r="C41">
        <f t="shared" si="6"/>
        <v>166</v>
      </c>
      <c r="D41">
        <f>AH41+$AQ$2</f>
        <v>92</v>
      </c>
      <c r="E41">
        <f t="shared" si="0"/>
        <v>92</v>
      </c>
      <c r="F41" s="4">
        <f>INT(主角属性配置!F41/3+$AS$2)</f>
        <v>2162</v>
      </c>
      <c r="G41">
        <v>8</v>
      </c>
      <c r="H41">
        <v>0</v>
      </c>
      <c r="I41">
        <v>10</v>
      </c>
      <c r="J41">
        <v>0</v>
      </c>
      <c r="K41" s="3">
        <f t="shared" si="7"/>
        <v>721</v>
      </c>
      <c r="L41" s="3">
        <f t="shared" si="8"/>
        <v>1081</v>
      </c>
      <c r="N41" t="str">
        <f>$N$1&amp;$P$1&amp;$T$1&amp;$B$2&amp;$T$1&amp;$R$1&amp;B42&amp;$Q$1&amp;$S$1&amp;$P$1&amp;$T$1&amp;$D$2&amp;$T$1&amp;$R$1&amp;D42&amp;$Q$1&amp;$S$1&amp;$P$1&amp;$T$1&amp;$E$2&amp;$T$1&amp;$R$1&amp;E42&amp;$Q$1&amp;$S$1&amp;$P$1&amp;$T$1&amp;$F$2&amp;$T$1&amp;$R$1&amp;F42&amp;$Q$1&amp;$S$1&amp;$P$1&amp;$T$1&amp;$G$2&amp;$T$1&amp;$R$1&amp;G42&amp;$Q$1&amp;$S$1&amp;$P$1&amp;$T$1&amp;$H$2&amp;$T$1&amp;$R$1&amp;H42&amp;$Q$1&amp;$S$1&amp;$P$1&amp;$T$1&amp;$I$2&amp;$T$1&amp;$R$1&amp;I42&amp;$Q$1&amp;$S$1&amp;$P$1&amp;$T$1&amp;$J$2&amp;$T$1&amp;$R$1&amp;J42&amp;$Q$1&amp;$O$1</f>
        <v>[{"1":140},{"4":92},{"5":92},{"12":2201},{"7":8},{"6":0},{"8":10},{"9":0}]</v>
      </c>
      <c r="W41" t="str">
        <f>$N$1&amp;$P$1&amp;$T$1&amp;$C$2&amp;$T$1&amp;$R$1&amp;C42&amp;$Q$1&amp;$S$1&amp;$P$1&amp;$T$1&amp;$D$2&amp;$T$1&amp;$R$1&amp;D42&amp;$Q$1&amp;$S$1&amp;$P$1&amp;$T$1&amp;$E$2&amp;$T$1&amp;$R$1&amp;E42&amp;$Q$1&amp;$S$1&amp;$P$1&amp;$T$1&amp;$F$2&amp;$T$1&amp;$R$1&amp;K42&amp;$Q$1&amp;$S$1&amp;$P$1&amp;$T$1&amp;$G$2&amp;$T$1&amp;$R$1&amp;G42&amp;$Q$1&amp;$S$1&amp;$P$1&amp;$T$1&amp;$H$2&amp;$T$1&amp;$R$1&amp;H42&amp;$Q$1&amp;$S$1&amp;$P$1&amp;$T$1&amp;$I$2&amp;$T$1&amp;$R$1&amp;I42&amp;$Q$1&amp;$S$1&amp;$P$1&amp;$T$1&amp;$J$2&amp;$T$1&amp;$R$1&amp;J42&amp;$Q$1&amp;$O$1</f>
        <v>[{"2":168},{"4":92},{"5":92},{"12":734},{"7":8},{"6":0},{"8":10},{"9":0}]</v>
      </c>
      <c r="AE41" t="str">
        <f>$N$1&amp;$P$1&amp;$T$1&amp;$C$2&amp;$T$1&amp;$R$1&amp;C42&amp;$Q$1&amp;$S$1&amp;$P$1&amp;$T$1&amp;$D$2&amp;$T$1&amp;$R$1&amp;D42&amp;$Q$1&amp;$S$1&amp;$P$1&amp;$T$1&amp;$E$2&amp;$T$1&amp;$R$1&amp;E42&amp;$Q$1&amp;$S$1&amp;$P$1&amp;$T$1&amp;$F$2&amp;$T$1&amp;$R$1&amp;L42&amp;$Q$1&amp;$S$1&amp;$P$1&amp;$T$1&amp;$G$2&amp;$T$1&amp;$R$1&amp;G42&amp;$Q$1&amp;$S$1&amp;$P$1&amp;$T$1&amp;$H$2&amp;$T$1&amp;$R$1&amp;H42&amp;$Q$1&amp;$S$1&amp;$P$1&amp;$T$1&amp;$I$2&amp;$T$1&amp;$R$1&amp;I42&amp;$Q$1&amp;$S$1&amp;$P$1&amp;$T$1&amp;$J$2&amp;$T$1&amp;$R$1&amp;J42&amp;$Q$1&amp;$O$1</f>
        <v>[{"2":168},{"4":92},{"5":92},{"12":1101},{"7":8},{"6":0},{"8":10},{"9":0}]</v>
      </c>
      <c r="AG41">
        <v>39</v>
      </c>
      <c r="AH41">
        <f t="shared" si="9"/>
        <v>26</v>
      </c>
      <c r="AI41">
        <f t="shared" si="10"/>
        <v>26</v>
      </c>
      <c r="AJ41">
        <v>305</v>
      </c>
      <c r="AK41">
        <v>4</v>
      </c>
      <c r="AL41">
        <v>8</v>
      </c>
      <c r="AM41">
        <v>0</v>
      </c>
      <c r="AN41">
        <v>10</v>
      </c>
    </row>
    <row r="42" customFormat="1" ht="16.5" spans="1:40">
      <c r="A42">
        <v>40</v>
      </c>
      <c r="B42">
        <f>$AP$2+AG42</f>
        <v>140</v>
      </c>
      <c r="C42">
        <f t="shared" si="6"/>
        <v>168</v>
      </c>
      <c r="D42">
        <f>AH42+$AQ$2</f>
        <v>92</v>
      </c>
      <c r="E42">
        <f t="shared" si="0"/>
        <v>92</v>
      </c>
      <c r="F42" s="4">
        <f>INT(主角属性配置!F42/3+$AS$2)</f>
        <v>2201</v>
      </c>
      <c r="G42">
        <v>8</v>
      </c>
      <c r="H42">
        <v>0</v>
      </c>
      <c r="I42">
        <v>10</v>
      </c>
      <c r="J42">
        <v>0</v>
      </c>
      <c r="K42" s="3">
        <f t="shared" si="7"/>
        <v>734</v>
      </c>
      <c r="L42" s="3">
        <f t="shared" si="8"/>
        <v>1101</v>
      </c>
      <c r="N42" t="str">
        <f>$N$1&amp;$P$1&amp;$T$1&amp;$B$2&amp;$T$1&amp;$R$1&amp;B43&amp;$Q$1&amp;$S$1&amp;$P$1&amp;$T$1&amp;$D$2&amp;$T$1&amp;$R$1&amp;D43&amp;$Q$1&amp;$S$1&amp;$P$1&amp;$T$1&amp;$E$2&amp;$T$1&amp;$R$1&amp;E43&amp;$Q$1&amp;$S$1&amp;$P$1&amp;$T$1&amp;$F$2&amp;$T$1&amp;$R$1&amp;F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[{"1":141},{"4":93},{"5":93},{"12":2241},{"7":8},{"6":0},{"8":10},{"9":0}]</v>
      </c>
      <c r="W42" t="str">
        <f>$N$1&amp;$P$1&amp;$T$1&amp;$C$2&amp;$T$1&amp;$R$1&amp;C43&amp;$Q$1&amp;$S$1&amp;$P$1&amp;$T$1&amp;$D$2&amp;$T$1&amp;$R$1&amp;D43&amp;$Q$1&amp;$S$1&amp;$P$1&amp;$T$1&amp;$E$2&amp;$T$1&amp;$R$1&amp;E43&amp;$Q$1&amp;$S$1&amp;$P$1&amp;$T$1&amp;$F$2&amp;$T$1&amp;$R$1&amp;K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[{"2":169},{"4":93},{"5":93},{"12":747},{"7":8},{"6":0},{"8":10},{"9":0}]</v>
      </c>
      <c r="AE42" t="str">
        <f>$N$1&amp;$P$1&amp;$T$1&amp;$C$2&amp;$T$1&amp;$R$1&amp;C43&amp;$Q$1&amp;$S$1&amp;$P$1&amp;$T$1&amp;$D$2&amp;$T$1&amp;$R$1&amp;D43&amp;$Q$1&amp;$S$1&amp;$P$1&amp;$T$1&amp;$E$2&amp;$T$1&amp;$R$1&amp;E43&amp;$Q$1&amp;$S$1&amp;$P$1&amp;$T$1&amp;$F$2&amp;$T$1&amp;$R$1&amp;L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[{"2":169},{"4":93},{"5":93},{"12":1121},{"7":8},{"6":0},{"8":10},{"9":0}]</v>
      </c>
      <c r="AG42">
        <v>40</v>
      </c>
      <c r="AH42">
        <f t="shared" si="9"/>
        <v>26</v>
      </c>
      <c r="AI42">
        <f t="shared" si="10"/>
        <v>26</v>
      </c>
      <c r="AJ42">
        <v>313</v>
      </c>
      <c r="AK42">
        <v>4</v>
      </c>
      <c r="AL42">
        <v>8</v>
      </c>
      <c r="AM42">
        <v>0</v>
      </c>
      <c r="AN42">
        <v>10</v>
      </c>
    </row>
    <row r="43" customFormat="1" ht="16.5" spans="1:40">
      <c r="A43">
        <v>41</v>
      </c>
      <c r="B43">
        <f>$AP$2+AG43</f>
        <v>141</v>
      </c>
      <c r="C43">
        <f t="shared" si="6"/>
        <v>169</v>
      </c>
      <c r="D43">
        <f>AH43+$AQ$2</f>
        <v>93</v>
      </c>
      <c r="E43">
        <f t="shared" si="0"/>
        <v>93</v>
      </c>
      <c r="F43" s="4">
        <f>INT(主角属性配置!F43/3+$AS$2)</f>
        <v>2241</v>
      </c>
      <c r="G43">
        <v>8</v>
      </c>
      <c r="H43">
        <v>0</v>
      </c>
      <c r="I43">
        <v>10</v>
      </c>
      <c r="J43">
        <v>0</v>
      </c>
      <c r="K43" s="3">
        <f t="shared" si="7"/>
        <v>747</v>
      </c>
      <c r="L43" s="3">
        <f t="shared" si="8"/>
        <v>1121</v>
      </c>
      <c r="N43" t="str">
        <f>$N$1&amp;$P$1&amp;$T$1&amp;$B$2&amp;$T$1&amp;$R$1&amp;B44&amp;$Q$1&amp;$S$1&amp;$P$1&amp;$T$1&amp;$D$2&amp;$T$1&amp;$R$1&amp;D44&amp;$Q$1&amp;$S$1&amp;$P$1&amp;$T$1&amp;$E$2&amp;$T$1&amp;$R$1&amp;E44&amp;$Q$1&amp;$S$1&amp;$P$1&amp;$T$1&amp;$F$2&amp;$T$1&amp;$R$1&amp;F44&amp;$Q$1&amp;$S$1&amp;$P$1&amp;$T$1&amp;$G$2&amp;$T$1&amp;$R$1&amp;G44&amp;$Q$1&amp;$S$1&amp;$P$1&amp;$T$1&amp;$H$2&amp;$T$1&amp;$R$1&amp;H44&amp;$Q$1&amp;$S$1&amp;$P$1&amp;$T$1&amp;$I$2&amp;$T$1&amp;$R$1&amp;I44&amp;$Q$1&amp;$S$1&amp;$P$1&amp;$T$1&amp;$J$2&amp;$T$1&amp;$R$1&amp;J44&amp;$Q$1&amp;$O$1</f>
        <v>[{"1":142},{"4":94},{"5":94},{"12":2280},{"7":8},{"6":0},{"8":10},{"9":0}]</v>
      </c>
      <c r="W43" t="str">
        <f>$N$1&amp;$P$1&amp;$T$1&amp;$C$2&amp;$T$1&amp;$R$1&amp;C44&amp;$Q$1&amp;$S$1&amp;$P$1&amp;$T$1&amp;$D$2&amp;$T$1&amp;$R$1&amp;D44&amp;$Q$1&amp;$S$1&amp;$P$1&amp;$T$1&amp;$E$2&amp;$T$1&amp;$R$1&amp;E44&amp;$Q$1&amp;$S$1&amp;$P$1&amp;$T$1&amp;$F$2&amp;$T$1&amp;$R$1&amp;K44&amp;$Q$1&amp;$S$1&amp;$P$1&amp;$T$1&amp;$G$2&amp;$T$1&amp;$R$1&amp;G44&amp;$Q$1&amp;$S$1&amp;$P$1&amp;$T$1&amp;$H$2&amp;$T$1&amp;$R$1&amp;H44&amp;$Q$1&amp;$S$1&amp;$P$1&amp;$T$1&amp;$I$2&amp;$T$1&amp;$R$1&amp;I44&amp;$Q$1&amp;$S$1&amp;$P$1&amp;$T$1&amp;$J$2&amp;$T$1&amp;$R$1&amp;J44&amp;$Q$1&amp;$O$1</f>
        <v>[{"2":170},{"4":94},{"5":94},{"12":760},{"7":8},{"6":0},{"8":10},{"9":0}]</v>
      </c>
      <c r="AE43" t="str">
        <f>$N$1&amp;$P$1&amp;$T$1&amp;$C$2&amp;$T$1&amp;$R$1&amp;C44&amp;$Q$1&amp;$S$1&amp;$P$1&amp;$T$1&amp;$D$2&amp;$T$1&amp;$R$1&amp;D44&amp;$Q$1&amp;$S$1&amp;$P$1&amp;$T$1&amp;$E$2&amp;$T$1&amp;$R$1&amp;E44&amp;$Q$1&amp;$S$1&amp;$P$1&amp;$T$1&amp;$F$2&amp;$T$1&amp;$R$1&amp;L44&amp;$Q$1&amp;$S$1&amp;$P$1&amp;$T$1&amp;$G$2&amp;$T$1&amp;$R$1&amp;G44&amp;$Q$1&amp;$S$1&amp;$P$1&amp;$T$1&amp;$H$2&amp;$T$1&amp;$R$1&amp;H44&amp;$Q$1&amp;$S$1&amp;$P$1&amp;$T$1&amp;$I$2&amp;$T$1&amp;$R$1&amp;I44&amp;$Q$1&amp;$S$1&amp;$P$1&amp;$T$1&amp;$J$2&amp;$T$1&amp;$R$1&amp;J44&amp;$Q$1&amp;$O$1</f>
        <v>[{"2":170},{"4":94},{"5":94},{"12":1140},{"7":8},{"6":0},{"8":10},{"9":0}]</v>
      </c>
      <c r="AG43">
        <v>41</v>
      </c>
      <c r="AH43">
        <f t="shared" si="9"/>
        <v>27</v>
      </c>
      <c r="AI43">
        <f t="shared" si="10"/>
        <v>27</v>
      </c>
      <c r="AJ43">
        <v>320</v>
      </c>
      <c r="AK43">
        <v>4</v>
      </c>
      <c r="AL43">
        <v>8</v>
      </c>
      <c r="AM43">
        <v>0</v>
      </c>
      <c r="AN43">
        <v>10</v>
      </c>
    </row>
    <row r="44" customFormat="1" ht="16.5" spans="1:40">
      <c r="A44">
        <v>42</v>
      </c>
      <c r="B44">
        <f>$AP$2+AG44</f>
        <v>142</v>
      </c>
      <c r="C44">
        <f t="shared" si="6"/>
        <v>170</v>
      </c>
      <c r="D44">
        <f>AH44+$AQ$2</f>
        <v>94</v>
      </c>
      <c r="E44">
        <f t="shared" si="0"/>
        <v>94</v>
      </c>
      <c r="F44" s="4">
        <f>INT(主角属性配置!F44/3+$AS$2)</f>
        <v>2280</v>
      </c>
      <c r="G44">
        <v>8</v>
      </c>
      <c r="H44">
        <v>0</v>
      </c>
      <c r="I44">
        <v>10</v>
      </c>
      <c r="J44">
        <v>0</v>
      </c>
      <c r="K44" s="3">
        <f t="shared" si="7"/>
        <v>760</v>
      </c>
      <c r="L44" s="3">
        <f t="shared" si="8"/>
        <v>1140</v>
      </c>
      <c r="N44" t="str">
        <f>$N$1&amp;$P$1&amp;$T$1&amp;$B$2&amp;$T$1&amp;$R$1&amp;B45&amp;$Q$1&amp;$S$1&amp;$P$1&amp;$T$1&amp;$D$2&amp;$T$1&amp;$R$1&amp;D45&amp;$Q$1&amp;$S$1&amp;$P$1&amp;$T$1&amp;$E$2&amp;$T$1&amp;$R$1&amp;E45&amp;$Q$1&amp;$S$1&amp;$P$1&amp;$T$1&amp;$F$2&amp;$T$1&amp;$R$1&amp;F45&amp;$Q$1&amp;$S$1&amp;$P$1&amp;$T$1&amp;$G$2&amp;$T$1&amp;$R$1&amp;G45&amp;$Q$1&amp;$S$1&amp;$P$1&amp;$T$1&amp;$H$2&amp;$T$1&amp;$R$1&amp;H45&amp;$Q$1&amp;$S$1&amp;$P$1&amp;$T$1&amp;$I$2&amp;$T$1&amp;$R$1&amp;I45&amp;$Q$1&amp;$S$1&amp;$P$1&amp;$T$1&amp;$J$2&amp;$T$1&amp;$R$1&amp;J45&amp;$Q$1&amp;$O$1</f>
        <v>[{"1":143},{"4":94},{"5":94},{"12":2319},{"7":8},{"6":0},{"8":10},{"9":0}]</v>
      </c>
      <c r="W44" t="str">
        <f>$N$1&amp;$P$1&amp;$T$1&amp;$C$2&amp;$T$1&amp;$R$1&amp;C45&amp;$Q$1&amp;$S$1&amp;$P$1&amp;$T$1&amp;$D$2&amp;$T$1&amp;$R$1&amp;D45&amp;$Q$1&amp;$S$1&amp;$P$1&amp;$T$1&amp;$E$2&amp;$T$1&amp;$R$1&amp;E45&amp;$Q$1&amp;$S$1&amp;$P$1&amp;$T$1&amp;$F$2&amp;$T$1&amp;$R$1&amp;K45&amp;$Q$1&amp;$S$1&amp;$P$1&amp;$T$1&amp;$G$2&amp;$T$1&amp;$R$1&amp;G45&amp;$Q$1&amp;$S$1&amp;$P$1&amp;$T$1&amp;$H$2&amp;$T$1&amp;$R$1&amp;H45&amp;$Q$1&amp;$S$1&amp;$P$1&amp;$T$1&amp;$I$2&amp;$T$1&amp;$R$1&amp;I45&amp;$Q$1&amp;$S$1&amp;$P$1&amp;$T$1&amp;$J$2&amp;$T$1&amp;$R$1&amp;J45&amp;$Q$1&amp;$O$1</f>
        <v>[{"2":171},{"4":94},{"5":94},{"12":773},{"7":8},{"6":0},{"8":10},{"9":0}]</v>
      </c>
      <c r="AE44" t="str">
        <f>$N$1&amp;$P$1&amp;$T$1&amp;$C$2&amp;$T$1&amp;$R$1&amp;C45&amp;$Q$1&amp;$S$1&amp;$P$1&amp;$T$1&amp;$D$2&amp;$T$1&amp;$R$1&amp;D45&amp;$Q$1&amp;$S$1&amp;$P$1&amp;$T$1&amp;$E$2&amp;$T$1&amp;$R$1&amp;E45&amp;$Q$1&amp;$S$1&amp;$P$1&amp;$T$1&amp;$F$2&amp;$T$1&amp;$R$1&amp;L45&amp;$Q$1&amp;$S$1&amp;$P$1&amp;$T$1&amp;$G$2&amp;$T$1&amp;$R$1&amp;G45&amp;$Q$1&amp;$S$1&amp;$P$1&amp;$T$1&amp;$H$2&amp;$T$1&amp;$R$1&amp;H45&amp;$Q$1&amp;$S$1&amp;$P$1&amp;$T$1&amp;$I$2&amp;$T$1&amp;$R$1&amp;I45&amp;$Q$1&amp;$S$1&amp;$P$1&amp;$T$1&amp;$J$2&amp;$T$1&amp;$R$1&amp;J45&amp;$Q$1&amp;$O$1</f>
        <v>[{"2":171},{"4":94},{"5":94},{"12":1160},{"7":8},{"6":0},{"8":10},{"9":0}]</v>
      </c>
      <c r="AG44">
        <v>42</v>
      </c>
      <c r="AH44">
        <f t="shared" si="9"/>
        <v>28</v>
      </c>
      <c r="AI44">
        <f t="shared" si="10"/>
        <v>28</v>
      </c>
      <c r="AJ44">
        <v>328</v>
      </c>
      <c r="AK44">
        <v>4</v>
      </c>
      <c r="AL44">
        <v>8</v>
      </c>
      <c r="AM44">
        <v>0</v>
      </c>
      <c r="AN44">
        <v>10</v>
      </c>
    </row>
    <row r="45" customFormat="1" ht="16.5" spans="1:40">
      <c r="A45">
        <v>43</v>
      </c>
      <c r="B45">
        <f>$AP$2+AG45</f>
        <v>143</v>
      </c>
      <c r="C45">
        <f t="shared" si="6"/>
        <v>171</v>
      </c>
      <c r="D45">
        <f>AH45+$AQ$2</f>
        <v>94</v>
      </c>
      <c r="E45">
        <f t="shared" si="0"/>
        <v>94</v>
      </c>
      <c r="F45" s="4">
        <f>INT(主角属性配置!F45/3+$AS$2)</f>
        <v>2319</v>
      </c>
      <c r="G45">
        <v>8</v>
      </c>
      <c r="H45">
        <v>0</v>
      </c>
      <c r="I45">
        <v>10</v>
      </c>
      <c r="J45">
        <v>0</v>
      </c>
      <c r="K45" s="3">
        <f t="shared" si="7"/>
        <v>773</v>
      </c>
      <c r="L45" s="3">
        <f t="shared" si="8"/>
        <v>1160</v>
      </c>
      <c r="N45" t="str">
        <f>$N$1&amp;$P$1&amp;$T$1&amp;$B$2&amp;$T$1&amp;$R$1&amp;B46&amp;$Q$1&amp;$S$1&amp;$P$1&amp;$T$1&amp;$D$2&amp;$T$1&amp;$R$1&amp;D46&amp;$Q$1&amp;$S$1&amp;$P$1&amp;$T$1&amp;$E$2&amp;$T$1&amp;$R$1&amp;E46&amp;$Q$1&amp;$S$1&amp;$P$1&amp;$T$1&amp;$F$2&amp;$T$1&amp;$R$1&amp;F46&amp;$Q$1&amp;$S$1&amp;$P$1&amp;$T$1&amp;$G$2&amp;$T$1&amp;$R$1&amp;G46&amp;$Q$1&amp;$S$1&amp;$P$1&amp;$T$1&amp;$H$2&amp;$T$1&amp;$R$1&amp;H46&amp;$Q$1&amp;$S$1&amp;$P$1&amp;$T$1&amp;$I$2&amp;$T$1&amp;$R$1&amp;I46&amp;$Q$1&amp;$S$1&amp;$P$1&amp;$T$1&amp;$J$2&amp;$T$1&amp;$R$1&amp;J46&amp;$Q$1&amp;$O$1</f>
        <v>[{"1":144},{"4":95},{"5":95},{"12":2358},{"7":8},{"6":0},{"8":10},{"9":0}]</v>
      </c>
      <c r="W45" t="str">
        <f>$N$1&amp;$P$1&amp;$T$1&amp;$C$2&amp;$T$1&amp;$R$1&amp;C46&amp;$Q$1&amp;$S$1&amp;$P$1&amp;$T$1&amp;$D$2&amp;$T$1&amp;$R$1&amp;D46&amp;$Q$1&amp;$S$1&amp;$P$1&amp;$T$1&amp;$E$2&amp;$T$1&amp;$R$1&amp;E46&amp;$Q$1&amp;$S$1&amp;$P$1&amp;$T$1&amp;$F$2&amp;$T$1&amp;$R$1&amp;K46&amp;$Q$1&amp;$S$1&amp;$P$1&amp;$T$1&amp;$G$2&amp;$T$1&amp;$R$1&amp;G46&amp;$Q$1&amp;$S$1&amp;$P$1&amp;$T$1&amp;$H$2&amp;$T$1&amp;$R$1&amp;H46&amp;$Q$1&amp;$S$1&amp;$P$1&amp;$T$1&amp;$I$2&amp;$T$1&amp;$R$1&amp;I46&amp;$Q$1&amp;$S$1&amp;$P$1&amp;$T$1&amp;$J$2&amp;$T$1&amp;$R$1&amp;J46&amp;$Q$1&amp;$O$1</f>
        <v>[{"2":172},{"4":95},{"5":95},{"12":786},{"7":8},{"6":0},{"8":10},{"9":0}]</v>
      </c>
      <c r="AE45" t="str">
        <f>$N$1&amp;$P$1&amp;$T$1&amp;$C$2&amp;$T$1&amp;$R$1&amp;C46&amp;$Q$1&amp;$S$1&amp;$P$1&amp;$T$1&amp;$D$2&amp;$T$1&amp;$R$1&amp;D46&amp;$Q$1&amp;$S$1&amp;$P$1&amp;$T$1&amp;$E$2&amp;$T$1&amp;$R$1&amp;E46&amp;$Q$1&amp;$S$1&amp;$P$1&amp;$T$1&amp;$F$2&amp;$T$1&amp;$R$1&amp;L46&amp;$Q$1&amp;$S$1&amp;$P$1&amp;$T$1&amp;$G$2&amp;$T$1&amp;$R$1&amp;G46&amp;$Q$1&amp;$S$1&amp;$P$1&amp;$T$1&amp;$H$2&amp;$T$1&amp;$R$1&amp;H46&amp;$Q$1&amp;$S$1&amp;$P$1&amp;$T$1&amp;$I$2&amp;$T$1&amp;$R$1&amp;I46&amp;$Q$1&amp;$S$1&amp;$P$1&amp;$T$1&amp;$J$2&amp;$T$1&amp;$R$1&amp;J46&amp;$Q$1&amp;$O$1</f>
        <v>[{"2":172},{"4":95},{"5":95},{"12":1179},{"7":8},{"6":0},{"8":10},{"9":0}]</v>
      </c>
      <c r="AG45">
        <v>43</v>
      </c>
      <c r="AH45">
        <f t="shared" si="9"/>
        <v>28</v>
      </c>
      <c r="AI45">
        <f t="shared" si="10"/>
        <v>28</v>
      </c>
      <c r="AJ45">
        <v>336</v>
      </c>
      <c r="AK45">
        <v>4</v>
      </c>
      <c r="AL45">
        <v>8</v>
      </c>
      <c r="AM45">
        <v>0</v>
      </c>
      <c r="AN45">
        <v>10</v>
      </c>
    </row>
    <row r="46" customFormat="1" ht="16.5" spans="1:40">
      <c r="A46">
        <v>44</v>
      </c>
      <c r="B46">
        <f>$AP$2+AG46</f>
        <v>144</v>
      </c>
      <c r="C46">
        <f t="shared" si="6"/>
        <v>172</v>
      </c>
      <c r="D46">
        <f>AH46+$AQ$2</f>
        <v>95</v>
      </c>
      <c r="E46">
        <f t="shared" si="0"/>
        <v>95</v>
      </c>
      <c r="F46" s="4">
        <f>INT(主角属性配置!F46/3+$AS$2)</f>
        <v>2358</v>
      </c>
      <c r="G46">
        <v>8</v>
      </c>
      <c r="H46">
        <v>0</v>
      </c>
      <c r="I46">
        <v>10</v>
      </c>
      <c r="J46">
        <v>0</v>
      </c>
      <c r="K46" s="3">
        <f t="shared" si="7"/>
        <v>786</v>
      </c>
      <c r="L46" s="3">
        <f t="shared" si="8"/>
        <v>1179</v>
      </c>
      <c r="N46" t="str">
        <f>$N$1&amp;$P$1&amp;$T$1&amp;$B$2&amp;$T$1&amp;$R$1&amp;B47&amp;$Q$1&amp;$S$1&amp;$P$1&amp;$T$1&amp;$D$2&amp;$T$1&amp;$R$1&amp;D47&amp;$Q$1&amp;$S$1&amp;$P$1&amp;$T$1&amp;$E$2&amp;$T$1&amp;$R$1&amp;E47&amp;$Q$1&amp;$S$1&amp;$P$1&amp;$T$1&amp;$F$2&amp;$T$1&amp;$R$1&amp;F47&amp;$Q$1&amp;$S$1&amp;$P$1&amp;$T$1&amp;$G$2&amp;$T$1&amp;$R$1&amp;G47&amp;$Q$1&amp;$S$1&amp;$P$1&amp;$T$1&amp;$H$2&amp;$T$1&amp;$R$1&amp;H47&amp;$Q$1&amp;$S$1&amp;$P$1&amp;$T$1&amp;$I$2&amp;$T$1&amp;$R$1&amp;I47&amp;$Q$1&amp;$S$1&amp;$P$1&amp;$T$1&amp;$J$2&amp;$T$1&amp;$R$1&amp;J47&amp;$Q$1&amp;$O$1</f>
        <v>[{"1":145},{"4":96},{"5":96},{"12":2397},{"7":8},{"6":0},{"8":10},{"9":0}]</v>
      </c>
      <c r="W46" t="str">
        <f>$N$1&amp;$P$1&amp;$T$1&amp;$C$2&amp;$T$1&amp;$R$1&amp;C47&amp;$Q$1&amp;$S$1&amp;$P$1&amp;$T$1&amp;$D$2&amp;$T$1&amp;$R$1&amp;D47&amp;$Q$1&amp;$S$1&amp;$P$1&amp;$T$1&amp;$E$2&amp;$T$1&amp;$R$1&amp;E47&amp;$Q$1&amp;$S$1&amp;$P$1&amp;$T$1&amp;$F$2&amp;$T$1&amp;$R$1&amp;K47&amp;$Q$1&amp;$S$1&amp;$P$1&amp;$T$1&amp;$G$2&amp;$T$1&amp;$R$1&amp;G47&amp;$Q$1&amp;$S$1&amp;$P$1&amp;$T$1&amp;$H$2&amp;$T$1&amp;$R$1&amp;H47&amp;$Q$1&amp;$S$1&amp;$P$1&amp;$T$1&amp;$I$2&amp;$T$1&amp;$R$1&amp;I47&amp;$Q$1&amp;$S$1&amp;$P$1&amp;$T$1&amp;$J$2&amp;$T$1&amp;$R$1&amp;J47&amp;$Q$1&amp;$O$1</f>
        <v>[{"2":174},{"4":96},{"5":96},{"12":799},{"7":8},{"6":0},{"8":10},{"9":0}]</v>
      </c>
      <c r="AE46" t="str">
        <f>$N$1&amp;$P$1&amp;$T$1&amp;$C$2&amp;$T$1&amp;$R$1&amp;C47&amp;$Q$1&amp;$S$1&amp;$P$1&amp;$T$1&amp;$D$2&amp;$T$1&amp;$R$1&amp;D47&amp;$Q$1&amp;$S$1&amp;$P$1&amp;$T$1&amp;$E$2&amp;$T$1&amp;$R$1&amp;E47&amp;$Q$1&amp;$S$1&amp;$P$1&amp;$T$1&amp;$F$2&amp;$T$1&amp;$R$1&amp;L47&amp;$Q$1&amp;$S$1&amp;$P$1&amp;$T$1&amp;$G$2&amp;$T$1&amp;$R$1&amp;G47&amp;$Q$1&amp;$S$1&amp;$P$1&amp;$T$1&amp;$H$2&amp;$T$1&amp;$R$1&amp;H47&amp;$Q$1&amp;$S$1&amp;$P$1&amp;$T$1&amp;$I$2&amp;$T$1&amp;$R$1&amp;I47&amp;$Q$1&amp;$S$1&amp;$P$1&amp;$T$1&amp;$J$2&amp;$T$1&amp;$R$1&amp;J47&amp;$Q$1&amp;$O$1</f>
        <v>[{"2":174},{"4":96},{"5":96},{"12":1199},{"7":8},{"6":0},{"8":10},{"9":0}]</v>
      </c>
      <c r="AG46">
        <v>44</v>
      </c>
      <c r="AH46">
        <f t="shared" si="9"/>
        <v>29</v>
      </c>
      <c r="AI46">
        <f t="shared" si="10"/>
        <v>29</v>
      </c>
      <c r="AJ46">
        <v>343</v>
      </c>
      <c r="AK46">
        <v>4</v>
      </c>
      <c r="AL46">
        <v>8</v>
      </c>
      <c r="AM46">
        <v>0</v>
      </c>
      <c r="AN46">
        <v>10</v>
      </c>
    </row>
    <row r="47" customFormat="1" ht="16.5" spans="1:40">
      <c r="A47">
        <v>45</v>
      </c>
      <c r="B47">
        <f>$AP$2+AG47</f>
        <v>145</v>
      </c>
      <c r="C47">
        <f t="shared" si="6"/>
        <v>174</v>
      </c>
      <c r="D47">
        <f>AH47+$AQ$2</f>
        <v>96</v>
      </c>
      <c r="E47">
        <f t="shared" si="0"/>
        <v>96</v>
      </c>
      <c r="F47" s="4">
        <f>INT(主角属性配置!F47/3+$AS$2)</f>
        <v>2397</v>
      </c>
      <c r="G47">
        <v>8</v>
      </c>
      <c r="H47">
        <v>0</v>
      </c>
      <c r="I47">
        <v>10</v>
      </c>
      <c r="J47">
        <v>0</v>
      </c>
      <c r="K47" s="3">
        <f t="shared" si="7"/>
        <v>799</v>
      </c>
      <c r="L47" s="3">
        <f t="shared" si="8"/>
        <v>1199</v>
      </c>
      <c r="N47" t="str">
        <f>$N$1&amp;$P$1&amp;$T$1&amp;$B$2&amp;$T$1&amp;$R$1&amp;B48&amp;$Q$1&amp;$S$1&amp;$P$1&amp;$T$1&amp;$D$2&amp;$T$1&amp;$R$1&amp;D48&amp;$Q$1&amp;$S$1&amp;$P$1&amp;$T$1&amp;$E$2&amp;$T$1&amp;$R$1&amp;E48&amp;$Q$1&amp;$S$1&amp;$P$1&amp;$T$1&amp;$F$2&amp;$T$1&amp;$R$1&amp;F48&amp;$Q$1&amp;$S$1&amp;$P$1&amp;$T$1&amp;$G$2&amp;$T$1&amp;$R$1&amp;G48&amp;$Q$1&amp;$S$1&amp;$P$1&amp;$T$1&amp;$H$2&amp;$T$1&amp;$R$1&amp;H48&amp;$Q$1&amp;$S$1&amp;$P$1&amp;$T$1&amp;$I$2&amp;$T$1&amp;$R$1&amp;I48&amp;$Q$1&amp;$S$1&amp;$P$1&amp;$T$1&amp;$J$2&amp;$T$1&amp;$R$1&amp;J48&amp;$Q$1&amp;$O$1</f>
        <v>[{"1":146},{"4":96},{"5":96},{"12":2437},{"7":8},{"6":0},{"8":10},{"9":0}]</v>
      </c>
      <c r="W47" t="str">
        <f>$N$1&amp;$P$1&amp;$T$1&amp;$C$2&amp;$T$1&amp;$R$1&amp;C48&amp;$Q$1&amp;$S$1&amp;$P$1&amp;$T$1&amp;$D$2&amp;$T$1&amp;$R$1&amp;D48&amp;$Q$1&amp;$S$1&amp;$P$1&amp;$T$1&amp;$E$2&amp;$T$1&amp;$R$1&amp;E48&amp;$Q$1&amp;$S$1&amp;$P$1&amp;$T$1&amp;$F$2&amp;$T$1&amp;$R$1&amp;K48&amp;$Q$1&amp;$S$1&amp;$P$1&amp;$T$1&amp;$G$2&amp;$T$1&amp;$R$1&amp;G48&amp;$Q$1&amp;$S$1&amp;$P$1&amp;$T$1&amp;$H$2&amp;$T$1&amp;$R$1&amp;H48&amp;$Q$1&amp;$S$1&amp;$P$1&amp;$T$1&amp;$I$2&amp;$T$1&amp;$R$1&amp;I48&amp;$Q$1&amp;$S$1&amp;$P$1&amp;$T$1&amp;$J$2&amp;$T$1&amp;$R$1&amp;J48&amp;$Q$1&amp;$O$1</f>
        <v>[{"2":175},{"4":96},{"5":96},{"12":812},{"7":8},{"6":0},{"8":10},{"9":0}]</v>
      </c>
      <c r="AE47" t="str">
        <f>$N$1&amp;$P$1&amp;$T$1&amp;$C$2&amp;$T$1&amp;$R$1&amp;C48&amp;$Q$1&amp;$S$1&amp;$P$1&amp;$T$1&amp;$D$2&amp;$T$1&amp;$R$1&amp;D48&amp;$Q$1&amp;$S$1&amp;$P$1&amp;$T$1&amp;$E$2&amp;$T$1&amp;$R$1&amp;E48&amp;$Q$1&amp;$S$1&amp;$P$1&amp;$T$1&amp;$F$2&amp;$T$1&amp;$R$1&amp;L48&amp;$Q$1&amp;$S$1&amp;$P$1&amp;$T$1&amp;$G$2&amp;$T$1&amp;$R$1&amp;G48&amp;$Q$1&amp;$S$1&amp;$P$1&amp;$T$1&amp;$H$2&amp;$T$1&amp;$R$1&amp;H48&amp;$Q$1&amp;$S$1&amp;$P$1&amp;$T$1&amp;$I$2&amp;$T$1&amp;$R$1&amp;I48&amp;$Q$1&amp;$S$1&amp;$P$1&amp;$T$1&amp;$J$2&amp;$T$1&amp;$R$1&amp;J48&amp;$Q$1&amp;$O$1</f>
        <v>[{"2":175},{"4":96},{"5":96},{"12":1219},{"7":8},{"6":0},{"8":10},{"9":0}]</v>
      </c>
      <c r="AG47">
        <v>45</v>
      </c>
      <c r="AH47">
        <f t="shared" si="9"/>
        <v>30</v>
      </c>
      <c r="AI47">
        <f t="shared" si="10"/>
        <v>30</v>
      </c>
      <c r="AJ47">
        <v>351</v>
      </c>
      <c r="AK47">
        <v>4</v>
      </c>
      <c r="AL47">
        <v>8</v>
      </c>
      <c r="AM47">
        <v>0</v>
      </c>
      <c r="AN47">
        <v>10</v>
      </c>
    </row>
    <row r="48" customFormat="1" ht="16.5" spans="1:40">
      <c r="A48">
        <v>46</v>
      </c>
      <c r="B48">
        <f>$AP$2+AG48</f>
        <v>146</v>
      </c>
      <c r="C48">
        <f t="shared" si="6"/>
        <v>175</v>
      </c>
      <c r="D48">
        <f>AH48+$AQ$2</f>
        <v>96</v>
      </c>
      <c r="E48">
        <f t="shared" si="0"/>
        <v>96</v>
      </c>
      <c r="F48" s="4">
        <f>INT(主角属性配置!F48/3+$AS$2)</f>
        <v>2437</v>
      </c>
      <c r="G48">
        <v>8</v>
      </c>
      <c r="H48">
        <v>0</v>
      </c>
      <c r="I48">
        <v>10</v>
      </c>
      <c r="J48">
        <v>0</v>
      </c>
      <c r="K48" s="3">
        <f t="shared" si="7"/>
        <v>812</v>
      </c>
      <c r="L48" s="3">
        <f t="shared" si="8"/>
        <v>1219</v>
      </c>
      <c r="N48" t="str">
        <f>$N$1&amp;$P$1&amp;$T$1&amp;$B$2&amp;$T$1&amp;$R$1&amp;B49&amp;$Q$1&amp;$S$1&amp;$P$1&amp;$T$1&amp;$D$2&amp;$T$1&amp;$R$1&amp;D49&amp;$Q$1&amp;$S$1&amp;$P$1&amp;$T$1&amp;$E$2&amp;$T$1&amp;$R$1&amp;E49&amp;$Q$1&amp;$S$1&amp;$P$1&amp;$T$1&amp;$F$2&amp;$T$1&amp;$R$1&amp;F49&amp;$Q$1&amp;$S$1&amp;$P$1&amp;$T$1&amp;$G$2&amp;$T$1&amp;$R$1&amp;G49&amp;$Q$1&amp;$S$1&amp;$P$1&amp;$T$1&amp;$H$2&amp;$T$1&amp;$R$1&amp;H49&amp;$Q$1&amp;$S$1&amp;$P$1&amp;$T$1&amp;$I$2&amp;$T$1&amp;$R$1&amp;I49&amp;$Q$1&amp;$S$1&amp;$P$1&amp;$T$1&amp;$J$2&amp;$T$1&amp;$R$1&amp;J49&amp;$Q$1&amp;$O$1</f>
        <v>[{"1":147},{"4":97},{"5":97},{"12":2476},{"7":8},{"6":0},{"8":10},{"9":0}]</v>
      </c>
      <c r="W48" t="str">
        <f>$N$1&amp;$P$1&amp;$T$1&amp;$C$2&amp;$T$1&amp;$R$1&amp;C49&amp;$Q$1&amp;$S$1&amp;$P$1&amp;$T$1&amp;$D$2&amp;$T$1&amp;$R$1&amp;D49&amp;$Q$1&amp;$S$1&amp;$P$1&amp;$T$1&amp;$E$2&amp;$T$1&amp;$R$1&amp;E49&amp;$Q$1&amp;$S$1&amp;$P$1&amp;$T$1&amp;$F$2&amp;$T$1&amp;$R$1&amp;K49&amp;$Q$1&amp;$S$1&amp;$P$1&amp;$T$1&amp;$G$2&amp;$T$1&amp;$R$1&amp;G49&amp;$Q$1&amp;$S$1&amp;$P$1&amp;$T$1&amp;$H$2&amp;$T$1&amp;$R$1&amp;H49&amp;$Q$1&amp;$S$1&amp;$P$1&amp;$T$1&amp;$I$2&amp;$T$1&amp;$R$1&amp;I49&amp;$Q$1&amp;$S$1&amp;$P$1&amp;$T$1&amp;$J$2&amp;$T$1&amp;$R$1&amp;J49&amp;$Q$1&amp;$O$1</f>
        <v>[{"2":176},{"4":97},{"5":97},{"12":825},{"7":8},{"6":0},{"8":10},{"9":0}]</v>
      </c>
      <c r="AE48" t="str">
        <f>$N$1&amp;$P$1&amp;$T$1&amp;$C$2&amp;$T$1&amp;$R$1&amp;C49&amp;$Q$1&amp;$S$1&amp;$P$1&amp;$T$1&amp;$D$2&amp;$T$1&amp;$R$1&amp;D49&amp;$Q$1&amp;$S$1&amp;$P$1&amp;$T$1&amp;$E$2&amp;$T$1&amp;$R$1&amp;E49&amp;$Q$1&amp;$S$1&amp;$P$1&amp;$T$1&amp;$F$2&amp;$T$1&amp;$R$1&amp;L49&amp;$Q$1&amp;$S$1&amp;$P$1&amp;$T$1&amp;$G$2&amp;$T$1&amp;$R$1&amp;G49&amp;$Q$1&amp;$S$1&amp;$P$1&amp;$T$1&amp;$H$2&amp;$T$1&amp;$R$1&amp;H49&amp;$Q$1&amp;$S$1&amp;$P$1&amp;$T$1&amp;$I$2&amp;$T$1&amp;$R$1&amp;I49&amp;$Q$1&amp;$S$1&amp;$P$1&amp;$T$1&amp;$J$2&amp;$T$1&amp;$R$1&amp;J49&amp;$Q$1&amp;$O$1</f>
        <v>[{"2":176},{"4":97},{"5":97},{"12":1238},{"7":8},{"6":0},{"8":10},{"9":0}]</v>
      </c>
      <c r="AG48">
        <v>46</v>
      </c>
      <c r="AH48">
        <f t="shared" si="9"/>
        <v>30</v>
      </c>
      <c r="AI48">
        <f t="shared" si="10"/>
        <v>30</v>
      </c>
      <c r="AJ48">
        <v>359</v>
      </c>
      <c r="AK48">
        <v>4</v>
      </c>
      <c r="AL48">
        <v>8</v>
      </c>
      <c r="AM48">
        <v>0</v>
      </c>
      <c r="AN48">
        <v>10</v>
      </c>
    </row>
    <row r="49" customFormat="1" ht="16.5" spans="1:40">
      <c r="A49">
        <v>47</v>
      </c>
      <c r="B49">
        <f>$AP$2+AG49</f>
        <v>147</v>
      </c>
      <c r="C49">
        <f t="shared" si="6"/>
        <v>176</v>
      </c>
      <c r="D49">
        <f>AH49+$AQ$2</f>
        <v>97</v>
      </c>
      <c r="E49">
        <f t="shared" si="0"/>
        <v>97</v>
      </c>
      <c r="F49" s="4">
        <f>INT(主角属性配置!F49/3+$AS$2)</f>
        <v>2476</v>
      </c>
      <c r="G49">
        <v>8</v>
      </c>
      <c r="H49">
        <v>0</v>
      </c>
      <c r="I49">
        <v>10</v>
      </c>
      <c r="J49">
        <v>0</v>
      </c>
      <c r="K49" s="3">
        <f t="shared" si="7"/>
        <v>825</v>
      </c>
      <c r="L49" s="3">
        <f t="shared" si="8"/>
        <v>1238</v>
      </c>
      <c r="N49" t="str">
        <f>$N$1&amp;$P$1&amp;$T$1&amp;$B$2&amp;$T$1&amp;$R$1&amp;B50&amp;$Q$1&amp;$S$1&amp;$P$1&amp;$T$1&amp;$D$2&amp;$T$1&amp;$R$1&amp;D50&amp;$Q$1&amp;$S$1&amp;$P$1&amp;$T$1&amp;$E$2&amp;$T$1&amp;$R$1&amp;E50&amp;$Q$1&amp;$S$1&amp;$P$1&amp;$T$1&amp;$F$2&amp;$T$1&amp;$R$1&amp;F50&amp;$Q$1&amp;$S$1&amp;$P$1&amp;$T$1&amp;$G$2&amp;$T$1&amp;$R$1&amp;G50&amp;$Q$1&amp;$S$1&amp;$P$1&amp;$T$1&amp;$H$2&amp;$T$1&amp;$R$1&amp;H50&amp;$Q$1&amp;$S$1&amp;$P$1&amp;$T$1&amp;$I$2&amp;$T$1&amp;$R$1&amp;I50&amp;$Q$1&amp;$S$1&amp;$P$1&amp;$T$1&amp;$J$2&amp;$T$1&amp;$R$1&amp;J50&amp;$Q$1&amp;$O$1</f>
        <v>[{"1":148},{"4":98},{"5":98},{"12":2515},{"7":8},{"6":0},{"8":10},{"9":0}]</v>
      </c>
      <c r="W49" t="str">
        <f>$N$1&amp;$P$1&amp;$T$1&amp;$C$2&amp;$T$1&amp;$R$1&amp;C50&amp;$Q$1&amp;$S$1&amp;$P$1&amp;$T$1&amp;$D$2&amp;$T$1&amp;$R$1&amp;D50&amp;$Q$1&amp;$S$1&amp;$P$1&amp;$T$1&amp;$E$2&amp;$T$1&amp;$R$1&amp;E50&amp;$Q$1&amp;$S$1&amp;$P$1&amp;$T$1&amp;$F$2&amp;$T$1&amp;$R$1&amp;K50&amp;$Q$1&amp;$S$1&amp;$P$1&amp;$T$1&amp;$G$2&amp;$T$1&amp;$R$1&amp;G50&amp;$Q$1&amp;$S$1&amp;$P$1&amp;$T$1&amp;$H$2&amp;$T$1&amp;$R$1&amp;H50&amp;$Q$1&amp;$S$1&amp;$P$1&amp;$T$1&amp;$I$2&amp;$T$1&amp;$R$1&amp;I50&amp;$Q$1&amp;$S$1&amp;$P$1&amp;$T$1&amp;$J$2&amp;$T$1&amp;$R$1&amp;J50&amp;$Q$1&amp;$O$1</f>
        <v>[{"2":177},{"4":98},{"5":98},{"12":838},{"7":8},{"6":0},{"8":10},{"9":0}]</v>
      </c>
      <c r="AE49" t="str">
        <f>$N$1&amp;$P$1&amp;$T$1&amp;$C$2&amp;$T$1&amp;$R$1&amp;C50&amp;$Q$1&amp;$S$1&amp;$P$1&amp;$T$1&amp;$D$2&amp;$T$1&amp;$R$1&amp;D50&amp;$Q$1&amp;$S$1&amp;$P$1&amp;$T$1&amp;$E$2&amp;$T$1&amp;$R$1&amp;E50&amp;$Q$1&amp;$S$1&amp;$P$1&amp;$T$1&amp;$F$2&amp;$T$1&amp;$R$1&amp;L50&amp;$Q$1&amp;$S$1&amp;$P$1&amp;$T$1&amp;$G$2&amp;$T$1&amp;$R$1&amp;G50&amp;$Q$1&amp;$S$1&amp;$P$1&amp;$T$1&amp;$H$2&amp;$T$1&amp;$R$1&amp;H50&amp;$Q$1&amp;$S$1&amp;$P$1&amp;$T$1&amp;$I$2&amp;$T$1&amp;$R$1&amp;I50&amp;$Q$1&amp;$S$1&amp;$P$1&amp;$T$1&amp;$J$2&amp;$T$1&amp;$R$1&amp;J50&amp;$Q$1&amp;$O$1</f>
        <v>[{"2":177},{"4":98},{"5":98},{"12":1258},{"7":8},{"6":0},{"8":10},{"9":0}]</v>
      </c>
      <c r="AG49">
        <v>47</v>
      </c>
      <c r="AH49">
        <f t="shared" si="9"/>
        <v>31</v>
      </c>
      <c r="AI49">
        <f t="shared" si="10"/>
        <v>31</v>
      </c>
      <c r="AJ49">
        <v>366</v>
      </c>
      <c r="AK49">
        <v>4</v>
      </c>
      <c r="AL49">
        <v>8</v>
      </c>
      <c r="AM49">
        <v>0</v>
      </c>
      <c r="AN49">
        <v>10</v>
      </c>
    </row>
    <row r="50" customFormat="1" ht="16.5" spans="1:40">
      <c r="A50">
        <v>48</v>
      </c>
      <c r="B50">
        <f>$AP$2+AG50</f>
        <v>148</v>
      </c>
      <c r="C50">
        <f t="shared" si="6"/>
        <v>177</v>
      </c>
      <c r="D50">
        <f>AH50+$AQ$2</f>
        <v>98</v>
      </c>
      <c r="E50">
        <f t="shared" si="0"/>
        <v>98</v>
      </c>
      <c r="F50" s="4">
        <f>INT(主角属性配置!F50/3+$AS$2)</f>
        <v>2515</v>
      </c>
      <c r="G50">
        <v>8</v>
      </c>
      <c r="H50">
        <v>0</v>
      </c>
      <c r="I50">
        <v>10</v>
      </c>
      <c r="J50">
        <v>0</v>
      </c>
      <c r="K50" s="3">
        <f t="shared" si="7"/>
        <v>838</v>
      </c>
      <c r="L50" s="3">
        <f t="shared" si="8"/>
        <v>1258</v>
      </c>
      <c r="N50" t="str">
        <f>$N$1&amp;$P$1&amp;$T$1&amp;$B$2&amp;$T$1&amp;$R$1&amp;B51&amp;$Q$1&amp;$S$1&amp;$P$1&amp;$T$1&amp;$D$2&amp;$T$1&amp;$R$1&amp;D51&amp;$Q$1&amp;$S$1&amp;$P$1&amp;$T$1&amp;$E$2&amp;$T$1&amp;$R$1&amp;E51&amp;$Q$1&amp;$S$1&amp;$P$1&amp;$T$1&amp;$F$2&amp;$T$1&amp;$R$1&amp;F51&amp;$Q$1&amp;$S$1&amp;$P$1&amp;$T$1&amp;$G$2&amp;$T$1&amp;$R$1&amp;G51&amp;$Q$1&amp;$S$1&amp;$P$1&amp;$T$1&amp;$H$2&amp;$T$1&amp;$R$1&amp;H51&amp;$Q$1&amp;$S$1&amp;$P$1&amp;$T$1&amp;$I$2&amp;$T$1&amp;$R$1&amp;I51&amp;$Q$1&amp;$S$1&amp;$P$1&amp;$T$1&amp;$J$2&amp;$T$1&amp;$R$1&amp;J51&amp;$Q$1&amp;$O$1</f>
        <v>[{"1":149},{"4":98},{"5":98},{"12":2554},{"7":8},{"6":0},{"8":10},{"9":0}]</v>
      </c>
      <c r="W50" t="str">
        <f>$N$1&amp;$P$1&amp;$T$1&amp;$C$2&amp;$T$1&amp;$R$1&amp;C51&amp;$Q$1&amp;$S$1&amp;$P$1&amp;$T$1&amp;$D$2&amp;$T$1&amp;$R$1&amp;D51&amp;$Q$1&amp;$S$1&amp;$P$1&amp;$T$1&amp;$E$2&amp;$T$1&amp;$R$1&amp;E51&amp;$Q$1&amp;$S$1&amp;$P$1&amp;$T$1&amp;$F$2&amp;$T$1&amp;$R$1&amp;K51&amp;$Q$1&amp;$S$1&amp;$P$1&amp;$T$1&amp;$G$2&amp;$T$1&amp;$R$1&amp;G51&amp;$Q$1&amp;$S$1&amp;$P$1&amp;$T$1&amp;$H$2&amp;$T$1&amp;$R$1&amp;H51&amp;$Q$1&amp;$S$1&amp;$P$1&amp;$T$1&amp;$I$2&amp;$T$1&amp;$R$1&amp;I51&amp;$Q$1&amp;$S$1&amp;$P$1&amp;$T$1&amp;$J$2&amp;$T$1&amp;$R$1&amp;J51&amp;$Q$1&amp;$O$1</f>
        <v>[{"2":178},{"4":98},{"5":98},{"12":851},{"7":8},{"6":0},{"8":10},{"9":0}]</v>
      </c>
      <c r="AE50" t="str">
        <f>$N$1&amp;$P$1&amp;$T$1&amp;$C$2&amp;$T$1&amp;$R$1&amp;C51&amp;$Q$1&amp;$S$1&amp;$P$1&amp;$T$1&amp;$D$2&amp;$T$1&amp;$R$1&amp;D51&amp;$Q$1&amp;$S$1&amp;$P$1&amp;$T$1&amp;$E$2&amp;$T$1&amp;$R$1&amp;E51&amp;$Q$1&amp;$S$1&amp;$P$1&amp;$T$1&amp;$F$2&amp;$T$1&amp;$R$1&amp;L51&amp;$Q$1&amp;$S$1&amp;$P$1&amp;$T$1&amp;$G$2&amp;$T$1&amp;$R$1&amp;G51&amp;$Q$1&amp;$S$1&amp;$P$1&amp;$T$1&amp;$H$2&amp;$T$1&amp;$R$1&amp;H51&amp;$Q$1&amp;$S$1&amp;$P$1&amp;$T$1&amp;$I$2&amp;$T$1&amp;$R$1&amp;I51&amp;$Q$1&amp;$S$1&amp;$P$1&amp;$T$1&amp;$J$2&amp;$T$1&amp;$R$1&amp;J51&amp;$Q$1&amp;$O$1</f>
        <v>[{"2":178},{"4":98},{"5":98},{"12":1277},{"7":8},{"6":0},{"8":10},{"9":0}]</v>
      </c>
      <c r="AG50">
        <v>48</v>
      </c>
      <c r="AH50">
        <f t="shared" si="9"/>
        <v>32</v>
      </c>
      <c r="AI50">
        <f t="shared" si="10"/>
        <v>32</v>
      </c>
      <c r="AJ50">
        <v>374</v>
      </c>
      <c r="AK50">
        <v>4</v>
      </c>
      <c r="AL50">
        <v>8</v>
      </c>
      <c r="AM50">
        <v>0</v>
      </c>
      <c r="AN50">
        <v>10</v>
      </c>
    </row>
    <row r="51" customFormat="1" ht="16.5" spans="1:40">
      <c r="A51">
        <v>49</v>
      </c>
      <c r="B51">
        <f>$AP$2+AG51</f>
        <v>149</v>
      </c>
      <c r="C51">
        <f t="shared" si="6"/>
        <v>178</v>
      </c>
      <c r="D51">
        <f>AH51+$AQ$2</f>
        <v>98</v>
      </c>
      <c r="E51">
        <f t="shared" si="0"/>
        <v>98</v>
      </c>
      <c r="F51" s="4">
        <f>INT(主角属性配置!F51/3+$AS$2)</f>
        <v>2554</v>
      </c>
      <c r="G51">
        <v>8</v>
      </c>
      <c r="H51">
        <v>0</v>
      </c>
      <c r="I51">
        <v>10</v>
      </c>
      <c r="J51">
        <v>0</v>
      </c>
      <c r="K51" s="3">
        <f t="shared" si="7"/>
        <v>851</v>
      </c>
      <c r="L51" s="3">
        <f t="shared" si="8"/>
        <v>1277</v>
      </c>
      <c r="N51" t="str">
        <f>$N$1&amp;$P$1&amp;$T$1&amp;$B$2&amp;$T$1&amp;$R$1&amp;B52&amp;$Q$1&amp;$S$1&amp;$P$1&amp;$T$1&amp;$D$2&amp;$T$1&amp;$R$1&amp;D52&amp;$Q$1&amp;$S$1&amp;$P$1&amp;$T$1&amp;$E$2&amp;$T$1&amp;$R$1&amp;E52&amp;$Q$1&amp;$S$1&amp;$P$1&amp;$T$1&amp;$F$2&amp;$T$1&amp;$R$1&amp;F52&amp;$Q$1&amp;$S$1&amp;$P$1&amp;$T$1&amp;$G$2&amp;$T$1&amp;$R$1&amp;G52&amp;$Q$1&amp;$S$1&amp;$P$1&amp;$T$1&amp;$H$2&amp;$T$1&amp;$R$1&amp;H52&amp;$Q$1&amp;$S$1&amp;$P$1&amp;$T$1&amp;$I$2&amp;$T$1&amp;$R$1&amp;I52&amp;$Q$1&amp;$S$1&amp;$P$1&amp;$T$1&amp;$J$2&amp;$T$1&amp;$R$1&amp;J52&amp;$Q$1&amp;$O$1</f>
        <v>[{"1":150},{"4":99},{"5":99},{"12":3100},{"7":8},{"6":0},{"8":10},{"9":0}]</v>
      </c>
      <c r="W51" t="str">
        <f>$N$1&amp;$P$1&amp;$T$1&amp;$C$2&amp;$T$1&amp;$R$1&amp;C52&amp;$Q$1&amp;$S$1&amp;$P$1&amp;$T$1&amp;$D$2&amp;$T$1&amp;$R$1&amp;D52&amp;$Q$1&amp;$S$1&amp;$P$1&amp;$T$1&amp;$E$2&amp;$T$1&amp;$R$1&amp;E52&amp;$Q$1&amp;$S$1&amp;$P$1&amp;$T$1&amp;$F$2&amp;$T$1&amp;$R$1&amp;K52&amp;$Q$1&amp;$S$1&amp;$P$1&amp;$T$1&amp;$G$2&amp;$T$1&amp;$R$1&amp;G52&amp;$Q$1&amp;$S$1&amp;$P$1&amp;$T$1&amp;$H$2&amp;$T$1&amp;$R$1&amp;H52&amp;$Q$1&amp;$S$1&amp;$P$1&amp;$T$1&amp;$I$2&amp;$T$1&amp;$R$1&amp;I52&amp;$Q$1&amp;$S$1&amp;$P$1&amp;$T$1&amp;$J$2&amp;$T$1&amp;$R$1&amp;J52&amp;$Q$1&amp;$O$1</f>
        <v>[{"2":180},{"4":99},{"5":99},{"12":1033},{"7":8},{"6":0},{"8":10},{"9":0}]</v>
      </c>
      <c r="AE51" t="str">
        <f>$N$1&amp;$P$1&amp;$T$1&amp;$C$2&amp;$T$1&amp;$R$1&amp;C52&amp;$Q$1&amp;$S$1&amp;$P$1&amp;$T$1&amp;$D$2&amp;$T$1&amp;$R$1&amp;D52&amp;$Q$1&amp;$S$1&amp;$P$1&amp;$T$1&amp;$E$2&amp;$T$1&amp;$R$1&amp;E52&amp;$Q$1&amp;$S$1&amp;$P$1&amp;$T$1&amp;$F$2&amp;$T$1&amp;$R$1&amp;L52&amp;$Q$1&amp;$S$1&amp;$P$1&amp;$T$1&amp;$G$2&amp;$T$1&amp;$R$1&amp;G52&amp;$Q$1&amp;$S$1&amp;$P$1&amp;$T$1&amp;$H$2&amp;$T$1&amp;$R$1&amp;H52&amp;$Q$1&amp;$S$1&amp;$P$1&amp;$T$1&amp;$I$2&amp;$T$1&amp;$R$1&amp;I52&amp;$Q$1&amp;$S$1&amp;$P$1&amp;$T$1&amp;$J$2&amp;$T$1&amp;$R$1&amp;J52&amp;$Q$1&amp;$O$1</f>
        <v>[{"2":180},{"4":99},{"5":99},{"12":1550},{"7":8},{"6":0},{"8":10},{"9":0}]</v>
      </c>
      <c r="AG51">
        <v>49</v>
      </c>
      <c r="AH51">
        <f t="shared" si="9"/>
        <v>32</v>
      </c>
      <c r="AI51">
        <f t="shared" si="10"/>
        <v>32</v>
      </c>
      <c r="AJ51">
        <v>382</v>
      </c>
      <c r="AK51">
        <v>4</v>
      </c>
      <c r="AL51">
        <v>8</v>
      </c>
      <c r="AM51">
        <v>0</v>
      </c>
      <c r="AN51">
        <v>10</v>
      </c>
    </row>
    <row r="52" customFormat="1" ht="16.5" spans="1:40">
      <c r="A52">
        <v>50</v>
      </c>
      <c r="B52">
        <f>$AP$2+AG52</f>
        <v>150</v>
      </c>
      <c r="C52">
        <f t="shared" si="6"/>
        <v>180</v>
      </c>
      <c r="D52">
        <f>AH52+$AQ$2</f>
        <v>99</v>
      </c>
      <c r="E52">
        <f t="shared" si="0"/>
        <v>99</v>
      </c>
      <c r="F52" s="4">
        <f>INT(主角属性配置!F52/3+$AS$2)</f>
        <v>3100</v>
      </c>
      <c r="G52">
        <v>8</v>
      </c>
      <c r="H52">
        <v>0</v>
      </c>
      <c r="I52">
        <v>10</v>
      </c>
      <c r="J52">
        <v>0</v>
      </c>
      <c r="K52" s="3">
        <f t="shared" si="7"/>
        <v>1033</v>
      </c>
      <c r="L52" s="3">
        <f t="shared" si="8"/>
        <v>1550</v>
      </c>
      <c r="N52" t="str">
        <f>$N$1&amp;$P$1&amp;$T$1&amp;$B$2&amp;$T$1&amp;$R$1&amp;B53&amp;$Q$1&amp;$S$1&amp;$P$1&amp;$T$1&amp;$D$2&amp;$T$1&amp;$R$1&amp;D53&amp;$Q$1&amp;$S$1&amp;$P$1&amp;$T$1&amp;$E$2&amp;$T$1&amp;$R$1&amp;E53&amp;$Q$1&amp;$S$1&amp;$P$1&amp;$T$1&amp;$F$2&amp;$T$1&amp;$R$1&amp;F53&amp;$Q$1&amp;$S$1&amp;$P$1&amp;$T$1&amp;$G$2&amp;$T$1&amp;$R$1&amp;G53&amp;$Q$1&amp;$S$1&amp;$P$1&amp;$T$1&amp;$H$2&amp;$T$1&amp;$R$1&amp;H53&amp;$Q$1&amp;$S$1&amp;$P$1&amp;$T$1&amp;$I$2&amp;$T$1&amp;$R$1&amp;I53&amp;$Q$1&amp;$S$1&amp;$P$1&amp;$T$1&amp;$J$2&amp;$T$1&amp;$R$1&amp;J53&amp;$Q$1&amp;$O$1</f>
        <v>[{"1":151},{"4":100},{"5":100},{"12":3149},{"7":8},{"6":0},{"8":10},{"9":0}]</v>
      </c>
      <c r="W52" t="str">
        <f>$N$1&amp;$P$1&amp;$T$1&amp;$C$2&amp;$T$1&amp;$R$1&amp;C53&amp;$Q$1&amp;$S$1&amp;$P$1&amp;$T$1&amp;$D$2&amp;$T$1&amp;$R$1&amp;D53&amp;$Q$1&amp;$S$1&amp;$P$1&amp;$T$1&amp;$E$2&amp;$T$1&amp;$R$1&amp;E53&amp;$Q$1&amp;$S$1&amp;$P$1&amp;$T$1&amp;$F$2&amp;$T$1&amp;$R$1&amp;K53&amp;$Q$1&amp;$S$1&amp;$P$1&amp;$T$1&amp;$G$2&amp;$T$1&amp;$R$1&amp;G53&amp;$Q$1&amp;$S$1&amp;$P$1&amp;$T$1&amp;$H$2&amp;$T$1&amp;$R$1&amp;H53&amp;$Q$1&amp;$S$1&amp;$P$1&amp;$T$1&amp;$I$2&amp;$T$1&amp;$R$1&amp;I53&amp;$Q$1&amp;$S$1&amp;$P$1&amp;$T$1&amp;$J$2&amp;$T$1&amp;$R$1&amp;J53&amp;$Q$1&amp;$O$1</f>
        <v>[{"2":181},{"4":100},{"5":100},{"12":1050},{"7":8},{"6":0},{"8":10},{"9":0}]</v>
      </c>
      <c r="AE52" t="str">
        <f>$N$1&amp;$P$1&amp;$T$1&amp;$C$2&amp;$T$1&amp;$R$1&amp;C53&amp;$Q$1&amp;$S$1&amp;$P$1&amp;$T$1&amp;$D$2&amp;$T$1&amp;$R$1&amp;D53&amp;$Q$1&amp;$S$1&amp;$P$1&amp;$T$1&amp;$E$2&amp;$T$1&amp;$R$1&amp;E53&amp;$Q$1&amp;$S$1&amp;$P$1&amp;$T$1&amp;$F$2&amp;$T$1&amp;$R$1&amp;L53&amp;$Q$1&amp;$S$1&amp;$P$1&amp;$T$1&amp;$G$2&amp;$T$1&amp;$R$1&amp;G53&amp;$Q$1&amp;$S$1&amp;$P$1&amp;$T$1&amp;$H$2&amp;$T$1&amp;$R$1&amp;H53&amp;$Q$1&amp;$S$1&amp;$P$1&amp;$T$1&amp;$I$2&amp;$T$1&amp;$R$1&amp;I53&amp;$Q$1&amp;$S$1&amp;$P$1&amp;$T$1&amp;$J$2&amp;$T$1&amp;$R$1&amp;J53&amp;$Q$1&amp;$O$1</f>
        <v>[{"2":181},{"4":100},{"5":100},{"12":1575},{"7":8},{"6":0},{"8":10},{"9":0}]</v>
      </c>
      <c r="AG52">
        <v>50</v>
      </c>
      <c r="AH52">
        <f t="shared" si="9"/>
        <v>33</v>
      </c>
      <c r="AI52">
        <f t="shared" si="10"/>
        <v>33</v>
      </c>
      <c r="AJ52">
        <v>389</v>
      </c>
      <c r="AK52">
        <v>4</v>
      </c>
      <c r="AL52">
        <v>8</v>
      </c>
      <c r="AM52">
        <v>0</v>
      </c>
      <c r="AN52">
        <v>10</v>
      </c>
    </row>
    <row r="53" customFormat="1" ht="16.5" spans="1:40">
      <c r="A53">
        <v>51</v>
      </c>
      <c r="B53">
        <f>$AP$2+AG53</f>
        <v>151</v>
      </c>
      <c r="C53">
        <f t="shared" si="6"/>
        <v>181</v>
      </c>
      <c r="D53">
        <f>AH53+$AQ$2</f>
        <v>100</v>
      </c>
      <c r="E53">
        <f t="shared" si="0"/>
        <v>100</v>
      </c>
      <c r="F53" s="4">
        <f>INT(主角属性配置!F53/3+$AS$2)</f>
        <v>3149</v>
      </c>
      <c r="G53">
        <v>8</v>
      </c>
      <c r="H53">
        <v>0</v>
      </c>
      <c r="I53">
        <v>10</v>
      </c>
      <c r="J53">
        <v>0</v>
      </c>
      <c r="K53" s="3">
        <f t="shared" si="7"/>
        <v>1050</v>
      </c>
      <c r="L53" s="3">
        <f t="shared" si="8"/>
        <v>1575</v>
      </c>
      <c r="N53" t="str">
        <f>$N$1&amp;$P$1&amp;$T$1&amp;$B$2&amp;$T$1&amp;$R$1&amp;B54&amp;$Q$1&amp;$S$1&amp;$P$1&amp;$T$1&amp;$D$2&amp;$T$1&amp;$R$1&amp;D54&amp;$Q$1&amp;$S$1&amp;$P$1&amp;$T$1&amp;$E$2&amp;$T$1&amp;$R$1&amp;E54&amp;$Q$1&amp;$S$1&amp;$P$1&amp;$T$1&amp;$F$2&amp;$T$1&amp;$R$1&amp;F54&amp;$Q$1&amp;$S$1&amp;$P$1&amp;$T$1&amp;$G$2&amp;$T$1&amp;$R$1&amp;G54&amp;$Q$1&amp;$S$1&amp;$P$1&amp;$T$1&amp;$H$2&amp;$T$1&amp;$R$1&amp;H54&amp;$Q$1&amp;$S$1&amp;$P$1&amp;$T$1&amp;$I$2&amp;$T$1&amp;$R$1&amp;I54&amp;$Q$1&amp;$S$1&amp;$P$1&amp;$T$1&amp;$J$2&amp;$T$1&amp;$R$1&amp;J54&amp;$Q$1&amp;$O$1</f>
        <v>[{"1":152},{"4":100},{"5":100},{"12":3198},{"7":8},{"6":0},{"8":10},{"9":0}]</v>
      </c>
      <c r="W53" t="str">
        <f>$N$1&amp;$P$1&amp;$T$1&amp;$C$2&amp;$T$1&amp;$R$1&amp;C54&amp;$Q$1&amp;$S$1&amp;$P$1&amp;$T$1&amp;$D$2&amp;$T$1&amp;$R$1&amp;D54&amp;$Q$1&amp;$S$1&amp;$P$1&amp;$T$1&amp;$E$2&amp;$T$1&amp;$R$1&amp;E54&amp;$Q$1&amp;$S$1&amp;$P$1&amp;$T$1&amp;$F$2&amp;$T$1&amp;$R$1&amp;K54&amp;$Q$1&amp;$S$1&amp;$P$1&amp;$T$1&amp;$G$2&amp;$T$1&amp;$R$1&amp;G54&amp;$Q$1&amp;$S$1&amp;$P$1&amp;$T$1&amp;$H$2&amp;$T$1&amp;$R$1&amp;H54&amp;$Q$1&amp;$S$1&amp;$P$1&amp;$T$1&amp;$I$2&amp;$T$1&amp;$R$1&amp;I54&amp;$Q$1&amp;$S$1&amp;$P$1&amp;$T$1&amp;$J$2&amp;$T$1&amp;$R$1&amp;J54&amp;$Q$1&amp;$O$1</f>
        <v>[{"2":182},{"4":100},{"5":100},{"12":1066},{"7":8},{"6":0},{"8":10},{"9":0}]</v>
      </c>
      <c r="AE53" t="str">
        <f>$N$1&amp;$P$1&amp;$T$1&amp;$C$2&amp;$T$1&amp;$R$1&amp;C54&amp;$Q$1&amp;$S$1&amp;$P$1&amp;$T$1&amp;$D$2&amp;$T$1&amp;$R$1&amp;D54&amp;$Q$1&amp;$S$1&amp;$P$1&amp;$T$1&amp;$E$2&amp;$T$1&amp;$R$1&amp;E54&amp;$Q$1&amp;$S$1&amp;$P$1&amp;$T$1&amp;$F$2&amp;$T$1&amp;$R$1&amp;L54&amp;$Q$1&amp;$S$1&amp;$P$1&amp;$T$1&amp;$G$2&amp;$T$1&amp;$R$1&amp;G54&amp;$Q$1&amp;$S$1&amp;$P$1&amp;$T$1&amp;$H$2&amp;$T$1&amp;$R$1&amp;H54&amp;$Q$1&amp;$S$1&amp;$P$1&amp;$T$1&amp;$I$2&amp;$T$1&amp;$R$1&amp;I54&amp;$Q$1&amp;$S$1&amp;$P$1&amp;$T$1&amp;$J$2&amp;$T$1&amp;$R$1&amp;J54&amp;$Q$1&amp;$O$1</f>
        <v>[{"2":182},{"4":100},{"5":100},{"12":1599},{"7":8},{"6":0},{"8":10},{"9":0}]</v>
      </c>
      <c r="AG53">
        <v>51</v>
      </c>
      <c r="AH53">
        <f t="shared" si="9"/>
        <v>34</v>
      </c>
      <c r="AI53">
        <f t="shared" si="10"/>
        <v>34</v>
      </c>
      <c r="AJ53">
        <v>397</v>
      </c>
      <c r="AK53">
        <v>4</v>
      </c>
      <c r="AL53">
        <v>8</v>
      </c>
      <c r="AM53">
        <v>0</v>
      </c>
      <c r="AN53">
        <v>10</v>
      </c>
    </row>
    <row r="54" customFormat="1" ht="16.5" spans="1:40">
      <c r="A54">
        <v>52</v>
      </c>
      <c r="B54">
        <f>$AP$2+AG54</f>
        <v>152</v>
      </c>
      <c r="C54">
        <f t="shared" si="6"/>
        <v>182</v>
      </c>
      <c r="D54">
        <f>AH54+$AQ$2</f>
        <v>100</v>
      </c>
      <c r="E54">
        <f t="shared" si="0"/>
        <v>100</v>
      </c>
      <c r="F54" s="4">
        <f>INT(主角属性配置!F54/3+$AS$2)</f>
        <v>3198</v>
      </c>
      <c r="G54">
        <v>8</v>
      </c>
      <c r="H54">
        <v>0</v>
      </c>
      <c r="I54">
        <v>10</v>
      </c>
      <c r="J54">
        <v>0</v>
      </c>
      <c r="K54" s="3">
        <f t="shared" si="7"/>
        <v>1066</v>
      </c>
      <c r="L54" s="3">
        <f t="shared" si="8"/>
        <v>1599</v>
      </c>
      <c r="N54" t="str">
        <f>$N$1&amp;$P$1&amp;$T$1&amp;$B$2&amp;$T$1&amp;$R$1&amp;B55&amp;$Q$1&amp;$S$1&amp;$P$1&amp;$T$1&amp;$D$2&amp;$T$1&amp;$R$1&amp;D55&amp;$Q$1&amp;$S$1&amp;$P$1&amp;$T$1&amp;$E$2&amp;$T$1&amp;$R$1&amp;E55&amp;$Q$1&amp;$S$1&amp;$P$1&amp;$T$1&amp;$F$2&amp;$T$1&amp;$R$1&amp;F55&amp;$Q$1&amp;$S$1&amp;$P$1&amp;$T$1&amp;$G$2&amp;$T$1&amp;$R$1&amp;G55&amp;$Q$1&amp;$S$1&amp;$P$1&amp;$T$1&amp;$H$2&amp;$T$1&amp;$R$1&amp;H55&amp;$Q$1&amp;$S$1&amp;$P$1&amp;$T$1&amp;$I$2&amp;$T$1&amp;$R$1&amp;I55&amp;$Q$1&amp;$S$1&amp;$P$1&amp;$T$1&amp;$J$2&amp;$T$1&amp;$R$1&amp;J55&amp;$Q$1&amp;$O$1</f>
        <v>[{"1":153},{"4":101},{"5":101},{"12":3248},{"7":8},{"6":0},{"8":10},{"9":0}]</v>
      </c>
      <c r="W54" t="str">
        <f>$N$1&amp;$P$1&amp;$T$1&amp;$C$2&amp;$T$1&amp;$R$1&amp;C55&amp;$Q$1&amp;$S$1&amp;$P$1&amp;$T$1&amp;$D$2&amp;$T$1&amp;$R$1&amp;D55&amp;$Q$1&amp;$S$1&amp;$P$1&amp;$T$1&amp;$E$2&amp;$T$1&amp;$R$1&amp;E55&amp;$Q$1&amp;$S$1&amp;$P$1&amp;$T$1&amp;$F$2&amp;$T$1&amp;$R$1&amp;K55&amp;$Q$1&amp;$S$1&amp;$P$1&amp;$T$1&amp;$G$2&amp;$T$1&amp;$R$1&amp;G55&amp;$Q$1&amp;$S$1&amp;$P$1&amp;$T$1&amp;$H$2&amp;$T$1&amp;$R$1&amp;H55&amp;$Q$1&amp;$S$1&amp;$P$1&amp;$T$1&amp;$I$2&amp;$T$1&amp;$R$1&amp;I55&amp;$Q$1&amp;$S$1&amp;$P$1&amp;$T$1&amp;$J$2&amp;$T$1&amp;$R$1&amp;J55&amp;$Q$1&amp;$O$1</f>
        <v>[{"2":183},{"4":101},{"5":101},{"12":1083},{"7":8},{"6":0},{"8":10},{"9":0}]</v>
      </c>
      <c r="AE54" t="str">
        <f>$N$1&amp;$P$1&amp;$T$1&amp;$C$2&amp;$T$1&amp;$R$1&amp;C55&amp;$Q$1&amp;$S$1&amp;$P$1&amp;$T$1&amp;$D$2&amp;$T$1&amp;$R$1&amp;D55&amp;$Q$1&amp;$S$1&amp;$P$1&amp;$T$1&amp;$E$2&amp;$T$1&amp;$R$1&amp;E55&amp;$Q$1&amp;$S$1&amp;$P$1&amp;$T$1&amp;$F$2&amp;$T$1&amp;$R$1&amp;L55&amp;$Q$1&amp;$S$1&amp;$P$1&amp;$T$1&amp;$G$2&amp;$T$1&amp;$R$1&amp;G55&amp;$Q$1&amp;$S$1&amp;$P$1&amp;$T$1&amp;$H$2&amp;$T$1&amp;$R$1&amp;H55&amp;$Q$1&amp;$S$1&amp;$P$1&amp;$T$1&amp;$I$2&amp;$T$1&amp;$R$1&amp;I55&amp;$Q$1&amp;$S$1&amp;$P$1&amp;$T$1&amp;$J$2&amp;$T$1&amp;$R$1&amp;J55&amp;$Q$1&amp;$O$1</f>
        <v>[{"2":183},{"4":101},{"5":101},{"12":1624},{"7":8},{"6":0},{"8":10},{"9":0}]</v>
      </c>
      <c r="AG54">
        <v>52</v>
      </c>
      <c r="AH54">
        <f t="shared" si="9"/>
        <v>34</v>
      </c>
      <c r="AI54">
        <f t="shared" si="10"/>
        <v>34</v>
      </c>
      <c r="AJ54">
        <v>405</v>
      </c>
      <c r="AK54">
        <v>4</v>
      </c>
      <c r="AL54">
        <v>8</v>
      </c>
      <c r="AM54">
        <v>0</v>
      </c>
      <c r="AN54">
        <v>10</v>
      </c>
    </row>
    <row r="55" customFormat="1" ht="16.5" spans="1:40">
      <c r="A55">
        <v>53</v>
      </c>
      <c r="B55">
        <f>$AP$2+AG55</f>
        <v>153</v>
      </c>
      <c r="C55">
        <f t="shared" si="6"/>
        <v>183</v>
      </c>
      <c r="D55">
        <f>AH55+$AQ$2</f>
        <v>101</v>
      </c>
      <c r="E55">
        <f t="shared" si="0"/>
        <v>101</v>
      </c>
      <c r="F55" s="4">
        <f>INT(主角属性配置!F55/3+$AS$2)</f>
        <v>3248</v>
      </c>
      <c r="G55">
        <v>8</v>
      </c>
      <c r="H55">
        <v>0</v>
      </c>
      <c r="I55">
        <v>10</v>
      </c>
      <c r="J55">
        <v>0</v>
      </c>
      <c r="K55" s="3">
        <f t="shared" si="7"/>
        <v>1083</v>
      </c>
      <c r="L55" s="3">
        <f t="shared" si="8"/>
        <v>1624</v>
      </c>
      <c r="N55" t="str">
        <f>$N$1&amp;$P$1&amp;$T$1&amp;$B$2&amp;$T$1&amp;$R$1&amp;B56&amp;$Q$1&amp;$S$1&amp;$P$1&amp;$T$1&amp;$D$2&amp;$T$1&amp;$R$1&amp;D56&amp;$Q$1&amp;$S$1&amp;$P$1&amp;$T$1&amp;$E$2&amp;$T$1&amp;$R$1&amp;E56&amp;$Q$1&amp;$S$1&amp;$P$1&amp;$T$1&amp;$F$2&amp;$T$1&amp;$R$1&amp;F56&amp;$Q$1&amp;$S$1&amp;$P$1&amp;$T$1&amp;$G$2&amp;$T$1&amp;$R$1&amp;G56&amp;$Q$1&amp;$S$1&amp;$P$1&amp;$T$1&amp;$H$2&amp;$T$1&amp;$R$1&amp;H56&amp;$Q$1&amp;$S$1&amp;$P$1&amp;$T$1&amp;$I$2&amp;$T$1&amp;$R$1&amp;I56&amp;$Q$1&amp;$S$1&amp;$P$1&amp;$T$1&amp;$J$2&amp;$T$1&amp;$R$1&amp;J56&amp;$Q$1&amp;$O$1</f>
        <v>[{"1":154},{"4":102},{"5":102},{"12":3297},{"7":8},{"6":0},{"8":10},{"9":0}]</v>
      </c>
      <c r="W55" t="str">
        <f>$N$1&amp;$P$1&amp;$T$1&amp;$C$2&amp;$T$1&amp;$R$1&amp;C56&amp;$Q$1&amp;$S$1&amp;$P$1&amp;$T$1&amp;$D$2&amp;$T$1&amp;$R$1&amp;D56&amp;$Q$1&amp;$S$1&amp;$P$1&amp;$T$1&amp;$E$2&amp;$T$1&amp;$R$1&amp;E56&amp;$Q$1&amp;$S$1&amp;$P$1&amp;$T$1&amp;$F$2&amp;$T$1&amp;$R$1&amp;K56&amp;$Q$1&amp;$S$1&amp;$P$1&amp;$T$1&amp;$G$2&amp;$T$1&amp;$R$1&amp;G56&amp;$Q$1&amp;$S$1&amp;$P$1&amp;$T$1&amp;$H$2&amp;$T$1&amp;$R$1&amp;H56&amp;$Q$1&amp;$S$1&amp;$P$1&amp;$T$1&amp;$I$2&amp;$T$1&amp;$R$1&amp;I56&amp;$Q$1&amp;$S$1&amp;$P$1&amp;$T$1&amp;$J$2&amp;$T$1&amp;$R$1&amp;J56&amp;$Q$1&amp;$O$1</f>
        <v>[{"2":184},{"4":102},{"5":102},{"12":1099},{"7":8},{"6":0},{"8":10},{"9":0}]</v>
      </c>
      <c r="AE55" t="str">
        <f>$N$1&amp;$P$1&amp;$T$1&amp;$C$2&amp;$T$1&amp;$R$1&amp;C56&amp;$Q$1&amp;$S$1&amp;$P$1&amp;$T$1&amp;$D$2&amp;$T$1&amp;$R$1&amp;D56&amp;$Q$1&amp;$S$1&amp;$P$1&amp;$T$1&amp;$E$2&amp;$T$1&amp;$R$1&amp;E56&amp;$Q$1&amp;$S$1&amp;$P$1&amp;$T$1&amp;$F$2&amp;$T$1&amp;$R$1&amp;L56&amp;$Q$1&amp;$S$1&amp;$P$1&amp;$T$1&amp;$G$2&amp;$T$1&amp;$R$1&amp;G56&amp;$Q$1&amp;$S$1&amp;$P$1&amp;$T$1&amp;$H$2&amp;$T$1&amp;$R$1&amp;H56&amp;$Q$1&amp;$S$1&amp;$P$1&amp;$T$1&amp;$I$2&amp;$T$1&amp;$R$1&amp;I56&amp;$Q$1&amp;$S$1&amp;$P$1&amp;$T$1&amp;$J$2&amp;$T$1&amp;$R$1&amp;J56&amp;$Q$1&amp;$O$1</f>
        <v>[{"2":184},{"4":102},{"5":102},{"12":1649},{"7":8},{"6":0},{"8":10},{"9":0}]</v>
      </c>
      <c r="AG55">
        <v>53</v>
      </c>
      <c r="AH55">
        <f t="shared" si="9"/>
        <v>35</v>
      </c>
      <c r="AI55">
        <f t="shared" si="10"/>
        <v>35</v>
      </c>
      <c r="AJ55">
        <v>413</v>
      </c>
      <c r="AK55">
        <v>4</v>
      </c>
      <c r="AL55">
        <v>8</v>
      </c>
      <c r="AM55">
        <v>0</v>
      </c>
      <c r="AN55">
        <v>10</v>
      </c>
    </row>
    <row r="56" customFormat="1" ht="16.5" spans="1:40">
      <c r="A56">
        <v>54</v>
      </c>
      <c r="B56">
        <f>$AP$2+AG56</f>
        <v>154</v>
      </c>
      <c r="C56">
        <f t="shared" si="6"/>
        <v>184</v>
      </c>
      <c r="D56">
        <f>AH56+$AQ$2</f>
        <v>102</v>
      </c>
      <c r="E56">
        <f t="shared" si="0"/>
        <v>102</v>
      </c>
      <c r="F56" s="4">
        <f>INT(主角属性配置!F56/3+$AS$2)</f>
        <v>3297</v>
      </c>
      <c r="G56">
        <v>8</v>
      </c>
      <c r="H56">
        <v>0</v>
      </c>
      <c r="I56">
        <v>10</v>
      </c>
      <c r="J56">
        <v>0</v>
      </c>
      <c r="K56" s="3">
        <f t="shared" si="7"/>
        <v>1099</v>
      </c>
      <c r="L56" s="3">
        <f t="shared" si="8"/>
        <v>1649</v>
      </c>
      <c r="N56" t="str">
        <f>$N$1&amp;$P$1&amp;$T$1&amp;$B$2&amp;$T$1&amp;$R$1&amp;B57&amp;$Q$1&amp;$S$1&amp;$P$1&amp;$T$1&amp;$D$2&amp;$T$1&amp;$R$1&amp;D57&amp;$Q$1&amp;$S$1&amp;$P$1&amp;$T$1&amp;$E$2&amp;$T$1&amp;$R$1&amp;E57&amp;$Q$1&amp;$S$1&amp;$P$1&amp;$T$1&amp;$F$2&amp;$T$1&amp;$R$1&amp;F57&amp;$Q$1&amp;$S$1&amp;$P$1&amp;$T$1&amp;$G$2&amp;$T$1&amp;$R$1&amp;G57&amp;$Q$1&amp;$S$1&amp;$P$1&amp;$T$1&amp;$H$2&amp;$T$1&amp;$R$1&amp;H57&amp;$Q$1&amp;$S$1&amp;$P$1&amp;$T$1&amp;$I$2&amp;$T$1&amp;$R$1&amp;I57&amp;$Q$1&amp;$S$1&amp;$P$1&amp;$T$1&amp;$J$2&amp;$T$1&amp;$R$1&amp;J57&amp;$Q$1&amp;$O$1</f>
        <v>[{"1":155},{"4":102},{"5":102},{"12":3346},{"7":8},{"6":0},{"8":10},{"9":0}]</v>
      </c>
      <c r="W56" t="str">
        <f>$N$1&amp;$P$1&amp;$T$1&amp;$C$2&amp;$T$1&amp;$R$1&amp;C57&amp;$Q$1&amp;$S$1&amp;$P$1&amp;$T$1&amp;$D$2&amp;$T$1&amp;$R$1&amp;D57&amp;$Q$1&amp;$S$1&amp;$P$1&amp;$T$1&amp;$E$2&amp;$T$1&amp;$R$1&amp;E57&amp;$Q$1&amp;$S$1&amp;$P$1&amp;$T$1&amp;$F$2&amp;$T$1&amp;$R$1&amp;K57&amp;$Q$1&amp;$S$1&amp;$P$1&amp;$T$1&amp;$G$2&amp;$T$1&amp;$R$1&amp;G57&amp;$Q$1&amp;$S$1&amp;$P$1&amp;$T$1&amp;$H$2&amp;$T$1&amp;$R$1&amp;H57&amp;$Q$1&amp;$S$1&amp;$P$1&amp;$T$1&amp;$I$2&amp;$T$1&amp;$R$1&amp;I57&amp;$Q$1&amp;$S$1&amp;$P$1&amp;$T$1&amp;$J$2&amp;$T$1&amp;$R$1&amp;J57&amp;$Q$1&amp;$O$1</f>
        <v>[{"2":186},{"4":102},{"5":102},{"12":1115},{"7":8},{"6":0},{"8":10},{"9":0}]</v>
      </c>
      <c r="AE56" t="str">
        <f>$N$1&amp;$P$1&amp;$T$1&amp;$C$2&amp;$T$1&amp;$R$1&amp;C57&amp;$Q$1&amp;$S$1&amp;$P$1&amp;$T$1&amp;$D$2&amp;$T$1&amp;$R$1&amp;D57&amp;$Q$1&amp;$S$1&amp;$P$1&amp;$T$1&amp;$E$2&amp;$T$1&amp;$R$1&amp;E57&amp;$Q$1&amp;$S$1&amp;$P$1&amp;$T$1&amp;$F$2&amp;$T$1&amp;$R$1&amp;L57&amp;$Q$1&amp;$S$1&amp;$P$1&amp;$T$1&amp;$G$2&amp;$T$1&amp;$R$1&amp;G57&amp;$Q$1&amp;$S$1&amp;$P$1&amp;$T$1&amp;$H$2&amp;$T$1&amp;$R$1&amp;H57&amp;$Q$1&amp;$S$1&amp;$P$1&amp;$T$1&amp;$I$2&amp;$T$1&amp;$R$1&amp;I57&amp;$Q$1&amp;$S$1&amp;$P$1&amp;$T$1&amp;$J$2&amp;$T$1&amp;$R$1&amp;J57&amp;$Q$1&amp;$O$1</f>
        <v>[{"2":186},{"4":102},{"5":102},{"12":1673},{"7":8},{"6":0},{"8":10},{"9":0}]</v>
      </c>
      <c r="AG56">
        <v>54</v>
      </c>
      <c r="AH56">
        <f t="shared" si="9"/>
        <v>36</v>
      </c>
      <c r="AI56">
        <f t="shared" si="10"/>
        <v>36</v>
      </c>
      <c r="AJ56">
        <v>420</v>
      </c>
      <c r="AK56">
        <v>4</v>
      </c>
      <c r="AL56">
        <v>8</v>
      </c>
      <c r="AM56">
        <v>0</v>
      </c>
      <c r="AN56">
        <v>10</v>
      </c>
    </row>
    <row r="57" customFormat="1" ht="16.5" spans="1:40">
      <c r="A57">
        <v>55</v>
      </c>
      <c r="B57">
        <f>$AP$2+AG57</f>
        <v>155</v>
      </c>
      <c r="C57">
        <f t="shared" si="6"/>
        <v>186</v>
      </c>
      <c r="D57">
        <f>AH57+$AQ$2</f>
        <v>102</v>
      </c>
      <c r="E57">
        <f t="shared" si="0"/>
        <v>102</v>
      </c>
      <c r="F57" s="4">
        <f>INT(主角属性配置!F57/3+$AS$2)</f>
        <v>3346</v>
      </c>
      <c r="G57">
        <v>8</v>
      </c>
      <c r="H57">
        <v>0</v>
      </c>
      <c r="I57">
        <v>10</v>
      </c>
      <c r="J57">
        <v>0</v>
      </c>
      <c r="K57" s="3">
        <f t="shared" si="7"/>
        <v>1115</v>
      </c>
      <c r="L57" s="3">
        <f t="shared" si="8"/>
        <v>1673</v>
      </c>
      <c r="N57" t="str">
        <f>$N$1&amp;$P$1&amp;$T$1&amp;$B$2&amp;$T$1&amp;$R$1&amp;B58&amp;$Q$1&amp;$S$1&amp;$P$1&amp;$T$1&amp;$D$2&amp;$T$1&amp;$R$1&amp;D58&amp;$Q$1&amp;$S$1&amp;$P$1&amp;$T$1&amp;$E$2&amp;$T$1&amp;$R$1&amp;E58&amp;$Q$1&amp;$S$1&amp;$P$1&amp;$T$1&amp;$F$2&amp;$T$1&amp;$R$1&amp;F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[{"1":156},{"4":103},{"5":103},{"12":3395},{"7":8},{"6":0},{"8":10},{"9":0}]</v>
      </c>
      <c r="W57" t="str">
        <f>$N$1&amp;$P$1&amp;$T$1&amp;$C$2&amp;$T$1&amp;$R$1&amp;C58&amp;$Q$1&amp;$S$1&amp;$P$1&amp;$T$1&amp;$D$2&amp;$T$1&amp;$R$1&amp;D58&amp;$Q$1&amp;$S$1&amp;$P$1&amp;$T$1&amp;$E$2&amp;$T$1&amp;$R$1&amp;E58&amp;$Q$1&amp;$S$1&amp;$P$1&amp;$T$1&amp;$F$2&amp;$T$1&amp;$R$1&amp;K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[{"2":187},{"4":103},{"5":103},{"12":1132},{"7":8},{"6":0},{"8":10},{"9":0}]</v>
      </c>
      <c r="AE57" t="str">
        <f>$N$1&amp;$P$1&amp;$T$1&amp;$C$2&amp;$T$1&amp;$R$1&amp;C58&amp;$Q$1&amp;$S$1&amp;$P$1&amp;$T$1&amp;$D$2&amp;$T$1&amp;$R$1&amp;D58&amp;$Q$1&amp;$S$1&amp;$P$1&amp;$T$1&amp;$E$2&amp;$T$1&amp;$R$1&amp;E58&amp;$Q$1&amp;$S$1&amp;$P$1&amp;$T$1&amp;$F$2&amp;$T$1&amp;$R$1&amp;L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[{"2":187},{"4":103},{"5":103},{"12":1698},{"7":8},{"6":0},{"8":10},{"9":0}]</v>
      </c>
      <c r="AG57">
        <v>55</v>
      </c>
      <c r="AH57">
        <f t="shared" si="9"/>
        <v>36</v>
      </c>
      <c r="AI57">
        <f t="shared" si="10"/>
        <v>36</v>
      </c>
      <c r="AJ57">
        <v>428</v>
      </c>
      <c r="AK57">
        <v>4</v>
      </c>
      <c r="AL57">
        <v>8</v>
      </c>
      <c r="AM57">
        <v>0</v>
      </c>
      <c r="AN57">
        <v>10</v>
      </c>
    </row>
    <row r="58" customFormat="1" ht="16.5" spans="1:40">
      <c r="A58">
        <v>56</v>
      </c>
      <c r="B58">
        <f>$AP$2+AG58</f>
        <v>156</v>
      </c>
      <c r="C58">
        <f t="shared" si="6"/>
        <v>187</v>
      </c>
      <c r="D58">
        <f>AH58+$AQ$2</f>
        <v>103</v>
      </c>
      <c r="E58">
        <f t="shared" si="0"/>
        <v>103</v>
      </c>
      <c r="F58" s="4">
        <f>INT(主角属性配置!F58/3+$AS$2)</f>
        <v>3395</v>
      </c>
      <c r="G58">
        <v>8</v>
      </c>
      <c r="H58">
        <v>0</v>
      </c>
      <c r="I58">
        <v>10</v>
      </c>
      <c r="J58">
        <v>0</v>
      </c>
      <c r="K58" s="3">
        <f t="shared" si="7"/>
        <v>1132</v>
      </c>
      <c r="L58" s="3">
        <f t="shared" si="8"/>
        <v>1698</v>
      </c>
      <c r="N58" t="str">
        <f>$N$1&amp;$P$1&amp;$T$1&amp;$B$2&amp;$T$1&amp;$R$1&amp;B59&amp;$Q$1&amp;$S$1&amp;$P$1&amp;$T$1&amp;$D$2&amp;$T$1&amp;$R$1&amp;D59&amp;$Q$1&amp;$S$1&amp;$P$1&amp;$T$1&amp;$E$2&amp;$T$1&amp;$R$1&amp;E59&amp;$Q$1&amp;$S$1&amp;$P$1&amp;$T$1&amp;$F$2&amp;$T$1&amp;$R$1&amp;F59&amp;$Q$1&amp;$S$1&amp;$P$1&amp;$T$1&amp;$G$2&amp;$T$1&amp;$R$1&amp;G59&amp;$Q$1&amp;$S$1&amp;$P$1&amp;$T$1&amp;$H$2&amp;$T$1&amp;$R$1&amp;H59&amp;$Q$1&amp;$S$1&amp;$P$1&amp;$T$1&amp;$I$2&amp;$T$1&amp;$R$1&amp;I59&amp;$Q$1&amp;$S$1&amp;$P$1&amp;$T$1&amp;$J$2&amp;$T$1&amp;$R$1&amp;J59&amp;$Q$1&amp;$O$1</f>
        <v>[{"1":157},{"4":104},{"5":104},{"12":3445},{"7":8},{"6":0},{"8":10},{"9":0}]</v>
      </c>
      <c r="W58" t="str">
        <f>$N$1&amp;$P$1&amp;$T$1&amp;$C$2&amp;$T$1&amp;$R$1&amp;C59&amp;$Q$1&amp;$S$1&amp;$P$1&amp;$T$1&amp;$D$2&amp;$T$1&amp;$R$1&amp;D59&amp;$Q$1&amp;$S$1&amp;$P$1&amp;$T$1&amp;$E$2&amp;$T$1&amp;$R$1&amp;E59&amp;$Q$1&amp;$S$1&amp;$P$1&amp;$T$1&amp;$F$2&amp;$T$1&amp;$R$1&amp;K59&amp;$Q$1&amp;$S$1&amp;$P$1&amp;$T$1&amp;$G$2&amp;$T$1&amp;$R$1&amp;G59&amp;$Q$1&amp;$S$1&amp;$P$1&amp;$T$1&amp;$H$2&amp;$T$1&amp;$R$1&amp;H59&amp;$Q$1&amp;$S$1&amp;$P$1&amp;$T$1&amp;$I$2&amp;$T$1&amp;$R$1&amp;I59&amp;$Q$1&amp;$S$1&amp;$P$1&amp;$T$1&amp;$J$2&amp;$T$1&amp;$R$1&amp;J59&amp;$Q$1&amp;$O$1</f>
        <v>[{"2":188},{"4":104},{"5":104},{"12":1148},{"7":8},{"6":0},{"8":10},{"9":0}]</v>
      </c>
      <c r="AE58" t="str">
        <f>$N$1&amp;$P$1&amp;$T$1&amp;$C$2&amp;$T$1&amp;$R$1&amp;C59&amp;$Q$1&amp;$S$1&amp;$P$1&amp;$T$1&amp;$D$2&amp;$T$1&amp;$R$1&amp;D59&amp;$Q$1&amp;$S$1&amp;$P$1&amp;$T$1&amp;$E$2&amp;$T$1&amp;$R$1&amp;E59&amp;$Q$1&amp;$S$1&amp;$P$1&amp;$T$1&amp;$F$2&amp;$T$1&amp;$R$1&amp;L59&amp;$Q$1&amp;$S$1&amp;$P$1&amp;$T$1&amp;$G$2&amp;$T$1&amp;$R$1&amp;G59&amp;$Q$1&amp;$S$1&amp;$P$1&amp;$T$1&amp;$H$2&amp;$T$1&amp;$R$1&amp;H59&amp;$Q$1&amp;$S$1&amp;$P$1&amp;$T$1&amp;$I$2&amp;$T$1&amp;$R$1&amp;I59&amp;$Q$1&amp;$S$1&amp;$P$1&amp;$T$1&amp;$J$2&amp;$T$1&amp;$R$1&amp;J59&amp;$Q$1&amp;$O$1</f>
        <v>[{"2":188},{"4":104},{"5":104},{"12":1723},{"7":8},{"6":0},{"8":10},{"9":0}]</v>
      </c>
      <c r="AG58">
        <v>56</v>
      </c>
      <c r="AH58">
        <f t="shared" si="9"/>
        <v>37</v>
      </c>
      <c r="AI58">
        <f t="shared" si="10"/>
        <v>37</v>
      </c>
      <c r="AJ58">
        <v>436</v>
      </c>
      <c r="AK58">
        <v>4</v>
      </c>
      <c r="AL58">
        <v>8</v>
      </c>
      <c r="AM58">
        <v>0</v>
      </c>
      <c r="AN58">
        <v>10</v>
      </c>
    </row>
    <row r="59" customFormat="1" ht="16.5" spans="1:40">
      <c r="A59">
        <v>57</v>
      </c>
      <c r="B59">
        <f>$AP$2+AG59</f>
        <v>157</v>
      </c>
      <c r="C59">
        <f t="shared" si="6"/>
        <v>188</v>
      </c>
      <c r="D59">
        <f>AH59+$AQ$2</f>
        <v>104</v>
      </c>
      <c r="E59">
        <f t="shared" si="0"/>
        <v>104</v>
      </c>
      <c r="F59" s="4">
        <f>INT(主角属性配置!F59/3+$AS$2)</f>
        <v>3445</v>
      </c>
      <c r="G59">
        <v>8</v>
      </c>
      <c r="H59">
        <v>0</v>
      </c>
      <c r="I59">
        <v>10</v>
      </c>
      <c r="J59">
        <v>0</v>
      </c>
      <c r="K59" s="3">
        <f t="shared" si="7"/>
        <v>1148</v>
      </c>
      <c r="L59" s="3">
        <f t="shared" si="8"/>
        <v>1723</v>
      </c>
      <c r="N59" t="str">
        <f>$N$1&amp;$P$1&amp;$T$1&amp;$B$2&amp;$T$1&amp;$R$1&amp;B60&amp;$Q$1&amp;$S$1&amp;$P$1&amp;$T$1&amp;$D$2&amp;$T$1&amp;$R$1&amp;D60&amp;$Q$1&amp;$S$1&amp;$P$1&amp;$T$1&amp;$E$2&amp;$T$1&amp;$R$1&amp;E60&amp;$Q$1&amp;$S$1&amp;$P$1&amp;$T$1&amp;$F$2&amp;$T$1&amp;$R$1&amp;F60&amp;$Q$1&amp;$S$1&amp;$P$1&amp;$T$1&amp;$G$2&amp;$T$1&amp;$R$1&amp;G60&amp;$Q$1&amp;$S$1&amp;$P$1&amp;$T$1&amp;$H$2&amp;$T$1&amp;$R$1&amp;H60&amp;$Q$1&amp;$S$1&amp;$P$1&amp;$T$1&amp;$I$2&amp;$T$1&amp;$R$1&amp;I60&amp;$Q$1&amp;$S$1&amp;$P$1&amp;$T$1&amp;$J$2&amp;$T$1&amp;$R$1&amp;J60&amp;$Q$1&amp;$O$1</f>
        <v>[{"1":158},{"4":104},{"5":104},{"12":3494},{"7":8},{"6":0},{"8":10},{"9":0}]</v>
      </c>
      <c r="W59" t="str">
        <f>$N$1&amp;$P$1&amp;$T$1&amp;$C$2&amp;$T$1&amp;$R$1&amp;C60&amp;$Q$1&amp;$S$1&amp;$P$1&amp;$T$1&amp;$D$2&amp;$T$1&amp;$R$1&amp;D60&amp;$Q$1&amp;$S$1&amp;$P$1&amp;$T$1&amp;$E$2&amp;$T$1&amp;$R$1&amp;E60&amp;$Q$1&amp;$S$1&amp;$P$1&amp;$T$1&amp;$F$2&amp;$T$1&amp;$R$1&amp;K60&amp;$Q$1&amp;$S$1&amp;$P$1&amp;$T$1&amp;$G$2&amp;$T$1&amp;$R$1&amp;G60&amp;$Q$1&amp;$S$1&amp;$P$1&amp;$T$1&amp;$H$2&amp;$T$1&amp;$R$1&amp;H60&amp;$Q$1&amp;$S$1&amp;$P$1&amp;$T$1&amp;$I$2&amp;$T$1&amp;$R$1&amp;I60&amp;$Q$1&amp;$S$1&amp;$P$1&amp;$T$1&amp;$J$2&amp;$T$1&amp;$R$1&amp;J60&amp;$Q$1&amp;$O$1</f>
        <v>[{"2":189},{"4":104},{"5":104},{"12":1165},{"7":8},{"6":0},{"8":10},{"9":0}]</v>
      </c>
      <c r="AE59" t="str">
        <f>$N$1&amp;$P$1&amp;$T$1&amp;$C$2&amp;$T$1&amp;$R$1&amp;C60&amp;$Q$1&amp;$S$1&amp;$P$1&amp;$T$1&amp;$D$2&amp;$T$1&amp;$R$1&amp;D60&amp;$Q$1&amp;$S$1&amp;$P$1&amp;$T$1&amp;$E$2&amp;$T$1&amp;$R$1&amp;E60&amp;$Q$1&amp;$S$1&amp;$P$1&amp;$T$1&amp;$F$2&amp;$T$1&amp;$R$1&amp;L60&amp;$Q$1&amp;$S$1&amp;$P$1&amp;$T$1&amp;$G$2&amp;$T$1&amp;$R$1&amp;G60&amp;$Q$1&amp;$S$1&amp;$P$1&amp;$T$1&amp;$H$2&amp;$T$1&amp;$R$1&amp;H60&amp;$Q$1&amp;$S$1&amp;$P$1&amp;$T$1&amp;$I$2&amp;$T$1&amp;$R$1&amp;I60&amp;$Q$1&amp;$S$1&amp;$P$1&amp;$T$1&amp;$J$2&amp;$T$1&amp;$R$1&amp;J60&amp;$Q$1&amp;$O$1</f>
        <v>[{"2":189},{"4":104},{"5":104},{"12":1747},{"7":8},{"6":0},{"8":10},{"9":0}]</v>
      </c>
      <c r="AG59">
        <v>57</v>
      </c>
      <c r="AH59">
        <f t="shared" si="9"/>
        <v>38</v>
      </c>
      <c r="AI59">
        <f t="shared" si="10"/>
        <v>38</v>
      </c>
      <c r="AJ59">
        <v>444</v>
      </c>
      <c r="AK59">
        <v>4</v>
      </c>
      <c r="AL59">
        <v>8</v>
      </c>
      <c r="AM59">
        <v>0</v>
      </c>
      <c r="AN59">
        <v>10</v>
      </c>
    </row>
    <row r="60" customFormat="1" ht="16.5" spans="1:40">
      <c r="A60">
        <v>58</v>
      </c>
      <c r="B60">
        <f>$AP$2+AG60</f>
        <v>158</v>
      </c>
      <c r="C60">
        <f t="shared" si="6"/>
        <v>189</v>
      </c>
      <c r="D60">
        <f>AH60+$AQ$2</f>
        <v>104</v>
      </c>
      <c r="E60">
        <f t="shared" si="0"/>
        <v>104</v>
      </c>
      <c r="F60" s="4">
        <f>INT(主角属性配置!F60/3+$AS$2)</f>
        <v>3494</v>
      </c>
      <c r="G60">
        <v>8</v>
      </c>
      <c r="H60">
        <v>0</v>
      </c>
      <c r="I60">
        <v>10</v>
      </c>
      <c r="J60">
        <v>0</v>
      </c>
      <c r="K60" s="3">
        <f t="shared" si="7"/>
        <v>1165</v>
      </c>
      <c r="L60" s="3">
        <f t="shared" si="8"/>
        <v>1747</v>
      </c>
      <c r="N60" t="str">
        <f>$N$1&amp;$P$1&amp;$T$1&amp;$B$2&amp;$T$1&amp;$R$1&amp;B61&amp;$Q$1&amp;$S$1&amp;$P$1&amp;$T$1&amp;$D$2&amp;$T$1&amp;$R$1&amp;D61&amp;$Q$1&amp;$S$1&amp;$P$1&amp;$T$1&amp;$E$2&amp;$T$1&amp;$R$1&amp;E61&amp;$Q$1&amp;$S$1&amp;$P$1&amp;$T$1&amp;$F$2&amp;$T$1&amp;$R$1&amp;F61&amp;$Q$1&amp;$S$1&amp;$P$1&amp;$T$1&amp;$G$2&amp;$T$1&amp;$R$1&amp;G61&amp;$Q$1&amp;$S$1&amp;$P$1&amp;$T$1&amp;$H$2&amp;$T$1&amp;$R$1&amp;H61&amp;$Q$1&amp;$S$1&amp;$P$1&amp;$T$1&amp;$I$2&amp;$T$1&amp;$R$1&amp;I61&amp;$Q$1&amp;$S$1&amp;$P$1&amp;$T$1&amp;$J$2&amp;$T$1&amp;$R$1&amp;J61&amp;$Q$1&amp;$O$1</f>
        <v>[{"1":159},{"4":105},{"5":105},{"12":3544},{"7":8},{"6":0},{"8":10},{"9":0}]</v>
      </c>
      <c r="W60" t="str">
        <f>$N$1&amp;$P$1&amp;$T$1&amp;$C$2&amp;$T$1&amp;$R$1&amp;C61&amp;$Q$1&amp;$S$1&amp;$P$1&amp;$T$1&amp;$D$2&amp;$T$1&amp;$R$1&amp;D61&amp;$Q$1&amp;$S$1&amp;$P$1&amp;$T$1&amp;$E$2&amp;$T$1&amp;$R$1&amp;E61&amp;$Q$1&amp;$S$1&amp;$P$1&amp;$T$1&amp;$F$2&amp;$T$1&amp;$R$1&amp;K61&amp;$Q$1&amp;$S$1&amp;$P$1&amp;$T$1&amp;$G$2&amp;$T$1&amp;$R$1&amp;G61&amp;$Q$1&amp;$S$1&amp;$P$1&amp;$T$1&amp;$H$2&amp;$T$1&amp;$R$1&amp;H61&amp;$Q$1&amp;$S$1&amp;$P$1&amp;$T$1&amp;$I$2&amp;$T$1&amp;$R$1&amp;I61&amp;$Q$1&amp;$S$1&amp;$P$1&amp;$T$1&amp;$J$2&amp;$T$1&amp;$R$1&amp;J61&amp;$Q$1&amp;$O$1</f>
        <v>[{"2":190},{"4":105},{"5":105},{"12":1181},{"7":8},{"6":0},{"8":10},{"9":0}]</v>
      </c>
      <c r="AE60" t="str">
        <f>$N$1&amp;$P$1&amp;$T$1&amp;$C$2&amp;$T$1&amp;$R$1&amp;C61&amp;$Q$1&amp;$S$1&amp;$P$1&amp;$T$1&amp;$D$2&amp;$T$1&amp;$R$1&amp;D61&amp;$Q$1&amp;$S$1&amp;$P$1&amp;$T$1&amp;$E$2&amp;$T$1&amp;$R$1&amp;E61&amp;$Q$1&amp;$S$1&amp;$P$1&amp;$T$1&amp;$F$2&amp;$T$1&amp;$R$1&amp;L61&amp;$Q$1&amp;$S$1&amp;$P$1&amp;$T$1&amp;$G$2&amp;$T$1&amp;$R$1&amp;G61&amp;$Q$1&amp;$S$1&amp;$P$1&amp;$T$1&amp;$H$2&amp;$T$1&amp;$R$1&amp;H61&amp;$Q$1&amp;$S$1&amp;$P$1&amp;$T$1&amp;$I$2&amp;$T$1&amp;$R$1&amp;I61&amp;$Q$1&amp;$S$1&amp;$P$1&amp;$T$1&amp;$J$2&amp;$T$1&amp;$R$1&amp;J61&amp;$Q$1&amp;$O$1</f>
        <v>[{"2":190},{"4":105},{"5":105},{"12":1772},{"7":8},{"6":0},{"8":10},{"9":0}]</v>
      </c>
      <c r="AG60">
        <v>58</v>
      </c>
      <c r="AH60">
        <f t="shared" si="9"/>
        <v>38</v>
      </c>
      <c r="AI60">
        <f t="shared" si="10"/>
        <v>38</v>
      </c>
      <c r="AJ60">
        <v>451</v>
      </c>
      <c r="AK60">
        <v>4</v>
      </c>
      <c r="AL60">
        <v>8</v>
      </c>
      <c r="AM60">
        <v>0</v>
      </c>
      <c r="AN60">
        <v>10</v>
      </c>
    </row>
    <row r="61" customFormat="1" ht="16.5" spans="1:40">
      <c r="A61">
        <v>59</v>
      </c>
      <c r="B61">
        <f>$AP$2+AG61</f>
        <v>159</v>
      </c>
      <c r="C61">
        <f t="shared" si="6"/>
        <v>190</v>
      </c>
      <c r="D61">
        <f>AH61+$AQ$2</f>
        <v>105</v>
      </c>
      <c r="E61">
        <f t="shared" si="0"/>
        <v>105</v>
      </c>
      <c r="F61" s="4">
        <f>INT(主角属性配置!F61/3+$AS$2)</f>
        <v>3544</v>
      </c>
      <c r="G61">
        <v>8</v>
      </c>
      <c r="H61">
        <v>0</v>
      </c>
      <c r="I61">
        <v>10</v>
      </c>
      <c r="J61">
        <v>0</v>
      </c>
      <c r="K61" s="3">
        <f t="shared" si="7"/>
        <v>1181</v>
      </c>
      <c r="L61" s="3">
        <f t="shared" si="8"/>
        <v>1772</v>
      </c>
      <c r="N61" t="str">
        <f>$N$1&amp;$P$1&amp;$T$1&amp;$B$2&amp;$T$1&amp;$R$1&amp;B62&amp;$Q$1&amp;$S$1&amp;$P$1&amp;$T$1&amp;$D$2&amp;$T$1&amp;$R$1&amp;D62&amp;$Q$1&amp;$S$1&amp;$P$1&amp;$T$1&amp;$E$2&amp;$T$1&amp;$R$1&amp;E62&amp;$Q$1&amp;$S$1&amp;$P$1&amp;$T$1&amp;$F$2&amp;$T$1&amp;$R$1&amp;F62&amp;$Q$1&amp;$S$1&amp;$P$1&amp;$T$1&amp;$G$2&amp;$T$1&amp;$R$1&amp;G62&amp;$Q$1&amp;$S$1&amp;$P$1&amp;$T$1&amp;$H$2&amp;$T$1&amp;$R$1&amp;H62&amp;$Q$1&amp;$S$1&amp;$P$1&amp;$T$1&amp;$I$2&amp;$T$1&amp;$R$1&amp;I62&amp;$Q$1&amp;$S$1&amp;$P$1&amp;$T$1&amp;$J$2&amp;$T$1&amp;$R$1&amp;J62&amp;$Q$1&amp;$O$1</f>
        <v>[{"1":160},{"4":106},{"5":106},{"12":3593},{"7":8},{"6":0},{"8":10},{"9":0}]</v>
      </c>
      <c r="W61" t="str">
        <f>$N$1&amp;$P$1&amp;$T$1&amp;$C$2&amp;$T$1&amp;$R$1&amp;C62&amp;$Q$1&amp;$S$1&amp;$P$1&amp;$T$1&amp;$D$2&amp;$T$1&amp;$R$1&amp;D62&amp;$Q$1&amp;$S$1&amp;$P$1&amp;$T$1&amp;$E$2&amp;$T$1&amp;$R$1&amp;E62&amp;$Q$1&amp;$S$1&amp;$P$1&amp;$T$1&amp;$F$2&amp;$T$1&amp;$R$1&amp;K62&amp;$Q$1&amp;$S$1&amp;$P$1&amp;$T$1&amp;$G$2&amp;$T$1&amp;$R$1&amp;G62&amp;$Q$1&amp;$S$1&amp;$P$1&amp;$T$1&amp;$H$2&amp;$T$1&amp;$R$1&amp;H62&amp;$Q$1&amp;$S$1&amp;$P$1&amp;$T$1&amp;$I$2&amp;$T$1&amp;$R$1&amp;I62&amp;$Q$1&amp;$S$1&amp;$P$1&amp;$T$1&amp;$J$2&amp;$T$1&amp;$R$1&amp;J62&amp;$Q$1&amp;$O$1</f>
        <v>[{"2":192},{"4":106},{"5":106},{"12":1198},{"7":8},{"6":0},{"8":10},{"9":0}]</v>
      </c>
      <c r="AE61" t="str">
        <f>$N$1&amp;$P$1&amp;$T$1&amp;$C$2&amp;$T$1&amp;$R$1&amp;C62&amp;$Q$1&amp;$S$1&amp;$P$1&amp;$T$1&amp;$D$2&amp;$T$1&amp;$R$1&amp;D62&amp;$Q$1&amp;$S$1&amp;$P$1&amp;$T$1&amp;$E$2&amp;$T$1&amp;$R$1&amp;E62&amp;$Q$1&amp;$S$1&amp;$P$1&amp;$T$1&amp;$F$2&amp;$T$1&amp;$R$1&amp;L62&amp;$Q$1&amp;$S$1&amp;$P$1&amp;$T$1&amp;$G$2&amp;$T$1&amp;$R$1&amp;G62&amp;$Q$1&amp;$S$1&amp;$P$1&amp;$T$1&amp;$H$2&amp;$T$1&amp;$R$1&amp;H62&amp;$Q$1&amp;$S$1&amp;$P$1&amp;$T$1&amp;$I$2&amp;$T$1&amp;$R$1&amp;I62&amp;$Q$1&amp;$S$1&amp;$P$1&amp;$T$1&amp;$J$2&amp;$T$1&amp;$R$1&amp;J62&amp;$Q$1&amp;$O$1</f>
        <v>[{"2":192},{"4":106},{"5":106},{"12":1797},{"7":8},{"6":0},{"8":10},{"9":0}]</v>
      </c>
      <c r="AG61">
        <v>59</v>
      </c>
      <c r="AH61">
        <f t="shared" si="9"/>
        <v>39</v>
      </c>
      <c r="AI61">
        <f t="shared" si="10"/>
        <v>39</v>
      </c>
      <c r="AJ61">
        <v>459</v>
      </c>
      <c r="AK61">
        <v>4</v>
      </c>
      <c r="AL61">
        <v>8</v>
      </c>
      <c r="AM61">
        <v>0</v>
      </c>
      <c r="AN61">
        <v>10</v>
      </c>
    </row>
    <row r="62" customFormat="1" ht="16.5" spans="1:40">
      <c r="A62">
        <v>60</v>
      </c>
      <c r="B62">
        <f>$AP$2+AG62</f>
        <v>160</v>
      </c>
      <c r="C62">
        <f t="shared" si="6"/>
        <v>192</v>
      </c>
      <c r="D62">
        <f>AH62+$AQ$2</f>
        <v>106</v>
      </c>
      <c r="E62">
        <f t="shared" si="0"/>
        <v>106</v>
      </c>
      <c r="F62" s="4">
        <f>INT(主角属性配置!F62/3+$AS$2)</f>
        <v>3593</v>
      </c>
      <c r="G62">
        <v>8</v>
      </c>
      <c r="H62">
        <v>0</v>
      </c>
      <c r="I62">
        <v>10</v>
      </c>
      <c r="J62">
        <v>0</v>
      </c>
      <c r="K62" s="3">
        <f t="shared" si="7"/>
        <v>1198</v>
      </c>
      <c r="L62" s="3">
        <f t="shared" si="8"/>
        <v>1797</v>
      </c>
      <c r="N62" t="str">
        <f>$N$1&amp;$P$1&amp;$T$1&amp;$B$2&amp;$T$1&amp;$R$1&amp;B63&amp;$Q$1&amp;$S$1&amp;$P$1&amp;$T$1&amp;$D$2&amp;$T$1&amp;$R$1&amp;D63&amp;$Q$1&amp;$S$1&amp;$P$1&amp;$T$1&amp;$E$2&amp;$T$1&amp;$R$1&amp;E63&amp;$Q$1&amp;$S$1&amp;$P$1&amp;$T$1&amp;$F$2&amp;$T$1&amp;$R$1&amp;F63&amp;$Q$1&amp;$S$1&amp;$P$1&amp;$T$1&amp;$G$2&amp;$T$1&amp;$R$1&amp;G63&amp;$Q$1&amp;$S$1&amp;$P$1&amp;$T$1&amp;$H$2&amp;$T$1&amp;$R$1&amp;H63&amp;$Q$1&amp;$S$1&amp;$P$1&amp;$T$1&amp;$I$2&amp;$T$1&amp;$R$1&amp;I63&amp;$Q$1&amp;$S$1&amp;$P$1&amp;$T$1&amp;$J$2&amp;$T$1&amp;$R$1&amp;J63&amp;$Q$1&amp;$O$1</f>
        <v>[{"1":161},{"4":106},{"5":106},{"12":3642},{"7":8},{"6":0},{"8":10},{"9":0}]</v>
      </c>
      <c r="W62" t="str">
        <f>$N$1&amp;$P$1&amp;$T$1&amp;$C$2&amp;$T$1&amp;$R$1&amp;C63&amp;$Q$1&amp;$S$1&amp;$P$1&amp;$T$1&amp;$D$2&amp;$T$1&amp;$R$1&amp;D63&amp;$Q$1&amp;$S$1&amp;$P$1&amp;$T$1&amp;$E$2&amp;$T$1&amp;$R$1&amp;E63&amp;$Q$1&amp;$S$1&amp;$P$1&amp;$T$1&amp;$F$2&amp;$T$1&amp;$R$1&amp;K63&amp;$Q$1&amp;$S$1&amp;$P$1&amp;$T$1&amp;$G$2&amp;$T$1&amp;$R$1&amp;G63&amp;$Q$1&amp;$S$1&amp;$P$1&amp;$T$1&amp;$H$2&amp;$T$1&amp;$R$1&amp;H63&amp;$Q$1&amp;$S$1&amp;$P$1&amp;$T$1&amp;$I$2&amp;$T$1&amp;$R$1&amp;I63&amp;$Q$1&amp;$S$1&amp;$P$1&amp;$T$1&amp;$J$2&amp;$T$1&amp;$R$1&amp;J63&amp;$Q$1&amp;$O$1</f>
        <v>[{"2":193},{"4":106},{"5":106},{"12":1214},{"7":8},{"6":0},{"8":10},{"9":0}]</v>
      </c>
      <c r="AE62" t="str">
        <f>$N$1&amp;$P$1&amp;$T$1&amp;$C$2&amp;$T$1&amp;$R$1&amp;C63&amp;$Q$1&amp;$S$1&amp;$P$1&amp;$T$1&amp;$D$2&amp;$T$1&amp;$R$1&amp;D63&amp;$Q$1&amp;$S$1&amp;$P$1&amp;$T$1&amp;$E$2&amp;$T$1&amp;$R$1&amp;E63&amp;$Q$1&amp;$S$1&amp;$P$1&amp;$T$1&amp;$F$2&amp;$T$1&amp;$R$1&amp;L63&amp;$Q$1&amp;$S$1&amp;$P$1&amp;$T$1&amp;$G$2&amp;$T$1&amp;$R$1&amp;G63&amp;$Q$1&amp;$S$1&amp;$P$1&amp;$T$1&amp;$H$2&amp;$T$1&amp;$R$1&amp;H63&amp;$Q$1&amp;$S$1&amp;$P$1&amp;$T$1&amp;$I$2&amp;$T$1&amp;$R$1&amp;I63&amp;$Q$1&amp;$S$1&amp;$P$1&amp;$T$1&amp;$J$2&amp;$T$1&amp;$R$1&amp;J63&amp;$Q$1&amp;$O$1</f>
        <v>[{"2":193},{"4":106},{"5":106},{"12":1821},{"7":8},{"6":0},{"8":10},{"9":0}]</v>
      </c>
      <c r="AG62">
        <v>60</v>
      </c>
      <c r="AH62">
        <f t="shared" si="9"/>
        <v>40</v>
      </c>
      <c r="AI62">
        <f t="shared" si="10"/>
        <v>40</v>
      </c>
      <c r="AJ62">
        <v>467</v>
      </c>
      <c r="AK62">
        <v>4</v>
      </c>
      <c r="AL62">
        <v>8</v>
      </c>
      <c r="AM62">
        <v>0</v>
      </c>
      <c r="AN62">
        <v>10</v>
      </c>
    </row>
    <row r="63" customFormat="1" ht="16.5" spans="1:40">
      <c r="A63">
        <v>61</v>
      </c>
      <c r="B63">
        <f>$AP$2+AG63</f>
        <v>161</v>
      </c>
      <c r="C63">
        <f t="shared" si="6"/>
        <v>193</v>
      </c>
      <c r="D63">
        <f>AH63+$AQ$2</f>
        <v>106</v>
      </c>
      <c r="E63">
        <f t="shared" si="0"/>
        <v>106</v>
      </c>
      <c r="F63" s="4">
        <f>INT(主角属性配置!F63/3+$AS$2)</f>
        <v>3642</v>
      </c>
      <c r="G63">
        <v>8</v>
      </c>
      <c r="H63">
        <v>0</v>
      </c>
      <c r="I63">
        <v>10</v>
      </c>
      <c r="J63">
        <v>0</v>
      </c>
      <c r="K63" s="3">
        <f t="shared" si="7"/>
        <v>1214</v>
      </c>
      <c r="L63" s="3">
        <f t="shared" si="8"/>
        <v>1821</v>
      </c>
      <c r="N63" t="str">
        <f>$N$1&amp;$P$1&amp;$T$1&amp;$B$2&amp;$T$1&amp;$R$1&amp;B64&amp;$Q$1&amp;$S$1&amp;$P$1&amp;$T$1&amp;$D$2&amp;$T$1&amp;$R$1&amp;D64&amp;$Q$1&amp;$S$1&amp;$P$1&amp;$T$1&amp;$E$2&amp;$T$1&amp;$R$1&amp;E64&amp;$Q$1&amp;$S$1&amp;$P$1&amp;$T$1&amp;$F$2&amp;$T$1&amp;$R$1&amp;F64&amp;$Q$1&amp;$S$1&amp;$P$1&amp;$T$1&amp;$G$2&amp;$T$1&amp;$R$1&amp;G64&amp;$Q$1&amp;$S$1&amp;$P$1&amp;$T$1&amp;$H$2&amp;$T$1&amp;$R$1&amp;H64&amp;$Q$1&amp;$S$1&amp;$P$1&amp;$T$1&amp;$I$2&amp;$T$1&amp;$R$1&amp;I64&amp;$Q$1&amp;$S$1&amp;$P$1&amp;$T$1&amp;$J$2&amp;$T$1&amp;$R$1&amp;J64&amp;$Q$1&amp;$O$1</f>
        <v>[{"1":162},{"4":107},{"5":107},{"12":3692},{"7":8},{"6":0},{"8":10},{"9":0}]</v>
      </c>
      <c r="W63" t="str">
        <f>$N$1&amp;$P$1&amp;$T$1&amp;$C$2&amp;$T$1&amp;$R$1&amp;C64&amp;$Q$1&amp;$S$1&amp;$P$1&amp;$T$1&amp;$D$2&amp;$T$1&amp;$R$1&amp;D64&amp;$Q$1&amp;$S$1&amp;$P$1&amp;$T$1&amp;$E$2&amp;$T$1&amp;$R$1&amp;E64&amp;$Q$1&amp;$S$1&amp;$P$1&amp;$T$1&amp;$F$2&amp;$T$1&amp;$R$1&amp;K64&amp;$Q$1&amp;$S$1&amp;$P$1&amp;$T$1&amp;$G$2&amp;$T$1&amp;$R$1&amp;G64&amp;$Q$1&amp;$S$1&amp;$P$1&amp;$T$1&amp;$H$2&amp;$T$1&amp;$R$1&amp;H64&amp;$Q$1&amp;$S$1&amp;$P$1&amp;$T$1&amp;$I$2&amp;$T$1&amp;$R$1&amp;I64&amp;$Q$1&amp;$S$1&amp;$P$1&amp;$T$1&amp;$J$2&amp;$T$1&amp;$R$1&amp;J64&amp;$Q$1&amp;$O$1</f>
        <v>[{"2":194},{"4":107},{"5":107},{"12":1231},{"7":8},{"6":0},{"8":10},{"9":0}]</v>
      </c>
      <c r="AE63" t="str">
        <f>$N$1&amp;$P$1&amp;$T$1&amp;$C$2&amp;$T$1&amp;$R$1&amp;C64&amp;$Q$1&amp;$S$1&amp;$P$1&amp;$T$1&amp;$D$2&amp;$T$1&amp;$R$1&amp;D64&amp;$Q$1&amp;$S$1&amp;$P$1&amp;$T$1&amp;$E$2&amp;$T$1&amp;$R$1&amp;E64&amp;$Q$1&amp;$S$1&amp;$P$1&amp;$T$1&amp;$F$2&amp;$T$1&amp;$R$1&amp;L64&amp;$Q$1&amp;$S$1&amp;$P$1&amp;$T$1&amp;$G$2&amp;$T$1&amp;$R$1&amp;G64&amp;$Q$1&amp;$S$1&amp;$P$1&amp;$T$1&amp;$H$2&amp;$T$1&amp;$R$1&amp;H64&amp;$Q$1&amp;$S$1&amp;$P$1&amp;$T$1&amp;$I$2&amp;$T$1&amp;$R$1&amp;I64&amp;$Q$1&amp;$S$1&amp;$P$1&amp;$T$1&amp;$J$2&amp;$T$1&amp;$R$1&amp;J64&amp;$Q$1&amp;$O$1</f>
        <v>[{"2":194},{"4":107},{"5":107},{"12":1846},{"7":8},{"6":0},{"8":10},{"9":0}]</v>
      </c>
      <c r="AG63">
        <v>61</v>
      </c>
      <c r="AH63">
        <f t="shared" si="9"/>
        <v>40</v>
      </c>
      <c r="AI63">
        <f t="shared" si="10"/>
        <v>40</v>
      </c>
      <c r="AJ63">
        <v>475</v>
      </c>
      <c r="AK63">
        <v>4</v>
      </c>
      <c r="AL63">
        <v>8</v>
      </c>
      <c r="AM63">
        <v>0</v>
      </c>
      <c r="AN63">
        <v>10</v>
      </c>
    </row>
    <row r="64" customFormat="1" ht="16.5" spans="1:40">
      <c r="A64">
        <v>62</v>
      </c>
      <c r="B64">
        <f>$AP$2+AG64</f>
        <v>162</v>
      </c>
      <c r="C64">
        <f t="shared" si="6"/>
        <v>194</v>
      </c>
      <c r="D64">
        <f>AH64+$AQ$2</f>
        <v>107</v>
      </c>
      <c r="E64">
        <f t="shared" si="0"/>
        <v>107</v>
      </c>
      <c r="F64" s="4">
        <f>INT(主角属性配置!F64/3+$AS$2)</f>
        <v>3692</v>
      </c>
      <c r="G64">
        <v>8</v>
      </c>
      <c r="H64">
        <v>0</v>
      </c>
      <c r="I64">
        <v>10</v>
      </c>
      <c r="J64">
        <v>0</v>
      </c>
      <c r="K64" s="3">
        <f t="shared" si="7"/>
        <v>1231</v>
      </c>
      <c r="L64" s="3">
        <f t="shared" si="8"/>
        <v>1846</v>
      </c>
      <c r="N64" t="str">
        <f>$N$1&amp;$P$1&amp;$T$1&amp;$B$2&amp;$T$1&amp;$R$1&amp;B65&amp;$Q$1&amp;$S$1&amp;$P$1&amp;$T$1&amp;$D$2&amp;$T$1&amp;$R$1&amp;D65&amp;$Q$1&amp;$S$1&amp;$P$1&amp;$T$1&amp;$E$2&amp;$T$1&amp;$R$1&amp;E65&amp;$Q$1&amp;$S$1&amp;$P$1&amp;$T$1&amp;$F$2&amp;$T$1&amp;$R$1&amp;F65&amp;$Q$1&amp;$S$1&amp;$P$1&amp;$T$1&amp;$G$2&amp;$T$1&amp;$R$1&amp;G65&amp;$Q$1&amp;$S$1&amp;$P$1&amp;$T$1&amp;$H$2&amp;$T$1&amp;$R$1&amp;H65&amp;$Q$1&amp;$S$1&amp;$P$1&amp;$T$1&amp;$I$2&amp;$T$1&amp;$R$1&amp;I65&amp;$Q$1&amp;$S$1&amp;$P$1&amp;$T$1&amp;$J$2&amp;$T$1&amp;$R$1&amp;J65&amp;$Q$1&amp;$O$1</f>
        <v>[{"1":163},{"4":108},{"5":108},{"12":3741},{"7":8},{"6":0},{"8":10},{"9":0}]</v>
      </c>
      <c r="W64" t="str">
        <f>$N$1&amp;$P$1&amp;$T$1&amp;$C$2&amp;$T$1&amp;$R$1&amp;C65&amp;$Q$1&amp;$S$1&amp;$P$1&amp;$T$1&amp;$D$2&amp;$T$1&amp;$R$1&amp;D65&amp;$Q$1&amp;$S$1&amp;$P$1&amp;$T$1&amp;$E$2&amp;$T$1&amp;$R$1&amp;E65&amp;$Q$1&amp;$S$1&amp;$P$1&amp;$T$1&amp;$F$2&amp;$T$1&amp;$R$1&amp;K65&amp;$Q$1&amp;$S$1&amp;$P$1&amp;$T$1&amp;$G$2&amp;$T$1&amp;$R$1&amp;G65&amp;$Q$1&amp;$S$1&amp;$P$1&amp;$T$1&amp;$H$2&amp;$T$1&amp;$R$1&amp;H65&amp;$Q$1&amp;$S$1&amp;$P$1&amp;$T$1&amp;$I$2&amp;$T$1&amp;$R$1&amp;I65&amp;$Q$1&amp;$S$1&amp;$P$1&amp;$T$1&amp;$J$2&amp;$T$1&amp;$R$1&amp;J65&amp;$Q$1&amp;$O$1</f>
        <v>[{"2":195},{"4":108},{"5":108},{"12":1247},{"7":8},{"6":0},{"8":10},{"9":0}]</v>
      </c>
      <c r="AE64" t="str">
        <f>$N$1&amp;$P$1&amp;$T$1&amp;$C$2&amp;$T$1&amp;$R$1&amp;C65&amp;$Q$1&amp;$S$1&amp;$P$1&amp;$T$1&amp;$D$2&amp;$T$1&amp;$R$1&amp;D65&amp;$Q$1&amp;$S$1&amp;$P$1&amp;$T$1&amp;$E$2&amp;$T$1&amp;$R$1&amp;E65&amp;$Q$1&amp;$S$1&amp;$P$1&amp;$T$1&amp;$F$2&amp;$T$1&amp;$R$1&amp;L65&amp;$Q$1&amp;$S$1&amp;$P$1&amp;$T$1&amp;$G$2&amp;$T$1&amp;$R$1&amp;G65&amp;$Q$1&amp;$S$1&amp;$P$1&amp;$T$1&amp;$H$2&amp;$T$1&amp;$R$1&amp;H65&amp;$Q$1&amp;$S$1&amp;$P$1&amp;$T$1&amp;$I$2&amp;$T$1&amp;$R$1&amp;I65&amp;$Q$1&amp;$S$1&amp;$P$1&amp;$T$1&amp;$J$2&amp;$T$1&amp;$R$1&amp;J65&amp;$Q$1&amp;$O$1</f>
        <v>[{"2":195},{"4":108},{"5":108},{"12":1871},{"7":8},{"6":0},{"8":10},{"9":0}]</v>
      </c>
      <c r="AG64">
        <v>62</v>
      </c>
      <c r="AH64">
        <f t="shared" si="9"/>
        <v>41</v>
      </c>
      <c r="AI64">
        <f t="shared" si="10"/>
        <v>41</v>
      </c>
      <c r="AJ64">
        <v>483</v>
      </c>
      <c r="AK64">
        <v>4</v>
      </c>
      <c r="AL64">
        <v>8</v>
      </c>
      <c r="AM64">
        <v>0</v>
      </c>
      <c r="AN64">
        <v>10</v>
      </c>
    </row>
    <row r="65" customFormat="1" ht="16.5" spans="1:40">
      <c r="A65">
        <v>63</v>
      </c>
      <c r="B65">
        <f>$AP$2+AG65</f>
        <v>163</v>
      </c>
      <c r="C65">
        <f t="shared" si="6"/>
        <v>195</v>
      </c>
      <c r="D65">
        <f>AH65+$AQ$2</f>
        <v>108</v>
      </c>
      <c r="E65">
        <f t="shared" si="0"/>
        <v>108</v>
      </c>
      <c r="F65" s="4">
        <f>INT(主角属性配置!F65/3+$AS$2)</f>
        <v>3741</v>
      </c>
      <c r="G65">
        <v>8</v>
      </c>
      <c r="H65">
        <v>0</v>
      </c>
      <c r="I65">
        <v>10</v>
      </c>
      <c r="J65">
        <v>0</v>
      </c>
      <c r="K65" s="3">
        <f t="shared" si="7"/>
        <v>1247</v>
      </c>
      <c r="L65" s="3">
        <f t="shared" si="8"/>
        <v>1871</v>
      </c>
      <c r="N65" t="str">
        <f>$N$1&amp;$P$1&amp;$T$1&amp;$B$2&amp;$T$1&amp;$R$1&amp;B66&amp;$Q$1&amp;$S$1&amp;$P$1&amp;$T$1&amp;$D$2&amp;$T$1&amp;$R$1&amp;D66&amp;$Q$1&amp;$S$1&amp;$P$1&amp;$T$1&amp;$E$2&amp;$T$1&amp;$R$1&amp;E66&amp;$Q$1&amp;$S$1&amp;$P$1&amp;$T$1&amp;$F$2&amp;$T$1&amp;$R$1&amp;F66&amp;$Q$1&amp;$S$1&amp;$P$1&amp;$T$1&amp;$G$2&amp;$T$1&amp;$R$1&amp;G66&amp;$Q$1&amp;$S$1&amp;$P$1&amp;$T$1&amp;$H$2&amp;$T$1&amp;$R$1&amp;H66&amp;$Q$1&amp;$S$1&amp;$P$1&amp;$T$1&amp;$I$2&amp;$T$1&amp;$R$1&amp;I66&amp;$Q$1&amp;$S$1&amp;$P$1&amp;$T$1&amp;$J$2&amp;$T$1&amp;$R$1&amp;J66&amp;$Q$1&amp;$O$1</f>
        <v>[{"1":164},{"4":108},{"5":108},{"12":3790},{"7":8},{"6":0},{"8":10},{"9":0}]</v>
      </c>
      <c r="W65" t="str">
        <f>$N$1&amp;$P$1&amp;$T$1&amp;$C$2&amp;$T$1&amp;$R$1&amp;C66&amp;$Q$1&amp;$S$1&amp;$P$1&amp;$T$1&amp;$D$2&amp;$T$1&amp;$R$1&amp;D66&amp;$Q$1&amp;$S$1&amp;$P$1&amp;$T$1&amp;$E$2&amp;$T$1&amp;$R$1&amp;E66&amp;$Q$1&amp;$S$1&amp;$P$1&amp;$T$1&amp;$F$2&amp;$T$1&amp;$R$1&amp;K66&amp;$Q$1&amp;$S$1&amp;$P$1&amp;$T$1&amp;$G$2&amp;$T$1&amp;$R$1&amp;G66&amp;$Q$1&amp;$S$1&amp;$P$1&amp;$T$1&amp;$H$2&amp;$T$1&amp;$R$1&amp;H66&amp;$Q$1&amp;$S$1&amp;$P$1&amp;$T$1&amp;$I$2&amp;$T$1&amp;$R$1&amp;I66&amp;$Q$1&amp;$S$1&amp;$P$1&amp;$T$1&amp;$J$2&amp;$T$1&amp;$R$1&amp;J66&amp;$Q$1&amp;$O$1</f>
        <v>[{"2":196},{"4":108},{"5":108},{"12":1263},{"7":8},{"6":0},{"8":10},{"9":0}]</v>
      </c>
      <c r="AE65" t="str">
        <f>$N$1&amp;$P$1&amp;$T$1&amp;$C$2&amp;$T$1&amp;$R$1&amp;C66&amp;$Q$1&amp;$S$1&amp;$P$1&amp;$T$1&amp;$D$2&amp;$T$1&amp;$R$1&amp;D66&amp;$Q$1&amp;$S$1&amp;$P$1&amp;$T$1&amp;$E$2&amp;$T$1&amp;$R$1&amp;E66&amp;$Q$1&amp;$S$1&amp;$P$1&amp;$T$1&amp;$F$2&amp;$T$1&amp;$R$1&amp;L66&amp;$Q$1&amp;$S$1&amp;$P$1&amp;$T$1&amp;$G$2&amp;$T$1&amp;$R$1&amp;G66&amp;$Q$1&amp;$S$1&amp;$P$1&amp;$T$1&amp;$H$2&amp;$T$1&amp;$R$1&amp;H66&amp;$Q$1&amp;$S$1&amp;$P$1&amp;$T$1&amp;$I$2&amp;$T$1&amp;$R$1&amp;I66&amp;$Q$1&amp;$S$1&amp;$P$1&amp;$T$1&amp;$J$2&amp;$T$1&amp;$R$1&amp;J66&amp;$Q$1&amp;$O$1</f>
        <v>[{"2":196},{"4":108},{"5":108},{"12":1895},{"7":8},{"6":0},{"8":10},{"9":0}]</v>
      </c>
      <c r="AG65">
        <v>63</v>
      </c>
      <c r="AH65">
        <f t="shared" si="9"/>
        <v>42</v>
      </c>
      <c r="AI65">
        <f t="shared" si="10"/>
        <v>42</v>
      </c>
      <c r="AJ65">
        <v>490</v>
      </c>
      <c r="AK65">
        <v>4</v>
      </c>
      <c r="AL65">
        <v>8</v>
      </c>
      <c r="AM65">
        <v>0</v>
      </c>
      <c r="AN65">
        <v>10</v>
      </c>
    </row>
    <row r="66" customFormat="1" ht="16.5" spans="1:40">
      <c r="A66">
        <v>64</v>
      </c>
      <c r="B66">
        <f>$AP$2+AG66</f>
        <v>164</v>
      </c>
      <c r="C66">
        <f t="shared" si="6"/>
        <v>196</v>
      </c>
      <c r="D66">
        <f>AH66+$AQ$2</f>
        <v>108</v>
      </c>
      <c r="E66">
        <f t="shared" si="0"/>
        <v>108</v>
      </c>
      <c r="F66" s="4">
        <f>INT(主角属性配置!F66/3+$AS$2)</f>
        <v>3790</v>
      </c>
      <c r="G66">
        <v>8</v>
      </c>
      <c r="H66">
        <v>0</v>
      </c>
      <c r="I66">
        <v>10</v>
      </c>
      <c r="J66">
        <v>0</v>
      </c>
      <c r="K66" s="3">
        <f t="shared" si="7"/>
        <v>1263</v>
      </c>
      <c r="L66" s="3">
        <f t="shared" si="8"/>
        <v>1895</v>
      </c>
      <c r="N66" t="str">
        <f>$N$1&amp;$P$1&amp;$T$1&amp;$B$2&amp;$T$1&amp;$R$1&amp;B67&amp;$Q$1&amp;$S$1&amp;$P$1&amp;$T$1&amp;$D$2&amp;$T$1&amp;$R$1&amp;D67&amp;$Q$1&amp;$S$1&amp;$P$1&amp;$T$1&amp;$E$2&amp;$T$1&amp;$R$1&amp;E67&amp;$Q$1&amp;$S$1&amp;$P$1&amp;$T$1&amp;$F$2&amp;$T$1&amp;$R$1&amp;F67&amp;$Q$1&amp;$S$1&amp;$P$1&amp;$T$1&amp;$G$2&amp;$T$1&amp;$R$1&amp;G67&amp;$Q$1&amp;$S$1&amp;$P$1&amp;$T$1&amp;$H$2&amp;$T$1&amp;$R$1&amp;H67&amp;$Q$1&amp;$S$1&amp;$P$1&amp;$T$1&amp;$I$2&amp;$T$1&amp;$R$1&amp;I67&amp;$Q$1&amp;$S$1&amp;$P$1&amp;$T$1&amp;$J$2&amp;$T$1&amp;$R$1&amp;J67&amp;$Q$1&amp;$O$1</f>
        <v>[{"1":165},{"4":109},{"5":109},{"12":3839},{"7":8},{"6":0},{"8":10},{"9":0}]</v>
      </c>
      <c r="W66" t="str">
        <f>$N$1&amp;$P$1&amp;$T$1&amp;$C$2&amp;$T$1&amp;$R$1&amp;C67&amp;$Q$1&amp;$S$1&amp;$P$1&amp;$T$1&amp;$D$2&amp;$T$1&amp;$R$1&amp;D67&amp;$Q$1&amp;$S$1&amp;$P$1&amp;$T$1&amp;$E$2&amp;$T$1&amp;$R$1&amp;E67&amp;$Q$1&amp;$S$1&amp;$P$1&amp;$T$1&amp;$F$2&amp;$T$1&amp;$R$1&amp;K67&amp;$Q$1&amp;$S$1&amp;$P$1&amp;$T$1&amp;$G$2&amp;$T$1&amp;$R$1&amp;G67&amp;$Q$1&amp;$S$1&amp;$P$1&amp;$T$1&amp;$H$2&amp;$T$1&amp;$R$1&amp;H67&amp;$Q$1&amp;$S$1&amp;$P$1&amp;$T$1&amp;$I$2&amp;$T$1&amp;$R$1&amp;I67&amp;$Q$1&amp;$S$1&amp;$P$1&amp;$T$1&amp;$J$2&amp;$T$1&amp;$R$1&amp;J67&amp;$Q$1&amp;$O$1</f>
        <v>[{"2":198},{"4":109},{"5":109},{"12":1280},{"7":8},{"6":0},{"8":10},{"9":0}]</v>
      </c>
      <c r="AE66" t="str">
        <f>$N$1&amp;$P$1&amp;$T$1&amp;$C$2&amp;$T$1&amp;$R$1&amp;C67&amp;$Q$1&amp;$S$1&amp;$P$1&amp;$T$1&amp;$D$2&amp;$T$1&amp;$R$1&amp;D67&amp;$Q$1&amp;$S$1&amp;$P$1&amp;$T$1&amp;$E$2&amp;$T$1&amp;$R$1&amp;E67&amp;$Q$1&amp;$S$1&amp;$P$1&amp;$T$1&amp;$F$2&amp;$T$1&amp;$R$1&amp;L67&amp;$Q$1&amp;$S$1&amp;$P$1&amp;$T$1&amp;$G$2&amp;$T$1&amp;$R$1&amp;G67&amp;$Q$1&amp;$S$1&amp;$P$1&amp;$T$1&amp;$H$2&amp;$T$1&amp;$R$1&amp;H67&amp;$Q$1&amp;$S$1&amp;$P$1&amp;$T$1&amp;$I$2&amp;$T$1&amp;$R$1&amp;I67&amp;$Q$1&amp;$S$1&amp;$P$1&amp;$T$1&amp;$J$2&amp;$T$1&amp;$R$1&amp;J67&amp;$Q$1&amp;$O$1</f>
        <v>[{"2":198},{"4":109},{"5":109},{"12":1920},{"7":8},{"6":0},{"8":10},{"9":0}]</v>
      </c>
      <c r="AG66">
        <v>64</v>
      </c>
      <c r="AH66">
        <f t="shared" si="9"/>
        <v>42</v>
      </c>
      <c r="AI66">
        <f t="shared" si="10"/>
        <v>42</v>
      </c>
      <c r="AJ66">
        <v>498</v>
      </c>
      <c r="AK66">
        <v>4</v>
      </c>
      <c r="AL66">
        <v>8</v>
      </c>
      <c r="AM66">
        <v>0</v>
      </c>
      <c r="AN66">
        <v>10</v>
      </c>
    </row>
    <row r="67" customFormat="1" ht="16.5" spans="1:40">
      <c r="A67">
        <v>65</v>
      </c>
      <c r="B67">
        <f>$AP$2+AG67</f>
        <v>165</v>
      </c>
      <c r="C67">
        <f t="shared" si="6"/>
        <v>198</v>
      </c>
      <c r="D67">
        <f>AH67+$AQ$2</f>
        <v>109</v>
      </c>
      <c r="E67">
        <f t="shared" ref="E67:E130" si="11">D67</f>
        <v>109</v>
      </c>
      <c r="F67" s="4">
        <f>INT(主角属性配置!F67/3+$AS$2)</f>
        <v>3839</v>
      </c>
      <c r="G67">
        <v>8</v>
      </c>
      <c r="H67">
        <v>0</v>
      </c>
      <c r="I67">
        <v>10</v>
      </c>
      <c r="J67">
        <v>0</v>
      </c>
      <c r="K67" s="3">
        <f t="shared" si="7"/>
        <v>1280</v>
      </c>
      <c r="L67" s="3">
        <f t="shared" si="8"/>
        <v>1920</v>
      </c>
      <c r="N67" t="str">
        <f>$N$1&amp;$P$1&amp;$T$1&amp;$B$2&amp;$T$1&amp;$R$1&amp;B68&amp;$Q$1&amp;$S$1&amp;$P$1&amp;$T$1&amp;$D$2&amp;$T$1&amp;$R$1&amp;D68&amp;$Q$1&amp;$S$1&amp;$P$1&amp;$T$1&amp;$E$2&amp;$T$1&amp;$R$1&amp;E68&amp;$Q$1&amp;$S$1&amp;$P$1&amp;$T$1&amp;$F$2&amp;$T$1&amp;$R$1&amp;F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[{"1":166},{"4":110},{"5":110},{"12":3889},{"7":8},{"6":0},{"8":10},{"9":0}]</v>
      </c>
      <c r="W67" t="str">
        <f>$N$1&amp;$P$1&amp;$T$1&amp;$C$2&amp;$T$1&amp;$R$1&amp;C68&amp;$Q$1&amp;$S$1&amp;$P$1&amp;$T$1&amp;$D$2&amp;$T$1&amp;$R$1&amp;D68&amp;$Q$1&amp;$S$1&amp;$P$1&amp;$T$1&amp;$E$2&amp;$T$1&amp;$R$1&amp;E68&amp;$Q$1&amp;$S$1&amp;$P$1&amp;$T$1&amp;$F$2&amp;$T$1&amp;$R$1&amp;K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[{"2":199},{"4":110},{"5":110},{"12":1296},{"7":8},{"6":0},{"8":10},{"9":0}]</v>
      </c>
      <c r="AE67" t="str">
        <f>$N$1&amp;$P$1&amp;$T$1&amp;$C$2&amp;$T$1&amp;$R$1&amp;C68&amp;$Q$1&amp;$S$1&amp;$P$1&amp;$T$1&amp;$D$2&amp;$T$1&amp;$R$1&amp;D68&amp;$Q$1&amp;$S$1&amp;$P$1&amp;$T$1&amp;$E$2&amp;$T$1&amp;$R$1&amp;E68&amp;$Q$1&amp;$S$1&amp;$P$1&amp;$T$1&amp;$F$2&amp;$T$1&amp;$R$1&amp;L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[{"2":199},{"4":110},{"5":110},{"12":1945},{"7":8},{"6":0},{"8":10},{"9":0}]</v>
      </c>
      <c r="AG67">
        <v>65</v>
      </c>
      <c r="AH67">
        <f t="shared" si="9"/>
        <v>43</v>
      </c>
      <c r="AI67">
        <f t="shared" si="10"/>
        <v>43</v>
      </c>
      <c r="AJ67">
        <v>506</v>
      </c>
      <c r="AK67">
        <v>4</v>
      </c>
      <c r="AL67">
        <v>8</v>
      </c>
      <c r="AM67">
        <v>0</v>
      </c>
      <c r="AN67">
        <v>10</v>
      </c>
    </row>
    <row r="68" customFormat="1" ht="16.5" spans="1:40">
      <c r="A68">
        <v>66</v>
      </c>
      <c r="B68">
        <f>$AP$2+AG68</f>
        <v>166</v>
      </c>
      <c r="C68">
        <f t="shared" ref="C68:C99" si="12">INT(B68*1.2)</f>
        <v>199</v>
      </c>
      <c r="D68">
        <f>AH68+$AQ$2</f>
        <v>110</v>
      </c>
      <c r="E68">
        <f t="shared" si="11"/>
        <v>110</v>
      </c>
      <c r="F68" s="4">
        <f>INT(主角属性配置!F68/3+$AS$2)</f>
        <v>3889</v>
      </c>
      <c r="G68">
        <v>8</v>
      </c>
      <c r="H68">
        <v>0</v>
      </c>
      <c r="I68">
        <v>10</v>
      </c>
      <c r="J68">
        <v>0</v>
      </c>
      <c r="K68" s="3">
        <f t="shared" ref="K68:K99" si="13">ROUND(F68/3,0)</f>
        <v>1296</v>
      </c>
      <c r="L68" s="3">
        <f t="shared" ref="L68:L99" si="14">ROUND(F68/2,0)</f>
        <v>1945</v>
      </c>
      <c r="N68" t="str">
        <f>$N$1&amp;$P$1&amp;$T$1&amp;$B$2&amp;$T$1&amp;$R$1&amp;B69&amp;$Q$1&amp;$S$1&amp;$P$1&amp;$T$1&amp;$D$2&amp;$T$1&amp;$R$1&amp;D69&amp;$Q$1&amp;$S$1&amp;$P$1&amp;$T$1&amp;$E$2&amp;$T$1&amp;$R$1&amp;E69&amp;$Q$1&amp;$S$1&amp;$P$1&amp;$T$1&amp;$F$2&amp;$T$1&amp;$R$1&amp;F69&amp;$Q$1&amp;$S$1&amp;$P$1&amp;$T$1&amp;$G$2&amp;$T$1&amp;$R$1&amp;G69&amp;$Q$1&amp;$S$1&amp;$P$1&amp;$T$1&amp;$H$2&amp;$T$1&amp;$R$1&amp;H69&amp;$Q$1&amp;$S$1&amp;$P$1&amp;$T$1&amp;$I$2&amp;$T$1&amp;$R$1&amp;I69&amp;$Q$1&amp;$S$1&amp;$P$1&amp;$T$1&amp;$J$2&amp;$T$1&amp;$R$1&amp;J69&amp;$Q$1&amp;$O$1</f>
        <v>[{"1":167},{"4":110},{"5":110},{"12":3938},{"7":8},{"6":0},{"8":10},{"9":0}]</v>
      </c>
      <c r="W68" t="str">
        <f>$N$1&amp;$P$1&amp;$T$1&amp;$C$2&amp;$T$1&amp;$R$1&amp;C69&amp;$Q$1&amp;$S$1&amp;$P$1&amp;$T$1&amp;$D$2&amp;$T$1&amp;$R$1&amp;D69&amp;$Q$1&amp;$S$1&amp;$P$1&amp;$T$1&amp;$E$2&amp;$T$1&amp;$R$1&amp;E69&amp;$Q$1&amp;$S$1&amp;$P$1&amp;$T$1&amp;$F$2&amp;$T$1&amp;$R$1&amp;K69&amp;$Q$1&amp;$S$1&amp;$P$1&amp;$T$1&amp;$G$2&amp;$T$1&amp;$R$1&amp;G69&amp;$Q$1&amp;$S$1&amp;$P$1&amp;$T$1&amp;$H$2&amp;$T$1&amp;$R$1&amp;H69&amp;$Q$1&amp;$S$1&amp;$P$1&amp;$T$1&amp;$I$2&amp;$T$1&amp;$R$1&amp;I69&amp;$Q$1&amp;$S$1&amp;$P$1&amp;$T$1&amp;$J$2&amp;$T$1&amp;$R$1&amp;J69&amp;$Q$1&amp;$O$1</f>
        <v>[{"2":200},{"4":110},{"5":110},{"12":1313},{"7":8},{"6":0},{"8":10},{"9":0}]</v>
      </c>
      <c r="AE68" t="str">
        <f>$N$1&amp;$P$1&amp;$T$1&amp;$C$2&amp;$T$1&amp;$R$1&amp;C69&amp;$Q$1&amp;$S$1&amp;$P$1&amp;$T$1&amp;$D$2&amp;$T$1&amp;$R$1&amp;D69&amp;$Q$1&amp;$S$1&amp;$P$1&amp;$T$1&amp;$E$2&amp;$T$1&amp;$R$1&amp;E69&amp;$Q$1&amp;$S$1&amp;$P$1&amp;$T$1&amp;$F$2&amp;$T$1&amp;$R$1&amp;L69&amp;$Q$1&amp;$S$1&amp;$P$1&amp;$T$1&amp;$G$2&amp;$T$1&amp;$R$1&amp;G69&amp;$Q$1&amp;$S$1&amp;$P$1&amp;$T$1&amp;$H$2&amp;$T$1&amp;$R$1&amp;H69&amp;$Q$1&amp;$S$1&amp;$P$1&amp;$T$1&amp;$I$2&amp;$T$1&amp;$R$1&amp;I69&amp;$Q$1&amp;$S$1&amp;$P$1&amp;$T$1&amp;$J$2&amp;$T$1&amp;$R$1&amp;J69&amp;$Q$1&amp;$O$1</f>
        <v>[{"2":200},{"4":110},{"5":110},{"12":1969},{"7":8},{"6":0},{"8":10},{"9":0}]</v>
      </c>
      <c r="AG68">
        <v>66</v>
      </c>
      <c r="AH68">
        <f t="shared" ref="AH68:AH99" si="15">INT(AG68/1.5)</f>
        <v>44</v>
      </c>
      <c r="AI68">
        <f t="shared" ref="AI68:AI99" si="16">AH68</f>
        <v>44</v>
      </c>
      <c r="AJ68">
        <v>514</v>
      </c>
      <c r="AK68">
        <v>4</v>
      </c>
      <c r="AL68">
        <v>8</v>
      </c>
      <c r="AM68">
        <v>0</v>
      </c>
      <c r="AN68">
        <v>10</v>
      </c>
    </row>
    <row r="69" customFormat="1" ht="16.5" spans="1:40">
      <c r="A69">
        <v>67</v>
      </c>
      <c r="B69">
        <f>$AP$2+AG69</f>
        <v>167</v>
      </c>
      <c r="C69">
        <f t="shared" si="12"/>
        <v>200</v>
      </c>
      <c r="D69">
        <f>AH69+$AQ$2</f>
        <v>110</v>
      </c>
      <c r="E69">
        <f t="shared" si="11"/>
        <v>110</v>
      </c>
      <c r="F69" s="4">
        <f>INT(主角属性配置!F69/3+$AS$2)</f>
        <v>3938</v>
      </c>
      <c r="G69">
        <v>8</v>
      </c>
      <c r="H69">
        <v>0</v>
      </c>
      <c r="I69">
        <v>10</v>
      </c>
      <c r="J69">
        <v>0</v>
      </c>
      <c r="K69" s="3">
        <f t="shared" si="13"/>
        <v>1313</v>
      </c>
      <c r="L69" s="3">
        <f t="shared" si="14"/>
        <v>1969</v>
      </c>
      <c r="N69" t="str">
        <f>$N$1&amp;$P$1&amp;$T$1&amp;$B$2&amp;$T$1&amp;$R$1&amp;B70&amp;$Q$1&amp;$S$1&amp;$P$1&amp;$T$1&amp;$D$2&amp;$T$1&amp;$R$1&amp;D70&amp;$Q$1&amp;$S$1&amp;$P$1&amp;$T$1&amp;$E$2&amp;$T$1&amp;$R$1&amp;E70&amp;$Q$1&amp;$S$1&amp;$P$1&amp;$T$1&amp;$F$2&amp;$T$1&amp;$R$1&amp;F70&amp;$Q$1&amp;$S$1&amp;$P$1&amp;$T$1&amp;$G$2&amp;$T$1&amp;$R$1&amp;G70&amp;$Q$1&amp;$S$1&amp;$P$1&amp;$T$1&amp;$H$2&amp;$T$1&amp;$R$1&amp;H70&amp;$Q$1&amp;$S$1&amp;$P$1&amp;$T$1&amp;$I$2&amp;$T$1&amp;$R$1&amp;I70&amp;$Q$1&amp;$S$1&amp;$P$1&amp;$T$1&amp;$J$2&amp;$T$1&amp;$R$1&amp;J70&amp;$Q$1&amp;$O$1</f>
        <v>[{"1":168},{"4":111},{"5":111},{"12":3987},{"7":8},{"6":0},{"8":10},{"9":0}]</v>
      </c>
      <c r="W69" t="str">
        <f>$N$1&amp;$P$1&amp;$T$1&amp;$C$2&amp;$T$1&amp;$R$1&amp;C70&amp;$Q$1&amp;$S$1&amp;$P$1&amp;$T$1&amp;$D$2&amp;$T$1&amp;$R$1&amp;D70&amp;$Q$1&amp;$S$1&amp;$P$1&amp;$T$1&amp;$E$2&amp;$T$1&amp;$R$1&amp;E70&amp;$Q$1&amp;$S$1&amp;$P$1&amp;$T$1&amp;$F$2&amp;$T$1&amp;$R$1&amp;K70&amp;$Q$1&amp;$S$1&amp;$P$1&amp;$T$1&amp;$G$2&amp;$T$1&amp;$R$1&amp;G70&amp;$Q$1&amp;$S$1&amp;$P$1&amp;$T$1&amp;$H$2&amp;$T$1&amp;$R$1&amp;H70&amp;$Q$1&amp;$S$1&amp;$P$1&amp;$T$1&amp;$I$2&amp;$T$1&amp;$R$1&amp;I70&amp;$Q$1&amp;$S$1&amp;$P$1&amp;$T$1&amp;$J$2&amp;$T$1&amp;$R$1&amp;J70&amp;$Q$1&amp;$O$1</f>
        <v>[{"2":201},{"4":111},{"5":111},{"12":1329},{"7":8},{"6":0},{"8":10},{"9":0}]</v>
      </c>
      <c r="AE69" t="str">
        <f>$N$1&amp;$P$1&amp;$T$1&amp;$C$2&amp;$T$1&amp;$R$1&amp;C70&amp;$Q$1&amp;$S$1&amp;$P$1&amp;$T$1&amp;$D$2&amp;$T$1&amp;$R$1&amp;D70&amp;$Q$1&amp;$S$1&amp;$P$1&amp;$T$1&amp;$E$2&amp;$T$1&amp;$R$1&amp;E70&amp;$Q$1&amp;$S$1&amp;$P$1&amp;$T$1&amp;$F$2&amp;$T$1&amp;$R$1&amp;L70&amp;$Q$1&amp;$S$1&amp;$P$1&amp;$T$1&amp;$G$2&amp;$T$1&amp;$R$1&amp;G70&amp;$Q$1&amp;$S$1&amp;$P$1&amp;$T$1&amp;$H$2&amp;$T$1&amp;$R$1&amp;H70&amp;$Q$1&amp;$S$1&amp;$P$1&amp;$T$1&amp;$I$2&amp;$T$1&amp;$R$1&amp;I70&amp;$Q$1&amp;$S$1&amp;$P$1&amp;$T$1&amp;$J$2&amp;$T$1&amp;$R$1&amp;J70&amp;$Q$1&amp;$O$1</f>
        <v>[{"2":201},{"4":111},{"5":111},{"12":1994},{"7":8},{"6":0},{"8":10},{"9":0}]</v>
      </c>
      <c r="AG69">
        <v>67</v>
      </c>
      <c r="AH69">
        <f t="shared" si="15"/>
        <v>44</v>
      </c>
      <c r="AI69">
        <f t="shared" si="16"/>
        <v>44</v>
      </c>
      <c r="AJ69">
        <v>522</v>
      </c>
      <c r="AK69">
        <v>4</v>
      </c>
      <c r="AL69">
        <v>8</v>
      </c>
      <c r="AM69">
        <v>0</v>
      </c>
      <c r="AN69">
        <v>10</v>
      </c>
    </row>
    <row r="70" customFormat="1" ht="16.5" spans="1:40">
      <c r="A70">
        <v>68</v>
      </c>
      <c r="B70">
        <f>$AP$2+AG70</f>
        <v>168</v>
      </c>
      <c r="C70">
        <f t="shared" si="12"/>
        <v>201</v>
      </c>
      <c r="D70">
        <f>AH70+$AQ$2</f>
        <v>111</v>
      </c>
      <c r="E70">
        <f t="shared" si="11"/>
        <v>111</v>
      </c>
      <c r="F70" s="4">
        <f>INT(主角属性配置!F70/3+$AS$2)</f>
        <v>3987</v>
      </c>
      <c r="G70">
        <v>8</v>
      </c>
      <c r="H70">
        <v>0</v>
      </c>
      <c r="I70">
        <v>10</v>
      </c>
      <c r="J70">
        <v>0</v>
      </c>
      <c r="K70" s="3">
        <f t="shared" si="13"/>
        <v>1329</v>
      </c>
      <c r="L70" s="3">
        <f t="shared" si="14"/>
        <v>1994</v>
      </c>
      <c r="N70" t="str">
        <f>$N$1&amp;$P$1&amp;$T$1&amp;$B$2&amp;$T$1&amp;$R$1&amp;B71&amp;$Q$1&amp;$S$1&amp;$P$1&amp;$T$1&amp;$D$2&amp;$T$1&amp;$R$1&amp;D71&amp;$Q$1&amp;$S$1&amp;$P$1&amp;$T$1&amp;$E$2&amp;$T$1&amp;$R$1&amp;E71&amp;$Q$1&amp;$S$1&amp;$P$1&amp;$T$1&amp;$F$2&amp;$T$1&amp;$R$1&amp;F71&amp;$Q$1&amp;$S$1&amp;$P$1&amp;$T$1&amp;$G$2&amp;$T$1&amp;$R$1&amp;G71&amp;$Q$1&amp;$S$1&amp;$P$1&amp;$T$1&amp;$H$2&amp;$T$1&amp;$R$1&amp;H71&amp;$Q$1&amp;$S$1&amp;$P$1&amp;$T$1&amp;$I$2&amp;$T$1&amp;$R$1&amp;I71&amp;$Q$1&amp;$S$1&amp;$P$1&amp;$T$1&amp;$J$2&amp;$T$1&amp;$R$1&amp;J71&amp;$Q$1&amp;$O$1</f>
        <v>[{"1":169},{"4":112},{"5":112},{"12":4037},{"7":8},{"6":0},{"8":10},{"9":0}]</v>
      </c>
      <c r="W70" t="str">
        <f>$N$1&amp;$P$1&amp;$T$1&amp;$C$2&amp;$T$1&amp;$R$1&amp;C71&amp;$Q$1&amp;$S$1&amp;$P$1&amp;$T$1&amp;$D$2&amp;$T$1&amp;$R$1&amp;D71&amp;$Q$1&amp;$S$1&amp;$P$1&amp;$T$1&amp;$E$2&amp;$T$1&amp;$R$1&amp;E71&amp;$Q$1&amp;$S$1&amp;$P$1&amp;$T$1&amp;$F$2&amp;$T$1&amp;$R$1&amp;K71&amp;$Q$1&amp;$S$1&amp;$P$1&amp;$T$1&amp;$G$2&amp;$T$1&amp;$R$1&amp;G71&amp;$Q$1&amp;$S$1&amp;$P$1&amp;$T$1&amp;$H$2&amp;$T$1&amp;$R$1&amp;H71&amp;$Q$1&amp;$S$1&amp;$P$1&amp;$T$1&amp;$I$2&amp;$T$1&amp;$R$1&amp;I71&amp;$Q$1&amp;$S$1&amp;$P$1&amp;$T$1&amp;$J$2&amp;$T$1&amp;$R$1&amp;J71&amp;$Q$1&amp;$O$1</f>
        <v>[{"2":202},{"4":112},{"5":112},{"12":1346},{"7":8},{"6":0},{"8":10},{"9":0}]</v>
      </c>
      <c r="AE70" t="str">
        <f>$N$1&amp;$P$1&amp;$T$1&amp;$C$2&amp;$T$1&amp;$R$1&amp;C71&amp;$Q$1&amp;$S$1&amp;$P$1&amp;$T$1&amp;$D$2&amp;$T$1&amp;$R$1&amp;D71&amp;$Q$1&amp;$S$1&amp;$P$1&amp;$T$1&amp;$E$2&amp;$T$1&amp;$R$1&amp;E71&amp;$Q$1&amp;$S$1&amp;$P$1&amp;$T$1&amp;$F$2&amp;$T$1&amp;$R$1&amp;L71&amp;$Q$1&amp;$S$1&amp;$P$1&amp;$T$1&amp;$G$2&amp;$T$1&amp;$R$1&amp;G71&amp;$Q$1&amp;$S$1&amp;$P$1&amp;$T$1&amp;$H$2&amp;$T$1&amp;$R$1&amp;H71&amp;$Q$1&amp;$S$1&amp;$P$1&amp;$T$1&amp;$I$2&amp;$T$1&amp;$R$1&amp;I71&amp;$Q$1&amp;$S$1&amp;$P$1&amp;$T$1&amp;$J$2&amp;$T$1&amp;$R$1&amp;J71&amp;$Q$1&amp;$O$1</f>
        <v>[{"2":202},{"4":112},{"5":112},{"12":2019},{"7":8},{"6":0},{"8":10},{"9":0}]</v>
      </c>
      <c r="AG70">
        <v>68</v>
      </c>
      <c r="AH70">
        <f t="shared" si="15"/>
        <v>45</v>
      </c>
      <c r="AI70">
        <f t="shared" si="16"/>
        <v>45</v>
      </c>
      <c r="AJ70">
        <v>530</v>
      </c>
      <c r="AK70">
        <v>4</v>
      </c>
      <c r="AL70">
        <v>8</v>
      </c>
      <c r="AM70">
        <v>0</v>
      </c>
      <c r="AN70">
        <v>10</v>
      </c>
    </row>
    <row r="71" customFormat="1" ht="16.5" spans="1:40">
      <c r="A71">
        <v>69</v>
      </c>
      <c r="B71">
        <f>$AP$2+AG71</f>
        <v>169</v>
      </c>
      <c r="C71">
        <f t="shared" si="12"/>
        <v>202</v>
      </c>
      <c r="D71">
        <f>AH71+$AQ$2</f>
        <v>112</v>
      </c>
      <c r="E71">
        <f t="shared" si="11"/>
        <v>112</v>
      </c>
      <c r="F71" s="4">
        <f>INT(主角属性配置!F71/3+$AS$2)</f>
        <v>4037</v>
      </c>
      <c r="G71">
        <v>8</v>
      </c>
      <c r="H71">
        <v>0</v>
      </c>
      <c r="I71">
        <v>10</v>
      </c>
      <c r="J71">
        <v>0</v>
      </c>
      <c r="K71" s="3">
        <f t="shared" si="13"/>
        <v>1346</v>
      </c>
      <c r="L71" s="3">
        <f t="shared" si="14"/>
        <v>2019</v>
      </c>
      <c r="N71" t="str">
        <f>$N$1&amp;$P$1&amp;$T$1&amp;$B$2&amp;$T$1&amp;$R$1&amp;B72&amp;$Q$1&amp;$S$1&amp;$P$1&amp;$T$1&amp;$D$2&amp;$T$1&amp;$R$1&amp;D72&amp;$Q$1&amp;$S$1&amp;$P$1&amp;$T$1&amp;$E$2&amp;$T$1&amp;$R$1&amp;E72&amp;$Q$1&amp;$S$1&amp;$P$1&amp;$T$1&amp;$F$2&amp;$T$1&amp;$R$1&amp;F72&amp;$Q$1&amp;$S$1&amp;$P$1&amp;$T$1&amp;$G$2&amp;$T$1&amp;$R$1&amp;G72&amp;$Q$1&amp;$S$1&amp;$P$1&amp;$T$1&amp;$H$2&amp;$T$1&amp;$R$1&amp;H72&amp;$Q$1&amp;$S$1&amp;$P$1&amp;$T$1&amp;$I$2&amp;$T$1&amp;$R$1&amp;I72&amp;$Q$1&amp;$S$1&amp;$P$1&amp;$T$1&amp;$J$2&amp;$T$1&amp;$R$1&amp;J72&amp;$Q$1&amp;$O$1</f>
        <v>[{"1":170},{"4":112},{"5":112},{"12":5060},{"7":8},{"6":0},{"8":10},{"9":0}]</v>
      </c>
      <c r="W71" t="str">
        <f>$N$1&amp;$P$1&amp;$T$1&amp;$C$2&amp;$T$1&amp;$R$1&amp;C72&amp;$Q$1&amp;$S$1&amp;$P$1&amp;$T$1&amp;$D$2&amp;$T$1&amp;$R$1&amp;D72&amp;$Q$1&amp;$S$1&amp;$P$1&amp;$T$1&amp;$E$2&amp;$T$1&amp;$R$1&amp;E72&amp;$Q$1&amp;$S$1&amp;$P$1&amp;$T$1&amp;$F$2&amp;$T$1&amp;$R$1&amp;K72&amp;$Q$1&amp;$S$1&amp;$P$1&amp;$T$1&amp;$G$2&amp;$T$1&amp;$R$1&amp;G72&amp;$Q$1&amp;$S$1&amp;$P$1&amp;$T$1&amp;$H$2&amp;$T$1&amp;$R$1&amp;H72&amp;$Q$1&amp;$S$1&amp;$P$1&amp;$T$1&amp;$I$2&amp;$T$1&amp;$R$1&amp;I72&amp;$Q$1&amp;$S$1&amp;$P$1&amp;$T$1&amp;$J$2&amp;$T$1&amp;$R$1&amp;J72&amp;$Q$1&amp;$O$1</f>
        <v>[{"2":204},{"4":112},{"5":112},{"12":1687},{"7":8},{"6":0},{"8":10},{"9":0}]</v>
      </c>
      <c r="AE71" t="str">
        <f>$N$1&amp;$P$1&amp;$T$1&amp;$C$2&amp;$T$1&amp;$R$1&amp;C72&amp;$Q$1&amp;$S$1&amp;$P$1&amp;$T$1&amp;$D$2&amp;$T$1&amp;$R$1&amp;D72&amp;$Q$1&amp;$S$1&amp;$P$1&amp;$T$1&amp;$E$2&amp;$T$1&amp;$R$1&amp;E72&amp;$Q$1&amp;$S$1&amp;$P$1&amp;$T$1&amp;$F$2&amp;$T$1&amp;$R$1&amp;L72&amp;$Q$1&amp;$S$1&amp;$P$1&amp;$T$1&amp;$G$2&amp;$T$1&amp;$R$1&amp;G72&amp;$Q$1&amp;$S$1&amp;$P$1&amp;$T$1&amp;$H$2&amp;$T$1&amp;$R$1&amp;H72&amp;$Q$1&amp;$S$1&amp;$P$1&amp;$T$1&amp;$I$2&amp;$T$1&amp;$R$1&amp;I72&amp;$Q$1&amp;$S$1&amp;$P$1&amp;$T$1&amp;$J$2&amp;$T$1&amp;$R$1&amp;J72&amp;$Q$1&amp;$O$1</f>
        <v>[{"2":204},{"4":112},{"5":112},{"12":2530},{"7":8},{"6":0},{"8":10},{"9":0}]</v>
      </c>
      <c r="AG71">
        <v>69</v>
      </c>
      <c r="AH71">
        <f t="shared" si="15"/>
        <v>46</v>
      </c>
      <c r="AI71">
        <f t="shared" si="16"/>
        <v>46</v>
      </c>
      <c r="AJ71">
        <v>537</v>
      </c>
      <c r="AK71">
        <v>4</v>
      </c>
      <c r="AL71">
        <v>8</v>
      </c>
      <c r="AM71">
        <v>0</v>
      </c>
      <c r="AN71">
        <v>10</v>
      </c>
    </row>
    <row r="72" customFormat="1" ht="16.5" spans="1:40">
      <c r="A72">
        <v>70</v>
      </c>
      <c r="B72">
        <f>$AP$2+AG72</f>
        <v>170</v>
      </c>
      <c r="C72">
        <f t="shared" si="12"/>
        <v>204</v>
      </c>
      <c r="D72">
        <f>AH72+$AQ$2</f>
        <v>112</v>
      </c>
      <c r="E72">
        <f t="shared" si="11"/>
        <v>112</v>
      </c>
      <c r="F72" s="4">
        <f>INT(主角属性配置!F72/3+$AS$2)</f>
        <v>5060</v>
      </c>
      <c r="G72">
        <v>8</v>
      </c>
      <c r="H72">
        <v>0</v>
      </c>
      <c r="I72">
        <v>10</v>
      </c>
      <c r="J72">
        <v>0</v>
      </c>
      <c r="K72" s="3">
        <f t="shared" si="13"/>
        <v>1687</v>
      </c>
      <c r="L72" s="3">
        <f t="shared" si="14"/>
        <v>2530</v>
      </c>
      <c r="N72" t="str">
        <f>$N$1&amp;$P$1&amp;$T$1&amp;$B$2&amp;$T$1&amp;$R$1&amp;B73&amp;$Q$1&amp;$S$1&amp;$P$1&amp;$T$1&amp;$D$2&amp;$T$1&amp;$R$1&amp;D73&amp;$Q$1&amp;$S$1&amp;$P$1&amp;$T$1&amp;$E$2&amp;$T$1&amp;$R$1&amp;E73&amp;$Q$1&amp;$S$1&amp;$P$1&amp;$T$1&amp;$F$2&amp;$T$1&amp;$R$1&amp;F73&amp;$Q$1&amp;$S$1&amp;$P$1&amp;$T$1&amp;$G$2&amp;$T$1&amp;$R$1&amp;G73&amp;$Q$1&amp;$S$1&amp;$P$1&amp;$T$1&amp;$H$2&amp;$T$1&amp;$R$1&amp;H73&amp;$Q$1&amp;$S$1&amp;$P$1&amp;$T$1&amp;$I$2&amp;$T$1&amp;$R$1&amp;I73&amp;$Q$1&amp;$S$1&amp;$P$1&amp;$T$1&amp;$J$2&amp;$T$1&amp;$R$1&amp;J73&amp;$Q$1&amp;$O$1</f>
        <v>[{"1":171},{"4":113},{"5":113},{"12":5124},{"7":8},{"6":0},{"8":10},{"9":0}]</v>
      </c>
      <c r="W72" t="str">
        <f>$N$1&amp;$P$1&amp;$T$1&amp;$C$2&amp;$T$1&amp;$R$1&amp;C73&amp;$Q$1&amp;$S$1&amp;$P$1&amp;$T$1&amp;$D$2&amp;$T$1&amp;$R$1&amp;D73&amp;$Q$1&amp;$S$1&amp;$P$1&amp;$T$1&amp;$E$2&amp;$T$1&amp;$R$1&amp;E73&amp;$Q$1&amp;$S$1&amp;$P$1&amp;$T$1&amp;$F$2&amp;$T$1&amp;$R$1&amp;K73&amp;$Q$1&amp;$S$1&amp;$P$1&amp;$T$1&amp;$G$2&amp;$T$1&amp;$R$1&amp;G73&amp;$Q$1&amp;$S$1&amp;$P$1&amp;$T$1&amp;$H$2&amp;$T$1&amp;$R$1&amp;H73&amp;$Q$1&amp;$S$1&amp;$P$1&amp;$T$1&amp;$I$2&amp;$T$1&amp;$R$1&amp;I73&amp;$Q$1&amp;$S$1&amp;$P$1&amp;$T$1&amp;$J$2&amp;$T$1&amp;$R$1&amp;J73&amp;$Q$1&amp;$O$1</f>
        <v>[{"2":205},{"4":113},{"5":113},{"12":1708},{"7":8},{"6":0},{"8":10},{"9":0}]</v>
      </c>
      <c r="AE72" t="str">
        <f>$N$1&amp;$P$1&amp;$T$1&amp;$C$2&amp;$T$1&amp;$R$1&amp;C73&amp;$Q$1&amp;$S$1&amp;$P$1&amp;$T$1&amp;$D$2&amp;$T$1&amp;$R$1&amp;D73&amp;$Q$1&amp;$S$1&amp;$P$1&amp;$T$1&amp;$E$2&amp;$T$1&amp;$R$1&amp;E73&amp;$Q$1&amp;$S$1&amp;$P$1&amp;$T$1&amp;$F$2&amp;$T$1&amp;$R$1&amp;L73&amp;$Q$1&amp;$S$1&amp;$P$1&amp;$T$1&amp;$G$2&amp;$T$1&amp;$R$1&amp;G73&amp;$Q$1&amp;$S$1&amp;$P$1&amp;$T$1&amp;$H$2&amp;$T$1&amp;$R$1&amp;H73&amp;$Q$1&amp;$S$1&amp;$P$1&amp;$T$1&amp;$I$2&amp;$T$1&amp;$R$1&amp;I73&amp;$Q$1&amp;$S$1&amp;$P$1&amp;$T$1&amp;$J$2&amp;$T$1&amp;$R$1&amp;J73&amp;$Q$1&amp;$O$1</f>
        <v>[{"2":205},{"4":113},{"5":113},{"12":2562},{"7":8},{"6":0},{"8":10},{"9":0}]</v>
      </c>
      <c r="AG72">
        <v>70</v>
      </c>
      <c r="AH72">
        <f t="shared" si="15"/>
        <v>46</v>
      </c>
      <c r="AI72">
        <f t="shared" si="16"/>
        <v>46</v>
      </c>
      <c r="AJ72">
        <v>545</v>
      </c>
      <c r="AK72">
        <v>4</v>
      </c>
      <c r="AL72">
        <v>8</v>
      </c>
      <c r="AM72">
        <v>0</v>
      </c>
      <c r="AN72">
        <v>10</v>
      </c>
    </row>
    <row r="73" customFormat="1" ht="16.5" spans="1:40">
      <c r="A73">
        <v>71</v>
      </c>
      <c r="B73">
        <f>$AP$2+AG73</f>
        <v>171</v>
      </c>
      <c r="C73">
        <f t="shared" si="12"/>
        <v>205</v>
      </c>
      <c r="D73">
        <f>AH73+$AQ$2</f>
        <v>113</v>
      </c>
      <c r="E73">
        <f t="shared" si="11"/>
        <v>113</v>
      </c>
      <c r="F73" s="4">
        <f>INT(主角属性配置!F73/3+$AS$2)</f>
        <v>5124</v>
      </c>
      <c r="G73">
        <v>8</v>
      </c>
      <c r="H73">
        <v>0</v>
      </c>
      <c r="I73">
        <v>10</v>
      </c>
      <c r="J73">
        <v>0</v>
      </c>
      <c r="K73" s="3">
        <f t="shared" si="13"/>
        <v>1708</v>
      </c>
      <c r="L73" s="3">
        <f t="shared" si="14"/>
        <v>2562</v>
      </c>
      <c r="N73" t="str">
        <f>$N$1&amp;$P$1&amp;$T$1&amp;$B$2&amp;$T$1&amp;$R$1&amp;B74&amp;$Q$1&amp;$S$1&amp;$P$1&amp;$T$1&amp;$D$2&amp;$T$1&amp;$R$1&amp;D74&amp;$Q$1&amp;$S$1&amp;$P$1&amp;$T$1&amp;$E$2&amp;$T$1&amp;$R$1&amp;E74&amp;$Q$1&amp;$S$1&amp;$P$1&amp;$T$1&amp;$F$2&amp;$T$1&amp;$R$1&amp;F74&amp;$Q$1&amp;$S$1&amp;$P$1&amp;$T$1&amp;$G$2&amp;$T$1&amp;$R$1&amp;G74&amp;$Q$1&amp;$S$1&amp;$P$1&amp;$T$1&amp;$H$2&amp;$T$1&amp;$R$1&amp;H74&amp;$Q$1&amp;$S$1&amp;$P$1&amp;$T$1&amp;$I$2&amp;$T$1&amp;$R$1&amp;I74&amp;$Q$1&amp;$S$1&amp;$P$1&amp;$T$1&amp;$J$2&amp;$T$1&amp;$R$1&amp;J74&amp;$Q$1&amp;$O$1</f>
        <v>[{"1":172},{"4":114},{"5":114},{"12":5187},{"7":8},{"6":0},{"8":10},{"9":0}]</v>
      </c>
      <c r="W73" t="str">
        <f>$N$1&amp;$P$1&amp;$T$1&amp;$C$2&amp;$T$1&amp;$R$1&amp;C74&amp;$Q$1&amp;$S$1&amp;$P$1&amp;$T$1&amp;$D$2&amp;$T$1&amp;$R$1&amp;D74&amp;$Q$1&amp;$S$1&amp;$P$1&amp;$T$1&amp;$E$2&amp;$T$1&amp;$R$1&amp;E74&amp;$Q$1&amp;$S$1&amp;$P$1&amp;$T$1&amp;$F$2&amp;$T$1&amp;$R$1&amp;K74&amp;$Q$1&amp;$S$1&amp;$P$1&amp;$T$1&amp;$G$2&amp;$T$1&amp;$R$1&amp;G74&amp;$Q$1&amp;$S$1&amp;$P$1&amp;$T$1&amp;$H$2&amp;$T$1&amp;$R$1&amp;H74&amp;$Q$1&amp;$S$1&amp;$P$1&amp;$T$1&amp;$I$2&amp;$T$1&amp;$R$1&amp;I74&amp;$Q$1&amp;$S$1&amp;$P$1&amp;$T$1&amp;$J$2&amp;$T$1&amp;$R$1&amp;J74&amp;$Q$1&amp;$O$1</f>
        <v>[{"2":206},{"4":114},{"5":114},{"12":1729},{"7":8},{"6":0},{"8":10},{"9":0}]</v>
      </c>
      <c r="AE73" t="str">
        <f>$N$1&amp;$P$1&amp;$T$1&amp;$C$2&amp;$T$1&amp;$R$1&amp;C74&amp;$Q$1&amp;$S$1&amp;$P$1&amp;$T$1&amp;$D$2&amp;$T$1&amp;$R$1&amp;D74&amp;$Q$1&amp;$S$1&amp;$P$1&amp;$T$1&amp;$E$2&amp;$T$1&amp;$R$1&amp;E74&amp;$Q$1&amp;$S$1&amp;$P$1&amp;$T$1&amp;$F$2&amp;$T$1&amp;$R$1&amp;L74&amp;$Q$1&amp;$S$1&amp;$P$1&amp;$T$1&amp;$G$2&amp;$T$1&amp;$R$1&amp;G74&amp;$Q$1&amp;$S$1&amp;$P$1&amp;$T$1&amp;$H$2&amp;$T$1&amp;$R$1&amp;H74&amp;$Q$1&amp;$S$1&amp;$P$1&amp;$T$1&amp;$I$2&amp;$T$1&amp;$R$1&amp;I74&amp;$Q$1&amp;$S$1&amp;$P$1&amp;$T$1&amp;$J$2&amp;$T$1&amp;$R$1&amp;J74&amp;$Q$1&amp;$O$1</f>
        <v>[{"2":206},{"4":114},{"5":114},{"12":2594},{"7":8},{"6":0},{"8":10},{"9":0}]</v>
      </c>
      <c r="AG73">
        <v>71</v>
      </c>
      <c r="AH73">
        <f t="shared" si="15"/>
        <v>47</v>
      </c>
      <c r="AI73">
        <f t="shared" si="16"/>
        <v>47</v>
      </c>
      <c r="AJ73">
        <v>553</v>
      </c>
      <c r="AK73">
        <v>4</v>
      </c>
      <c r="AL73">
        <v>8</v>
      </c>
      <c r="AM73">
        <v>0</v>
      </c>
      <c r="AN73">
        <v>10</v>
      </c>
    </row>
    <row r="74" customFormat="1" ht="16.5" spans="1:40">
      <c r="A74">
        <v>72</v>
      </c>
      <c r="B74">
        <f>$AP$2+AG74</f>
        <v>172</v>
      </c>
      <c r="C74">
        <f t="shared" si="12"/>
        <v>206</v>
      </c>
      <c r="D74">
        <f>AH74+$AQ$2</f>
        <v>114</v>
      </c>
      <c r="E74">
        <f t="shared" si="11"/>
        <v>114</v>
      </c>
      <c r="F74" s="4">
        <f>INT(主角属性配置!F74/3+$AS$2)</f>
        <v>5187</v>
      </c>
      <c r="G74">
        <v>8</v>
      </c>
      <c r="H74">
        <v>0</v>
      </c>
      <c r="I74">
        <v>10</v>
      </c>
      <c r="J74">
        <v>0</v>
      </c>
      <c r="K74" s="3">
        <f t="shared" si="13"/>
        <v>1729</v>
      </c>
      <c r="L74" s="3">
        <f t="shared" si="14"/>
        <v>2594</v>
      </c>
      <c r="N74" t="str">
        <f>$N$1&amp;$P$1&amp;$T$1&amp;$B$2&amp;$T$1&amp;$R$1&amp;B75&amp;$Q$1&amp;$S$1&amp;$P$1&amp;$T$1&amp;$D$2&amp;$T$1&amp;$R$1&amp;D75&amp;$Q$1&amp;$S$1&amp;$P$1&amp;$T$1&amp;$E$2&amp;$T$1&amp;$R$1&amp;E75&amp;$Q$1&amp;$S$1&amp;$P$1&amp;$T$1&amp;$F$2&amp;$T$1&amp;$R$1&amp;F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[{"1":173},{"4":114},{"5":114},{"12":5250},{"7":8},{"6":0},{"8":10},{"9":0}]</v>
      </c>
      <c r="W74" t="str">
        <f>$N$1&amp;$P$1&amp;$T$1&amp;$C$2&amp;$T$1&amp;$R$1&amp;C75&amp;$Q$1&amp;$S$1&amp;$P$1&amp;$T$1&amp;$D$2&amp;$T$1&amp;$R$1&amp;D75&amp;$Q$1&amp;$S$1&amp;$P$1&amp;$T$1&amp;$E$2&amp;$T$1&amp;$R$1&amp;E75&amp;$Q$1&amp;$S$1&amp;$P$1&amp;$T$1&amp;$F$2&amp;$T$1&amp;$R$1&amp;K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[{"2":207},{"4":114},{"5":114},{"12":1750},{"7":8},{"6":0},{"8":10},{"9":0}]</v>
      </c>
      <c r="AE74" t="str">
        <f>$N$1&amp;$P$1&amp;$T$1&amp;$C$2&amp;$T$1&amp;$R$1&amp;C75&amp;$Q$1&amp;$S$1&amp;$P$1&amp;$T$1&amp;$D$2&amp;$T$1&amp;$R$1&amp;D75&amp;$Q$1&amp;$S$1&amp;$P$1&amp;$T$1&amp;$E$2&amp;$T$1&amp;$R$1&amp;E75&amp;$Q$1&amp;$S$1&amp;$P$1&amp;$T$1&amp;$F$2&amp;$T$1&amp;$R$1&amp;L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[{"2":207},{"4":114},{"5":114},{"12":2625},{"7":8},{"6":0},{"8":10},{"9":0}]</v>
      </c>
      <c r="AG74">
        <v>72</v>
      </c>
      <c r="AH74">
        <f t="shared" si="15"/>
        <v>48</v>
      </c>
      <c r="AI74">
        <f t="shared" si="16"/>
        <v>48</v>
      </c>
      <c r="AJ74">
        <v>561</v>
      </c>
      <c r="AK74">
        <v>4</v>
      </c>
      <c r="AL74">
        <v>8</v>
      </c>
      <c r="AM74">
        <v>0</v>
      </c>
      <c r="AN74">
        <v>10</v>
      </c>
    </row>
    <row r="75" customFormat="1" ht="16.5" spans="1:40">
      <c r="A75">
        <v>73</v>
      </c>
      <c r="B75">
        <f>$AP$2+AG75</f>
        <v>173</v>
      </c>
      <c r="C75">
        <f t="shared" si="12"/>
        <v>207</v>
      </c>
      <c r="D75">
        <f>AH75+$AQ$2</f>
        <v>114</v>
      </c>
      <c r="E75">
        <f t="shared" si="11"/>
        <v>114</v>
      </c>
      <c r="F75" s="4">
        <f>INT(主角属性配置!F75/3+$AS$2)</f>
        <v>5250</v>
      </c>
      <c r="G75">
        <v>8</v>
      </c>
      <c r="H75">
        <v>0</v>
      </c>
      <c r="I75">
        <v>10</v>
      </c>
      <c r="J75">
        <v>0</v>
      </c>
      <c r="K75" s="3">
        <f t="shared" si="13"/>
        <v>1750</v>
      </c>
      <c r="L75" s="3">
        <f t="shared" si="14"/>
        <v>2625</v>
      </c>
      <c r="N75" t="str">
        <f>$N$1&amp;$P$1&amp;$T$1&amp;$B$2&amp;$T$1&amp;$R$1&amp;B76&amp;$Q$1&amp;$S$1&amp;$P$1&amp;$T$1&amp;$D$2&amp;$T$1&amp;$R$1&amp;D76&amp;$Q$1&amp;$S$1&amp;$P$1&amp;$T$1&amp;$E$2&amp;$T$1&amp;$R$1&amp;E76&amp;$Q$1&amp;$S$1&amp;$P$1&amp;$T$1&amp;$F$2&amp;$T$1&amp;$R$1&amp;F76&amp;$Q$1&amp;$S$1&amp;$P$1&amp;$T$1&amp;$G$2&amp;$T$1&amp;$R$1&amp;G76&amp;$Q$1&amp;$S$1&amp;$P$1&amp;$T$1&amp;$H$2&amp;$T$1&amp;$R$1&amp;H76&amp;$Q$1&amp;$S$1&amp;$P$1&amp;$T$1&amp;$I$2&amp;$T$1&amp;$R$1&amp;I76&amp;$Q$1&amp;$S$1&amp;$P$1&amp;$T$1&amp;$J$2&amp;$T$1&amp;$R$1&amp;J76&amp;$Q$1&amp;$O$1</f>
        <v>[{"1":174},{"4":115},{"5":115},{"12":5313},{"7":8},{"6":0},{"8":10},{"9":0}]</v>
      </c>
      <c r="W75" t="str">
        <f>$N$1&amp;$P$1&amp;$T$1&amp;$C$2&amp;$T$1&amp;$R$1&amp;C76&amp;$Q$1&amp;$S$1&amp;$P$1&amp;$T$1&amp;$D$2&amp;$T$1&amp;$R$1&amp;D76&amp;$Q$1&amp;$S$1&amp;$P$1&amp;$T$1&amp;$E$2&amp;$T$1&amp;$R$1&amp;E76&amp;$Q$1&amp;$S$1&amp;$P$1&amp;$T$1&amp;$F$2&amp;$T$1&amp;$R$1&amp;K76&amp;$Q$1&amp;$S$1&amp;$P$1&amp;$T$1&amp;$G$2&amp;$T$1&amp;$R$1&amp;G76&amp;$Q$1&amp;$S$1&amp;$P$1&amp;$T$1&amp;$H$2&amp;$T$1&amp;$R$1&amp;H76&amp;$Q$1&amp;$S$1&amp;$P$1&amp;$T$1&amp;$I$2&amp;$T$1&amp;$R$1&amp;I76&amp;$Q$1&amp;$S$1&amp;$P$1&amp;$T$1&amp;$J$2&amp;$T$1&amp;$R$1&amp;J76&amp;$Q$1&amp;$O$1</f>
        <v>[{"2":208},{"4":115},{"5":115},{"12":1771},{"7":8},{"6":0},{"8":10},{"9":0}]</v>
      </c>
      <c r="AE75" t="str">
        <f>$N$1&amp;$P$1&amp;$T$1&amp;$C$2&amp;$T$1&amp;$R$1&amp;C76&amp;$Q$1&amp;$S$1&amp;$P$1&amp;$T$1&amp;$D$2&amp;$T$1&amp;$R$1&amp;D76&amp;$Q$1&amp;$S$1&amp;$P$1&amp;$T$1&amp;$E$2&amp;$T$1&amp;$R$1&amp;E76&amp;$Q$1&amp;$S$1&amp;$P$1&amp;$T$1&amp;$F$2&amp;$T$1&amp;$R$1&amp;L76&amp;$Q$1&amp;$S$1&amp;$P$1&amp;$T$1&amp;$G$2&amp;$T$1&amp;$R$1&amp;G76&amp;$Q$1&amp;$S$1&amp;$P$1&amp;$T$1&amp;$H$2&amp;$T$1&amp;$R$1&amp;H76&amp;$Q$1&amp;$S$1&amp;$P$1&amp;$T$1&amp;$I$2&amp;$T$1&amp;$R$1&amp;I76&amp;$Q$1&amp;$S$1&amp;$P$1&amp;$T$1&amp;$J$2&amp;$T$1&amp;$R$1&amp;J76&amp;$Q$1&amp;$O$1</f>
        <v>[{"2":208},{"4":115},{"5":115},{"12":2657},{"7":8},{"6":0},{"8":10},{"9":0}]</v>
      </c>
      <c r="AG75">
        <v>73</v>
      </c>
      <c r="AH75">
        <f t="shared" si="15"/>
        <v>48</v>
      </c>
      <c r="AI75">
        <f t="shared" si="16"/>
        <v>48</v>
      </c>
      <c r="AJ75">
        <v>569</v>
      </c>
      <c r="AK75">
        <v>4</v>
      </c>
      <c r="AL75">
        <v>8</v>
      </c>
      <c r="AM75">
        <v>0</v>
      </c>
      <c r="AN75">
        <v>10</v>
      </c>
    </row>
    <row r="76" customFormat="1" ht="16.5" spans="1:40">
      <c r="A76">
        <v>74</v>
      </c>
      <c r="B76">
        <f>$AP$2+AG76</f>
        <v>174</v>
      </c>
      <c r="C76">
        <f t="shared" si="12"/>
        <v>208</v>
      </c>
      <c r="D76">
        <f>AH76+$AQ$2</f>
        <v>115</v>
      </c>
      <c r="E76">
        <f t="shared" si="11"/>
        <v>115</v>
      </c>
      <c r="F76" s="4">
        <f>INT(主角属性配置!F76/3+$AS$2)</f>
        <v>5313</v>
      </c>
      <c r="G76">
        <v>8</v>
      </c>
      <c r="H76">
        <v>0</v>
      </c>
      <c r="I76">
        <v>10</v>
      </c>
      <c r="J76">
        <v>0</v>
      </c>
      <c r="K76" s="3">
        <f t="shared" si="13"/>
        <v>1771</v>
      </c>
      <c r="L76" s="3">
        <f t="shared" si="14"/>
        <v>2657</v>
      </c>
      <c r="N76" t="str">
        <f>$N$1&amp;$P$1&amp;$T$1&amp;$B$2&amp;$T$1&amp;$R$1&amp;B77&amp;$Q$1&amp;$S$1&amp;$P$1&amp;$T$1&amp;$D$2&amp;$T$1&amp;$R$1&amp;D77&amp;$Q$1&amp;$S$1&amp;$P$1&amp;$T$1&amp;$E$2&amp;$T$1&amp;$R$1&amp;E77&amp;$Q$1&amp;$S$1&amp;$P$1&amp;$T$1&amp;$F$2&amp;$T$1&amp;$R$1&amp;F77&amp;$Q$1&amp;$S$1&amp;$P$1&amp;$T$1&amp;$G$2&amp;$T$1&amp;$R$1&amp;G77&amp;$Q$1&amp;$S$1&amp;$P$1&amp;$T$1&amp;$H$2&amp;$T$1&amp;$R$1&amp;H77&amp;$Q$1&amp;$S$1&amp;$P$1&amp;$T$1&amp;$I$2&amp;$T$1&amp;$R$1&amp;I77&amp;$Q$1&amp;$S$1&amp;$P$1&amp;$T$1&amp;$J$2&amp;$T$1&amp;$R$1&amp;J77&amp;$Q$1&amp;$O$1</f>
        <v>[{"1":175},{"4":116},{"5":116},{"12":5376},{"7":8},{"6":0},{"8":10},{"9":0}]</v>
      </c>
      <c r="W76" t="str">
        <f>$N$1&amp;$P$1&amp;$T$1&amp;$C$2&amp;$T$1&amp;$R$1&amp;C77&amp;$Q$1&amp;$S$1&amp;$P$1&amp;$T$1&amp;$D$2&amp;$T$1&amp;$R$1&amp;D77&amp;$Q$1&amp;$S$1&amp;$P$1&amp;$T$1&amp;$E$2&amp;$T$1&amp;$R$1&amp;E77&amp;$Q$1&amp;$S$1&amp;$P$1&amp;$T$1&amp;$F$2&amp;$T$1&amp;$R$1&amp;K77&amp;$Q$1&amp;$S$1&amp;$P$1&amp;$T$1&amp;$G$2&amp;$T$1&amp;$R$1&amp;G77&amp;$Q$1&amp;$S$1&amp;$P$1&amp;$T$1&amp;$H$2&amp;$T$1&amp;$R$1&amp;H77&amp;$Q$1&amp;$S$1&amp;$P$1&amp;$T$1&amp;$I$2&amp;$T$1&amp;$R$1&amp;I77&amp;$Q$1&amp;$S$1&amp;$P$1&amp;$T$1&amp;$J$2&amp;$T$1&amp;$R$1&amp;J77&amp;$Q$1&amp;$O$1</f>
        <v>[{"2":210},{"4":116},{"5":116},{"12":1792},{"7":8},{"6":0},{"8":10},{"9":0}]</v>
      </c>
      <c r="AE76" t="str">
        <f>$N$1&amp;$P$1&amp;$T$1&amp;$C$2&amp;$T$1&amp;$R$1&amp;C77&amp;$Q$1&amp;$S$1&amp;$P$1&amp;$T$1&amp;$D$2&amp;$T$1&amp;$R$1&amp;D77&amp;$Q$1&amp;$S$1&amp;$P$1&amp;$T$1&amp;$E$2&amp;$T$1&amp;$R$1&amp;E77&amp;$Q$1&amp;$S$1&amp;$P$1&amp;$T$1&amp;$F$2&amp;$T$1&amp;$R$1&amp;L77&amp;$Q$1&amp;$S$1&amp;$P$1&amp;$T$1&amp;$G$2&amp;$T$1&amp;$R$1&amp;G77&amp;$Q$1&amp;$S$1&amp;$P$1&amp;$T$1&amp;$H$2&amp;$T$1&amp;$R$1&amp;H77&amp;$Q$1&amp;$S$1&amp;$P$1&amp;$T$1&amp;$I$2&amp;$T$1&amp;$R$1&amp;I77&amp;$Q$1&amp;$S$1&amp;$P$1&amp;$T$1&amp;$J$2&amp;$T$1&amp;$R$1&amp;J77&amp;$Q$1&amp;$O$1</f>
        <v>[{"2":210},{"4":116},{"5":116},{"12":2688},{"7":8},{"6":0},{"8":10},{"9":0}]</v>
      </c>
      <c r="AG76">
        <v>74</v>
      </c>
      <c r="AH76">
        <f t="shared" si="15"/>
        <v>49</v>
      </c>
      <c r="AI76">
        <f t="shared" si="16"/>
        <v>49</v>
      </c>
      <c r="AJ76">
        <v>577</v>
      </c>
      <c r="AK76">
        <v>4</v>
      </c>
      <c r="AL76">
        <v>8</v>
      </c>
      <c r="AM76">
        <v>0</v>
      </c>
      <c r="AN76">
        <v>10</v>
      </c>
    </row>
    <row r="77" customFormat="1" ht="16.5" spans="1:40">
      <c r="A77">
        <v>75</v>
      </c>
      <c r="B77">
        <f>$AP$2+AG77</f>
        <v>175</v>
      </c>
      <c r="C77">
        <f t="shared" si="12"/>
        <v>210</v>
      </c>
      <c r="D77">
        <f>AH77+$AQ$2</f>
        <v>116</v>
      </c>
      <c r="E77">
        <f t="shared" si="11"/>
        <v>116</v>
      </c>
      <c r="F77" s="4">
        <f>INT(主角属性配置!F77/3+$AS$2)</f>
        <v>5376</v>
      </c>
      <c r="G77">
        <v>8</v>
      </c>
      <c r="H77">
        <v>0</v>
      </c>
      <c r="I77">
        <v>10</v>
      </c>
      <c r="J77">
        <v>0</v>
      </c>
      <c r="K77" s="3">
        <f t="shared" si="13"/>
        <v>1792</v>
      </c>
      <c r="L77" s="3">
        <f t="shared" si="14"/>
        <v>2688</v>
      </c>
      <c r="N77" t="str">
        <f>$N$1&amp;$P$1&amp;$T$1&amp;$B$2&amp;$T$1&amp;$R$1&amp;B78&amp;$Q$1&amp;$S$1&amp;$P$1&amp;$T$1&amp;$D$2&amp;$T$1&amp;$R$1&amp;D78&amp;$Q$1&amp;$S$1&amp;$P$1&amp;$T$1&amp;$E$2&amp;$T$1&amp;$R$1&amp;E78&amp;$Q$1&amp;$S$1&amp;$P$1&amp;$T$1&amp;$F$2&amp;$T$1&amp;$R$1&amp;F78&amp;$Q$1&amp;$S$1&amp;$P$1&amp;$T$1&amp;$G$2&amp;$T$1&amp;$R$1&amp;G78&amp;$Q$1&amp;$S$1&amp;$P$1&amp;$T$1&amp;$H$2&amp;$T$1&amp;$R$1&amp;H78&amp;$Q$1&amp;$S$1&amp;$P$1&amp;$T$1&amp;$I$2&amp;$T$1&amp;$R$1&amp;I78&amp;$Q$1&amp;$S$1&amp;$P$1&amp;$T$1&amp;$J$2&amp;$T$1&amp;$R$1&amp;J78&amp;$Q$1&amp;$O$1</f>
        <v>[{"1":176},{"4":116},{"5":116},{"12":5440},{"7":8},{"6":0},{"8":10},{"9":0}]</v>
      </c>
      <c r="W77" t="str">
        <f>$N$1&amp;$P$1&amp;$T$1&amp;$C$2&amp;$T$1&amp;$R$1&amp;C78&amp;$Q$1&amp;$S$1&amp;$P$1&amp;$T$1&amp;$D$2&amp;$T$1&amp;$R$1&amp;D78&amp;$Q$1&amp;$S$1&amp;$P$1&amp;$T$1&amp;$E$2&amp;$T$1&amp;$R$1&amp;E78&amp;$Q$1&amp;$S$1&amp;$P$1&amp;$T$1&amp;$F$2&amp;$T$1&amp;$R$1&amp;K78&amp;$Q$1&amp;$S$1&amp;$P$1&amp;$T$1&amp;$G$2&amp;$T$1&amp;$R$1&amp;G78&amp;$Q$1&amp;$S$1&amp;$P$1&amp;$T$1&amp;$H$2&amp;$T$1&amp;$R$1&amp;H78&amp;$Q$1&amp;$S$1&amp;$P$1&amp;$T$1&amp;$I$2&amp;$T$1&amp;$R$1&amp;I78&amp;$Q$1&amp;$S$1&amp;$P$1&amp;$T$1&amp;$J$2&amp;$T$1&amp;$R$1&amp;J78&amp;$Q$1&amp;$O$1</f>
        <v>[{"2":211},{"4":116},{"5":116},{"12":1813},{"7":8},{"6":0},{"8":10},{"9":0}]</v>
      </c>
      <c r="AE77" t="str">
        <f>$N$1&amp;$P$1&amp;$T$1&amp;$C$2&amp;$T$1&amp;$R$1&amp;C78&amp;$Q$1&amp;$S$1&amp;$P$1&amp;$T$1&amp;$D$2&amp;$T$1&amp;$R$1&amp;D78&amp;$Q$1&amp;$S$1&amp;$P$1&amp;$T$1&amp;$E$2&amp;$T$1&amp;$R$1&amp;E78&amp;$Q$1&amp;$S$1&amp;$P$1&amp;$T$1&amp;$F$2&amp;$T$1&amp;$R$1&amp;L78&amp;$Q$1&amp;$S$1&amp;$P$1&amp;$T$1&amp;$G$2&amp;$T$1&amp;$R$1&amp;G78&amp;$Q$1&amp;$S$1&amp;$P$1&amp;$T$1&amp;$H$2&amp;$T$1&amp;$R$1&amp;H78&amp;$Q$1&amp;$S$1&amp;$P$1&amp;$T$1&amp;$I$2&amp;$T$1&amp;$R$1&amp;I78&amp;$Q$1&amp;$S$1&amp;$P$1&amp;$T$1&amp;$J$2&amp;$T$1&amp;$R$1&amp;J78&amp;$Q$1&amp;$O$1</f>
        <v>[{"2":211},{"4":116},{"5":116},{"12":2720},{"7":8},{"6":0},{"8":10},{"9":0}]</v>
      </c>
      <c r="AG77">
        <v>75</v>
      </c>
      <c r="AH77">
        <f t="shared" si="15"/>
        <v>50</v>
      </c>
      <c r="AI77">
        <f t="shared" si="16"/>
        <v>50</v>
      </c>
      <c r="AJ77">
        <v>585</v>
      </c>
      <c r="AK77">
        <v>4</v>
      </c>
      <c r="AL77">
        <v>8</v>
      </c>
      <c r="AM77">
        <v>0</v>
      </c>
      <c r="AN77">
        <v>10</v>
      </c>
    </row>
    <row r="78" customFormat="1" ht="16.5" spans="1:40">
      <c r="A78">
        <v>76</v>
      </c>
      <c r="B78">
        <f>$AP$2+AG78</f>
        <v>176</v>
      </c>
      <c r="C78">
        <f t="shared" si="12"/>
        <v>211</v>
      </c>
      <c r="D78">
        <f>AH78+$AQ$2</f>
        <v>116</v>
      </c>
      <c r="E78">
        <f t="shared" si="11"/>
        <v>116</v>
      </c>
      <c r="F78" s="4">
        <f>INT(主角属性配置!F78/3+$AS$2)</f>
        <v>5440</v>
      </c>
      <c r="G78">
        <v>8</v>
      </c>
      <c r="H78">
        <v>0</v>
      </c>
      <c r="I78">
        <v>10</v>
      </c>
      <c r="J78">
        <v>0</v>
      </c>
      <c r="K78" s="3">
        <f t="shared" si="13"/>
        <v>1813</v>
      </c>
      <c r="L78" s="3">
        <f t="shared" si="14"/>
        <v>2720</v>
      </c>
      <c r="N78" t="str">
        <f>$N$1&amp;$P$1&amp;$T$1&amp;$B$2&amp;$T$1&amp;$R$1&amp;B79&amp;$Q$1&amp;$S$1&amp;$P$1&amp;$T$1&amp;$D$2&amp;$T$1&amp;$R$1&amp;D79&amp;$Q$1&amp;$S$1&amp;$P$1&amp;$T$1&amp;$E$2&amp;$T$1&amp;$R$1&amp;E79&amp;$Q$1&amp;$S$1&amp;$P$1&amp;$T$1&amp;$F$2&amp;$T$1&amp;$R$1&amp;F79&amp;$Q$1&amp;$S$1&amp;$P$1&amp;$T$1&amp;$G$2&amp;$T$1&amp;$R$1&amp;G79&amp;$Q$1&amp;$S$1&amp;$P$1&amp;$T$1&amp;$H$2&amp;$T$1&amp;$R$1&amp;H79&amp;$Q$1&amp;$S$1&amp;$P$1&amp;$T$1&amp;$I$2&amp;$T$1&amp;$R$1&amp;I79&amp;$Q$1&amp;$S$1&amp;$P$1&amp;$T$1&amp;$J$2&amp;$T$1&amp;$R$1&amp;J79&amp;$Q$1&amp;$O$1</f>
        <v>[{"1":177},{"4":117},{"5":117},{"12":5503},{"7":8},{"6":0},{"8":10},{"9":0}]</v>
      </c>
      <c r="W78" t="str">
        <f>$N$1&amp;$P$1&amp;$T$1&amp;$C$2&amp;$T$1&amp;$R$1&amp;C79&amp;$Q$1&amp;$S$1&amp;$P$1&amp;$T$1&amp;$D$2&amp;$T$1&amp;$R$1&amp;D79&amp;$Q$1&amp;$S$1&amp;$P$1&amp;$T$1&amp;$E$2&amp;$T$1&amp;$R$1&amp;E79&amp;$Q$1&amp;$S$1&amp;$P$1&amp;$T$1&amp;$F$2&amp;$T$1&amp;$R$1&amp;K79&amp;$Q$1&amp;$S$1&amp;$P$1&amp;$T$1&amp;$G$2&amp;$T$1&amp;$R$1&amp;G79&amp;$Q$1&amp;$S$1&amp;$P$1&amp;$T$1&amp;$H$2&amp;$T$1&amp;$R$1&amp;H79&amp;$Q$1&amp;$S$1&amp;$P$1&amp;$T$1&amp;$I$2&amp;$T$1&amp;$R$1&amp;I79&amp;$Q$1&amp;$S$1&amp;$P$1&amp;$T$1&amp;$J$2&amp;$T$1&amp;$R$1&amp;J79&amp;$Q$1&amp;$O$1</f>
        <v>[{"2":212},{"4":117},{"5":117},{"12":1834},{"7":8},{"6":0},{"8":10},{"9":0}]</v>
      </c>
      <c r="AE78" t="str">
        <f>$N$1&amp;$P$1&amp;$T$1&amp;$C$2&amp;$T$1&amp;$R$1&amp;C79&amp;$Q$1&amp;$S$1&amp;$P$1&amp;$T$1&amp;$D$2&amp;$T$1&amp;$R$1&amp;D79&amp;$Q$1&amp;$S$1&amp;$P$1&amp;$T$1&amp;$E$2&amp;$T$1&amp;$R$1&amp;E79&amp;$Q$1&amp;$S$1&amp;$P$1&amp;$T$1&amp;$F$2&amp;$T$1&amp;$R$1&amp;L79&amp;$Q$1&amp;$S$1&amp;$P$1&amp;$T$1&amp;$G$2&amp;$T$1&amp;$R$1&amp;G79&amp;$Q$1&amp;$S$1&amp;$P$1&amp;$T$1&amp;$H$2&amp;$T$1&amp;$R$1&amp;H79&amp;$Q$1&amp;$S$1&amp;$P$1&amp;$T$1&amp;$I$2&amp;$T$1&amp;$R$1&amp;I79&amp;$Q$1&amp;$S$1&amp;$P$1&amp;$T$1&amp;$J$2&amp;$T$1&amp;$R$1&amp;J79&amp;$Q$1&amp;$O$1</f>
        <v>[{"2":212},{"4":117},{"5":117},{"12":2752},{"7":8},{"6":0},{"8":10},{"9":0}]</v>
      </c>
      <c r="AG78">
        <v>76</v>
      </c>
      <c r="AH78">
        <f t="shared" si="15"/>
        <v>50</v>
      </c>
      <c r="AI78">
        <f t="shared" si="16"/>
        <v>50</v>
      </c>
      <c r="AJ78">
        <v>593</v>
      </c>
      <c r="AK78">
        <v>4</v>
      </c>
      <c r="AL78">
        <v>8</v>
      </c>
      <c r="AM78">
        <v>0</v>
      </c>
      <c r="AN78">
        <v>10</v>
      </c>
    </row>
    <row r="79" customFormat="1" ht="16.5" spans="1:40">
      <c r="A79">
        <v>77</v>
      </c>
      <c r="B79">
        <f>$AP$2+AG79</f>
        <v>177</v>
      </c>
      <c r="C79">
        <f t="shared" si="12"/>
        <v>212</v>
      </c>
      <c r="D79">
        <f>AH79+$AQ$2</f>
        <v>117</v>
      </c>
      <c r="E79">
        <f t="shared" si="11"/>
        <v>117</v>
      </c>
      <c r="F79" s="4">
        <f>INT(主角属性配置!F79/3+$AS$2)</f>
        <v>5503</v>
      </c>
      <c r="G79">
        <v>8</v>
      </c>
      <c r="H79">
        <v>0</v>
      </c>
      <c r="I79">
        <v>10</v>
      </c>
      <c r="J79">
        <v>0</v>
      </c>
      <c r="K79" s="3">
        <f t="shared" si="13"/>
        <v>1834</v>
      </c>
      <c r="L79" s="3">
        <f t="shared" si="14"/>
        <v>2752</v>
      </c>
      <c r="N79" t="str">
        <f>$N$1&amp;$P$1&amp;$T$1&amp;$B$2&amp;$T$1&amp;$R$1&amp;B80&amp;$Q$1&amp;$S$1&amp;$P$1&amp;$T$1&amp;$D$2&amp;$T$1&amp;$R$1&amp;D80&amp;$Q$1&amp;$S$1&amp;$P$1&amp;$T$1&amp;$E$2&amp;$T$1&amp;$R$1&amp;E80&amp;$Q$1&amp;$S$1&amp;$P$1&amp;$T$1&amp;$F$2&amp;$T$1&amp;$R$1&amp;F80&amp;$Q$1&amp;$S$1&amp;$P$1&amp;$T$1&amp;$G$2&amp;$T$1&amp;$R$1&amp;G80&amp;$Q$1&amp;$S$1&amp;$P$1&amp;$T$1&amp;$H$2&amp;$T$1&amp;$R$1&amp;H80&amp;$Q$1&amp;$S$1&amp;$P$1&amp;$T$1&amp;$I$2&amp;$T$1&amp;$R$1&amp;I80&amp;$Q$1&amp;$S$1&amp;$P$1&amp;$T$1&amp;$J$2&amp;$T$1&amp;$R$1&amp;J80&amp;$Q$1&amp;$O$1</f>
        <v>[{"1":178},{"4":118},{"5":118},{"12":5566},{"7":8},{"6":0},{"8":10},{"9":0}]</v>
      </c>
      <c r="W79" t="str">
        <f>$N$1&amp;$P$1&amp;$T$1&amp;$C$2&amp;$T$1&amp;$R$1&amp;C80&amp;$Q$1&amp;$S$1&amp;$P$1&amp;$T$1&amp;$D$2&amp;$T$1&amp;$R$1&amp;D80&amp;$Q$1&amp;$S$1&amp;$P$1&amp;$T$1&amp;$E$2&amp;$T$1&amp;$R$1&amp;E80&amp;$Q$1&amp;$S$1&amp;$P$1&amp;$T$1&amp;$F$2&amp;$T$1&amp;$R$1&amp;K80&amp;$Q$1&amp;$S$1&amp;$P$1&amp;$T$1&amp;$G$2&amp;$T$1&amp;$R$1&amp;G80&amp;$Q$1&amp;$S$1&amp;$P$1&amp;$T$1&amp;$H$2&amp;$T$1&amp;$R$1&amp;H80&amp;$Q$1&amp;$S$1&amp;$P$1&amp;$T$1&amp;$I$2&amp;$T$1&amp;$R$1&amp;I80&amp;$Q$1&amp;$S$1&amp;$P$1&amp;$T$1&amp;$J$2&amp;$T$1&amp;$R$1&amp;J80&amp;$Q$1&amp;$O$1</f>
        <v>[{"2":213},{"4":118},{"5":118},{"12":1855},{"7":8},{"6":0},{"8":10},{"9":0}]</v>
      </c>
      <c r="AE79" t="str">
        <f>$N$1&amp;$P$1&amp;$T$1&amp;$C$2&amp;$T$1&amp;$R$1&amp;C80&amp;$Q$1&amp;$S$1&amp;$P$1&amp;$T$1&amp;$D$2&amp;$T$1&amp;$R$1&amp;D80&amp;$Q$1&amp;$S$1&amp;$P$1&amp;$T$1&amp;$E$2&amp;$T$1&amp;$R$1&amp;E80&amp;$Q$1&amp;$S$1&amp;$P$1&amp;$T$1&amp;$F$2&amp;$T$1&amp;$R$1&amp;L80&amp;$Q$1&amp;$S$1&amp;$P$1&amp;$T$1&amp;$G$2&amp;$T$1&amp;$R$1&amp;G80&amp;$Q$1&amp;$S$1&amp;$P$1&amp;$T$1&amp;$H$2&amp;$T$1&amp;$R$1&amp;H80&amp;$Q$1&amp;$S$1&amp;$P$1&amp;$T$1&amp;$I$2&amp;$T$1&amp;$R$1&amp;I80&amp;$Q$1&amp;$S$1&amp;$P$1&amp;$T$1&amp;$J$2&amp;$T$1&amp;$R$1&amp;J80&amp;$Q$1&amp;$O$1</f>
        <v>[{"2":213},{"4":118},{"5":118},{"12":2783},{"7":8},{"6":0},{"8":10},{"9":0}]</v>
      </c>
      <c r="AG79">
        <v>77</v>
      </c>
      <c r="AH79">
        <f t="shared" si="15"/>
        <v>51</v>
      </c>
      <c r="AI79">
        <f t="shared" si="16"/>
        <v>51</v>
      </c>
      <c r="AJ79">
        <v>601</v>
      </c>
      <c r="AK79">
        <v>4</v>
      </c>
      <c r="AL79">
        <v>8</v>
      </c>
      <c r="AM79">
        <v>0</v>
      </c>
      <c r="AN79">
        <v>10</v>
      </c>
    </row>
    <row r="80" customFormat="1" ht="16.5" spans="1:40">
      <c r="A80">
        <v>78</v>
      </c>
      <c r="B80">
        <f>$AP$2+AG80</f>
        <v>178</v>
      </c>
      <c r="C80">
        <f t="shared" si="12"/>
        <v>213</v>
      </c>
      <c r="D80">
        <f>AH80+$AQ$2</f>
        <v>118</v>
      </c>
      <c r="E80">
        <f t="shared" si="11"/>
        <v>118</v>
      </c>
      <c r="F80" s="4">
        <f>INT(主角属性配置!F80/3+$AS$2)</f>
        <v>5566</v>
      </c>
      <c r="G80">
        <v>8</v>
      </c>
      <c r="H80">
        <v>0</v>
      </c>
      <c r="I80">
        <v>10</v>
      </c>
      <c r="J80">
        <v>0</v>
      </c>
      <c r="K80" s="3">
        <f t="shared" si="13"/>
        <v>1855</v>
      </c>
      <c r="L80" s="3">
        <f t="shared" si="14"/>
        <v>2783</v>
      </c>
      <c r="N80" t="str">
        <f>$N$1&amp;$P$1&amp;$T$1&amp;$B$2&amp;$T$1&amp;$R$1&amp;B81&amp;$Q$1&amp;$S$1&amp;$P$1&amp;$T$1&amp;$D$2&amp;$T$1&amp;$R$1&amp;D81&amp;$Q$1&amp;$S$1&amp;$P$1&amp;$T$1&amp;$E$2&amp;$T$1&amp;$R$1&amp;E81&amp;$Q$1&amp;$S$1&amp;$P$1&amp;$T$1&amp;$F$2&amp;$T$1&amp;$R$1&amp;F81&amp;$Q$1&amp;$S$1&amp;$P$1&amp;$T$1&amp;$G$2&amp;$T$1&amp;$R$1&amp;G81&amp;$Q$1&amp;$S$1&amp;$P$1&amp;$T$1&amp;$H$2&amp;$T$1&amp;$R$1&amp;H81&amp;$Q$1&amp;$S$1&amp;$P$1&amp;$T$1&amp;$I$2&amp;$T$1&amp;$R$1&amp;I81&amp;$Q$1&amp;$S$1&amp;$P$1&amp;$T$1&amp;$J$2&amp;$T$1&amp;$R$1&amp;J81&amp;$Q$1&amp;$O$1</f>
        <v>[{"1":179},{"4":118},{"5":118},{"12":5630},{"7":8},{"6":0},{"8":10},{"9":0}]</v>
      </c>
      <c r="W80" t="str">
        <f>$N$1&amp;$P$1&amp;$T$1&amp;$C$2&amp;$T$1&amp;$R$1&amp;C81&amp;$Q$1&amp;$S$1&amp;$P$1&amp;$T$1&amp;$D$2&amp;$T$1&amp;$R$1&amp;D81&amp;$Q$1&amp;$S$1&amp;$P$1&amp;$T$1&amp;$E$2&amp;$T$1&amp;$R$1&amp;E81&amp;$Q$1&amp;$S$1&amp;$P$1&amp;$T$1&amp;$F$2&amp;$T$1&amp;$R$1&amp;K81&amp;$Q$1&amp;$S$1&amp;$P$1&amp;$T$1&amp;$G$2&amp;$T$1&amp;$R$1&amp;G81&amp;$Q$1&amp;$S$1&amp;$P$1&amp;$T$1&amp;$H$2&amp;$T$1&amp;$R$1&amp;H81&amp;$Q$1&amp;$S$1&amp;$P$1&amp;$T$1&amp;$I$2&amp;$T$1&amp;$R$1&amp;I81&amp;$Q$1&amp;$S$1&amp;$P$1&amp;$T$1&amp;$J$2&amp;$T$1&amp;$R$1&amp;J81&amp;$Q$1&amp;$O$1</f>
        <v>[{"2":214},{"4":118},{"5":118},{"12":1877},{"7":8},{"6":0},{"8":10},{"9":0}]</v>
      </c>
      <c r="AE80" t="str">
        <f>$N$1&amp;$P$1&amp;$T$1&amp;$C$2&amp;$T$1&amp;$R$1&amp;C81&amp;$Q$1&amp;$S$1&amp;$P$1&amp;$T$1&amp;$D$2&amp;$T$1&amp;$R$1&amp;D81&amp;$Q$1&amp;$S$1&amp;$P$1&amp;$T$1&amp;$E$2&amp;$T$1&amp;$R$1&amp;E81&amp;$Q$1&amp;$S$1&amp;$P$1&amp;$T$1&amp;$F$2&amp;$T$1&amp;$R$1&amp;L81&amp;$Q$1&amp;$S$1&amp;$P$1&amp;$T$1&amp;$G$2&amp;$T$1&amp;$R$1&amp;G81&amp;$Q$1&amp;$S$1&amp;$P$1&amp;$T$1&amp;$H$2&amp;$T$1&amp;$R$1&amp;H81&amp;$Q$1&amp;$S$1&amp;$P$1&amp;$T$1&amp;$I$2&amp;$T$1&amp;$R$1&amp;I81&amp;$Q$1&amp;$S$1&amp;$P$1&amp;$T$1&amp;$J$2&amp;$T$1&amp;$R$1&amp;J81&amp;$Q$1&amp;$O$1</f>
        <v>[{"2":214},{"4":118},{"5":118},{"12":2815},{"7":8},{"6":0},{"8":10},{"9":0}]</v>
      </c>
      <c r="AG80">
        <v>78</v>
      </c>
      <c r="AH80">
        <f t="shared" si="15"/>
        <v>52</v>
      </c>
      <c r="AI80">
        <f t="shared" si="16"/>
        <v>52</v>
      </c>
      <c r="AJ80">
        <v>609</v>
      </c>
      <c r="AK80">
        <v>4</v>
      </c>
      <c r="AL80">
        <v>8</v>
      </c>
      <c r="AM80">
        <v>0</v>
      </c>
      <c r="AN80">
        <v>10</v>
      </c>
    </row>
    <row r="81" customFormat="1" ht="16.5" spans="1:40">
      <c r="A81">
        <v>79</v>
      </c>
      <c r="B81">
        <f>$AP$2+AG81</f>
        <v>179</v>
      </c>
      <c r="C81">
        <f t="shared" si="12"/>
        <v>214</v>
      </c>
      <c r="D81">
        <f>AH81+$AQ$2</f>
        <v>118</v>
      </c>
      <c r="E81">
        <f t="shared" si="11"/>
        <v>118</v>
      </c>
      <c r="F81" s="4">
        <f>INT(主角属性配置!F81/3+$AS$2)</f>
        <v>5630</v>
      </c>
      <c r="G81">
        <v>8</v>
      </c>
      <c r="H81">
        <v>0</v>
      </c>
      <c r="I81">
        <v>10</v>
      </c>
      <c r="J81">
        <v>0</v>
      </c>
      <c r="K81" s="3">
        <f t="shared" si="13"/>
        <v>1877</v>
      </c>
      <c r="L81" s="3">
        <f t="shared" si="14"/>
        <v>2815</v>
      </c>
      <c r="N81" t="str">
        <f>$N$1&amp;$P$1&amp;$T$1&amp;$B$2&amp;$T$1&amp;$R$1&amp;B82&amp;$Q$1&amp;$S$1&amp;$P$1&amp;$T$1&amp;$D$2&amp;$T$1&amp;$R$1&amp;D82&amp;$Q$1&amp;$S$1&amp;$P$1&amp;$T$1&amp;$E$2&amp;$T$1&amp;$R$1&amp;E82&amp;$Q$1&amp;$S$1&amp;$P$1&amp;$T$1&amp;$F$2&amp;$T$1&amp;$R$1&amp;F82&amp;$Q$1&amp;$S$1&amp;$P$1&amp;$T$1&amp;$G$2&amp;$T$1&amp;$R$1&amp;G82&amp;$Q$1&amp;$S$1&amp;$P$1&amp;$T$1&amp;$H$2&amp;$T$1&amp;$R$1&amp;H82&amp;$Q$1&amp;$S$1&amp;$P$1&amp;$T$1&amp;$I$2&amp;$T$1&amp;$R$1&amp;I82&amp;$Q$1&amp;$S$1&amp;$P$1&amp;$T$1&amp;$J$2&amp;$T$1&amp;$R$1&amp;J82&amp;$Q$1&amp;$O$1</f>
        <v>[{"1":180},{"4":119},{"5":119},{"12":5693},{"7":8},{"6":0},{"8":10},{"9":0}]</v>
      </c>
      <c r="W81" t="str">
        <f>$N$1&amp;$P$1&amp;$T$1&amp;$C$2&amp;$T$1&amp;$R$1&amp;C82&amp;$Q$1&amp;$S$1&amp;$P$1&amp;$T$1&amp;$D$2&amp;$T$1&amp;$R$1&amp;D82&amp;$Q$1&amp;$S$1&amp;$P$1&amp;$T$1&amp;$E$2&amp;$T$1&amp;$R$1&amp;E82&amp;$Q$1&amp;$S$1&amp;$P$1&amp;$T$1&amp;$F$2&amp;$T$1&amp;$R$1&amp;K82&amp;$Q$1&amp;$S$1&amp;$P$1&amp;$T$1&amp;$G$2&amp;$T$1&amp;$R$1&amp;G82&amp;$Q$1&amp;$S$1&amp;$P$1&amp;$T$1&amp;$H$2&amp;$T$1&amp;$R$1&amp;H82&amp;$Q$1&amp;$S$1&amp;$P$1&amp;$T$1&amp;$I$2&amp;$T$1&amp;$R$1&amp;I82&amp;$Q$1&amp;$S$1&amp;$P$1&amp;$T$1&amp;$J$2&amp;$T$1&amp;$R$1&amp;J82&amp;$Q$1&amp;$O$1</f>
        <v>[{"2":216},{"4":119},{"5":119},{"12":1898},{"7":8},{"6":0},{"8":10},{"9":0}]</v>
      </c>
      <c r="AE81" t="str">
        <f>$N$1&amp;$P$1&amp;$T$1&amp;$C$2&amp;$T$1&amp;$R$1&amp;C82&amp;$Q$1&amp;$S$1&amp;$P$1&amp;$T$1&amp;$D$2&amp;$T$1&amp;$R$1&amp;D82&amp;$Q$1&amp;$S$1&amp;$P$1&amp;$T$1&amp;$E$2&amp;$T$1&amp;$R$1&amp;E82&amp;$Q$1&amp;$S$1&amp;$P$1&amp;$T$1&amp;$F$2&amp;$T$1&amp;$R$1&amp;L82&amp;$Q$1&amp;$S$1&amp;$P$1&amp;$T$1&amp;$G$2&amp;$T$1&amp;$R$1&amp;G82&amp;$Q$1&amp;$S$1&amp;$P$1&amp;$T$1&amp;$H$2&amp;$T$1&amp;$R$1&amp;H82&amp;$Q$1&amp;$S$1&amp;$P$1&amp;$T$1&amp;$I$2&amp;$T$1&amp;$R$1&amp;I82&amp;$Q$1&amp;$S$1&amp;$P$1&amp;$T$1&amp;$J$2&amp;$T$1&amp;$R$1&amp;J82&amp;$Q$1&amp;$O$1</f>
        <v>[{"2":216},{"4":119},{"5":119},{"12":2847},{"7":8},{"6":0},{"8":10},{"9":0}]</v>
      </c>
      <c r="AG81">
        <v>79</v>
      </c>
      <c r="AH81">
        <f t="shared" si="15"/>
        <v>52</v>
      </c>
      <c r="AI81">
        <f t="shared" si="16"/>
        <v>52</v>
      </c>
      <c r="AJ81">
        <v>617</v>
      </c>
      <c r="AK81">
        <v>4</v>
      </c>
      <c r="AL81">
        <v>8</v>
      </c>
      <c r="AM81">
        <v>0</v>
      </c>
      <c r="AN81">
        <v>10</v>
      </c>
    </row>
    <row r="82" customFormat="1" ht="16.5" spans="1:40">
      <c r="A82">
        <v>80</v>
      </c>
      <c r="B82">
        <f>$AP$2+AG82</f>
        <v>180</v>
      </c>
      <c r="C82">
        <f t="shared" si="12"/>
        <v>216</v>
      </c>
      <c r="D82">
        <f>AH82+$AQ$2</f>
        <v>119</v>
      </c>
      <c r="E82">
        <f t="shared" si="11"/>
        <v>119</v>
      </c>
      <c r="F82" s="4">
        <f>INT(主角属性配置!F82/3+$AS$2)</f>
        <v>5693</v>
      </c>
      <c r="G82">
        <v>8</v>
      </c>
      <c r="H82">
        <v>0</v>
      </c>
      <c r="I82">
        <v>10</v>
      </c>
      <c r="J82">
        <v>0</v>
      </c>
      <c r="K82" s="3">
        <f t="shared" si="13"/>
        <v>1898</v>
      </c>
      <c r="L82" s="3">
        <f t="shared" si="14"/>
        <v>2847</v>
      </c>
      <c r="N82" t="str">
        <f>$N$1&amp;$P$1&amp;$T$1&amp;$B$2&amp;$T$1&amp;$R$1&amp;B83&amp;$Q$1&amp;$S$1&amp;$P$1&amp;$T$1&amp;$D$2&amp;$T$1&amp;$R$1&amp;D83&amp;$Q$1&amp;$S$1&amp;$P$1&amp;$T$1&amp;$E$2&amp;$T$1&amp;$R$1&amp;E83&amp;$Q$1&amp;$S$1&amp;$P$1&amp;$T$1&amp;$F$2&amp;$T$1&amp;$R$1&amp;F83&amp;$Q$1&amp;$S$1&amp;$P$1&amp;$T$1&amp;$G$2&amp;$T$1&amp;$R$1&amp;G83&amp;$Q$1&amp;$S$1&amp;$P$1&amp;$T$1&amp;$H$2&amp;$T$1&amp;$R$1&amp;H83&amp;$Q$1&amp;$S$1&amp;$P$1&amp;$T$1&amp;$I$2&amp;$T$1&amp;$R$1&amp;I83&amp;$Q$1&amp;$S$1&amp;$P$1&amp;$T$1&amp;$J$2&amp;$T$1&amp;$R$1&amp;J83&amp;$Q$1&amp;$O$1</f>
        <v>[{"1":181},{"4":120},{"5":120},{"12":5756},{"7":8},{"6":0},{"8":10},{"9":0}]</v>
      </c>
      <c r="W82" t="str">
        <f>$N$1&amp;$P$1&amp;$T$1&amp;$C$2&amp;$T$1&amp;$R$1&amp;C83&amp;$Q$1&amp;$S$1&amp;$P$1&amp;$T$1&amp;$D$2&amp;$T$1&amp;$R$1&amp;D83&amp;$Q$1&amp;$S$1&amp;$P$1&amp;$T$1&amp;$E$2&amp;$T$1&amp;$R$1&amp;E83&amp;$Q$1&amp;$S$1&amp;$P$1&amp;$T$1&amp;$F$2&amp;$T$1&amp;$R$1&amp;K83&amp;$Q$1&amp;$S$1&amp;$P$1&amp;$T$1&amp;$G$2&amp;$T$1&amp;$R$1&amp;G83&amp;$Q$1&amp;$S$1&amp;$P$1&amp;$T$1&amp;$H$2&amp;$T$1&amp;$R$1&amp;H83&amp;$Q$1&amp;$S$1&amp;$P$1&amp;$T$1&amp;$I$2&amp;$T$1&amp;$R$1&amp;I83&amp;$Q$1&amp;$S$1&amp;$P$1&amp;$T$1&amp;$J$2&amp;$T$1&amp;$R$1&amp;J83&amp;$Q$1&amp;$O$1</f>
        <v>[{"2":217},{"4":120},{"5":120},{"12":1919},{"7":8},{"6":0},{"8":10},{"9":0}]</v>
      </c>
      <c r="AE82" t="str">
        <f>$N$1&amp;$P$1&amp;$T$1&amp;$C$2&amp;$T$1&amp;$R$1&amp;C83&amp;$Q$1&amp;$S$1&amp;$P$1&amp;$T$1&amp;$D$2&amp;$T$1&amp;$R$1&amp;D83&amp;$Q$1&amp;$S$1&amp;$P$1&amp;$T$1&amp;$E$2&amp;$T$1&amp;$R$1&amp;E83&amp;$Q$1&amp;$S$1&amp;$P$1&amp;$T$1&amp;$F$2&amp;$T$1&amp;$R$1&amp;L83&amp;$Q$1&amp;$S$1&amp;$P$1&amp;$T$1&amp;$G$2&amp;$T$1&amp;$R$1&amp;G83&amp;$Q$1&amp;$S$1&amp;$P$1&amp;$T$1&amp;$H$2&amp;$T$1&amp;$R$1&amp;H83&amp;$Q$1&amp;$S$1&amp;$P$1&amp;$T$1&amp;$I$2&amp;$T$1&amp;$R$1&amp;I83&amp;$Q$1&amp;$S$1&amp;$P$1&amp;$T$1&amp;$J$2&amp;$T$1&amp;$R$1&amp;J83&amp;$Q$1&amp;$O$1</f>
        <v>[{"2":217},{"4":120},{"5":120},{"12":2878},{"7":8},{"6":0},{"8":10},{"9":0}]</v>
      </c>
      <c r="AG82">
        <v>80</v>
      </c>
      <c r="AH82">
        <f t="shared" si="15"/>
        <v>53</v>
      </c>
      <c r="AI82">
        <f t="shared" si="16"/>
        <v>53</v>
      </c>
      <c r="AJ82">
        <v>625</v>
      </c>
      <c r="AK82">
        <v>4</v>
      </c>
      <c r="AL82">
        <v>8</v>
      </c>
      <c r="AM82">
        <v>0</v>
      </c>
      <c r="AN82">
        <v>10</v>
      </c>
    </row>
    <row r="83" customFormat="1" ht="16.5" spans="1:40">
      <c r="A83">
        <v>81</v>
      </c>
      <c r="B83">
        <f>$AP$2+AG83</f>
        <v>181</v>
      </c>
      <c r="C83">
        <f t="shared" si="12"/>
        <v>217</v>
      </c>
      <c r="D83">
        <f>AH83+$AQ$2</f>
        <v>120</v>
      </c>
      <c r="E83">
        <f t="shared" si="11"/>
        <v>120</v>
      </c>
      <c r="F83" s="4">
        <f>INT(主角属性配置!F83/3+$AS$2)</f>
        <v>5756</v>
      </c>
      <c r="G83">
        <v>8</v>
      </c>
      <c r="H83">
        <v>0</v>
      </c>
      <c r="I83">
        <v>10</v>
      </c>
      <c r="J83">
        <v>0</v>
      </c>
      <c r="K83" s="3">
        <f t="shared" si="13"/>
        <v>1919</v>
      </c>
      <c r="L83" s="3">
        <f t="shared" si="14"/>
        <v>2878</v>
      </c>
      <c r="N83" t="str">
        <f>$N$1&amp;$P$1&amp;$T$1&amp;$B$2&amp;$T$1&amp;$R$1&amp;B84&amp;$Q$1&amp;$S$1&amp;$P$1&amp;$T$1&amp;$D$2&amp;$T$1&amp;$R$1&amp;D84&amp;$Q$1&amp;$S$1&amp;$P$1&amp;$T$1&amp;$E$2&amp;$T$1&amp;$R$1&amp;E84&amp;$Q$1&amp;$S$1&amp;$P$1&amp;$T$1&amp;$F$2&amp;$T$1&amp;$R$1&amp;F84&amp;$Q$1&amp;$S$1&amp;$P$1&amp;$T$1&amp;$G$2&amp;$T$1&amp;$R$1&amp;G84&amp;$Q$1&amp;$S$1&amp;$P$1&amp;$T$1&amp;$H$2&amp;$T$1&amp;$R$1&amp;H84&amp;$Q$1&amp;$S$1&amp;$P$1&amp;$T$1&amp;$I$2&amp;$T$1&amp;$R$1&amp;I84&amp;$Q$1&amp;$S$1&amp;$P$1&amp;$T$1&amp;$J$2&amp;$T$1&amp;$R$1&amp;J84&amp;$Q$1&amp;$O$1</f>
        <v>[{"1":182},{"4":120},{"5":120},{"12":5820},{"7":8},{"6":0},{"8":10},{"9":0}]</v>
      </c>
      <c r="W83" t="str">
        <f>$N$1&amp;$P$1&amp;$T$1&amp;$C$2&amp;$T$1&amp;$R$1&amp;C84&amp;$Q$1&amp;$S$1&amp;$P$1&amp;$T$1&amp;$D$2&amp;$T$1&amp;$R$1&amp;D84&amp;$Q$1&amp;$S$1&amp;$P$1&amp;$T$1&amp;$E$2&amp;$T$1&amp;$R$1&amp;E84&amp;$Q$1&amp;$S$1&amp;$P$1&amp;$T$1&amp;$F$2&amp;$T$1&amp;$R$1&amp;K84&amp;$Q$1&amp;$S$1&amp;$P$1&amp;$T$1&amp;$G$2&amp;$T$1&amp;$R$1&amp;G84&amp;$Q$1&amp;$S$1&amp;$P$1&amp;$T$1&amp;$H$2&amp;$T$1&amp;$R$1&amp;H84&amp;$Q$1&amp;$S$1&amp;$P$1&amp;$T$1&amp;$I$2&amp;$T$1&amp;$R$1&amp;I84&amp;$Q$1&amp;$S$1&amp;$P$1&amp;$T$1&amp;$J$2&amp;$T$1&amp;$R$1&amp;J84&amp;$Q$1&amp;$O$1</f>
        <v>[{"2":218},{"4":120},{"5":120},{"12":1940},{"7":8},{"6":0},{"8":10},{"9":0}]</v>
      </c>
      <c r="AE83" t="str">
        <f>$N$1&amp;$P$1&amp;$T$1&amp;$C$2&amp;$T$1&amp;$R$1&amp;C84&amp;$Q$1&amp;$S$1&amp;$P$1&amp;$T$1&amp;$D$2&amp;$T$1&amp;$R$1&amp;D84&amp;$Q$1&amp;$S$1&amp;$P$1&amp;$T$1&amp;$E$2&amp;$T$1&amp;$R$1&amp;E84&amp;$Q$1&amp;$S$1&amp;$P$1&amp;$T$1&amp;$F$2&amp;$T$1&amp;$R$1&amp;L84&amp;$Q$1&amp;$S$1&amp;$P$1&amp;$T$1&amp;$G$2&amp;$T$1&amp;$R$1&amp;G84&amp;$Q$1&amp;$S$1&amp;$P$1&amp;$T$1&amp;$H$2&amp;$T$1&amp;$R$1&amp;H84&amp;$Q$1&amp;$S$1&amp;$P$1&amp;$T$1&amp;$I$2&amp;$T$1&amp;$R$1&amp;I84&amp;$Q$1&amp;$S$1&amp;$P$1&amp;$T$1&amp;$J$2&amp;$T$1&amp;$R$1&amp;J84&amp;$Q$1&amp;$O$1</f>
        <v>[{"2":218},{"4":120},{"5":120},{"12":2910},{"7":8},{"6":0},{"8":10},{"9":0}]</v>
      </c>
      <c r="AG83">
        <v>81</v>
      </c>
      <c r="AH83">
        <f t="shared" si="15"/>
        <v>54</v>
      </c>
      <c r="AI83">
        <f t="shared" si="16"/>
        <v>54</v>
      </c>
      <c r="AJ83">
        <v>633</v>
      </c>
      <c r="AK83">
        <v>4</v>
      </c>
      <c r="AL83">
        <v>8</v>
      </c>
      <c r="AM83">
        <v>0</v>
      </c>
      <c r="AN83">
        <v>10</v>
      </c>
    </row>
    <row r="84" customFormat="1" ht="16.5" spans="1:40">
      <c r="A84">
        <v>82</v>
      </c>
      <c r="B84">
        <f>$AP$2+AG84</f>
        <v>182</v>
      </c>
      <c r="C84">
        <f t="shared" si="12"/>
        <v>218</v>
      </c>
      <c r="D84">
        <f>AH84+$AQ$2</f>
        <v>120</v>
      </c>
      <c r="E84">
        <f t="shared" si="11"/>
        <v>120</v>
      </c>
      <c r="F84" s="4">
        <f>INT(主角属性配置!F84/3+$AS$2)</f>
        <v>5820</v>
      </c>
      <c r="G84">
        <v>8</v>
      </c>
      <c r="H84">
        <v>0</v>
      </c>
      <c r="I84">
        <v>10</v>
      </c>
      <c r="J84">
        <v>0</v>
      </c>
      <c r="K84" s="3">
        <f t="shared" si="13"/>
        <v>1940</v>
      </c>
      <c r="L84" s="3">
        <f t="shared" si="14"/>
        <v>2910</v>
      </c>
      <c r="N84" t="str">
        <f>$N$1&amp;$P$1&amp;$T$1&amp;$B$2&amp;$T$1&amp;$R$1&amp;B85&amp;$Q$1&amp;$S$1&amp;$P$1&amp;$T$1&amp;$D$2&amp;$T$1&amp;$R$1&amp;D85&amp;$Q$1&amp;$S$1&amp;$P$1&amp;$T$1&amp;$E$2&amp;$T$1&amp;$R$1&amp;E85&amp;$Q$1&amp;$S$1&amp;$P$1&amp;$T$1&amp;$F$2&amp;$T$1&amp;$R$1&amp;F85&amp;$Q$1&amp;$S$1&amp;$P$1&amp;$T$1&amp;$G$2&amp;$T$1&amp;$R$1&amp;G85&amp;$Q$1&amp;$S$1&amp;$P$1&amp;$T$1&amp;$H$2&amp;$T$1&amp;$R$1&amp;H85&amp;$Q$1&amp;$S$1&amp;$P$1&amp;$T$1&amp;$I$2&amp;$T$1&amp;$R$1&amp;I85&amp;$Q$1&amp;$S$1&amp;$P$1&amp;$T$1&amp;$J$2&amp;$T$1&amp;$R$1&amp;J85&amp;$Q$1&amp;$O$1</f>
        <v>[{"1":183},{"4":121},{"5":121},{"12":5882},{"7":8},{"6":0},{"8":10},{"9":0}]</v>
      </c>
      <c r="W84" t="str">
        <f>$N$1&amp;$P$1&amp;$T$1&amp;$C$2&amp;$T$1&amp;$R$1&amp;C85&amp;$Q$1&amp;$S$1&amp;$P$1&amp;$T$1&amp;$D$2&amp;$T$1&amp;$R$1&amp;D85&amp;$Q$1&amp;$S$1&amp;$P$1&amp;$T$1&amp;$E$2&amp;$T$1&amp;$R$1&amp;E85&amp;$Q$1&amp;$S$1&amp;$P$1&amp;$T$1&amp;$F$2&amp;$T$1&amp;$R$1&amp;K85&amp;$Q$1&amp;$S$1&amp;$P$1&amp;$T$1&amp;$G$2&amp;$T$1&amp;$R$1&amp;G85&amp;$Q$1&amp;$S$1&amp;$P$1&amp;$T$1&amp;$H$2&amp;$T$1&amp;$R$1&amp;H85&amp;$Q$1&amp;$S$1&amp;$P$1&amp;$T$1&amp;$I$2&amp;$T$1&amp;$R$1&amp;I85&amp;$Q$1&amp;$S$1&amp;$P$1&amp;$T$1&amp;$J$2&amp;$T$1&amp;$R$1&amp;J85&amp;$Q$1&amp;$O$1</f>
        <v>[{"2":219},{"4":121},{"5":121},{"12":1961},{"7":8},{"6":0},{"8":10},{"9":0}]</v>
      </c>
      <c r="AE84" t="str">
        <f>$N$1&amp;$P$1&amp;$T$1&amp;$C$2&amp;$T$1&amp;$R$1&amp;C85&amp;$Q$1&amp;$S$1&amp;$P$1&amp;$T$1&amp;$D$2&amp;$T$1&amp;$R$1&amp;D85&amp;$Q$1&amp;$S$1&amp;$P$1&amp;$T$1&amp;$E$2&amp;$T$1&amp;$R$1&amp;E85&amp;$Q$1&amp;$S$1&amp;$P$1&amp;$T$1&amp;$F$2&amp;$T$1&amp;$R$1&amp;L85&amp;$Q$1&amp;$S$1&amp;$P$1&amp;$T$1&amp;$G$2&amp;$T$1&amp;$R$1&amp;G85&amp;$Q$1&amp;$S$1&amp;$P$1&amp;$T$1&amp;$H$2&amp;$T$1&amp;$R$1&amp;H85&amp;$Q$1&amp;$S$1&amp;$P$1&amp;$T$1&amp;$I$2&amp;$T$1&amp;$R$1&amp;I85&amp;$Q$1&amp;$S$1&amp;$P$1&amp;$T$1&amp;$J$2&amp;$T$1&amp;$R$1&amp;J85&amp;$Q$1&amp;$O$1</f>
        <v>[{"2":219},{"4":121},{"5":121},{"12":2941},{"7":8},{"6":0},{"8":10},{"9":0}]</v>
      </c>
      <c r="AG84">
        <v>82</v>
      </c>
      <c r="AH84">
        <f t="shared" si="15"/>
        <v>54</v>
      </c>
      <c r="AI84">
        <f t="shared" si="16"/>
        <v>54</v>
      </c>
      <c r="AJ84">
        <v>640</v>
      </c>
      <c r="AK84">
        <v>4</v>
      </c>
      <c r="AL84">
        <v>8</v>
      </c>
      <c r="AM84">
        <v>0</v>
      </c>
      <c r="AN84">
        <v>10</v>
      </c>
    </row>
    <row r="85" customFormat="1" ht="16.5" spans="1:40">
      <c r="A85">
        <v>83</v>
      </c>
      <c r="B85">
        <f>$AP$2+AG85</f>
        <v>183</v>
      </c>
      <c r="C85">
        <f t="shared" si="12"/>
        <v>219</v>
      </c>
      <c r="D85">
        <f>AH85+$AQ$2</f>
        <v>121</v>
      </c>
      <c r="E85">
        <f t="shared" si="11"/>
        <v>121</v>
      </c>
      <c r="F85" s="4">
        <f>INT(主角属性配置!F85/3+$AS$2)</f>
        <v>5882</v>
      </c>
      <c r="G85">
        <v>8</v>
      </c>
      <c r="H85">
        <v>0</v>
      </c>
      <c r="I85">
        <v>10</v>
      </c>
      <c r="J85">
        <v>0</v>
      </c>
      <c r="K85" s="3">
        <f t="shared" si="13"/>
        <v>1961</v>
      </c>
      <c r="L85" s="3">
        <f t="shared" si="14"/>
        <v>2941</v>
      </c>
      <c r="N85" t="str">
        <f>$N$1&amp;$P$1&amp;$T$1&amp;$B$2&amp;$T$1&amp;$R$1&amp;B86&amp;$Q$1&amp;$S$1&amp;$P$1&amp;$T$1&amp;$D$2&amp;$T$1&amp;$R$1&amp;D86&amp;$Q$1&amp;$S$1&amp;$P$1&amp;$T$1&amp;$E$2&amp;$T$1&amp;$R$1&amp;E86&amp;$Q$1&amp;$S$1&amp;$P$1&amp;$T$1&amp;$F$2&amp;$T$1&amp;$R$1&amp;F86&amp;$Q$1&amp;$S$1&amp;$P$1&amp;$T$1&amp;$G$2&amp;$T$1&amp;$R$1&amp;G86&amp;$Q$1&amp;$S$1&amp;$P$1&amp;$T$1&amp;$H$2&amp;$T$1&amp;$R$1&amp;H86&amp;$Q$1&amp;$S$1&amp;$P$1&amp;$T$1&amp;$I$2&amp;$T$1&amp;$R$1&amp;I86&amp;$Q$1&amp;$S$1&amp;$P$1&amp;$T$1&amp;$J$2&amp;$T$1&amp;$R$1&amp;J86&amp;$Q$1&amp;$O$1</f>
        <v>[{"1":184},{"4":122},{"5":122},{"12":7433},{"7":8},{"6":0},{"8":10},{"9":0}]</v>
      </c>
      <c r="W85" t="str">
        <f>$N$1&amp;$P$1&amp;$T$1&amp;$C$2&amp;$T$1&amp;$R$1&amp;C86&amp;$Q$1&amp;$S$1&amp;$P$1&amp;$T$1&amp;$D$2&amp;$T$1&amp;$R$1&amp;D86&amp;$Q$1&amp;$S$1&amp;$P$1&amp;$T$1&amp;$E$2&amp;$T$1&amp;$R$1&amp;E86&amp;$Q$1&amp;$S$1&amp;$P$1&amp;$T$1&amp;$F$2&amp;$T$1&amp;$R$1&amp;K86&amp;$Q$1&amp;$S$1&amp;$P$1&amp;$T$1&amp;$G$2&amp;$T$1&amp;$R$1&amp;G86&amp;$Q$1&amp;$S$1&amp;$P$1&amp;$T$1&amp;$H$2&amp;$T$1&amp;$R$1&amp;H86&amp;$Q$1&amp;$S$1&amp;$P$1&amp;$T$1&amp;$I$2&amp;$T$1&amp;$R$1&amp;I86&amp;$Q$1&amp;$S$1&amp;$P$1&amp;$T$1&amp;$J$2&amp;$T$1&amp;$R$1&amp;J86&amp;$Q$1&amp;$O$1</f>
        <v>[{"2":220},{"4":122},{"5":122},{"12":2478},{"7":8},{"6":0},{"8":10},{"9":0}]</v>
      </c>
      <c r="AE85" t="str">
        <f>$N$1&amp;$P$1&amp;$T$1&amp;$C$2&amp;$T$1&amp;$R$1&amp;C86&amp;$Q$1&amp;$S$1&amp;$P$1&amp;$T$1&amp;$D$2&amp;$T$1&amp;$R$1&amp;D86&amp;$Q$1&amp;$S$1&amp;$P$1&amp;$T$1&amp;$E$2&amp;$T$1&amp;$R$1&amp;E86&amp;$Q$1&amp;$S$1&amp;$P$1&amp;$T$1&amp;$F$2&amp;$T$1&amp;$R$1&amp;L86&amp;$Q$1&amp;$S$1&amp;$P$1&amp;$T$1&amp;$G$2&amp;$T$1&amp;$R$1&amp;G86&amp;$Q$1&amp;$S$1&amp;$P$1&amp;$T$1&amp;$H$2&amp;$T$1&amp;$R$1&amp;H86&amp;$Q$1&amp;$S$1&amp;$P$1&amp;$T$1&amp;$I$2&amp;$T$1&amp;$R$1&amp;I86&amp;$Q$1&amp;$S$1&amp;$P$1&amp;$T$1&amp;$J$2&amp;$T$1&amp;$R$1&amp;J86&amp;$Q$1&amp;$O$1</f>
        <v>[{"2":220},{"4":122},{"5":122},{"12":3717},{"7":8},{"6":0},{"8":10},{"9":0}]</v>
      </c>
      <c r="AG85">
        <v>83</v>
      </c>
      <c r="AH85">
        <f t="shared" si="15"/>
        <v>55</v>
      </c>
      <c r="AI85">
        <f t="shared" si="16"/>
        <v>55</v>
      </c>
      <c r="AJ85">
        <v>648</v>
      </c>
      <c r="AK85">
        <v>4</v>
      </c>
      <c r="AL85">
        <v>8</v>
      </c>
      <c r="AM85">
        <v>0</v>
      </c>
      <c r="AN85">
        <v>10</v>
      </c>
    </row>
    <row r="86" customFormat="1" ht="16.5" spans="1:40">
      <c r="A86">
        <v>84</v>
      </c>
      <c r="B86">
        <f>$AP$2+AG86</f>
        <v>184</v>
      </c>
      <c r="C86">
        <f t="shared" si="12"/>
        <v>220</v>
      </c>
      <c r="D86">
        <f>AH86+$AQ$2</f>
        <v>122</v>
      </c>
      <c r="E86">
        <f t="shared" si="11"/>
        <v>122</v>
      </c>
      <c r="F86" s="4">
        <f>INT(主角属性配置!F86/3+$AS$2)</f>
        <v>7433</v>
      </c>
      <c r="G86">
        <v>8</v>
      </c>
      <c r="H86">
        <v>0</v>
      </c>
      <c r="I86">
        <v>10</v>
      </c>
      <c r="J86">
        <v>0</v>
      </c>
      <c r="K86" s="3">
        <f t="shared" si="13"/>
        <v>2478</v>
      </c>
      <c r="L86" s="3">
        <f t="shared" si="14"/>
        <v>3717</v>
      </c>
      <c r="N86" t="str">
        <f>$N$1&amp;$P$1&amp;$T$1&amp;$B$2&amp;$T$1&amp;$R$1&amp;B87&amp;$Q$1&amp;$S$1&amp;$P$1&amp;$T$1&amp;$D$2&amp;$T$1&amp;$R$1&amp;D87&amp;$Q$1&amp;$S$1&amp;$P$1&amp;$T$1&amp;$E$2&amp;$T$1&amp;$R$1&amp;E87&amp;$Q$1&amp;$S$1&amp;$P$1&amp;$T$1&amp;$F$2&amp;$T$1&amp;$R$1&amp;F87&amp;$Q$1&amp;$S$1&amp;$P$1&amp;$T$1&amp;$G$2&amp;$T$1&amp;$R$1&amp;G87&amp;$Q$1&amp;$S$1&amp;$P$1&amp;$T$1&amp;$H$2&amp;$T$1&amp;$R$1&amp;H87&amp;$Q$1&amp;$S$1&amp;$P$1&amp;$T$1&amp;$I$2&amp;$T$1&amp;$R$1&amp;I87&amp;$Q$1&amp;$S$1&amp;$P$1&amp;$T$1&amp;$J$2&amp;$T$1&amp;$R$1&amp;J87&amp;$Q$1&amp;$O$1</f>
        <v>[{"1":185},{"4":122},{"5":122},{"12":7514},{"7":8},{"6":0},{"8":10},{"9":0}]</v>
      </c>
      <c r="W86" t="str">
        <f>$N$1&amp;$P$1&amp;$T$1&amp;$C$2&amp;$T$1&amp;$R$1&amp;C87&amp;$Q$1&amp;$S$1&amp;$P$1&amp;$T$1&amp;$D$2&amp;$T$1&amp;$R$1&amp;D87&amp;$Q$1&amp;$S$1&amp;$P$1&amp;$T$1&amp;$E$2&amp;$T$1&amp;$R$1&amp;E87&amp;$Q$1&amp;$S$1&amp;$P$1&amp;$T$1&amp;$F$2&amp;$T$1&amp;$R$1&amp;K87&amp;$Q$1&amp;$S$1&amp;$P$1&amp;$T$1&amp;$G$2&amp;$T$1&amp;$R$1&amp;G87&amp;$Q$1&amp;$S$1&amp;$P$1&amp;$T$1&amp;$H$2&amp;$T$1&amp;$R$1&amp;H87&amp;$Q$1&amp;$S$1&amp;$P$1&amp;$T$1&amp;$I$2&amp;$T$1&amp;$R$1&amp;I87&amp;$Q$1&amp;$S$1&amp;$P$1&amp;$T$1&amp;$J$2&amp;$T$1&amp;$R$1&amp;J87&amp;$Q$1&amp;$O$1</f>
        <v>[{"2":222},{"4":122},{"5":122},{"12":2505},{"7":8},{"6":0},{"8":10},{"9":0}]</v>
      </c>
      <c r="AE86" t="str">
        <f>$N$1&amp;$P$1&amp;$T$1&amp;$C$2&amp;$T$1&amp;$R$1&amp;C87&amp;$Q$1&amp;$S$1&amp;$P$1&amp;$T$1&amp;$D$2&amp;$T$1&amp;$R$1&amp;D87&amp;$Q$1&amp;$S$1&amp;$P$1&amp;$T$1&amp;$E$2&amp;$T$1&amp;$R$1&amp;E87&amp;$Q$1&amp;$S$1&amp;$P$1&amp;$T$1&amp;$F$2&amp;$T$1&amp;$R$1&amp;L87&amp;$Q$1&amp;$S$1&amp;$P$1&amp;$T$1&amp;$G$2&amp;$T$1&amp;$R$1&amp;G87&amp;$Q$1&amp;$S$1&amp;$P$1&amp;$T$1&amp;$H$2&amp;$T$1&amp;$R$1&amp;H87&amp;$Q$1&amp;$S$1&amp;$P$1&amp;$T$1&amp;$I$2&amp;$T$1&amp;$R$1&amp;I87&amp;$Q$1&amp;$S$1&amp;$P$1&amp;$T$1&amp;$J$2&amp;$T$1&amp;$R$1&amp;J87&amp;$Q$1&amp;$O$1</f>
        <v>[{"2":222},{"4":122},{"5":122},{"12":3757},{"7":8},{"6":0},{"8":10},{"9":0}]</v>
      </c>
      <c r="AG86">
        <v>84</v>
      </c>
      <c r="AH86">
        <f t="shared" si="15"/>
        <v>56</v>
      </c>
      <c r="AI86">
        <f t="shared" si="16"/>
        <v>56</v>
      </c>
      <c r="AJ86">
        <v>656</v>
      </c>
      <c r="AK86">
        <v>4</v>
      </c>
      <c r="AL86">
        <v>8</v>
      </c>
      <c r="AM86">
        <v>0</v>
      </c>
      <c r="AN86">
        <v>10</v>
      </c>
    </row>
    <row r="87" customFormat="1" ht="16.5" spans="1:40">
      <c r="A87">
        <v>85</v>
      </c>
      <c r="B87">
        <f>$AP$2+AG87</f>
        <v>185</v>
      </c>
      <c r="C87">
        <f t="shared" si="12"/>
        <v>222</v>
      </c>
      <c r="D87">
        <f>AH87+$AQ$2</f>
        <v>122</v>
      </c>
      <c r="E87">
        <f t="shared" si="11"/>
        <v>122</v>
      </c>
      <c r="F87" s="4">
        <f>INT(主角属性配置!F87/3+$AS$2)</f>
        <v>7514</v>
      </c>
      <c r="G87">
        <v>8</v>
      </c>
      <c r="H87">
        <v>0</v>
      </c>
      <c r="I87">
        <v>10</v>
      </c>
      <c r="J87">
        <v>0</v>
      </c>
      <c r="K87" s="3">
        <f t="shared" si="13"/>
        <v>2505</v>
      </c>
      <c r="L87" s="3">
        <f t="shared" si="14"/>
        <v>3757</v>
      </c>
      <c r="N87" t="str">
        <f>$N$1&amp;$P$1&amp;$T$1&amp;$B$2&amp;$T$1&amp;$R$1&amp;B88&amp;$Q$1&amp;$S$1&amp;$P$1&amp;$T$1&amp;$D$2&amp;$T$1&amp;$R$1&amp;D88&amp;$Q$1&amp;$S$1&amp;$P$1&amp;$T$1&amp;$E$2&amp;$T$1&amp;$R$1&amp;E88&amp;$Q$1&amp;$S$1&amp;$P$1&amp;$T$1&amp;$F$2&amp;$T$1&amp;$R$1&amp;F88&amp;$Q$1&amp;$S$1&amp;$P$1&amp;$T$1&amp;$G$2&amp;$T$1&amp;$R$1&amp;G88&amp;$Q$1&amp;$S$1&amp;$P$1&amp;$T$1&amp;$H$2&amp;$T$1&amp;$R$1&amp;H88&amp;$Q$1&amp;$S$1&amp;$P$1&amp;$T$1&amp;$I$2&amp;$T$1&amp;$R$1&amp;I88&amp;$Q$1&amp;$S$1&amp;$P$1&amp;$T$1&amp;$J$2&amp;$T$1&amp;$R$1&amp;J88&amp;$Q$1&amp;$O$1</f>
        <v>[{"1":186},{"4":123},{"5":123},{"12":7595},{"7":8},{"6":0},{"8":10},{"9":0}]</v>
      </c>
      <c r="W87" t="str">
        <f>$N$1&amp;$P$1&amp;$T$1&amp;$C$2&amp;$T$1&amp;$R$1&amp;C88&amp;$Q$1&amp;$S$1&amp;$P$1&amp;$T$1&amp;$D$2&amp;$T$1&amp;$R$1&amp;D88&amp;$Q$1&amp;$S$1&amp;$P$1&amp;$T$1&amp;$E$2&amp;$T$1&amp;$R$1&amp;E88&amp;$Q$1&amp;$S$1&amp;$P$1&amp;$T$1&amp;$F$2&amp;$T$1&amp;$R$1&amp;K88&amp;$Q$1&amp;$S$1&amp;$P$1&amp;$T$1&amp;$G$2&amp;$T$1&amp;$R$1&amp;G88&amp;$Q$1&amp;$S$1&amp;$P$1&amp;$T$1&amp;$H$2&amp;$T$1&amp;$R$1&amp;H88&amp;$Q$1&amp;$S$1&amp;$P$1&amp;$T$1&amp;$I$2&amp;$T$1&amp;$R$1&amp;I88&amp;$Q$1&amp;$S$1&amp;$P$1&amp;$T$1&amp;$J$2&amp;$T$1&amp;$R$1&amp;J88&amp;$Q$1&amp;$O$1</f>
        <v>[{"2":223},{"4":123},{"5":123},{"12":2532},{"7":8},{"6":0},{"8":10},{"9":0}]</v>
      </c>
      <c r="AE87" t="str">
        <f>$N$1&amp;$P$1&amp;$T$1&amp;$C$2&amp;$T$1&amp;$R$1&amp;C88&amp;$Q$1&amp;$S$1&amp;$P$1&amp;$T$1&amp;$D$2&amp;$T$1&amp;$R$1&amp;D88&amp;$Q$1&amp;$S$1&amp;$P$1&amp;$T$1&amp;$E$2&amp;$T$1&amp;$R$1&amp;E88&amp;$Q$1&amp;$S$1&amp;$P$1&amp;$T$1&amp;$F$2&amp;$T$1&amp;$R$1&amp;L88&amp;$Q$1&amp;$S$1&amp;$P$1&amp;$T$1&amp;$G$2&amp;$T$1&amp;$R$1&amp;G88&amp;$Q$1&amp;$S$1&amp;$P$1&amp;$T$1&amp;$H$2&amp;$T$1&amp;$R$1&amp;H88&amp;$Q$1&amp;$S$1&amp;$P$1&amp;$T$1&amp;$I$2&amp;$T$1&amp;$R$1&amp;I88&amp;$Q$1&amp;$S$1&amp;$P$1&amp;$T$1&amp;$J$2&amp;$T$1&amp;$R$1&amp;J88&amp;$Q$1&amp;$O$1</f>
        <v>[{"2":223},{"4":123},{"5":123},{"12":3798},{"7":8},{"6":0},{"8":10},{"9":0}]</v>
      </c>
      <c r="AG87">
        <v>85</v>
      </c>
      <c r="AH87">
        <f t="shared" si="15"/>
        <v>56</v>
      </c>
      <c r="AI87">
        <f t="shared" si="16"/>
        <v>56</v>
      </c>
      <c r="AJ87">
        <v>664</v>
      </c>
      <c r="AK87">
        <v>4</v>
      </c>
      <c r="AL87">
        <v>8</v>
      </c>
      <c r="AM87">
        <v>0</v>
      </c>
      <c r="AN87">
        <v>10</v>
      </c>
    </row>
    <row r="88" customFormat="1" ht="16.5" spans="1:40">
      <c r="A88">
        <v>86</v>
      </c>
      <c r="B88">
        <f>$AP$2+AG88</f>
        <v>186</v>
      </c>
      <c r="C88">
        <f t="shared" si="12"/>
        <v>223</v>
      </c>
      <c r="D88">
        <f>AH88+$AQ$2</f>
        <v>123</v>
      </c>
      <c r="E88">
        <f t="shared" si="11"/>
        <v>123</v>
      </c>
      <c r="F88" s="4">
        <f>INT(主角属性配置!F88/3+$AS$2)</f>
        <v>7595</v>
      </c>
      <c r="G88">
        <v>8</v>
      </c>
      <c r="H88">
        <v>0</v>
      </c>
      <c r="I88">
        <v>10</v>
      </c>
      <c r="J88">
        <v>0</v>
      </c>
      <c r="K88" s="3">
        <f t="shared" si="13"/>
        <v>2532</v>
      </c>
      <c r="L88" s="3">
        <f t="shared" si="14"/>
        <v>3798</v>
      </c>
      <c r="N88" t="str">
        <f>$N$1&amp;$P$1&amp;$T$1&amp;$B$2&amp;$T$1&amp;$R$1&amp;B89&amp;$Q$1&amp;$S$1&amp;$P$1&amp;$T$1&amp;$D$2&amp;$T$1&amp;$R$1&amp;D89&amp;$Q$1&amp;$S$1&amp;$P$1&amp;$T$1&amp;$E$2&amp;$T$1&amp;$R$1&amp;E89&amp;$Q$1&amp;$S$1&amp;$P$1&amp;$T$1&amp;$F$2&amp;$T$1&amp;$R$1&amp;F89&amp;$Q$1&amp;$S$1&amp;$P$1&amp;$T$1&amp;$G$2&amp;$T$1&amp;$R$1&amp;G89&amp;$Q$1&amp;$S$1&amp;$P$1&amp;$T$1&amp;$H$2&amp;$T$1&amp;$R$1&amp;H89&amp;$Q$1&amp;$S$1&amp;$P$1&amp;$T$1&amp;$I$2&amp;$T$1&amp;$R$1&amp;I89&amp;$Q$1&amp;$S$1&amp;$P$1&amp;$T$1&amp;$J$2&amp;$T$1&amp;$R$1&amp;J89&amp;$Q$1&amp;$O$1</f>
        <v>[{"1":187},{"4":124},{"5":124},{"12":7676},{"7":8},{"6":0},{"8":10},{"9":0}]</v>
      </c>
      <c r="W88" t="str">
        <f>$N$1&amp;$P$1&amp;$T$1&amp;$C$2&amp;$T$1&amp;$R$1&amp;C89&amp;$Q$1&amp;$S$1&amp;$P$1&amp;$T$1&amp;$D$2&amp;$T$1&amp;$R$1&amp;D89&amp;$Q$1&amp;$S$1&amp;$P$1&amp;$T$1&amp;$E$2&amp;$T$1&amp;$R$1&amp;E89&amp;$Q$1&amp;$S$1&amp;$P$1&amp;$T$1&amp;$F$2&amp;$T$1&amp;$R$1&amp;K89&amp;$Q$1&amp;$S$1&amp;$P$1&amp;$T$1&amp;$G$2&amp;$T$1&amp;$R$1&amp;G89&amp;$Q$1&amp;$S$1&amp;$P$1&amp;$T$1&amp;$H$2&amp;$T$1&amp;$R$1&amp;H89&amp;$Q$1&amp;$S$1&amp;$P$1&amp;$T$1&amp;$I$2&amp;$T$1&amp;$R$1&amp;I89&amp;$Q$1&amp;$S$1&amp;$P$1&amp;$T$1&amp;$J$2&amp;$T$1&amp;$R$1&amp;J89&amp;$Q$1&amp;$O$1</f>
        <v>[{"2":224},{"4":124},{"5":124},{"12":2559},{"7":8},{"6":0},{"8":10},{"9":0}]</v>
      </c>
      <c r="AE88" t="str">
        <f>$N$1&amp;$P$1&amp;$T$1&amp;$C$2&amp;$T$1&amp;$R$1&amp;C89&amp;$Q$1&amp;$S$1&amp;$P$1&amp;$T$1&amp;$D$2&amp;$T$1&amp;$R$1&amp;D89&amp;$Q$1&amp;$S$1&amp;$P$1&amp;$T$1&amp;$E$2&amp;$T$1&amp;$R$1&amp;E89&amp;$Q$1&amp;$S$1&amp;$P$1&amp;$T$1&amp;$F$2&amp;$T$1&amp;$R$1&amp;L89&amp;$Q$1&amp;$S$1&amp;$P$1&amp;$T$1&amp;$G$2&amp;$T$1&amp;$R$1&amp;G89&amp;$Q$1&amp;$S$1&amp;$P$1&amp;$T$1&amp;$H$2&amp;$T$1&amp;$R$1&amp;H89&amp;$Q$1&amp;$S$1&amp;$P$1&amp;$T$1&amp;$I$2&amp;$T$1&amp;$R$1&amp;I89&amp;$Q$1&amp;$S$1&amp;$P$1&amp;$T$1&amp;$J$2&amp;$T$1&amp;$R$1&amp;J89&amp;$Q$1&amp;$O$1</f>
        <v>[{"2":224},{"4":124},{"5":124},{"12":3838},{"7":8},{"6":0},{"8":10},{"9":0}]</v>
      </c>
      <c r="AG88">
        <v>86</v>
      </c>
      <c r="AH88">
        <f t="shared" si="15"/>
        <v>57</v>
      </c>
      <c r="AI88">
        <f t="shared" si="16"/>
        <v>57</v>
      </c>
      <c r="AJ88">
        <v>672</v>
      </c>
      <c r="AK88">
        <v>4</v>
      </c>
      <c r="AL88">
        <v>8</v>
      </c>
      <c r="AM88">
        <v>0</v>
      </c>
      <c r="AN88">
        <v>10</v>
      </c>
    </row>
    <row r="89" customFormat="1" ht="16.5" spans="1:40">
      <c r="A89">
        <v>87</v>
      </c>
      <c r="B89">
        <f>$AP$2+AG89</f>
        <v>187</v>
      </c>
      <c r="C89">
        <f t="shared" si="12"/>
        <v>224</v>
      </c>
      <c r="D89">
        <f>AH89+$AQ$2</f>
        <v>124</v>
      </c>
      <c r="E89">
        <f t="shared" si="11"/>
        <v>124</v>
      </c>
      <c r="F89" s="4">
        <f>INT(主角属性配置!F89/3+$AS$2)</f>
        <v>7676</v>
      </c>
      <c r="G89">
        <v>8</v>
      </c>
      <c r="H89">
        <v>0</v>
      </c>
      <c r="I89">
        <v>10</v>
      </c>
      <c r="J89">
        <v>0</v>
      </c>
      <c r="K89" s="3">
        <f t="shared" si="13"/>
        <v>2559</v>
      </c>
      <c r="L89" s="3">
        <f t="shared" si="14"/>
        <v>3838</v>
      </c>
      <c r="N89" t="str">
        <f>$N$1&amp;$P$1&amp;$T$1&amp;$B$2&amp;$T$1&amp;$R$1&amp;B90&amp;$Q$1&amp;$S$1&amp;$P$1&amp;$T$1&amp;$D$2&amp;$T$1&amp;$R$1&amp;D90&amp;$Q$1&amp;$S$1&amp;$P$1&amp;$T$1&amp;$E$2&amp;$T$1&amp;$R$1&amp;E90&amp;$Q$1&amp;$S$1&amp;$P$1&amp;$T$1&amp;$F$2&amp;$T$1&amp;$R$1&amp;F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[{"1":188},{"4":124},{"5":124},{"12":7757},{"7":8},{"6":0},{"8":10},{"9":0}]</v>
      </c>
      <c r="W89" t="str">
        <f>$N$1&amp;$P$1&amp;$T$1&amp;$C$2&amp;$T$1&amp;$R$1&amp;C90&amp;$Q$1&amp;$S$1&amp;$P$1&amp;$T$1&amp;$D$2&amp;$T$1&amp;$R$1&amp;D90&amp;$Q$1&amp;$S$1&amp;$P$1&amp;$T$1&amp;$E$2&amp;$T$1&amp;$R$1&amp;E90&amp;$Q$1&amp;$S$1&amp;$P$1&amp;$T$1&amp;$F$2&amp;$T$1&amp;$R$1&amp;K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[{"2":225},{"4":124},{"5":124},{"12":2586},{"7":8},{"6":0},{"8":10},{"9":0}]</v>
      </c>
      <c r="AE89" t="str">
        <f>$N$1&amp;$P$1&amp;$T$1&amp;$C$2&amp;$T$1&amp;$R$1&amp;C90&amp;$Q$1&amp;$S$1&amp;$P$1&amp;$T$1&amp;$D$2&amp;$T$1&amp;$R$1&amp;D90&amp;$Q$1&amp;$S$1&amp;$P$1&amp;$T$1&amp;$E$2&amp;$T$1&amp;$R$1&amp;E90&amp;$Q$1&amp;$S$1&amp;$P$1&amp;$T$1&amp;$F$2&amp;$T$1&amp;$R$1&amp;L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[{"2":225},{"4":124},{"5":124},{"12":3879},{"7":8},{"6":0},{"8":10},{"9":0}]</v>
      </c>
      <c r="AG89">
        <v>87</v>
      </c>
      <c r="AH89">
        <f t="shared" si="15"/>
        <v>58</v>
      </c>
      <c r="AI89">
        <f t="shared" si="16"/>
        <v>58</v>
      </c>
      <c r="AJ89">
        <v>680</v>
      </c>
      <c r="AK89">
        <v>4</v>
      </c>
      <c r="AL89">
        <v>8</v>
      </c>
      <c r="AM89">
        <v>0</v>
      </c>
      <c r="AN89">
        <v>10</v>
      </c>
    </row>
    <row r="90" customFormat="1" ht="16.5" spans="1:40">
      <c r="A90">
        <v>88</v>
      </c>
      <c r="B90">
        <f>$AP$2+AG90</f>
        <v>188</v>
      </c>
      <c r="C90">
        <f t="shared" si="12"/>
        <v>225</v>
      </c>
      <c r="D90">
        <f>AH90+$AQ$2</f>
        <v>124</v>
      </c>
      <c r="E90">
        <f t="shared" si="11"/>
        <v>124</v>
      </c>
      <c r="F90" s="4">
        <f>INT(主角属性配置!F90/3+$AS$2)</f>
        <v>7757</v>
      </c>
      <c r="G90">
        <v>8</v>
      </c>
      <c r="H90">
        <v>0</v>
      </c>
      <c r="I90">
        <v>10</v>
      </c>
      <c r="J90">
        <v>0</v>
      </c>
      <c r="K90" s="3">
        <f t="shared" si="13"/>
        <v>2586</v>
      </c>
      <c r="L90" s="3">
        <f t="shared" si="14"/>
        <v>3879</v>
      </c>
      <c r="N90" t="str">
        <f>$N$1&amp;$P$1&amp;$T$1&amp;$B$2&amp;$T$1&amp;$R$1&amp;B91&amp;$Q$1&amp;$S$1&amp;$P$1&amp;$T$1&amp;$D$2&amp;$T$1&amp;$R$1&amp;D91&amp;$Q$1&amp;$S$1&amp;$P$1&amp;$T$1&amp;$E$2&amp;$T$1&amp;$R$1&amp;E91&amp;$Q$1&amp;$S$1&amp;$P$1&amp;$T$1&amp;$F$2&amp;$T$1&amp;$R$1&amp;F91&amp;$Q$1&amp;$S$1&amp;$P$1&amp;$T$1&amp;$G$2&amp;$T$1&amp;$R$1&amp;G91&amp;$Q$1&amp;$S$1&amp;$P$1&amp;$T$1&amp;$H$2&amp;$T$1&amp;$R$1&amp;H91&amp;$Q$1&amp;$S$1&amp;$P$1&amp;$T$1&amp;$I$2&amp;$T$1&amp;$R$1&amp;I91&amp;$Q$1&amp;$S$1&amp;$P$1&amp;$T$1&amp;$J$2&amp;$T$1&amp;$R$1&amp;J91&amp;$Q$1&amp;$O$1</f>
        <v>[{"1":189},{"4":125},{"5":125},{"12":7838},{"7":8},{"6":0},{"8":10},{"9":0}]</v>
      </c>
      <c r="W90" t="str">
        <f>$N$1&amp;$P$1&amp;$T$1&amp;$C$2&amp;$T$1&amp;$R$1&amp;C91&amp;$Q$1&amp;$S$1&amp;$P$1&amp;$T$1&amp;$D$2&amp;$T$1&amp;$R$1&amp;D91&amp;$Q$1&amp;$S$1&amp;$P$1&amp;$T$1&amp;$E$2&amp;$T$1&amp;$R$1&amp;E91&amp;$Q$1&amp;$S$1&amp;$P$1&amp;$T$1&amp;$F$2&amp;$T$1&amp;$R$1&amp;K91&amp;$Q$1&amp;$S$1&amp;$P$1&amp;$T$1&amp;$G$2&amp;$T$1&amp;$R$1&amp;G91&amp;$Q$1&amp;$S$1&amp;$P$1&amp;$T$1&amp;$H$2&amp;$T$1&amp;$R$1&amp;H91&amp;$Q$1&amp;$S$1&amp;$P$1&amp;$T$1&amp;$I$2&amp;$T$1&amp;$R$1&amp;I91&amp;$Q$1&amp;$S$1&amp;$P$1&amp;$T$1&amp;$J$2&amp;$T$1&amp;$R$1&amp;J91&amp;$Q$1&amp;$O$1</f>
        <v>[{"2":226},{"4":125},{"5":125},{"12":2613},{"7":8},{"6":0},{"8":10},{"9":0}]</v>
      </c>
      <c r="AE90" t="str">
        <f>$N$1&amp;$P$1&amp;$T$1&amp;$C$2&amp;$T$1&amp;$R$1&amp;C91&amp;$Q$1&amp;$S$1&amp;$P$1&amp;$T$1&amp;$D$2&amp;$T$1&amp;$R$1&amp;D91&amp;$Q$1&amp;$S$1&amp;$P$1&amp;$T$1&amp;$E$2&amp;$T$1&amp;$R$1&amp;E91&amp;$Q$1&amp;$S$1&amp;$P$1&amp;$T$1&amp;$F$2&amp;$T$1&amp;$R$1&amp;L91&amp;$Q$1&amp;$S$1&amp;$P$1&amp;$T$1&amp;$G$2&amp;$T$1&amp;$R$1&amp;G91&amp;$Q$1&amp;$S$1&amp;$P$1&amp;$T$1&amp;$H$2&amp;$T$1&amp;$R$1&amp;H91&amp;$Q$1&amp;$S$1&amp;$P$1&amp;$T$1&amp;$I$2&amp;$T$1&amp;$R$1&amp;I91&amp;$Q$1&amp;$S$1&amp;$P$1&amp;$T$1&amp;$J$2&amp;$T$1&amp;$R$1&amp;J91&amp;$Q$1&amp;$O$1</f>
        <v>[{"2":226},{"4":125},{"5":125},{"12":3919},{"7":8},{"6":0},{"8":10},{"9":0}]</v>
      </c>
      <c r="AG90">
        <v>88</v>
      </c>
      <c r="AH90">
        <f t="shared" si="15"/>
        <v>58</v>
      </c>
      <c r="AI90">
        <f t="shared" si="16"/>
        <v>58</v>
      </c>
      <c r="AJ90">
        <v>689</v>
      </c>
      <c r="AK90">
        <v>4</v>
      </c>
      <c r="AL90">
        <v>8</v>
      </c>
      <c r="AM90">
        <v>0</v>
      </c>
      <c r="AN90">
        <v>10</v>
      </c>
    </row>
    <row r="91" customFormat="1" ht="16.5" spans="1:40">
      <c r="A91">
        <v>89</v>
      </c>
      <c r="B91">
        <f>$AP$2+AG91</f>
        <v>189</v>
      </c>
      <c r="C91">
        <f t="shared" si="12"/>
        <v>226</v>
      </c>
      <c r="D91">
        <f>AH91+$AQ$2</f>
        <v>125</v>
      </c>
      <c r="E91">
        <f t="shared" si="11"/>
        <v>125</v>
      </c>
      <c r="F91" s="4">
        <f>INT(主角属性配置!F91/3+$AS$2)</f>
        <v>7838</v>
      </c>
      <c r="G91">
        <v>8</v>
      </c>
      <c r="H91">
        <v>0</v>
      </c>
      <c r="I91">
        <v>10</v>
      </c>
      <c r="J91">
        <v>0</v>
      </c>
      <c r="K91" s="3">
        <f t="shared" si="13"/>
        <v>2613</v>
      </c>
      <c r="L91" s="3">
        <f t="shared" si="14"/>
        <v>3919</v>
      </c>
      <c r="N91" t="str">
        <f>$N$1&amp;$P$1&amp;$T$1&amp;$B$2&amp;$T$1&amp;$R$1&amp;B92&amp;$Q$1&amp;$S$1&amp;$P$1&amp;$T$1&amp;$D$2&amp;$T$1&amp;$R$1&amp;D92&amp;$Q$1&amp;$S$1&amp;$P$1&amp;$T$1&amp;$E$2&amp;$T$1&amp;$R$1&amp;E92&amp;$Q$1&amp;$S$1&amp;$P$1&amp;$T$1&amp;$F$2&amp;$T$1&amp;$R$1&amp;F92&amp;$Q$1&amp;$S$1&amp;$P$1&amp;$T$1&amp;$G$2&amp;$T$1&amp;$R$1&amp;G92&amp;$Q$1&amp;$S$1&amp;$P$1&amp;$T$1&amp;$H$2&amp;$T$1&amp;$R$1&amp;H92&amp;$Q$1&amp;$S$1&amp;$P$1&amp;$T$1&amp;$I$2&amp;$T$1&amp;$R$1&amp;I92&amp;$Q$1&amp;$S$1&amp;$P$1&amp;$T$1&amp;$J$2&amp;$T$1&amp;$R$1&amp;J92&amp;$Q$1&amp;$O$1</f>
        <v>[{"1":190},{"4":126},{"5":126},{"12":7919},{"7":8},{"6":0},{"8":10},{"9":0}]</v>
      </c>
      <c r="W91" t="str">
        <f>$N$1&amp;$P$1&amp;$T$1&amp;$C$2&amp;$T$1&amp;$R$1&amp;C92&amp;$Q$1&amp;$S$1&amp;$P$1&amp;$T$1&amp;$D$2&amp;$T$1&amp;$R$1&amp;D92&amp;$Q$1&amp;$S$1&amp;$P$1&amp;$T$1&amp;$E$2&amp;$T$1&amp;$R$1&amp;E92&amp;$Q$1&amp;$S$1&amp;$P$1&amp;$T$1&amp;$F$2&amp;$T$1&amp;$R$1&amp;K92&amp;$Q$1&amp;$S$1&amp;$P$1&amp;$T$1&amp;$G$2&amp;$T$1&amp;$R$1&amp;G92&amp;$Q$1&amp;$S$1&amp;$P$1&amp;$T$1&amp;$H$2&amp;$T$1&amp;$R$1&amp;H92&amp;$Q$1&amp;$S$1&amp;$P$1&amp;$T$1&amp;$I$2&amp;$T$1&amp;$R$1&amp;I92&amp;$Q$1&amp;$S$1&amp;$P$1&amp;$T$1&amp;$J$2&amp;$T$1&amp;$R$1&amp;J92&amp;$Q$1&amp;$O$1</f>
        <v>[{"2":228},{"4":126},{"5":126},{"12":2640},{"7":8},{"6":0},{"8":10},{"9":0}]</v>
      </c>
      <c r="AE91" t="str">
        <f>$N$1&amp;$P$1&amp;$T$1&amp;$C$2&amp;$T$1&amp;$R$1&amp;C92&amp;$Q$1&amp;$S$1&amp;$P$1&amp;$T$1&amp;$D$2&amp;$T$1&amp;$R$1&amp;D92&amp;$Q$1&amp;$S$1&amp;$P$1&amp;$T$1&amp;$E$2&amp;$T$1&amp;$R$1&amp;E92&amp;$Q$1&amp;$S$1&amp;$P$1&amp;$T$1&amp;$F$2&amp;$T$1&amp;$R$1&amp;L92&amp;$Q$1&amp;$S$1&amp;$P$1&amp;$T$1&amp;$G$2&amp;$T$1&amp;$R$1&amp;G92&amp;$Q$1&amp;$S$1&amp;$P$1&amp;$T$1&amp;$H$2&amp;$T$1&amp;$R$1&amp;H92&amp;$Q$1&amp;$S$1&amp;$P$1&amp;$T$1&amp;$I$2&amp;$T$1&amp;$R$1&amp;I92&amp;$Q$1&amp;$S$1&amp;$P$1&amp;$T$1&amp;$J$2&amp;$T$1&amp;$R$1&amp;J92&amp;$Q$1&amp;$O$1</f>
        <v>[{"2":228},{"4":126},{"5":126},{"12":3960},{"7":8},{"6":0},{"8":10},{"9":0}]</v>
      </c>
      <c r="AG91">
        <v>89</v>
      </c>
      <c r="AH91">
        <f t="shared" si="15"/>
        <v>59</v>
      </c>
      <c r="AI91">
        <f t="shared" si="16"/>
        <v>59</v>
      </c>
      <c r="AJ91">
        <v>697</v>
      </c>
      <c r="AK91">
        <v>4</v>
      </c>
      <c r="AL91">
        <v>8</v>
      </c>
      <c r="AM91">
        <v>0</v>
      </c>
      <c r="AN91">
        <v>10</v>
      </c>
    </row>
    <row r="92" customFormat="1" ht="16.5" spans="1:40">
      <c r="A92">
        <v>90</v>
      </c>
      <c r="B92">
        <f>$AP$2+AG92</f>
        <v>190</v>
      </c>
      <c r="C92">
        <f t="shared" si="12"/>
        <v>228</v>
      </c>
      <c r="D92">
        <f>AH92+$AQ$2</f>
        <v>126</v>
      </c>
      <c r="E92">
        <f t="shared" si="11"/>
        <v>126</v>
      </c>
      <c r="F92" s="4">
        <f>INT(主角属性配置!F92/3+$AS$2)</f>
        <v>7919</v>
      </c>
      <c r="G92">
        <v>8</v>
      </c>
      <c r="H92">
        <v>0</v>
      </c>
      <c r="I92">
        <v>10</v>
      </c>
      <c r="J92">
        <v>0</v>
      </c>
      <c r="K92" s="3">
        <f t="shared" si="13"/>
        <v>2640</v>
      </c>
      <c r="L92" s="3">
        <f t="shared" si="14"/>
        <v>3960</v>
      </c>
      <c r="N92" t="str">
        <f>$N$1&amp;$P$1&amp;$T$1&amp;$B$2&amp;$T$1&amp;$R$1&amp;B93&amp;$Q$1&amp;$S$1&amp;$P$1&amp;$T$1&amp;$D$2&amp;$T$1&amp;$R$1&amp;D93&amp;$Q$1&amp;$S$1&amp;$P$1&amp;$T$1&amp;$E$2&amp;$T$1&amp;$R$1&amp;E93&amp;$Q$1&amp;$S$1&amp;$P$1&amp;$T$1&amp;$F$2&amp;$T$1&amp;$R$1&amp;F93&amp;$Q$1&amp;$S$1&amp;$P$1&amp;$T$1&amp;$G$2&amp;$T$1&amp;$R$1&amp;G93&amp;$Q$1&amp;$S$1&amp;$P$1&amp;$T$1&amp;$H$2&amp;$T$1&amp;$R$1&amp;H93&amp;$Q$1&amp;$S$1&amp;$P$1&amp;$T$1&amp;$I$2&amp;$T$1&amp;$R$1&amp;I93&amp;$Q$1&amp;$S$1&amp;$P$1&amp;$T$1&amp;$J$2&amp;$T$1&amp;$R$1&amp;J93&amp;$Q$1&amp;$O$1</f>
        <v>[{"1":191},{"4":126},{"5":126},{"12":8000},{"7":8},{"6":0},{"8":10},{"9":0}]</v>
      </c>
      <c r="W92" t="str">
        <f>$N$1&amp;$P$1&amp;$T$1&amp;$C$2&amp;$T$1&amp;$R$1&amp;C93&amp;$Q$1&amp;$S$1&amp;$P$1&amp;$T$1&amp;$D$2&amp;$T$1&amp;$R$1&amp;D93&amp;$Q$1&amp;$S$1&amp;$P$1&amp;$T$1&amp;$E$2&amp;$T$1&amp;$R$1&amp;E93&amp;$Q$1&amp;$S$1&amp;$P$1&amp;$T$1&amp;$F$2&amp;$T$1&amp;$R$1&amp;K93&amp;$Q$1&amp;$S$1&amp;$P$1&amp;$T$1&amp;$G$2&amp;$T$1&amp;$R$1&amp;G93&amp;$Q$1&amp;$S$1&amp;$P$1&amp;$T$1&amp;$H$2&amp;$T$1&amp;$R$1&amp;H93&amp;$Q$1&amp;$S$1&amp;$P$1&amp;$T$1&amp;$I$2&amp;$T$1&amp;$R$1&amp;I93&amp;$Q$1&amp;$S$1&amp;$P$1&amp;$T$1&amp;$J$2&amp;$T$1&amp;$R$1&amp;J93&amp;$Q$1&amp;$O$1</f>
        <v>[{"2":229},{"4":126},{"5":126},{"12":2667},{"7":8},{"6":0},{"8":10},{"9":0}]</v>
      </c>
      <c r="AE92" t="str">
        <f>$N$1&amp;$P$1&amp;$T$1&amp;$C$2&amp;$T$1&amp;$R$1&amp;C93&amp;$Q$1&amp;$S$1&amp;$P$1&amp;$T$1&amp;$D$2&amp;$T$1&amp;$R$1&amp;D93&amp;$Q$1&amp;$S$1&amp;$P$1&amp;$T$1&amp;$E$2&amp;$T$1&amp;$R$1&amp;E93&amp;$Q$1&amp;$S$1&amp;$P$1&amp;$T$1&amp;$F$2&amp;$T$1&amp;$R$1&amp;L93&amp;$Q$1&amp;$S$1&amp;$P$1&amp;$T$1&amp;$G$2&amp;$T$1&amp;$R$1&amp;G93&amp;$Q$1&amp;$S$1&amp;$P$1&amp;$T$1&amp;$H$2&amp;$T$1&amp;$R$1&amp;H93&amp;$Q$1&amp;$S$1&amp;$P$1&amp;$T$1&amp;$I$2&amp;$T$1&amp;$R$1&amp;I93&amp;$Q$1&amp;$S$1&amp;$P$1&amp;$T$1&amp;$J$2&amp;$T$1&amp;$R$1&amp;J93&amp;$Q$1&amp;$O$1</f>
        <v>[{"2":229},{"4":126},{"5":126},{"12":4000},{"7":8},{"6":0},{"8":10},{"9":0}]</v>
      </c>
      <c r="AG92">
        <v>90</v>
      </c>
      <c r="AH92">
        <f t="shared" si="15"/>
        <v>60</v>
      </c>
      <c r="AI92">
        <f t="shared" si="16"/>
        <v>60</v>
      </c>
      <c r="AJ92">
        <v>705</v>
      </c>
      <c r="AK92">
        <v>4</v>
      </c>
      <c r="AL92">
        <v>8</v>
      </c>
      <c r="AM92">
        <v>0</v>
      </c>
      <c r="AN92">
        <v>10</v>
      </c>
    </row>
    <row r="93" customFormat="1" ht="16.5" spans="1:40">
      <c r="A93">
        <v>91</v>
      </c>
      <c r="B93">
        <f>$AP$2+AG93</f>
        <v>191</v>
      </c>
      <c r="C93">
        <f t="shared" si="12"/>
        <v>229</v>
      </c>
      <c r="D93">
        <f>AH93+$AQ$2</f>
        <v>126</v>
      </c>
      <c r="E93">
        <f t="shared" si="11"/>
        <v>126</v>
      </c>
      <c r="F93" s="4">
        <f>INT(主角属性配置!F93/3+$AS$2)</f>
        <v>8000</v>
      </c>
      <c r="G93">
        <v>8</v>
      </c>
      <c r="H93">
        <v>0</v>
      </c>
      <c r="I93">
        <v>10</v>
      </c>
      <c r="J93">
        <v>0</v>
      </c>
      <c r="K93" s="3">
        <f t="shared" si="13"/>
        <v>2667</v>
      </c>
      <c r="L93" s="3">
        <f t="shared" si="14"/>
        <v>4000</v>
      </c>
      <c r="N93" t="str">
        <f>$N$1&amp;$P$1&amp;$T$1&amp;$B$2&amp;$T$1&amp;$R$1&amp;B94&amp;$Q$1&amp;$S$1&amp;$P$1&amp;$T$1&amp;$D$2&amp;$T$1&amp;$R$1&amp;D94&amp;$Q$1&amp;$S$1&amp;$P$1&amp;$T$1&amp;$E$2&amp;$T$1&amp;$R$1&amp;E94&amp;$Q$1&amp;$S$1&amp;$P$1&amp;$T$1&amp;$F$2&amp;$T$1&amp;$R$1&amp;F94&amp;$Q$1&amp;$S$1&amp;$P$1&amp;$T$1&amp;$G$2&amp;$T$1&amp;$R$1&amp;G94&amp;$Q$1&amp;$S$1&amp;$P$1&amp;$T$1&amp;$H$2&amp;$T$1&amp;$R$1&amp;H94&amp;$Q$1&amp;$S$1&amp;$P$1&amp;$T$1&amp;$I$2&amp;$T$1&amp;$R$1&amp;I94&amp;$Q$1&amp;$S$1&amp;$P$1&amp;$T$1&amp;$J$2&amp;$T$1&amp;$R$1&amp;J94&amp;$Q$1&amp;$O$1</f>
        <v>[{"1":192},{"4":127},{"5":127},{"12":8081},{"7":8},{"6":0},{"8":10},{"9":0}]</v>
      </c>
      <c r="W93" t="str">
        <f>$N$1&amp;$P$1&amp;$T$1&amp;$C$2&amp;$T$1&amp;$R$1&amp;C94&amp;$Q$1&amp;$S$1&amp;$P$1&amp;$T$1&amp;$D$2&amp;$T$1&amp;$R$1&amp;D94&amp;$Q$1&amp;$S$1&amp;$P$1&amp;$T$1&amp;$E$2&amp;$T$1&amp;$R$1&amp;E94&amp;$Q$1&amp;$S$1&amp;$P$1&amp;$T$1&amp;$F$2&amp;$T$1&amp;$R$1&amp;K94&amp;$Q$1&amp;$S$1&amp;$P$1&amp;$T$1&amp;$G$2&amp;$T$1&amp;$R$1&amp;G94&amp;$Q$1&amp;$S$1&amp;$P$1&amp;$T$1&amp;$H$2&amp;$T$1&amp;$R$1&amp;H94&amp;$Q$1&amp;$S$1&amp;$P$1&amp;$T$1&amp;$I$2&amp;$T$1&amp;$R$1&amp;I94&amp;$Q$1&amp;$S$1&amp;$P$1&amp;$T$1&amp;$J$2&amp;$T$1&amp;$R$1&amp;J94&amp;$Q$1&amp;$O$1</f>
        <v>[{"2":230},{"4":127},{"5":127},{"12":2694},{"7":8},{"6":0},{"8":10},{"9":0}]</v>
      </c>
      <c r="AE93" t="str">
        <f>$N$1&amp;$P$1&amp;$T$1&amp;$C$2&amp;$T$1&amp;$R$1&amp;C94&amp;$Q$1&amp;$S$1&amp;$P$1&amp;$T$1&amp;$D$2&amp;$T$1&amp;$R$1&amp;D94&amp;$Q$1&amp;$S$1&amp;$P$1&amp;$T$1&amp;$E$2&amp;$T$1&amp;$R$1&amp;E94&amp;$Q$1&amp;$S$1&amp;$P$1&amp;$T$1&amp;$F$2&amp;$T$1&amp;$R$1&amp;L94&amp;$Q$1&amp;$S$1&amp;$P$1&amp;$T$1&amp;$G$2&amp;$T$1&amp;$R$1&amp;G94&amp;$Q$1&amp;$S$1&amp;$P$1&amp;$T$1&amp;$H$2&amp;$T$1&amp;$R$1&amp;H94&amp;$Q$1&amp;$S$1&amp;$P$1&amp;$T$1&amp;$I$2&amp;$T$1&amp;$R$1&amp;I94&amp;$Q$1&amp;$S$1&amp;$P$1&amp;$T$1&amp;$J$2&amp;$T$1&amp;$R$1&amp;J94&amp;$Q$1&amp;$O$1</f>
        <v>[{"2":230},{"4":127},{"5":127},{"12":4041},{"7":8},{"6":0},{"8":10},{"9":0}]</v>
      </c>
      <c r="AG93">
        <v>91</v>
      </c>
      <c r="AH93">
        <f t="shared" si="15"/>
        <v>60</v>
      </c>
      <c r="AI93">
        <f t="shared" si="16"/>
        <v>60</v>
      </c>
      <c r="AJ93">
        <v>713</v>
      </c>
      <c r="AK93">
        <v>4</v>
      </c>
      <c r="AL93">
        <v>8</v>
      </c>
      <c r="AM93">
        <v>0</v>
      </c>
      <c r="AN93">
        <v>10</v>
      </c>
    </row>
    <row r="94" customFormat="1" ht="16.5" spans="1:40">
      <c r="A94">
        <v>92</v>
      </c>
      <c r="B94">
        <f>$AP$2+AG94</f>
        <v>192</v>
      </c>
      <c r="C94">
        <f t="shared" si="12"/>
        <v>230</v>
      </c>
      <c r="D94">
        <f>AH94+$AQ$2</f>
        <v>127</v>
      </c>
      <c r="E94">
        <f t="shared" si="11"/>
        <v>127</v>
      </c>
      <c r="F94" s="4">
        <f>INT(主角属性配置!F94/3+$AS$2)</f>
        <v>8081</v>
      </c>
      <c r="G94">
        <v>8</v>
      </c>
      <c r="H94">
        <v>0</v>
      </c>
      <c r="I94">
        <v>10</v>
      </c>
      <c r="J94">
        <v>0</v>
      </c>
      <c r="K94" s="3">
        <f t="shared" si="13"/>
        <v>2694</v>
      </c>
      <c r="L94" s="3">
        <f t="shared" si="14"/>
        <v>4041</v>
      </c>
      <c r="N94" t="str">
        <f>$N$1&amp;$P$1&amp;$T$1&amp;$B$2&amp;$T$1&amp;$R$1&amp;B95&amp;$Q$1&amp;$S$1&amp;$P$1&amp;$T$1&amp;$D$2&amp;$T$1&amp;$R$1&amp;D95&amp;$Q$1&amp;$S$1&amp;$P$1&amp;$T$1&amp;$E$2&amp;$T$1&amp;$R$1&amp;E95&amp;$Q$1&amp;$S$1&amp;$P$1&amp;$T$1&amp;$F$2&amp;$T$1&amp;$R$1&amp;F95&amp;$Q$1&amp;$S$1&amp;$P$1&amp;$T$1&amp;$G$2&amp;$T$1&amp;$R$1&amp;G95&amp;$Q$1&amp;$S$1&amp;$P$1&amp;$T$1&amp;$H$2&amp;$T$1&amp;$R$1&amp;H95&amp;$Q$1&amp;$S$1&amp;$P$1&amp;$T$1&amp;$I$2&amp;$T$1&amp;$R$1&amp;I95&amp;$Q$1&amp;$S$1&amp;$P$1&amp;$T$1&amp;$J$2&amp;$T$1&amp;$R$1&amp;J95&amp;$Q$1&amp;$O$1</f>
        <v>[{"1":193},{"4":128},{"5":128},{"12":8161},{"7":8},{"6":0},{"8":10},{"9":0}]</v>
      </c>
      <c r="W94" t="str">
        <f>$N$1&amp;$P$1&amp;$T$1&amp;$C$2&amp;$T$1&amp;$R$1&amp;C95&amp;$Q$1&amp;$S$1&amp;$P$1&amp;$T$1&amp;$D$2&amp;$T$1&amp;$R$1&amp;D95&amp;$Q$1&amp;$S$1&amp;$P$1&amp;$T$1&amp;$E$2&amp;$T$1&amp;$R$1&amp;E95&amp;$Q$1&amp;$S$1&amp;$P$1&amp;$T$1&amp;$F$2&amp;$T$1&amp;$R$1&amp;K95&amp;$Q$1&amp;$S$1&amp;$P$1&amp;$T$1&amp;$G$2&amp;$T$1&amp;$R$1&amp;G95&amp;$Q$1&amp;$S$1&amp;$P$1&amp;$T$1&amp;$H$2&amp;$T$1&amp;$R$1&amp;H95&amp;$Q$1&amp;$S$1&amp;$P$1&amp;$T$1&amp;$I$2&amp;$T$1&amp;$R$1&amp;I95&amp;$Q$1&amp;$S$1&amp;$P$1&amp;$T$1&amp;$J$2&amp;$T$1&amp;$R$1&amp;J95&amp;$Q$1&amp;$O$1</f>
        <v>[{"2":231},{"4":128},{"5":128},{"12":2720},{"7":8},{"6":0},{"8":10},{"9":0}]</v>
      </c>
      <c r="AE94" t="str">
        <f>$N$1&amp;$P$1&amp;$T$1&amp;$C$2&amp;$T$1&amp;$R$1&amp;C95&amp;$Q$1&amp;$S$1&amp;$P$1&amp;$T$1&amp;$D$2&amp;$T$1&amp;$R$1&amp;D95&amp;$Q$1&amp;$S$1&amp;$P$1&amp;$T$1&amp;$E$2&amp;$T$1&amp;$R$1&amp;E95&amp;$Q$1&amp;$S$1&amp;$P$1&amp;$T$1&amp;$F$2&amp;$T$1&amp;$R$1&amp;L95&amp;$Q$1&amp;$S$1&amp;$P$1&amp;$T$1&amp;$G$2&amp;$T$1&amp;$R$1&amp;G95&amp;$Q$1&amp;$S$1&amp;$P$1&amp;$T$1&amp;$H$2&amp;$T$1&amp;$R$1&amp;H95&amp;$Q$1&amp;$S$1&amp;$P$1&amp;$T$1&amp;$I$2&amp;$T$1&amp;$R$1&amp;I95&amp;$Q$1&amp;$S$1&amp;$P$1&amp;$T$1&amp;$J$2&amp;$T$1&amp;$R$1&amp;J95&amp;$Q$1&amp;$O$1</f>
        <v>[{"2":231},{"4":128},{"5":128},{"12":4081},{"7":8},{"6":0},{"8":10},{"9":0}]</v>
      </c>
      <c r="AG94">
        <v>92</v>
      </c>
      <c r="AH94">
        <f t="shared" si="15"/>
        <v>61</v>
      </c>
      <c r="AI94">
        <f t="shared" si="16"/>
        <v>61</v>
      </c>
      <c r="AJ94">
        <v>721</v>
      </c>
      <c r="AK94">
        <v>4</v>
      </c>
      <c r="AL94">
        <v>8</v>
      </c>
      <c r="AM94">
        <v>0</v>
      </c>
      <c r="AN94">
        <v>10</v>
      </c>
    </row>
    <row r="95" customFormat="1" ht="16.5" spans="1:40">
      <c r="A95">
        <v>93</v>
      </c>
      <c r="B95">
        <f>$AP$2+AG95</f>
        <v>193</v>
      </c>
      <c r="C95">
        <f t="shared" si="12"/>
        <v>231</v>
      </c>
      <c r="D95">
        <f>AH95+$AQ$2</f>
        <v>128</v>
      </c>
      <c r="E95">
        <f t="shared" si="11"/>
        <v>128</v>
      </c>
      <c r="F95" s="4">
        <f>INT(主角属性配置!F95/3+$AS$2)</f>
        <v>8161</v>
      </c>
      <c r="G95">
        <v>8</v>
      </c>
      <c r="H95">
        <v>0</v>
      </c>
      <c r="I95">
        <v>10</v>
      </c>
      <c r="J95">
        <v>0</v>
      </c>
      <c r="K95" s="3">
        <f t="shared" si="13"/>
        <v>2720</v>
      </c>
      <c r="L95" s="3">
        <f t="shared" si="14"/>
        <v>4081</v>
      </c>
      <c r="N95" t="str">
        <f>$N$1&amp;$P$1&amp;$T$1&amp;$B$2&amp;$T$1&amp;$R$1&amp;B96&amp;$Q$1&amp;$S$1&amp;$P$1&amp;$T$1&amp;$D$2&amp;$T$1&amp;$R$1&amp;D96&amp;$Q$1&amp;$S$1&amp;$P$1&amp;$T$1&amp;$E$2&amp;$T$1&amp;$R$1&amp;E96&amp;$Q$1&amp;$S$1&amp;$P$1&amp;$T$1&amp;$F$2&amp;$T$1&amp;$R$1&amp;F96&amp;$Q$1&amp;$S$1&amp;$P$1&amp;$T$1&amp;$G$2&amp;$T$1&amp;$R$1&amp;G96&amp;$Q$1&amp;$S$1&amp;$P$1&amp;$T$1&amp;$H$2&amp;$T$1&amp;$R$1&amp;H96&amp;$Q$1&amp;$S$1&amp;$P$1&amp;$T$1&amp;$I$2&amp;$T$1&amp;$R$1&amp;I96&amp;$Q$1&amp;$S$1&amp;$P$1&amp;$T$1&amp;$J$2&amp;$T$1&amp;$R$1&amp;J96&amp;$Q$1&amp;$O$1</f>
        <v>[{"1":194},{"4":128},{"5":128},{"12":8242},{"7":8},{"6":0},{"8":10},{"9":0}]</v>
      </c>
      <c r="W95" t="str">
        <f>$N$1&amp;$P$1&amp;$T$1&amp;$C$2&amp;$T$1&amp;$R$1&amp;C96&amp;$Q$1&amp;$S$1&amp;$P$1&amp;$T$1&amp;$D$2&amp;$T$1&amp;$R$1&amp;D96&amp;$Q$1&amp;$S$1&amp;$P$1&amp;$T$1&amp;$E$2&amp;$T$1&amp;$R$1&amp;E96&amp;$Q$1&amp;$S$1&amp;$P$1&amp;$T$1&amp;$F$2&amp;$T$1&amp;$R$1&amp;K96&amp;$Q$1&amp;$S$1&amp;$P$1&amp;$T$1&amp;$G$2&amp;$T$1&amp;$R$1&amp;G96&amp;$Q$1&amp;$S$1&amp;$P$1&amp;$T$1&amp;$H$2&amp;$T$1&amp;$R$1&amp;H96&amp;$Q$1&amp;$S$1&amp;$P$1&amp;$T$1&amp;$I$2&amp;$T$1&amp;$R$1&amp;I96&amp;$Q$1&amp;$S$1&amp;$P$1&amp;$T$1&amp;$J$2&amp;$T$1&amp;$R$1&amp;J96&amp;$Q$1&amp;$O$1</f>
        <v>[{"2":232},{"4":128},{"5":128},{"12":2747},{"7":8},{"6":0},{"8":10},{"9":0}]</v>
      </c>
      <c r="AE95" t="str">
        <f>$N$1&amp;$P$1&amp;$T$1&amp;$C$2&amp;$T$1&amp;$R$1&amp;C96&amp;$Q$1&amp;$S$1&amp;$P$1&amp;$T$1&amp;$D$2&amp;$T$1&amp;$R$1&amp;D96&amp;$Q$1&amp;$S$1&amp;$P$1&amp;$T$1&amp;$E$2&amp;$T$1&amp;$R$1&amp;E96&amp;$Q$1&amp;$S$1&amp;$P$1&amp;$T$1&amp;$F$2&amp;$T$1&amp;$R$1&amp;L96&amp;$Q$1&amp;$S$1&amp;$P$1&amp;$T$1&amp;$G$2&amp;$T$1&amp;$R$1&amp;G96&amp;$Q$1&amp;$S$1&amp;$P$1&amp;$T$1&amp;$H$2&amp;$T$1&amp;$R$1&amp;H96&amp;$Q$1&amp;$S$1&amp;$P$1&amp;$T$1&amp;$I$2&amp;$T$1&amp;$R$1&amp;I96&amp;$Q$1&amp;$S$1&amp;$P$1&amp;$T$1&amp;$J$2&amp;$T$1&amp;$R$1&amp;J96&amp;$Q$1&amp;$O$1</f>
        <v>[{"2":232},{"4":128},{"5":128},{"12":4121},{"7":8},{"6":0},{"8":10},{"9":0}]</v>
      </c>
      <c r="AG95">
        <v>93</v>
      </c>
      <c r="AH95">
        <f t="shared" si="15"/>
        <v>62</v>
      </c>
      <c r="AI95">
        <f t="shared" si="16"/>
        <v>62</v>
      </c>
      <c r="AJ95">
        <v>729</v>
      </c>
      <c r="AK95">
        <v>4</v>
      </c>
      <c r="AL95">
        <v>8</v>
      </c>
      <c r="AM95">
        <v>0</v>
      </c>
      <c r="AN95">
        <v>10</v>
      </c>
    </row>
    <row r="96" customFormat="1" ht="16.5" spans="1:40">
      <c r="A96">
        <v>94</v>
      </c>
      <c r="B96">
        <f>$AP$2+AG96</f>
        <v>194</v>
      </c>
      <c r="C96">
        <f t="shared" si="12"/>
        <v>232</v>
      </c>
      <c r="D96">
        <f>AH96+$AQ$2</f>
        <v>128</v>
      </c>
      <c r="E96">
        <f t="shared" si="11"/>
        <v>128</v>
      </c>
      <c r="F96" s="4">
        <f>INT(主角属性配置!F96/3+$AS$2)</f>
        <v>8242</v>
      </c>
      <c r="G96">
        <v>8</v>
      </c>
      <c r="H96">
        <v>0</v>
      </c>
      <c r="I96">
        <v>10</v>
      </c>
      <c r="J96">
        <v>0</v>
      </c>
      <c r="K96" s="3">
        <f t="shared" si="13"/>
        <v>2747</v>
      </c>
      <c r="L96" s="3">
        <f t="shared" si="14"/>
        <v>4121</v>
      </c>
      <c r="N96" t="str">
        <f>$N$1&amp;$P$1&amp;$T$1&amp;$B$2&amp;$T$1&amp;$R$1&amp;B97&amp;$Q$1&amp;$S$1&amp;$P$1&amp;$T$1&amp;$D$2&amp;$T$1&amp;$R$1&amp;D97&amp;$Q$1&amp;$S$1&amp;$P$1&amp;$T$1&amp;$E$2&amp;$T$1&amp;$R$1&amp;E97&amp;$Q$1&amp;$S$1&amp;$P$1&amp;$T$1&amp;$F$2&amp;$T$1&amp;$R$1&amp;F97&amp;$Q$1&amp;$S$1&amp;$P$1&amp;$T$1&amp;$G$2&amp;$T$1&amp;$R$1&amp;G97&amp;$Q$1&amp;$S$1&amp;$P$1&amp;$T$1&amp;$H$2&amp;$T$1&amp;$R$1&amp;H97&amp;$Q$1&amp;$S$1&amp;$P$1&amp;$T$1&amp;$I$2&amp;$T$1&amp;$R$1&amp;I97&amp;$Q$1&amp;$S$1&amp;$P$1&amp;$T$1&amp;$J$2&amp;$T$1&amp;$R$1&amp;J97&amp;$Q$1&amp;$O$1</f>
        <v>[{"1":195},{"4":129},{"5":129},{"12":8324},{"7":8},{"6":0},{"8":10},{"9":0}]</v>
      </c>
      <c r="W96" t="str">
        <f>$N$1&amp;$P$1&amp;$T$1&amp;$C$2&amp;$T$1&amp;$R$1&amp;C97&amp;$Q$1&amp;$S$1&amp;$P$1&amp;$T$1&amp;$D$2&amp;$T$1&amp;$R$1&amp;D97&amp;$Q$1&amp;$S$1&amp;$P$1&amp;$T$1&amp;$E$2&amp;$T$1&amp;$R$1&amp;E97&amp;$Q$1&amp;$S$1&amp;$P$1&amp;$T$1&amp;$F$2&amp;$T$1&amp;$R$1&amp;K97&amp;$Q$1&amp;$S$1&amp;$P$1&amp;$T$1&amp;$G$2&amp;$T$1&amp;$R$1&amp;G97&amp;$Q$1&amp;$S$1&amp;$P$1&amp;$T$1&amp;$H$2&amp;$T$1&amp;$R$1&amp;H97&amp;$Q$1&amp;$S$1&amp;$P$1&amp;$T$1&amp;$I$2&amp;$T$1&amp;$R$1&amp;I97&amp;$Q$1&amp;$S$1&amp;$P$1&amp;$T$1&amp;$J$2&amp;$T$1&amp;$R$1&amp;J97&amp;$Q$1&amp;$O$1</f>
        <v>[{"2":234},{"4":129},{"5":129},{"12":2775},{"7":8},{"6":0},{"8":10},{"9":0}]</v>
      </c>
      <c r="AE96" t="str">
        <f>$N$1&amp;$P$1&amp;$T$1&amp;$C$2&amp;$T$1&amp;$R$1&amp;C97&amp;$Q$1&amp;$S$1&amp;$P$1&amp;$T$1&amp;$D$2&amp;$T$1&amp;$R$1&amp;D97&amp;$Q$1&amp;$S$1&amp;$P$1&amp;$T$1&amp;$E$2&amp;$T$1&amp;$R$1&amp;E97&amp;$Q$1&amp;$S$1&amp;$P$1&amp;$T$1&amp;$F$2&amp;$T$1&amp;$R$1&amp;L97&amp;$Q$1&amp;$S$1&amp;$P$1&amp;$T$1&amp;$G$2&amp;$T$1&amp;$R$1&amp;G97&amp;$Q$1&amp;$S$1&amp;$P$1&amp;$T$1&amp;$H$2&amp;$T$1&amp;$R$1&amp;H97&amp;$Q$1&amp;$S$1&amp;$P$1&amp;$T$1&amp;$I$2&amp;$T$1&amp;$R$1&amp;I97&amp;$Q$1&amp;$S$1&amp;$P$1&amp;$T$1&amp;$J$2&amp;$T$1&amp;$R$1&amp;J97&amp;$Q$1&amp;$O$1</f>
        <v>[{"2":234},{"4":129},{"5":129},{"12":4162},{"7":8},{"6":0},{"8":10},{"9":0}]</v>
      </c>
      <c r="AG96">
        <v>94</v>
      </c>
      <c r="AH96">
        <f t="shared" si="15"/>
        <v>62</v>
      </c>
      <c r="AI96">
        <f t="shared" si="16"/>
        <v>62</v>
      </c>
      <c r="AJ96">
        <v>737</v>
      </c>
      <c r="AK96">
        <v>4</v>
      </c>
      <c r="AL96">
        <v>8</v>
      </c>
      <c r="AM96">
        <v>0</v>
      </c>
      <c r="AN96">
        <v>10</v>
      </c>
    </row>
    <row r="97" customFormat="1" ht="16.5" spans="1:40">
      <c r="A97">
        <v>95</v>
      </c>
      <c r="B97">
        <f>$AP$2+AG97</f>
        <v>195</v>
      </c>
      <c r="C97">
        <f t="shared" si="12"/>
        <v>234</v>
      </c>
      <c r="D97">
        <f>AH97+$AQ$2</f>
        <v>129</v>
      </c>
      <c r="E97">
        <f t="shared" si="11"/>
        <v>129</v>
      </c>
      <c r="F97" s="4">
        <f>INT(主角属性配置!F97/3+$AS$2)</f>
        <v>8324</v>
      </c>
      <c r="G97">
        <v>8</v>
      </c>
      <c r="H97">
        <v>0</v>
      </c>
      <c r="I97">
        <v>10</v>
      </c>
      <c r="J97">
        <v>0</v>
      </c>
      <c r="K97" s="3">
        <f t="shared" si="13"/>
        <v>2775</v>
      </c>
      <c r="L97" s="3">
        <f t="shared" si="14"/>
        <v>4162</v>
      </c>
      <c r="N97" t="str">
        <f>$N$1&amp;$P$1&amp;$T$1&amp;$B$2&amp;$T$1&amp;$R$1&amp;B98&amp;$Q$1&amp;$S$1&amp;$P$1&amp;$T$1&amp;$D$2&amp;$T$1&amp;$R$1&amp;D98&amp;$Q$1&amp;$S$1&amp;$P$1&amp;$T$1&amp;$E$2&amp;$T$1&amp;$R$1&amp;E98&amp;$Q$1&amp;$S$1&amp;$P$1&amp;$T$1&amp;$F$2&amp;$T$1&amp;$R$1&amp;F98&amp;$Q$1&amp;$S$1&amp;$P$1&amp;$T$1&amp;$G$2&amp;$T$1&amp;$R$1&amp;G98&amp;$Q$1&amp;$S$1&amp;$P$1&amp;$T$1&amp;$H$2&amp;$T$1&amp;$R$1&amp;H98&amp;$Q$1&amp;$S$1&amp;$P$1&amp;$T$1&amp;$I$2&amp;$T$1&amp;$R$1&amp;I98&amp;$Q$1&amp;$S$1&amp;$P$1&amp;$T$1&amp;$J$2&amp;$T$1&amp;$R$1&amp;J98&amp;$Q$1&amp;$O$1</f>
        <v>[{"1":196},{"4":130},{"5":130},{"12":8405},{"7":8},{"6":0},{"8":10},{"9":0}]</v>
      </c>
      <c r="W97" t="str">
        <f>$N$1&amp;$P$1&amp;$T$1&amp;$C$2&amp;$T$1&amp;$R$1&amp;C98&amp;$Q$1&amp;$S$1&amp;$P$1&amp;$T$1&amp;$D$2&amp;$T$1&amp;$R$1&amp;D98&amp;$Q$1&amp;$S$1&amp;$P$1&amp;$T$1&amp;$E$2&amp;$T$1&amp;$R$1&amp;E98&amp;$Q$1&amp;$S$1&amp;$P$1&amp;$T$1&amp;$F$2&amp;$T$1&amp;$R$1&amp;K98&amp;$Q$1&amp;$S$1&amp;$P$1&amp;$T$1&amp;$G$2&amp;$T$1&amp;$R$1&amp;G98&amp;$Q$1&amp;$S$1&amp;$P$1&amp;$T$1&amp;$H$2&amp;$T$1&amp;$R$1&amp;H98&amp;$Q$1&amp;$S$1&amp;$P$1&amp;$T$1&amp;$I$2&amp;$T$1&amp;$R$1&amp;I98&amp;$Q$1&amp;$S$1&amp;$P$1&amp;$T$1&amp;$J$2&amp;$T$1&amp;$R$1&amp;J98&amp;$Q$1&amp;$O$1</f>
        <v>[{"2":235},{"4":130},{"5":130},{"12":2802},{"7":8},{"6":0},{"8":10},{"9":0}]</v>
      </c>
      <c r="AE97" t="str">
        <f>$N$1&amp;$P$1&amp;$T$1&amp;$C$2&amp;$T$1&amp;$R$1&amp;C98&amp;$Q$1&amp;$S$1&amp;$P$1&amp;$T$1&amp;$D$2&amp;$T$1&amp;$R$1&amp;D98&amp;$Q$1&amp;$S$1&amp;$P$1&amp;$T$1&amp;$E$2&amp;$T$1&amp;$R$1&amp;E98&amp;$Q$1&amp;$S$1&amp;$P$1&amp;$T$1&amp;$F$2&amp;$T$1&amp;$R$1&amp;L98&amp;$Q$1&amp;$S$1&amp;$P$1&amp;$T$1&amp;$G$2&amp;$T$1&amp;$R$1&amp;G98&amp;$Q$1&amp;$S$1&amp;$P$1&amp;$T$1&amp;$H$2&amp;$T$1&amp;$R$1&amp;H98&amp;$Q$1&amp;$S$1&amp;$P$1&amp;$T$1&amp;$I$2&amp;$T$1&amp;$R$1&amp;I98&amp;$Q$1&amp;$S$1&amp;$P$1&amp;$T$1&amp;$J$2&amp;$T$1&amp;$R$1&amp;J98&amp;$Q$1&amp;$O$1</f>
        <v>[{"2":235},{"4":130},{"5":130},{"12":4203},{"7":8},{"6":0},{"8":10},{"9":0}]</v>
      </c>
      <c r="AG97">
        <v>95</v>
      </c>
      <c r="AH97">
        <f t="shared" si="15"/>
        <v>63</v>
      </c>
      <c r="AI97">
        <f t="shared" si="16"/>
        <v>63</v>
      </c>
      <c r="AJ97">
        <v>745</v>
      </c>
      <c r="AK97">
        <v>4</v>
      </c>
      <c r="AL97">
        <v>8</v>
      </c>
      <c r="AM97">
        <v>0</v>
      </c>
      <c r="AN97">
        <v>10</v>
      </c>
    </row>
    <row r="98" customFormat="1" ht="16.5" spans="1:40">
      <c r="A98">
        <v>96</v>
      </c>
      <c r="B98">
        <f>$AP$2+AG98</f>
        <v>196</v>
      </c>
      <c r="C98">
        <f t="shared" si="12"/>
        <v>235</v>
      </c>
      <c r="D98">
        <f>AH98+$AQ$2</f>
        <v>130</v>
      </c>
      <c r="E98">
        <f t="shared" si="11"/>
        <v>130</v>
      </c>
      <c r="F98" s="4">
        <f>INT(主角属性配置!F98/3+$AS$2)</f>
        <v>8405</v>
      </c>
      <c r="G98">
        <v>8</v>
      </c>
      <c r="H98">
        <v>0</v>
      </c>
      <c r="I98">
        <v>10</v>
      </c>
      <c r="J98">
        <v>0</v>
      </c>
      <c r="K98" s="3">
        <f t="shared" si="13"/>
        <v>2802</v>
      </c>
      <c r="L98" s="3">
        <f t="shared" si="14"/>
        <v>4203</v>
      </c>
      <c r="N98" t="str">
        <f>$N$1&amp;$P$1&amp;$T$1&amp;$B$2&amp;$T$1&amp;$R$1&amp;B99&amp;$Q$1&amp;$S$1&amp;$P$1&amp;$T$1&amp;$D$2&amp;$T$1&amp;$R$1&amp;D99&amp;$Q$1&amp;$S$1&amp;$P$1&amp;$T$1&amp;$E$2&amp;$T$1&amp;$R$1&amp;E99&amp;$Q$1&amp;$S$1&amp;$P$1&amp;$T$1&amp;$F$2&amp;$T$1&amp;$R$1&amp;F99&amp;$Q$1&amp;$S$1&amp;$P$1&amp;$T$1&amp;$G$2&amp;$T$1&amp;$R$1&amp;G99&amp;$Q$1&amp;$S$1&amp;$P$1&amp;$T$1&amp;$H$2&amp;$T$1&amp;$R$1&amp;H99&amp;$Q$1&amp;$S$1&amp;$P$1&amp;$T$1&amp;$I$2&amp;$T$1&amp;$R$1&amp;I99&amp;$Q$1&amp;$S$1&amp;$P$1&amp;$T$1&amp;$J$2&amp;$T$1&amp;$R$1&amp;J99&amp;$Q$1&amp;$O$1</f>
        <v>[{"1":197},{"4":130},{"5":130},{"12":8486},{"7":8},{"6":0},{"8":10},{"9":0}]</v>
      </c>
      <c r="W98" t="str">
        <f>$N$1&amp;$P$1&amp;$T$1&amp;$C$2&amp;$T$1&amp;$R$1&amp;C99&amp;$Q$1&amp;$S$1&amp;$P$1&amp;$T$1&amp;$D$2&amp;$T$1&amp;$R$1&amp;D99&amp;$Q$1&amp;$S$1&amp;$P$1&amp;$T$1&amp;$E$2&amp;$T$1&amp;$R$1&amp;E99&amp;$Q$1&amp;$S$1&amp;$P$1&amp;$T$1&amp;$F$2&amp;$T$1&amp;$R$1&amp;K99&amp;$Q$1&amp;$S$1&amp;$P$1&amp;$T$1&amp;$G$2&amp;$T$1&amp;$R$1&amp;G99&amp;$Q$1&amp;$S$1&amp;$P$1&amp;$T$1&amp;$H$2&amp;$T$1&amp;$R$1&amp;H99&amp;$Q$1&amp;$S$1&amp;$P$1&amp;$T$1&amp;$I$2&amp;$T$1&amp;$R$1&amp;I99&amp;$Q$1&amp;$S$1&amp;$P$1&amp;$T$1&amp;$J$2&amp;$T$1&amp;$R$1&amp;J99&amp;$Q$1&amp;$O$1</f>
        <v>[{"2":236},{"4":130},{"5":130},{"12":2829},{"7":8},{"6":0},{"8":10},{"9":0}]</v>
      </c>
      <c r="AE98" t="str">
        <f>$N$1&amp;$P$1&amp;$T$1&amp;$C$2&amp;$T$1&amp;$R$1&amp;C99&amp;$Q$1&amp;$S$1&amp;$P$1&amp;$T$1&amp;$D$2&amp;$T$1&amp;$R$1&amp;D99&amp;$Q$1&amp;$S$1&amp;$P$1&amp;$T$1&amp;$E$2&amp;$T$1&amp;$R$1&amp;E99&amp;$Q$1&amp;$S$1&amp;$P$1&amp;$T$1&amp;$F$2&amp;$T$1&amp;$R$1&amp;L99&amp;$Q$1&amp;$S$1&amp;$P$1&amp;$T$1&amp;$G$2&amp;$T$1&amp;$R$1&amp;G99&amp;$Q$1&amp;$S$1&amp;$P$1&amp;$T$1&amp;$H$2&amp;$T$1&amp;$R$1&amp;H99&amp;$Q$1&amp;$S$1&amp;$P$1&amp;$T$1&amp;$I$2&amp;$T$1&amp;$R$1&amp;I99&amp;$Q$1&amp;$S$1&amp;$P$1&amp;$T$1&amp;$J$2&amp;$T$1&amp;$R$1&amp;J99&amp;$Q$1&amp;$O$1</f>
        <v>[{"2":236},{"4":130},{"5":130},{"12":4243},{"7":8},{"6":0},{"8":10},{"9":0}]</v>
      </c>
      <c r="AG98">
        <v>96</v>
      </c>
      <c r="AH98">
        <f t="shared" si="15"/>
        <v>64</v>
      </c>
      <c r="AI98">
        <f t="shared" si="16"/>
        <v>64</v>
      </c>
      <c r="AJ98">
        <v>753</v>
      </c>
      <c r="AK98">
        <v>4</v>
      </c>
      <c r="AL98">
        <v>8</v>
      </c>
      <c r="AM98">
        <v>0</v>
      </c>
      <c r="AN98">
        <v>10</v>
      </c>
    </row>
    <row r="99" customFormat="1" ht="16.5" spans="1:40">
      <c r="A99">
        <v>97</v>
      </c>
      <c r="B99">
        <f>$AP$2+AG99</f>
        <v>197</v>
      </c>
      <c r="C99">
        <f t="shared" si="12"/>
        <v>236</v>
      </c>
      <c r="D99">
        <f>AH99+$AQ$2</f>
        <v>130</v>
      </c>
      <c r="E99">
        <f t="shared" si="11"/>
        <v>130</v>
      </c>
      <c r="F99" s="4">
        <f>INT(主角属性配置!F99/3+$AS$2)</f>
        <v>8486</v>
      </c>
      <c r="G99">
        <v>8</v>
      </c>
      <c r="H99">
        <v>0</v>
      </c>
      <c r="I99">
        <v>10</v>
      </c>
      <c r="J99">
        <v>0</v>
      </c>
      <c r="K99" s="3">
        <f t="shared" si="13"/>
        <v>2829</v>
      </c>
      <c r="L99" s="3">
        <f t="shared" si="14"/>
        <v>4243</v>
      </c>
      <c r="N99" t="str">
        <f>$N$1&amp;$P$1&amp;$T$1&amp;$B$2&amp;$T$1&amp;$R$1&amp;B100&amp;$Q$1&amp;$S$1&amp;$P$1&amp;$T$1&amp;$D$2&amp;$T$1&amp;$R$1&amp;D100&amp;$Q$1&amp;$S$1&amp;$P$1&amp;$T$1&amp;$E$2&amp;$T$1&amp;$R$1&amp;E100&amp;$Q$1&amp;$S$1&amp;$P$1&amp;$T$1&amp;$F$2&amp;$T$1&amp;$R$1&amp;F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[{"1":198},{"4":131},{"5":131},{"12":8567},{"7":8},{"6":0},{"8":10},{"9":0}]</v>
      </c>
      <c r="W99" t="str">
        <f>$N$1&amp;$P$1&amp;$T$1&amp;$C$2&amp;$T$1&amp;$R$1&amp;C100&amp;$Q$1&amp;$S$1&amp;$P$1&amp;$T$1&amp;$D$2&amp;$T$1&amp;$R$1&amp;D100&amp;$Q$1&amp;$S$1&amp;$P$1&amp;$T$1&amp;$E$2&amp;$T$1&amp;$R$1&amp;E100&amp;$Q$1&amp;$S$1&amp;$P$1&amp;$T$1&amp;$F$2&amp;$T$1&amp;$R$1&amp;K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[{"2":237},{"4":131},{"5":131},{"12":2856},{"7":8},{"6":0},{"8":10},{"9":0}]</v>
      </c>
      <c r="AE99" t="str">
        <f>$N$1&amp;$P$1&amp;$T$1&amp;$C$2&amp;$T$1&amp;$R$1&amp;C100&amp;$Q$1&amp;$S$1&amp;$P$1&amp;$T$1&amp;$D$2&amp;$T$1&amp;$R$1&amp;D100&amp;$Q$1&amp;$S$1&amp;$P$1&amp;$T$1&amp;$E$2&amp;$T$1&amp;$R$1&amp;E100&amp;$Q$1&amp;$S$1&amp;$P$1&amp;$T$1&amp;$F$2&amp;$T$1&amp;$R$1&amp;L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[{"2":237},{"4":131},{"5":131},{"12":4284},{"7":8},{"6":0},{"8":10},{"9":0}]</v>
      </c>
      <c r="AG99">
        <v>97</v>
      </c>
      <c r="AH99">
        <f t="shared" si="15"/>
        <v>64</v>
      </c>
      <c r="AI99">
        <f t="shared" si="16"/>
        <v>64</v>
      </c>
      <c r="AJ99">
        <v>761</v>
      </c>
      <c r="AK99">
        <v>4</v>
      </c>
      <c r="AL99">
        <v>8</v>
      </c>
      <c r="AM99">
        <v>0</v>
      </c>
      <c r="AN99">
        <v>10</v>
      </c>
    </row>
    <row r="100" customFormat="1" ht="16.5" spans="1:40">
      <c r="A100">
        <v>98</v>
      </c>
      <c r="B100">
        <f>$AP$2+AG100</f>
        <v>198</v>
      </c>
      <c r="C100">
        <f t="shared" ref="C100:C131" si="17">INT(B100*1.2)</f>
        <v>237</v>
      </c>
      <c r="D100">
        <f>AH100+$AQ$2</f>
        <v>131</v>
      </c>
      <c r="E100">
        <f t="shared" si="11"/>
        <v>131</v>
      </c>
      <c r="F100" s="4">
        <f>INT(主角属性配置!F100/3+$AS$2)</f>
        <v>8567</v>
      </c>
      <c r="G100">
        <v>8</v>
      </c>
      <c r="H100">
        <v>0</v>
      </c>
      <c r="I100">
        <v>10</v>
      </c>
      <c r="J100">
        <v>0</v>
      </c>
      <c r="K100" s="3">
        <f t="shared" ref="K100:K131" si="18">ROUND(F100/3,0)</f>
        <v>2856</v>
      </c>
      <c r="L100" s="3">
        <f t="shared" ref="L100:L131" si="19">ROUND(F100/2,0)</f>
        <v>4284</v>
      </c>
      <c r="N100" t="str">
        <f>$N$1&amp;$P$1&amp;$T$1&amp;$B$2&amp;$T$1&amp;$R$1&amp;B101&amp;$Q$1&amp;$S$1&amp;$P$1&amp;$T$1&amp;$D$2&amp;$T$1&amp;$R$1&amp;D101&amp;$Q$1&amp;$S$1&amp;$P$1&amp;$T$1&amp;$E$2&amp;$T$1&amp;$R$1&amp;E101&amp;$Q$1&amp;$S$1&amp;$P$1&amp;$T$1&amp;$F$2&amp;$T$1&amp;$R$1&amp;F101&amp;$Q$1&amp;$S$1&amp;$P$1&amp;$T$1&amp;$G$2&amp;$T$1&amp;$R$1&amp;G101&amp;$Q$1&amp;$S$1&amp;$P$1&amp;$T$1&amp;$H$2&amp;$T$1&amp;$R$1&amp;H101&amp;$Q$1&amp;$S$1&amp;$P$1&amp;$T$1&amp;$I$2&amp;$T$1&amp;$R$1&amp;I101&amp;$Q$1&amp;$S$1&amp;$P$1&amp;$T$1&amp;$J$2&amp;$T$1&amp;$R$1&amp;J101&amp;$Q$1&amp;$O$1</f>
        <v>[{"1":199},{"4":132},{"5":132},{"12":8648},{"7":8},{"6":0},{"8":10},{"9":0}]</v>
      </c>
      <c r="W100" t="str">
        <f>$N$1&amp;$P$1&amp;$T$1&amp;$C$2&amp;$T$1&amp;$R$1&amp;C101&amp;$Q$1&amp;$S$1&amp;$P$1&amp;$T$1&amp;$D$2&amp;$T$1&amp;$R$1&amp;D101&amp;$Q$1&amp;$S$1&amp;$P$1&amp;$T$1&amp;$E$2&amp;$T$1&amp;$R$1&amp;E101&amp;$Q$1&amp;$S$1&amp;$P$1&amp;$T$1&amp;$F$2&amp;$T$1&amp;$R$1&amp;K101&amp;$Q$1&amp;$S$1&amp;$P$1&amp;$T$1&amp;$G$2&amp;$T$1&amp;$R$1&amp;G101&amp;$Q$1&amp;$S$1&amp;$P$1&amp;$T$1&amp;$H$2&amp;$T$1&amp;$R$1&amp;H101&amp;$Q$1&amp;$S$1&amp;$P$1&amp;$T$1&amp;$I$2&amp;$T$1&amp;$R$1&amp;I101&amp;$Q$1&amp;$S$1&amp;$P$1&amp;$T$1&amp;$J$2&amp;$T$1&amp;$R$1&amp;J101&amp;$Q$1&amp;$O$1</f>
        <v>[{"2":238},{"4":132},{"5":132},{"12":2883},{"7":8},{"6":0},{"8":10},{"9":0}]</v>
      </c>
      <c r="AE100" t="str">
        <f>$N$1&amp;$P$1&amp;$T$1&amp;$C$2&amp;$T$1&amp;$R$1&amp;C101&amp;$Q$1&amp;$S$1&amp;$P$1&amp;$T$1&amp;$D$2&amp;$T$1&amp;$R$1&amp;D101&amp;$Q$1&amp;$S$1&amp;$P$1&amp;$T$1&amp;$E$2&amp;$T$1&amp;$R$1&amp;E101&amp;$Q$1&amp;$S$1&amp;$P$1&amp;$T$1&amp;$F$2&amp;$T$1&amp;$R$1&amp;L101&amp;$Q$1&amp;$S$1&amp;$P$1&amp;$T$1&amp;$G$2&amp;$T$1&amp;$R$1&amp;G101&amp;$Q$1&amp;$S$1&amp;$P$1&amp;$T$1&amp;$H$2&amp;$T$1&amp;$R$1&amp;H101&amp;$Q$1&amp;$S$1&amp;$P$1&amp;$T$1&amp;$I$2&amp;$T$1&amp;$R$1&amp;I101&amp;$Q$1&amp;$S$1&amp;$P$1&amp;$T$1&amp;$J$2&amp;$T$1&amp;$R$1&amp;J101&amp;$Q$1&amp;$O$1</f>
        <v>[{"2":238},{"4":132},{"5":132},{"12":4324},{"7":8},{"6":0},{"8":10},{"9":0}]</v>
      </c>
      <c r="AG100">
        <v>98</v>
      </c>
      <c r="AH100">
        <f t="shared" ref="AH100:AH131" si="20">INT(AG100/1.5)</f>
        <v>65</v>
      </c>
      <c r="AI100">
        <f t="shared" ref="AI100:AI131" si="21">AH100</f>
        <v>65</v>
      </c>
      <c r="AJ100">
        <v>769</v>
      </c>
      <c r="AK100">
        <v>4</v>
      </c>
      <c r="AL100">
        <v>8</v>
      </c>
      <c r="AM100">
        <v>0</v>
      </c>
      <c r="AN100">
        <v>10</v>
      </c>
    </row>
    <row r="101" customFormat="1" ht="16.5" spans="1:40">
      <c r="A101">
        <v>99</v>
      </c>
      <c r="B101">
        <f>$AP$2+AG101</f>
        <v>199</v>
      </c>
      <c r="C101">
        <f t="shared" si="17"/>
        <v>238</v>
      </c>
      <c r="D101">
        <f>AH101+$AQ$2</f>
        <v>132</v>
      </c>
      <c r="E101">
        <f t="shared" si="11"/>
        <v>132</v>
      </c>
      <c r="F101" s="4">
        <f>INT(主角属性配置!F101/3+$AS$2)</f>
        <v>8648</v>
      </c>
      <c r="G101">
        <v>8</v>
      </c>
      <c r="H101">
        <v>0</v>
      </c>
      <c r="I101">
        <v>10</v>
      </c>
      <c r="J101">
        <v>0</v>
      </c>
      <c r="K101" s="3">
        <f t="shared" si="18"/>
        <v>2883</v>
      </c>
      <c r="L101" s="3">
        <f t="shared" si="19"/>
        <v>4324</v>
      </c>
      <c r="N101" t="str">
        <f>$N$1&amp;$P$1&amp;$T$1&amp;$B$2&amp;$T$1&amp;$R$1&amp;B102&amp;$Q$1&amp;$S$1&amp;$P$1&amp;$T$1&amp;$D$2&amp;$T$1&amp;$R$1&amp;D102&amp;$Q$1&amp;$S$1&amp;$P$1&amp;$T$1&amp;$E$2&amp;$T$1&amp;$R$1&amp;E102&amp;$Q$1&amp;$S$1&amp;$P$1&amp;$T$1&amp;$F$2&amp;$T$1&amp;$R$1&amp;F102&amp;$Q$1&amp;$S$1&amp;$P$1&amp;$T$1&amp;$G$2&amp;$T$1&amp;$R$1&amp;G102&amp;$Q$1&amp;$S$1&amp;$P$1&amp;$T$1&amp;$H$2&amp;$T$1&amp;$R$1&amp;H102&amp;$Q$1&amp;$S$1&amp;$P$1&amp;$T$1&amp;$I$2&amp;$T$1&amp;$R$1&amp;I102&amp;$Q$1&amp;$S$1&amp;$P$1&amp;$T$1&amp;$J$2&amp;$T$1&amp;$R$1&amp;J102&amp;$Q$1&amp;$O$1</f>
        <v>[{"1":200},{"4":132},{"5":132},{"12":8729},{"7":8},{"6":0},{"8":10},{"9":0}]</v>
      </c>
      <c r="W101" t="str">
        <f>$N$1&amp;$P$1&amp;$T$1&amp;$C$2&amp;$T$1&amp;$R$1&amp;C102&amp;$Q$1&amp;$S$1&amp;$P$1&amp;$T$1&amp;$D$2&amp;$T$1&amp;$R$1&amp;D102&amp;$Q$1&amp;$S$1&amp;$P$1&amp;$T$1&amp;$E$2&amp;$T$1&amp;$R$1&amp;E102&amp;$Q$1&amp;$S$1&amp;$P$1&amp;$T$1&amp;$F$2&amp;$T$1&amp;$R$1&amp;K102&amp;$Q$1&amp;$S$1&amp;$P$1&amp;$T$1&amp;$G$2&amp;$T$1&amp;$R$1&amp;G102&amp;$Q$1&amp;$S$1&amp;$P$1&amp;$T$1&amp;$H$2&amp;$T$1&amp;$R$1&amp;H102&amp;$Q$1&amp;$S$1&amp;$P$1&amp;$T$1&amp;$I$2&amp;$T$1&amp;$R$1&amp;I102&amp;$Q$1&amp;$S$1&amp;$P$1&amp;$T$1&amp;$J$2&amp;$T$1&amp;$R$1&amp;J102&amp;$Q$1&amp;$O$1</f>
        <v>[{"2":240},{"4":132},{"5":132},{"12":2910},{"7":8},{"6":0},{"8":10},{"9":0}]</v>
      </c>
      <c r="AE101" t="str">
        <f>$N$1&amp;$P$1&amp;$T$1&amp;$C$2&amp;$T$1&amp;$R$1&amp;C102&amp;$Q$1&amp;$S$1&amp;$P$1&amp;$T$1&amp;$D$2&amp;$T$1&amp;$R$1&amp;D102&amp;$Q$1&amp;$S$1&amp;$P$1&amp;$T$1&amp;$E$2&amp;$T$1&amp;$R$1&amp;E102&amp;$Q$1&amp;$S$1&amp;$P$1&amp;$T$1&amp;$F$2&amp;$T$1&amp;$R$1&amp;L102&amp;$Q$1&amp;$S$1&amp;$P$1&amp;$T$1&amp;$G$2&amp;$T$1&amp;$R$1&amp;G102&amp;$Q$1&amp;$S$1&amp;$P$1&amp;$T$1&amp;$H$2&amp;$T$1&amp;$R$1&amp;H102&amp;$Q$1&amp;$S$1&amp;$P$1&amp;$T$1&amp;$I$2&amp;$T$1&amp;$R$1&amp;I102&amp;$Q$1&amp;$S$1&amp;$P$1&amp;$T$1&amp;$J$2&amp;$T$1&amp;$R$1&amp;J102&amp;$Q$1&amp;$O$1</f>
        <v>[{"2":240},{"4":132},{"5":132},{"12":4365},{"7":8},{"6":0},{"8":10},{"9":0}]</v>
      </c>
      <c r="AG101">
        <v>99</v>
      </c>
      <c r="AH101">
        <f t="shared" si="20"/>
        <v>66</v>
      </c>
      <c r="AI101">
        <f t="shared" si="21"/>
        <v>66</v>
      </c>
      <c r="AJ101">
        <v>777</v>
      </c>
      <c r="AK101">
        <v>4</v>
      </c>
      <c r="AL101">
        <v>8</v>
      </c>
      <c r="AM101">
        <v>0</v>
      </c>
      <c r="AN101">
        <v>10</v>
      </c>
    </row>
    <row r="102" customFormat="1" ht="16.5" spans="1:40">
      <c r="A102">
        <v>100</v>
      </c>
      <c r="B102">
        <f>$AP$2+AG102</f>
        <v>200</v>
      </c>
      <c r="C102">
        <f t="shared" si="17"/>
        <v>240</v>
      </c>
      <c r="D102">
        <f>AH102+$AQ$2</f>
        <v>132</v>
      </c>
      <c r="E102">
        <f t="shared" si="11"/>
        <v>132</v>
      </c>
      <c r="F102" s="4">
        <f>INT(主角属性配置!F102/3+$AS$2)</f>
        <v>8729</v>
      </c>
      <c r="G102">
        <v>8</v>
      </c>
      <c r="H102">
        <v>0</v>
      </c>
      <c r="I102">
        <v>10</v>
      </c>
      <c r="J102">
        <v>0</v>
      </c>
      <c r="K102" s="3">
        <f t="shared" si="18"/>
        <v>2910</v>
      </c>
      <c r="L102" s="3">
        <f t="shared" si="19"/>
        <v>4365</v>
      </c>
      <c r="N102" t="str">
        <f>$N$1&amp;$P$1&amp;$T$1&amp;$B$2&amp;$T$1&amp;$R$1&amp;B103&amp;$Q$1&amp;$S$1&amp;$P$1&amp;$T$1&amp;$D$2&amp;$T$1&amp;$R$1&amp;D103&amp;$Q$1&amp;$S$1&amp;$P$1&amp;$T$1&amp;$E$2&amp;$T$1&amp;$R$1&amp;E103&amp;$Q$1&amp;$S$1&amp;$P$1&amp;$T$1&amp;$F$2&amp;$T$1&amp;$R$1&amp;F103&amp;$Q$1&amp;$S$1&amp;$P$1&amp;$T$1&amp;$G$2&amp;$T$1&amp;$R$1&amp;G103&amp;$Q$1&amp;$S$1&amp;$P$1&amp;$T$1&amp;$H$2&amp;$T$1&amp;$R$1&amp;H103&amp;$Q$1&amp;$S$1&amp;$P$1&amp;$T$1&amp;$I$2&amp;$T$1&amp;$R$1&amp;I103&amp;$Q$1&amp;$S$1&amp;$P$1&amp;$T$1&amp;$J$2&amp;$T$1&amp;$R$1&amp;J103&amp;$Q$1&amp;$O$1</f>
        <v>[{"1":201},{"4":133},{"5":133},{"12":8810},{"7":8},{"6":0},{"8":10},{"9":0}]</v>
      </c>
      <c r="W102" t="str">
        <f>$N$1&amp;$P$1&amp;$T$1&amp;$C$2&amp;$T$1&amp;$R$1&amp;C103&amp;$Q$1&amp;$S$1&amp;$P$1&amp;$T$1&amp;$D$2&amp;$T$1&amp;$R$1&amp;D103&amp;$Q$1&amp;$S$1&amp;$P$1&amp;$T$1&amp;$E$2&amp;$T$1&amp;$R$1&amp;E103&amp;$Q$1&amp;$S$1&amp;$P$1&amp;$T$1&amp;$F$2&amp;$T$1&amp;$R$1&amp;K103&amp;$Q$1&amp;$S$1&amp;$P$1&amp;$T$1&amp;$G$2&amp;$T$1&amp;$R$1&amp;G103&amp;$Q$1&amp;$S$1&amp;$P$1&amp;$T$1&amp;$H$2&amp;$T$1&amp;$R$1&amp;H103&amp;$Q$1&amp;$S$1&amp;$P$1&amp;$T$1&amp;$I$2&amp;$T$1&amp;$R$1&amp;I103&amp;$Q$1&amp;$S$1&amp;$P$1&amp;$T$1&amp;$J$2&amp;$T$1&amp;$R$1&amp;J103&amp;$Q$1&amp;$O$1</f>
        <v>[{"2":241},{"4":133},{"5":133},{"12":2937},{"7":8},{"6":0},{"8":10},{"9":0}]</v>
      </c>
      <c r="AE102" t="str">
        <f>$N$1&amp;$P$1&amp;$T$1&amp;$C$2&amp;$T$1&amp;$R$1&amp;C103&amp;$Q$1&amp;$S$1&amp;$P$1&amp;$T$1&amp;$D$2&amp;$T$1&amp;$R$1&amp;D103&amp;$Q$1&amp;$S$1&amp;$P$1&amp;$T$1&amp;$E$2&amp;$T$1&amp;$R$1&amp;E103&amp;$Q$1&amp;$S$1&amp;$P$1&amp;$T$1&amp;$F$2&amp;$T$1&amp;$R$1&amp;L103&amp;$Q$1&amp;$S$1&amp;$P$1&amp;$T$1&amp;$G$2&amp;$T$1&amp;$R$1&amp;G103&amp;$Q$1&amp;$S$1&amp;$P$1&amp;$T$1&amp;$H$2&amp;$T$1&amp;$R$1&amp;H103&amp;$Q$1&amp;$S$1&amp;$P$1&amp;$T$1&amp;$I$2&amp;$T$1&amp;$R$1&amp;I103&amp;$Q$1&amp;$S$1&amp;$P$1&amp;$T$1&amp;$J$2&amp;$T$1&amp;$R$1&amp;J103&amp;$Q$1&amp;$O$1</f>
        <v>[{"2":241},{"4":133},{"5":133},{"12":4405},{"7":8},{"6":0},{"8":10},{"9":0}]</v>
      </c>
      <c r="AG102">
        <v>100</v>
      </c>
      <c r="AH102">
        <f t="shared" si="20"/>
        <v>66</v>
      </c>
      <c r="AI102">
        <f t="shared" si="21"/>
        <v>66</v>
      </c>
      <c r="AJ102">
        <v>785</v>
      </c>
      <c r="AK102">
        <v>4</v>
      </c>
      <c r="AL102">
        <v>8</v>
      </c>
      <c r="AM102">
        <v>0</v>
      </c>
      <c r="AN102">
        <v>10</v>
      </c>
    </row>
    <row r="103" customFormat="1" ht="16.5" spans="1:40">
      <c r="A103">
        <v>101</v>
      </c>
      <c r="B103">
        <f>$AP$2+AG103</f>
        <v>201</v>
      </c>
      <c r="C103">
        <f t="shared" si="17"/>
        <v>241</v>
      </c>
      <c r="D103">
        <f>AH103+$AQ$2</f>
        <v>133</v>
      </c>
      <c r="E103">
        <f t="shared" si="11"/>
        <v>133</v>
      </c>
      <c r="F103" s="4">
        <f>INT(主角属性配置!F103/3+$AS$2)</f>
        <v>8810</v>
      </c>
      <c r="G103">
        <v>8</v>
      </c>
      <c r="H103">
        <v>0</v>
      </c>
      <c r="I103">
        <v>10</v>
      </c>
      <c r="J103">
        <v>0</v>
      </c>
      <c r="K103" s="3">
        <f t="shared" si="18"/>
        <v>2937</v>
      </c>
      <c r="L103" s="3">
        <f t="shared" si="19"/>
        <v>4405</v>
      </c>
      <c r="N103" t="str">
        <f>$N$1&amp;$P$1&amp;$T$1&amp;$B$2&amp;$T$1&amp;$R$1&amp;B104&amp;$Q$1&amp;$S$1&amp;$P$1&amp;$T$1&amp;$D$2&amp;$T$1&amp;$R$1&amp;D104&amp;$Q$1&amp;$S$1&amp;$P$1&amp;$T$1&amp;$E$2&amp;$T$1&amp;$R$1&amp;E104&amp;$Q$1&amp;$S$1&amp;$P$1&amp;$T$1&amp;$F$2&amp;$T$1&amp;$R$1&amp;F104&amp;$Q$1&amp;$S$1&amp;$P$1&amp;$T$1&amp;$G$2&amp;$T$1&amp;$R$1&amp;G104&amp;$Q$1&amp;$S$1&amp;$P$1&amp;$T$1&amp;$H$2&amp;$T$1&amp;$R$1&amp;H104&amp;$Q$1&amp;$S$1&amp;$P$1&amp;$T$1&amp;$I$2&amp;$T$1&amp;$R$1&amp;I104&amp;$Q$1&amp;$S$1&amp;$P$1&amp;$T$1&amp;$J$2&amp;$T$1&amp;$R$1&amp;J104&amp;$Q$1&amp;$O$1</f>
        <v>[{"1":202},{"4":134},{"5":134},{"12":8891},{"7":8},{"6":0},{"8":10},{"9":0}]</v>
      </c>
      <c r="W103" t="str">
        <f>$N$1&amp;$P$1&amp;$T$1&amp;$C$2&amp;$T$1&amp;$R$1&amp;C104&amp;$Q$1&amp;$S$1&amp;$P$1&amp;$T$1&amp;$D$2&amp;$T$1&amp;$R$1&amp;D104&amp;$Q$1&amp;$S$1&amp;$P$1&amp;$T$1&amp;$E$2&amp;$T$1&amp;$R$1&amp;E104&amp;$Q$1&amp;$S$1&amp;$P$1&amp;$T$1&amp;$F$2&amp;$T$1&amp;$R$1&amp;K104&amp;$Q$1&amp;$S$1&amp;$P$1&amp;$T$1&amp;$G$2&amp;$T$1&amp;$R$1&amp;G104&amp;$Q$1&amp;$S$1&amp;$P$1&amp;$T$1&amp;$H$2&amp;$T$1&amp;$R$1&amp;H104&amp;$Q$1&amp;$S$1&amp;$P$1&amp;$T$1&amp;$I$2&amp;$T$1&amp;$R$1&amp;I104&amp;$Q$1&amp;$S$1&amp;$P$1&amp;$T$1&amp;$J$2&amp;$T$1&amp;$R$1&amp;J104&amp;$Q$1&amp;$O$1</f>
        <v>[{"2":242},{"4":134},{"5":134},{"12":2964},{"7":8},{"6":0},{"8":10},{"9":0}]</v>
      </c>
      <c r="AE103" t="str">
        <f>$N$1&amp;$P$1&amp;$T$1&amp;$C$2&amp;$T$1&amp;$R$1&amp;C104&amp;$Q$1&amp;$S$1&amp;$P$1&amp;$T$1&amp;$D$2&amp;$T$1&amp;$R$1&amp;D104&amp;$Q$1&amp;$S$1&amp;$P$1&amp;$T$1&amp;$E$2&amp;$T$1&amp;$R$1&amp;E104&amp;$Q$1&amp;$S$1&amp;$P$1&amp;$T$1&amp;$F$2&amp;$T$1&amp;$R$1&amp;L104&amp;$Q$1&amp;$S$1&amp;$P$1&amp;$T$1&amp;$G$2&amp;$T$1&amp;$R$1&amp;G104&amp;$Q$1&amp;$S$1&amp;$P$1&amp;$T$1&amp;$H$2&amp;$T$1&amp;$R$1&amp;H104&amp;$Q$1&amp;$S$1&amp;$P$1&amp;$T$1&amp;$I$2&amp;$T$1&amp;$R$1&amp;I104&amp;$Q$1&amp;$S$1&amp;$P$1&amp;$T$1&amp;$J$2&amp;$T$1&amp;$R$1&amp;J104&amp;$Q$1&amp;$O$1</f>
        <v>[{"2":242},{"4":134},{"5":134},{"12":4446},{"7":8},{"6":0},{"8":10},{"9":0}]</v>
      </c>
      <c r="AG103">
        <v>101</v>
      </c>
      <c r="AH103">
        <f t="shared" si="20"/>
        <v>67</v>
      </c>
      <c r="AI103">
        <f t="shared" si="21"/>
        <v>67</v>
      </c>
      <c r="AJ103">
        <v>794</v>
      </c>
      <c r="AK103">
        <v>4</v>
      </c>
      <c r="AL103">
        <v>8</v>
      </c>
      <c r="AM103">
        <v>0</v>
      </c>
      <c r="AN103">
        <v>10</v>
      </c>
    </row>
    <row r="104" customFormat="1" ht="16.5" spans="1:40">
      <c r="A104">
        <v>102</v>
      </c>
      <c r="B104">
        <f>$AP$2+AG104</f>
        <v>202</v>
      </c>
      <c r="C104">
        <f t="shared" si="17"/>
        <v>242</v>
      </c>
      <c r="D104">
        <f>AH104+$AQ$2</f>
        <v>134</v>
      </c>
      <c r="E104">
        <f t="shared" si="11"/>
        <v>134</v>
      </c>
      <c r="F104" s="4">
        <f>INT(主角属性配置!F104/3+$AS$2)</f>
        <v>8891</v>
      </c>
      <c r="G104">
        <v>8</v>
      </c>
      <c r="H104">
        <v>0</v>
      </c>
      <c r="I104">
        <v>10</v>
      </c>
      <c r="J104">
        <v>0</v>
      </c>
      <c r="K104" s="3">
        <f t="shared" si="18"/>
        <v>2964</v>
      </c>
      <c r="L104" s="3">
        <f t="shared" si="19"/>
        <v>4446</v>
      </c>
      <c r="N104" t="str">
        <f>$N$1&amp;$P$1&amp;$T$1&amp;$B$2&amp;$T$1&amp;$R$1&amp;B105&amp;$Q$1&amp;$S$1&amp;$P$1&amp;$T$1&amp;$D$2&amp;$T$1&amp;$R$1&amp;D105&amp;$Q$1&amp;$S$1&amp;$P$1&amp;$T$1&amp;$E$2&amp;$T$1&amp;$R$1&amp;E105&amp;$Q$1&amp;$S$1&amp;$P$1&amp;$T$1&amp;$F$2&amp;$T$1&amp;$R$1&amp;F105&amp;$Q$1&amp;$S$1&amp;$P$1&amp;$T$1&amp;$G$2&amp;$T$1&amp;$R$1&amp;G105&amp;$Q$1&amp;$S$1&amp;$P$1&amp;$T$1&amp;$H$2&amp;$T$1&amp;$R$1&amp;H105&amp;$Q$1&amp;$S$1&amp;$P$1&amp;$T$1&amp;$I$2&amp;$T$1&amp;$R$1&amp;I105&amp;$Q$1&amp;$S$1&amp;$P$1&amp;$T$1&amp;$J$2&amp;$T$1&amp;$R$1&amp;J105&amp;$Q$1&amp;$O$1</f>
        <v>[{"1":203},{"4":134},{"5":134},{"12":8971},{"7":8},{"6":0},{"8":10},{"9":0}]</v>
      </c>
      <c r="W104" t="str">
        <f>$N$1&amp;$P$1&amp;$T$1&amp;$C$2&amp;$T$1&amp;$R$1&amp;C105&amp;$Q$1&amp;$S$1&amp;$P$1&amp;$T$1&amp;$D$2&amp;$T$1&amp;$R$1&amp;D105&amp;$Q$1&amp;$S$1&amp;$P$1&amp;$T$1&amp;$E$2&amp;$T$1&amp;$R$1&amp;E105&amp;$Q$1&amp;$S$1&amp;$P$1&amp;$T$1&amp;$F$2&amp;$T$1&amp;$R$1&amp;K105&amp;$Q$1&amp;$S$1&amp;$P$1&amp;$T$1&amp;$G$2&amp;$T$1&amp;$R$1&amp;G105&amp;$Q$1&amp;$S$1&amp;$P$1&amp;$T$1&amp;$H$2&amp;$T$1&amp;$R$1&amp;H105&amp;$Q$1&amp;$S$1&amp;$P$1&amp;$T$1&amp;$I$2&amp;$T$1&amp;$R$1&amp;I105&amp;$Q$1&amp;$S$1&amp;$P$1&amp;$T$1&amp;$J$2&amp;$T$1&amp;$R$1&amp;J105&amp;$Q$1&amp;$O$1</f>
        <v>[{"2":243},{"4":134},{"5":134},{"12":2990},{"7":8},{"6":0},{"8":10},{"9":0}]</v>
      </c>
      <c r="AE104" t="str">
        <f>$N$1&amp;$P$1&amp;$T$1&amp;$C$2&amp;$T$1&amp;$R$1&amp;C105&amp;$Q$1&amp;$S$1&amp;$P$1&amp;$T$1&amp;$D$2&amp;$T$1&amp;$R$1&amp;D105&amp;$Q$1&amp;$S$1&amp;$P$1&amp;$T$1&amp;$E$2&amp;$T$1&amp;$R$1&amp;E105&amp;$Q$1&amp;$S$1&amp;$P$1&amp;$T$1&amp;$F$2&amp;$T$1&amp;$R$1&amp;L105&amp;$Q$1&amp;$S$1&amp;$P$1&amp;$T$1&amp;$G$2&amp;$T$1&amp;$R$1&amp;G105&amp;$Q$1&amp;$S$1&amp;$P$1&amp;$T$1&amp;$H$2&amp;$T$1&amp;$R$1&amp;H105&amp;$Q$1&amp;$S$1&amp;$P$1&amp;$T$1&amp;$I$2&amp;$T$1&amp;$R$1&amp;I105&amp;$Q$1&amp;$S$1&amp;$P$1&amp;$T$1&amp;$J$2&amp;$T$1&amp;$R$1&amp;J105&amp;$Q$1&amp;$O$1</f>
        <v>[{"2":243},{"4":134},{"5":134},{"12":4486},{"7":8},{"6":0},{"8":10},{"9":0}]</v>
      </c>
      <c r="AG104">
        <v>102</v>
      </c>
      <c r="AH104">
        <f t="shared" si="20"/>
        <v>68</v>
      </c>
      <c r="AI104">
        <f t="shared" si="21"/>
        <v>68</v>
      </c>
      <c r="AJ104">
        <v>802</v>
      </c>
      <c r="AK104">
        <v>4</v>
      </c>
      <c r="AL104">
        <v>8</v>
      </c>
      <c r="AM104">
        <v>0</v>
      </c>
      <c r="AN104">
        <v>10</v>
      </c>
    </row>
    <row r="105" customFormat="1" ht="16.5" spans="1:40">
      <c r="A105">
        <v>103</v>
      </c>
      <c r="B105">
        <f>$AP$2+AG105</f>
        <v>203</v>
      </c>
      <c r="C105">
        <f t="shared" si="17"/>
        <v>243</v>
      </c>
      <c r="D105">
        <f>AH105+$AQ$2</f>
        <v>134</v>
      </c>
      <c r="E105">
        <f t="shared" si="11"/>
        <v>134</v>
      </c>
      <c r="F105" s="4">
        <f>INT(主角属性配置!F105/3+$AS$2)</f>
        <v>8971</v>
      </c>
      <c r="G105">
        <v>8</v>
      </c>
      <c r="H105">
        <v>0</v>
      </c>
      <c r="I105">
        <v>10</v>
      </c>
      <c r="J105">
        <v>0</v>
      </c>
      <c r="K105" s="3">
        <f t="shared" si="18"/>
        <v>2990</v>
      </c>
      <c r="L105" s="3">
        <f t="shared" si="19"/>
        <v>4486</v>
      </c>
      <c r="N105" t="str">
        <f>$N$1&amp;$P$1&amp;$T$1&amp;$B$2&amp;$T$1&amp;$R$1&amp;B106&amp;$Q$1&amp;$S$1&amp;$P$1&amp;$T$1&amp;$D$2&amp;$T$1&amp;$R$1&amp;D106&amp;$Q$1&amp;$S$1&amp;$P$1&amp;$T$1&amp;$E$2&amp;$T$1&amp;$R$1&amp;E106&amp;$Q$1&amp;$S$1&amp;$P$1&amp;$T$1&amp;$F$2&amp;$T$1&amp;$R$1&amp;F106&amp;$Q$1&amp;$S$1&amp;$P$1&amp;$T$1&amp;$G$2&amp;$T$1&amp;$R$1&amp;G106&amp;$Q$1&amp;$S$1&amp;$P$1&amp;$T$1&amp;$H$2&amp;$T$1&amp;$R$1&amp;H106&amp;$Q$1&amp;$S$1&amp;$P$1&amp;$T$1&amp;$I$2&amp;$T$1&amp;$R$1&amp;I106&amp;$Q$1&amp;$S$1&amp;$P$1&amp;$T$1&amp;$J$2&amp;$T$1&amp;$R$1&amp;J106&amp;$Q$1&amp;$O$1</f>
        <v>[{"1":204},{"4":135},{"5":135},{"12":9052},{"7":8},{"6":0},{"8":10},{"9":0}]</v>
      </c>
      <c r="W105" t="str">
        <f>$N$1&amp;$P$1&amp;$T$1&amp;$C$2&amp;$T$1&amp;$R$1&amp;C106&amp;$Q$1&amp;$S$1&amp;$P$1&amp;$T$1&amp;$D$2&amp;$T$1&amp;$R$1&amp;D106&amp;$Q$1&amp;$S$1&amp;$P$1&amp;$T$1&amp;$E$2&amp;$T$1&amp;$R$1&amp;E106&amp;$Q$1&amp;$S$1&amp;$P$1&amp;$T$1&amp;$F$2&amp;$T$1&amp;$R$1&amp;K106&amp;$Q$1&amp;$S$1&amp;$P$1&amp;$T$1&amp;$G$2&amp;$T$1&amp;$R$1&amp;G106&amp;$Q$1&amp;$S$1&amp;$P$1&amp;$T$1&amp;$H$2&amp;$T$1&amp;$R$1&amp;H106&amp;$Q$1&amp;$S$1&amp;$P$1&amp;$T$1&amp;$I$2&amp;$T$1&amp;$R$1&amp;I106&amp;$Q$1&amp;$S$1&amp;$P$1&amp;$T$1&amp;$J$2&amp;$T$1&amp;$R$1&amp;J106&amp;$Q$1&amp;$O$1</f>
        <v>[{"2":244},{"4":135},{"5":135},{"12":3017},{"7":8},{"6":0},{"8":10},{"9":0}]</v>
      </c>
      <c r="AE105" t="str">
        <f>$N$1&amp;$P$1&amp;$T$1&amp;$C$2&amp;$T$1&amp;$R$1&amp;C106&amp;$Q$1&amp;$S$1&amp;$P$1&amp;$T$1&amp;$D$2&amp;$T$1&amp;$R$1&amp;D106&amp;$Q$1&amp;$S$1&amp;$P$1&amp;$T$1&amp;$E$2&amp;$T$1&amp;$R$1&amp;E106&amp;$Q$1&amp;$S$1&amp;$P$1&amp;$T$1&amp;$F$2&amp;$T$1&amp;$R$1&amp;L106&amp;$Q$1&amp;$S$1&amp;$P$1&amp;$T$1&amp;$G$2&amp;$T$1&amp;$R$1&amp;G106&amp;$Q$1&amp;$S$1&amp;$P$1&amp;$T$1&amp;$H$2&amp;$T$1&amp;$R$1&amp;H106&amp;$Q$1&amp;$S$1&amp;$P$1&amp;$T$1&amp;$I$2&amp;$T$1&amp;$R$1&amp;I106&amp;$Q$1&amp;$S$1&amp;$P$1&amp;$T$1&amp;$J$2&amp;$T$1&amp;$R$1&amp;J106&amp;$Q$1&amp;$O$1</f>
        <v>[{"2":244},{"4":135},{"5":135},{"12":4526},{"7":8},{"6":0},{"8":10},{"9":0}]</v>
      </c>
      <c r="AG105">
        <v>103</v>
      </c>
      <c r="AH105">
        <f t="shared" si="20"/>
        <v>68</v>
      </c>
      <c r="AI105">
        <f t="shared" si="21"/>
        <v>68</v>
      </c>
      <c r="AJ105">
        <v>810</v>
      </c>
      <c r="AK105">
        <v>4</v>
      </c>
      <c r="AL105">
        <v>8</v>
      </c>
      <c r="AM105">
        <v>0</v>
      </c>
      <c r="AN105">
        <v>10</v>
      </c>
    </row>
    <row r="106" customFormat="1" ht="16.5" spans="1:40">
      <c r="A106">
        <v>104</v>
      </c>
      <c r="B106">
        <f>$AP$2+AG106</f>
        <v>204</v>
      </c>
      <c r="C106">
        <f t="shared" si="17"/>
        <v>244</v>
      </c>
      <c r="D106">
        <f>AH106+$AQ$2</f>
        <v>135</v>
      </c>
      <c r="E106">
        <f t="shared" si="11"/>
        <v>135</v>
      </c>
      <c r="F106" s="4">
        <f>INT(主角属性配置!F106/3+$AS$2)</f>
        <v>9052</v>
      </c>
      <c r="G106">
        <v>8</v>
      </c>
      <c r="H106">
        <v>0</v>
      </c>
      <c r="I106">
        <v>10</v>
      </c>
      <c r="J106">
        <v>0</v>
      </c>
      <c r="K106" s="3">
        <f t="shared" si="18"/>
        <v>3017</v>
      </c>
      <c r="L106" s="3">
        <f t="shared" si="19"/>
        <v>4526</v>
      </c>
      <c r="N106" t="str">
        <f>$N$1&amp;$P$1&amp;$T$1&amp;$B$2&amp;$T$1&amp;$R$1&amp;B107&amp;$Q$1&amp;$S$1&amp;$P$1&amp;$T$1&amp;$D$2&amp;$T$1&amp;$R$1&amp;D107&amp;$Q$1&amp;$S$1&amp;$P$1&amp;$T$1&amp;$E$2&amp;$T$1&amp;$R$1&amp;E107&amp;$Q$1&amp;$S$1&amp;$P$1&amp;$T$1&amp;$F$2&amp;$T$1&amp;$R$1&amp;F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[{"1":205},{"4":136},{"5":136},{"12":9133},{"7":8},{"6":0},{"8":10},{"9":0}]</v>
      </c>
      <c r="W106" t="str">
        <f>$N$1&amp;$P$1&amp;$T$1&amp;$C$2&amp;$T$1&amp;$R$1&amp;C107&amp;$Q$1&amp;$S$1&amp;$P$1&amp;$T$1&amp;$D$2&amp;$T$1&amp;$R$1&amp;D107&amp;$Q$1&amp;$S$1&amp;$P$1&amp;$T$1&amp;$E$2&amp;$T$1&amp;$R$1&amp;E107&amp;$Q$1&amp;$S$1&amp;$P$1&amp;$T$1&amp;$F$2&amp;$T$1&amp;$R$1&amp;K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[{"2":246},{"4":136},{"5":136},{"12":3044},{"7":8},{"6":0},{"8":10},{"9":0}]</v>
      </c>
      <c r="AE106" t="str">
        <f>$N$1&amp;$P$1&amp;$T$1&amp;$C$2&amp;$T$1&amp;$R$1&amp;C107&amp;$Q$1&amp;$S$1&amp;$P$1&amp;$T$1&amp;$D$2&amp;$T$1&amp;$R$1&amp;D107&amp;$Q$1&amp;$S$1&amp;$P$1&amp;$T$1&amp;$E$2&amp;$T$1&amp;$R$1&amp;E107&amp;$Q$1&amp;$S$1&amp;$P$1&amp;$T$1&amp;$F$2&amp;$T$1&amp;$R$1&amp;L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[{"2":246},{"4":136},{"5":136},{"12":4567},{"7":8},{"6":0},{"8":10},{"9":0}]</v>
      </c>
      <c r="AG106">
        <v>104</v>
      </c>
      <c r="AH106">
        <f t="shared" si="20"/>
        <v>69</v>
      </c>
      <c r="AI106">
        <f t="shared" si="21"/>
        <v>69</v>
      </c>
      <c r="AJ106">
        <v>818</v>
      </c>
      <c r="AK106">
        <v>4</v>
      </c>
      <c r="AL106">
        <v>8</v>
      </c>
      <c r="AM106">
        <v>0</v>
      </c>
      <c r="AN106">
        <v>10</v>
      </c>
    </row>
    <row r="107" customFormat="1" ht="16.5" spans="1:40">
      <c r="A107">
        <v>105</v>
      </c>
      <c r="B107">
        <f>$AP$2+AG107</f>
        <v>205</v>
      </c>
      <c r="C107">
        <f t="shared" si="17"/>
        <v>246</v>
      </c>
      <c r="D107">
        <f>AH107+$AQ$2</f>
        <v>136</v>
      </c>
      <c r="E107">
        <f t="shared" si="11"/>
        <v>136</v>
      </c>
      <c r="F107" s="4">
        <f>INT(主角属性配置!F107/3+$AS$2)</f>
        <v>9133</v>
      </c>
      <c r="G107">
        <v>8</v>
      </c>
      <c r="H107">
        <v>0</v>
      </c>
      <c r="I107">
        <v>10</v>
      </c>
      <c r="J107">
        <v>0</v>
      </c>
      <c r="K107" s="3">
        <f t="shared" si="18"/>
        <v>3044</v>
      </c>
      <c r="L107" s="3">
        <f t="shared" si="19"/>
        <v>4567</v>
      </c>
      <c r="N107" t="str">
        <f>$N$1&amp;$P$1&amp;$T$1&amp;$B$2&amp;$T$1&amp;$R$1&amp;B108&amp;$Q$1&amp;$S$1&amp;$P$1&amp;$T$1&amp;$D$2&amp;$T$1&amp;$R$1&amp;D108&amp;$Q$1&amp;$S$1&amp;$P$1&amp;$T$1&amp;$E$2&amp;$T$1&amp;$R$1&amp;E108&amp;$Q$1&amp;$S$1&amp;$P$1&amp;$T$1&amp;$F$2&amp;$T$1&amp;$R$1&amp;F108&amp;$Q$1&amp;$S$1&amp;$P$1&amp;$T$1&amp;$G$2&amp;$T$1&amp;$R$1&amp;G108&amp;$Q$1&amp;$S$1&amp;$P$1&amp;$T$1&amp;$H$2&amp;$T$1&amp;$R$1&amp;H108&amp;$Q$1&amp;$S$1&amp;$P$1&amp;$T$1&amp;$I$2&amp;$T$1&amp;$R$1&amp;I108&amp;$Q$1&amp;$S$1&amp;$P$1&amp;$T$1&amp;$J$2&amp;$T$1&amp;$R$1&amp;J108&amp;$Q$1&amp;$O$1</f>
        <v>[{"1":206},{"4":136},{"5":136},{"12":9214},{"7":8},{"6":0},{"8":10},{"9":0}]</v>
      </c>
      <c r="W107" t="str">
        <f>$N$1&amp;$P$1&amp;$T$1&amp;$C$2&amp;$T$1&amp;$R$1&amp;C108&amp;$Q$1&amp;$S$1&amp;$P$1&amp;$T$1&amp;$D$2&amp;$T$1&amp;$R$1&amp;D108&amp;$Q$1&amp;$S$1&amp;$P$1&amp;$T$1&amp;$E$2&amp;$T$1&amp;$R$1&amp;E108&amp;$Q$1&amp;$S$1&amp;$P$1&amp;$T$1&amp;$F$2&amp;$T$1&amp;$R$1&amp;K108&amp;$Q$1&amp;$S$1&amp;$P$1&amp;$T$1&amp;$G$2&amp;$T$1&amp;$R$1&amp;G108&amp;$Q$1&amp;$S$1&amp;$P$1&amp;$T$1&amp;$H$2&amp;$T$1&amp;$R$1&amp;H108&amp;$Q$1&amp;$S$1&amp;$P$1&amp;$T$1&amp;$I$2&amp;$T$1&amp;$R$1&amp;I108&amp;$Q$1&amp;$S$1&amp;$P$1&amp;$T$1&amp;$J$2&amp;$T$1&amp;$R$1&amp;J108&amp;$Q$1&amp;$O$1</f>
        <v>[{"2":247},{"4":136},{"5":136},{"12":3071},{"7":8},{"6":0},{"8":10},{"9":0}]</v>
      </c>
      <c r="AE107" t="str">
        <f>$N$1&amp;$P$1&amp;$T$1&amp;$C$2&amp;$T$1&amp;$R$1&amp;C108&amp;$Q$1&amp;$S$1&amp;$P$1&amp;$T$1&amp;$D$2&amp;$T$1&amp;$R$1&amp;D108&amp;$Q$1&amp;$S$1&amp;$P$1&amp;$T$1&amp;$E$2&amp;$T$1&amp;$R$1&amp;E108&amp;$Q$1&amp;$S$1&amp;$P$1&amp;$T$1&amp;$F$2&amp;$T$1&amp;$R$1&amp;L108&amp;$Q$1&amp;$S$1&amp;$P$1&amp;$T$1&amp;$G$2&amp;$T$1&amp;$R$1&amp;G108&amp;$Q$1&amp;$S$1&amp;$P$1&amp;$T$1&amp;$H$2&amp;$T$1&amp;$R$1&amp;H108&amp;$Q$1&amp;$S$1&amp;$P$1&amp;$T$1&amp;$I$2&amp;$T$1&amp;$R$1&amp;I108&amp;$Q$1&amp;$S$1&amp;$P$1&amp;$T$1&amp;$J$2&amp;$T$1&amp;$R$1&amp;J108&amp;$Q$1&amp;$O$1</f>
        <v>[{"2":247},{"4":136},{"5":136},{"12":4607},{"7":8},{"6":0},{"8":10},{"9":0}]</v>
      </c>
      <c r="AG107">
        <v>105</v>
      </c>
      <c r="AH107">
        <f t="shared" si="20"/>
        <v>70</v>
      </c>
      <c r="AI107">
        <f t="shared" si="21"/>
        <v>70</v>
      </c>
      <c r="AJ107">
        <v>826</v>
      </c>
      <c r="AK107">
        <v>4</v>
      </c>
      <c r="AL107">
        <v>8</v>
      </c>
      <c r="AM107">
        <v>0</v>
      </c>
      <c r="AN107">
        <v>10</v>
      </c>
    </row>
    <row r="108" customFormat="1" ht="16.5" spans="1:40">
      <c r="A108">
        <v>106</v>
      </c>
      <c r="B108">
        <f>$AP$2+AG108</f>
        <v>206</v>
      </c>
      <c r="C108">
        <f t="shared" si="17"/>
        <v>247</v>
      </c>
      <c r="D108">
        <f>AH108+$AQ$2</f>
        <v>136</v>
      </c>
      <c r="E108">
        <f t="shared" si="11"/>
        <v>136</v>
      </c>
      <c r="F108" s="4">
        <f>INT(主角属性配置!F108/3+$AS$2)</f>
        <v>9214</v>
      </c>
      <c r="G108">
        <v>8</v>
      </c>
      <c r="H108">
        <v>0</v>
      </c>
      <c r="I108">
        <v>10</v>
      </c>
      <c r="J108">
        <v>0</v>
      </c>
      <c r="K108" s="3">
        <f t="shared" si="18"/>
        <v>3071</v>
      </c>
      <c r="L108" s="3">
        <f t="shared" si="19"/>
        <v>4607</v>
      </c>
      <c r="N108" t="str">
        <f>$N$1&amp;$P$1&amp;$T$1&amp;$B$2&amp;$T$1&amp;$R$1&amp;B109&amp;$Q$1&amp;$S$1&amp;$P$1&amp;$T$1&amp;$D$2&amp;$T$1&amp;$R$1&amp;D109&amp;$Q$1&amp;$S$1&amp;$P$1&amp;$T$1&amp;$E$2&amp;$T$1&amp;$R$1&amp;E109&amp;$Q$1&amp;$S$1&amp;$P$1&amp;$T$1&amp;$F$2&amp;$T$1&amp;$R$1&amp;F109&amp;$Q$1&amp;$S$1&amp;$P$1&amp;$T$1&amp;$G$2&amp;$T$1&amp;$R$1&amp;G109&amp;$Q$1&amp;$S$1&amp;$P$1&amp;$T$1&amp;$H$2&amp;$T$1&amp;$R$1&amp;H109&amp;$Q$1&amp;$S$1&amp;$P$1&amp;$T$1&amp;$I$2&amp;$T$1&amp;$R$1&amp;I109&amp;$Q$1&amp;$S$1&amp;$P$1&amp;$T$1&amp;$J$2&amp;$T$1&amp;$R$1&amp;J109&amp;$Q$1&amp;$O$1</f>
        <v>[{"1":207},{"4":137},{"5":137},{"12":9295},{"7":8},{"6":0},{"8":10},{"9":0}]</v>
      </c>
      <c r="W108" t="str">
        <f>$N$1&amp;$P$1&amp;$T$1&amp;$C$2&amp;$T$1&amp;$R$1&amp;C109&amp;$Q$1&amp;$S$1&amp;$P$1&amp;$T$1&amp;$D$2&amp;$T$1&amp;$R$1&amp;D109&amp;$Q$1&amp;$S$1&amp;$P$1&amp;$T$1&amp;$E$2&amp;$T$1&amp;$R$1&amp;E109&amp;$Q$1&amp;$S$1&amp;$P$1&amp;$T$1&amp;$F$2&amp;$T$1&amp;$R$1&amp;K109&amp;$Q$1&amp;$S$1&amp;$P$1&amp;$T$1&amp;$G$2&amp;$T$1&amp;$R$1&amp;G109&amp;$Q$1&amp;$S$1&amp;$P$1&amp;$T$1&amp;$H$2&amp;$T$1&amp;$R$1&amp;H109&amp;$Q$1&amp;$S$1&amp;$P$1&amp;$T$1&amp;$I$2&amp;$T$1&amp;$R$1&amp;I109&amp;$Q$1&amp;$S$1&amp;$P$1&amp;$T$1&amp;$J$2&amp;$T$1&amp;$R$1&amp;J109&amp;$Q$1&amp;$O$1</f>
        <v>[{"2":248},{"4":137},{"5":137},{"12":3098},{"7":8},{"6":0},{"8":10},{"9":0}]</v>
      </c>
      <c r="AE108" t="str">
        <f>$N$1&amp;$P$1&amp;$T$1&amp;$C$2&amp;$T$1&amp;$R$1&amp;C109&amp;$Q$1&amp;$S$1&amp;$P$1&amp;$T$1&amp;$D$2&amp;$T$1&amp;$R$1&amp;D109&amp;$Q$1&amp;$S$1&amp;$P$1&amp;$T$1&amp;$E$2&amp;$T$1&amp;$R$1&amp;E109&amp;$Q$1&amp;$S$1&amp;$P$1&amp;$T$1&amp;$F$2&amp;$T$1&amp;$R$1&amp;L109&amp;$Q$1&amp;$S$1&amp;$P$1&amp;$T$1&amp;$G$2&amp;$T$1&amp;$R$1&amp;G109&amp;$Q$1&amp;$S$1&amp;$P$1&amp;$T$1&amp;$H$2&amp;$T$1&amp;$R$1&amp;H109&amp;$Q$1&amp;$S$1&amp;$P$1&amp;$T$1&amp;$I$2&amp;$T$1&amp;$R$1&amp;I109&amp;$Q$1&amp;$S$1&amp;$P$1&amp;$T$1&amp;$J$2&amp;$T$1&amp;$R$1&amp;J109&amp;$Q$1&amp;$O$1</f>
        <v>[{"2":248},{"4":137},{"5":137},{"12":4648},{"7":8},{"6":0},{"8":10},{"9":0}]</v>
      </c>
      <c r="AG108">
        <v>106</v>
      </c>
      <c r="AH108">
        <f t="shared" si="20"/>
        <v>70</v>
      </c>
      <c r="AI108">
        <f t="shared" si="21"/>
        <v>70</v>
      </c>
      <c r="AJ108">
        <v>834</v>
      </c>
      <c r="AK108">
        <v>4</v>
      </c>
      <c r="AL108">
        <v>8</v>
      </c>
      <c r="AM108">
        <v>0</v>
      </c>
      <c r="AN108">
        <v>10</v>
      </c>
    </row>
    <row r="109" customFormat="1" ht="16.5" spans="1:40">
      <c r="A109">
        <v>107</v>
      </c>
      <c r="B109">
        <f>$AP$2+AG109</f>
        <v>207</v>
      </c>
      <c r="C109">
        <f t="shared" si="17"/>
        <v>248</v>
      </c>
      <c r="D109">
        <f>AH109+$AQ$2</f>
        <v>137</v>
      </c>
      <c r="E109">
        <f t="shared" si="11"/>
        <v>137</v>
      </c>
      <c r="F109" s="4">
        <f>INT(主角属性配置!F109/3+$AS$2)</f>
        <v>9295</v>
      </c>
      <c r="G109">
        <v>8</v>
      </c>
      <c r="H109">
        <v>0</v>
      </c>
      <c r="I109">
        <v>10</v>
      </c>
      <c r="J109">
        <v>0</v>
      </c>
      <c r="K109" s="3">
        <f t="shared" si="18"/>
        <v>3098</v>
      </c>
      <c r="L109" s="3">
        <f t="shared" si="19"/>
        <v>4648</v>
      </c>
      <c r="N109" t="str">
        <f>$N$1&amp;$P$1&amp;$T$1&amp;$B$2&amp;$T$1&amp;$R$1&amp;B110&amp;$Q$1&amp;$S$1&amp;$P$1&amp;$T$1&amp;$D$2&amp;$T$1&amp;$R$1&amp;D110&amp;$Q$1&amp;$S$1&amp;$P$1&amp;$T$1&amp;$E$2&amp;$T$1&amp;$R$1&amp;E110&amp;$Q$1&amp;$S$1&amp;$P$1&amp;$T$1&amp;$F$2&amp;$T$1&amp;$R$1&amp;F110&amp;$Q$1&amp;$S$1&amp;$P$1&amp;$T$1&amp;$G$2&amp;$T$1&amp;$R$1&amp;G110&amp;$Q$1&amp;$S$1&amp;$P$1&amp;$T$1&amp;$H$2&amp;$T$1&amp;$R$1&amp;H110&amp;$Q$1&amp;$S$1&amp;$P$1&amp;$T$1&amp;$I$2&amp;$T$1&amp;$R$1&amp;I110&amp;$Q$1&amp;$S$1&amp;$P$1&amp;$T$1&amp;$J$2&amp;$T$1&amp;$R$1&amp;J110&amp;$Q$1&amp;$O$1</f>
        <v>[{"1":208},{"4":138},{"5":138},{"12":9376},{"7":8},{"6":0},{"8":10},{"9":0}]</v>
      </c>
      <c r="W109" t="str">
        <f>$N$1&amp;$P$1&amp;$T$1&amp;$C$2&amp;$T$1&amp;$R$1&amp;C110&amp;$Q$1&amp;$S$1&amp;$P$1&amp;$T$1&amp;$D$2&amp;$T$1&amp;$R$1&amp;D110&amp;$Q$1&amp;$S$1&amp;$P$1&amp;$T$1&amp;$E$2&amp;$T$1&amp;$R$1&amp;E110&amp;$Q$1&amp;$S$1&amp;$P$1&amp;$T$1&amp;$F$2&amp;$T$1&amp;$R$1&amp;K110&amp;$Q$1&amp;$S$1&amp;$P$1&amp;$T$1&amp;$G$2&amp;$T$1&amp;$R$1&amp;G110&amp;$Q$1&amp;$S$1&amp;$P$1&amp;$T$1&amp;$H$2&amp;$T$1&amp;$R$1&amp;H110&amp;$Q$1&amp;$S$1&amp;$P$1&amp;$T$1&amp;$I$2&amp;$T$1&amp;$R$1&amp;I110&amp;$Q$1&amp;$S$1&amp;$P$1&amp;$T$1&amp;$J$2&amp;$T$1&amp;$R$1&amp;J110&amp;$Q$1&amp;$O$1</f>
        <v>[{"2":249},{"4":138},{"5":138},{"12":3125},{"7":8},{"6":0},{"8":10},{"9":0}]</v>
      </c>
      <c r="AE109" t="str">
        <f>$N$1&amp;$P$1&amp;$T$1&amp;$C$2&amp;$T$1&amp;$R$1&amp;C110&amp;$Q$1&amp;$S$1&amp;$P$1&amp;$T$1&amp;$D$2&amp;$T$1&amp;$R$1&amp;D110&amp;$Q$1&amp;$S$1&amp;$P$1&amp;$T$1&amp;$E$2&amp;$T$1&amp;$R$1&amp;E110&amp;$Q$1&amp;$S$1&amp;$P$1&amp;$T$1&amp;$F$2&amp;$T$1&amp;$R$1&amp;L110&amp;$Q$1&amp;$S$1&amp;$P$1&amp;$T$1&amp;$G$2&amp;$T$1&amp;$R$1&amp;G110&amp;$Q$1&amp;$S$1&amp;$P$1&amp;$T$1&amp;$H$2&amp;$T$1&amp;$R$1&amp;H110&amp;$Q$1&amp;$S$1&amp;$P$1&amp;$T$1&amp;$I$2&amp;$T$1&amp;$R$1&amp;I110&amp;$Q$1&amp;$S$1&amp;$P$1&amp;$T$1&amp;$J$2&amp;$T$1&amp;$R$1&amp;J110&amp;$Q$1&amp;$O$1</f>
        <v>[{"2":249},{"4":138},{"5":138},{"12":4688},{"7":8},{"6":0},{"8":10},{"9":0}]</v>
      </c>
      <c r="AG109">
        <v>107</v>
      </c>
      <c r="AH109">
        <f t="shared" si="20"/>
        <v>71</v>
      </c>
      <c r="AI109">
        <f t="shared" si="21"/>
        <v>71</v>
      </c>
      <c r="AJ109">
        <v>843</v>
      </c>
      <c r="AK109">
        <v>4</v>
      </c>
      <c r="AL109">
        <v>8</v>
      </c>
      <c r="AM109">
        <v>0</v>
      </c>
      <c r="AN109">
        <v>10</v>
      </c>
    </row>
    <row r="110" customFormat="1" ht="16.5" spans="1:40">
      <c r="A110">
        <v>108</v>
      </c>
      <c r="B110">
        <f>$AP$2+AG110</f>
        <v>208</v>
      </c>
      <c r="C110">
        <f t="shared" si="17"/>
        <v>249</v>
      </c>
      <c r="D110">
        <f>AH110+$AQ$2</f>
        <v>138</v>
      </c>
      <c r="E110">
        <f t="shared" si="11"/>
        <v>138</v>
      </c>
      <c r="F110" s="4">
        <f>INT(主角属性配置!F110/3+$AS$2)</f>
        <v>9376</v>
      </c>
      <c r="G110">
        <v>8</v>
      </c>
      <c r="H110">
        <v>0</v>
      </c>
      <c r="I110">
        <v>10</v>
      </c>
      <c r="J110">
        <v>0</v>
      </c>
      <c r="K110" s="3">
        <f t="shared" si="18"/>
        <v>3125</v>
      </c>
      <c r="L110" s="3">
        <f t="shared" si="19"/>
        <v>4688</v>
      </c>
      <c r="N110" t="str">
        <f>$N$1&amp;$P$1&amp;$T$1&amp;$B$2&amp;$T$1&amp;$R$1&amp;B111&amp;$Q$1&amp;$S$1&amp;$P$1&amp;$T$1&amp;$D$2&amp;$T$1&amp;$R$1&amp;D111&amp;$Q$1&amp;$S$1&amp;$P$1&amp;$T$1&amp;$E$2&amp;$T$1&amp;$R$1&amp;E111&amp;$Q$1&amp;$S$1&amp;$P$1&amp;$T$1&amp;$F$2&amp;$T$1&amp;$R$1&amp;F111&amp;$Q$1&amp;$S$1&amp;$P$1&amp;$T$1&amp;$G$2&amp;$T$1&amp;$R$1&amp;G111&amp;$Q$1&amp;$S$1&amp;$P$1&amp;$T$1&amp;$H$2&amp;$T$1&amp;$R$1&amp;H111&amp;$Q$1&amp;$S$1&amp;$P$1&amp;$T$1&amp;$I$2&amp;$T$1&amp;$R$1&amp;I111&amp;$Q$1&amp;$S$1&amp;$P$1&amp;$T$1&amp;$J$2&amp;$T$1&amp;$R$1&amp;J111&amp;$Q$1&amp;$O$1</f>
        <v>[{"1":209},{"4":138},{"5":138},{"12":9457},{"7":8},{"6":0},{"8":10},{"9":0}]</v>
      </c>
      <c r="W110" t="str">
        <f>$N$1&amp;$P$1&amp;$T$1&amp;$C$2&amp;$T$1&amp;$R$1&amp;C111&amp;$Q$1&amp;$S$1&amp;$P$1&amp;$T$1&amp;$D$2&amp;$T$1&amp;$R$1&amp;D111&amp;$Q$1&amp;$S$1&amp;$P$1&amp;$T$1&amp;$E$2&amp;$T$1&amp;$R$1&amp;E111&amp;$Q$1&amp;$S$1&amp;$P$1&amp;$T$1&amp;$F$2&amp;$T$1&amp;$R$1&amp;K111&amp;$Q$1&amp;$S$1&amp;$P$1&amp;$T$1&amp;$G$2&amp;$T$1&amp;$R$1&amp;G111&amp;$Q$1&amp;$S$1&amp;$P$1&amp;$T$1&amp;$H$2&amp;$T$1&amp;$R$1&amp;H111&amp;$Q$1&amp;$S$1&amp;$P$1&amp;$T$1&amp;$I$2&amp;$T$1&amp;$R$1&amp;I111&amp;$Q$1&amp;$S$1&amp;$P$1&amp;$T$1&amp;$J$2&amp;$T$1&amp;$R$1&amp;J111&amp;$Q$1&amp;$O$1</f>
        <v>[{"2":250},{"4":138},{"5":138},{"12":3152},{"7":8},{"6":0},{"8":10},{"9":0}]</v>
      </c>
      <c r="AE110" t="str">
        <f>$N$1&amp;$P$1&amp;$T$1&amp;$C$2&amp;$T$1&amp;$R$1&amp;C111&amp;$Q$1&amp;$S$1&amp;$P$1&amp;$T$1&amp;$D$2&amp;$T$1&amp;$R$1&amp;D111&amp;$Q$1&amp;$S$1&amp;$P$1&amp;$T$1&amp;$E$2&amp;$T$1&amp;$R$1&amp;E111&amp;$Q$1&amp;$S$1&amp;$P$1&amp;$T$1&amp;$F$2&amp;$T$1&amp;$R$1&amp;L111&amp;$Q$1&amp;$S$1&amp;$P$1&amp;$T$1&amp;$G$2&amp;$T$1&amp;$R$1&amp;G111&amp;$Q$1&amp;$S$1&amp;$P$1&amp;$T$1&amp;$H$2&amp;$T$1&amp;$R$1&amp;H111&amp;$Q$1&amp;$S$1&amp;$P$1&amp;$T$1&amp;$I$2&amp;$T$1&amp;$R$1&amp;I111&amp;$Q$1&amp;$S$1&amp;$P$1&amp;$T$1&amp;$J$2&amp;$T$1&amp;$R$1&amp;J111&amp;$Q$1&amp;$O$1</f>
        <v>[{"2":250},{"4":138},{"5":138},{"12":4729},{"7":8},{"6":0},{"8":10},{"9":0}]</v>
      </c>
      <c r="AG110">
        <v>108</v>
      </c>
      <c r="AH110">
        <f t="shared" si="20"/>
        <v>72</v>
      </c>
      <c r="AI110">
        <f t="shared" si="21"/>
        <v>72</v>
      </c>
      <c r="AJ110">
        <v>851</v>
      </c>
      <c r="AK110">
        <v>4</v>
      </c>
      <c r="AL110">
        <v>8</v>
      </c>
      <c r="AM110">
        <v>0</v>
      </c>
      <c r="AN110">
        <v>10</v>
      </c>
    </row>
    <row r="111" customFormat="1" ht="16.5" spans="1:40">
      <c r="A111">
        <v>109</v>
      </c>
      <c r="B111">
        <f>$AP$2+AG111</f>
        <v>209</v>
      </c>
      <c r="C111">
        <f t="shared" si="17"/>
        <v>250</v>
      </c>
      <c r="D111">
        <f>AH111+$AQ$2</f>
        <v>138</v>
      </c>
      <c r="E111">
        <f t="shared" si="11"/>
        <v>138</v>
      </c>
      <c r="F111" s="4">
        <f>INT(主角属性配置!F111/3+$AS$2)</f>
        <v>9457</v>
      </c>
      <c r="G111">
        <v>8</v>
      </c>
      <c r="H111">
        <v>0</v>
      </c>
      <c r="I111">
        <v>10</v>
      </c>
      <c r="J111">
        <v>0</v>
      </c>
      <c r="K111" s="3">
        <f t="shared" si="18"/>
        <v>3152</v>
      </c>
      <c r="L111" s="3">
        <f t="shared" si="19"/>
        <v>4729</v>
      </c>
      <c r="N111" t="str">
        <f>$N$1&amp;$P$1&amp;$T$1&amp;$B$2&amp;$T$1&amp;$R$1&amp;B112&amp;$Q$1&amp;$S$1&amp;$P$1&amp;$T$1&amp;$D$2&amp;$T$1&amp;$R$1&amp;D112&amp;$Q$1&amp;$S$1&amp;$P$1&amp;$T$1&amp;$E$2&amp;$T$1&amp;$R$1&amp;E112&amp;$Q$1&amp;$S$1&amp;$P$1&amp;$T$1&amp;$F$2&amp;$T$1&amp;$R$1&amp;F112&amp;$Q$1&amp;$S$1&amp;$P$1&amp;$T$1&amp;$G$2&amp;$T$1&amp;$R$1&amp;G112&amp;$Q$1&amp;$S$1&amp;$P$1&amp;$T$1&amp;$H$2&amp;$T$1&amp;$R$1&amp;H112&amp;$Q$1&amp;$S$1&amp;$P$1&amp;$T$1&amp;$I$2&amp;$T$1&amp;$R$1&amp;I112&amp;$Q$1&amp;$S$1&amp;$P$1&amp;$T$1&amp;$J$2&amp;$T$1&amp;$R$1&amp;J112&amp;$Q$1&amp;$O$1</f>
        <v>[{"1":210},{"4":139},{"5":139},{"12":9538},{"7":8},{"6":0},{"8":10},{"9":0}]</v>
      </c>
      <c r="W111" t="str">
        <f>$N$1&amp;$P$1&amp;$T$1&amp;$C$2&amp;$T$1&amp;$R$1&amp;C112&amp;$Q$1&amp;$S$1&amp;$P$1&amp;$T$1&amp;$D$2&amp;$T$1&amp;$R$1&amp;D112&amp;$Q$1&amp;$S$1&amp;$P$1&amp;$T$1&amp;$E$2&amp;$T$1&amp;$R$1&amp;E112&amp;$Q$1&amp;$S$1&amp;$P$1&amp;$T$1&amp;$F$2&amp;$T$1&amp;$R$1&amp;K112&amp;$Q$1&amp;$S$1&amp;$P$1&amp;$T$1&amp;$G$2&amp;$T$1&amp;$R$1&amp;G112&amp;$Q$1&amp;$S$1&amp;$P$1&amp;$T$1&amp;$H$2&amp;$T$1&amp;$R$1&amp;H112&amp;$Q$1&amp;$S$1&amp;$P$1&amp;$T$1&amp;$I$2&amp;$T$1&amp;$R$1&amp;I112&amp;$Q$1&amp;$S$1&amp;$P$1&amp;$T$1&amp;$J$2&amp;$T$1&amp;$R$1&amp;J112&amp;$Q$1&amp;$O$1</f>
        <v>[{"2":252},{"4":139},{"5":139},{"12":3179},{"7":8},{"6":0},{"8":10},{"9":0}]</v>
      </c>
      <c r="AE111" t="str">
        <f>$N$1&amp;$P$1&amp;$T$1&amp;$C$2&amp;$T$1&amp;$R$1&amp;C112&amp;$Q$1&amp;$S$1&amp;$P$1&amp;$T$1&amp;$D$2&amp;$T$1&amp;$R$1&amp;D112&amp;$Q$1&amp;$S$1&amp;$P$1&amp;$T$1&amp;$E$2&amp;$T$1&amp;$R$1&amp;E112&amp;$Q$1&amp;$S$1&amp;$P$1&amp;$T$1&amp;$F$2&amp;$T$1&amp;$R$1&amp;L112&amp;$Q$1&amp;$S$1&amp;$P$1&amp;$T$1&amp;$G$2&amp;$T$1&amp;$R$1&amp;G112&amp;$Q$1&amp;$S$1&amp;$P$1&amp;$T$1&amp;$H$2&amp;$T$1&amp;$R$1&amp;H112&amp;$Q$1&amp;$S$1&amp;$P$1&amp;$T$1&amp;$I$2&amp;$T$1&amp;$R$1&amp;I112&amp;$Q$1&amp;$S$1&amp;$P$1&amp;$T$1&amp;$J$2&amp;$T$1&amp;$R$1&amp;J112&amp;$Q$1&amp;$O$1</f>
        <v>[{"2":252},{"4":139},{"5":139},{"12":4769},{"7":8},{"6":0},{"8":10},{"9":0}]</v>
      </c>
      <c r="AG111">
        <v>109</v>
      </c>
      <c r="AH111">
        <f t="shared" si="20"/>
        <v>72</v>
      </c>
      <c r="AI111">
        <f t="shared" si="21"/>
        <v>72</v>
      </c>
      <c r="AJ111">
        <v>859</v>
      </c>
      <c r="AK111">
        <v>4</v>
      </c>
      <c r="AL111">
        <v>8</v>
      </c>
      <c r="AM111">
        <v>0</v>
      </c>
      <c r="AN111">
        <v>10</v>
      </c>
    </row>
    <row r="112" customFormat="1" ht="16.5" spans="1:40">
      <c r="A112">
        <v>110</v>
      </c>
      <c r="B112">
        <f>$AP$2+AG112</f>
        <v>210</v>
      </c>
      <c r="C112">
        <f t="shared" si="17"/>
        <v>252</v>
      </c>
      <c r="D112">
        <f>AH112+$AQ$2</f>
        <v>139</v>
      </c>
      <c r="E112">
        <f t="shared" si="11"/>
        <v>139</v>
      </c>
      <c r="F112" s="4">
        <f>INT(主角属性配置!F112/3+$AS$2)</f>
        <v>9538</v>
      </c>
      <c r="G112">
        <v>8</v>
      </c>
      <c r="H112">
        <v>0</v>
      </c>
      <c r="I112">
        <v>10</v>
      </c>
      <c r="J112">
        <v>0</v>
      </c>
      <c r="K112" s="3">
        <f t="shared" si="18"/>
        <v>3179</v>
      </c>
      <c r="L112" s="3">
        <f t="shared" si="19"/>
        <v>4769</v>
      </c>
      <c r="N112" t="str">
        <f>$N$1&amp;$P$1&amp;$T$1&amp;$B$2&amp;$T$1&amp;$R$1&amp;B113&amp;$Q$1&amp;$S$1&amp;$P$1&amp;$T$1&amp;$D$2&amp;$T$1&amp;$R$1&amp;D113&amp;$Q$1&amp;$S$1&amp;$P$1&amp;$T$1&amp;$E$2&amp;$T$1&amp;$R$1&amp;E113&amp;$Q$1&amp;$S$1&amp;$P$1&amp;$T$1&amp;$F$2&amp;$T$1&amp;$R$1&amp;F113&amp;$Q$1&amp;$S$1&amp;$P$1&amp;$T$1&amp;$G$2&amp;$T$1&amp;$R$1&amp;G113&amp;$Q$1&amp;$S$1&amp;$P$1&amp;$T$1&amp;$H$2&amp;$T$1&amp;$R$1&amp;H113&amp;$Q$1&amp;$S$1&amp;$P$1&amp;$T$1&amp;$I$2&amp;$T$1&amp;$R$1&amp;I113&amp;$Q$1&amp;$S$1&amp;$P$1&amp;$T$1&amp;$J$2&amp;$T$1&amp;$R$1&amp;J113&amp;$Q$1&amp;$O$1</f>
        <v>[{"1":211},{"4":140},{"5":140},{"12":9620},{"7":8},{"6":0},{"8":10},{"9":0}]</v>
      </c>
      <c r="W112" t="str">
        <f>$N$1&amp;$P$1&amp;$T$1&amp;$C$2&amp;$T$1&amp;$R$1&amp;C113&amp;$Q$1&amp;$S$1&amp;$P$1&amp;$T$1&amp;$D$2&amp;$T$1&amp;$R$1&amp;D113&amp;$Q$1&amp;$S$1&amp;$P$1&amp;$T$1&amp;$E$2&amp;$T$1&amp;$R$1&amp;E113&amp;$Q$1&amp;$S$1&amp;$P$1&amp;$T$1&amp;$F$2&amp;$T$1&amp;$R$1&amp;K113&amp;$Q$1&amp;$S$1&amp;$P$1&amp;$T$1&amp;$G$2&amp;$T$1&amp;$R$1&amp;G113&amp;$Q$1&amp;$S$1&amp;$P$1&amp;$T$1&amp;$H$2&amp;$T$1&amp;$R$1&amp;H113&amp;$Q$1&amp;$S$1&amp;$P$1&amp;$T$1&amp;$I$2&amp;$T$1&amp;$R$1&amp;I113&amp;$Q$1&amp;$S$1&amp;$P$1&amp;$T$1&amp;$J$2&amp;$T$1&amp;$R$1&amp;J113&amp;$Q$1&amp;$O$1</f>
        <v>[{"2":253},{"4":140},{"5":140},{"12":3207},{"7":8},{"6":0},{"8":10},{"9":0}]</v>
      </c>
      <c r="AE112" t="str">
        <f>$N$1&amp;$P$1&amp;$T$1&amp;$C$2&amp;$T$1&amp;$R$1&amp;C113&amp;$Q$1&amp;$S$1&amp;$P$1&amp;$T$1&amp;$D$2&amp;$T$1&amp;$R$1&amp;D113&amp;$Q$1&amp;$S$1&amp;$P$1&amp;$T$1&amp;$E$2&amp;$T$1&amp;$R$1&amp;E113&amp;$Q$1&amp;$S$1&amp;$P$1&amp;$T$1&amp;$F$2&amp;$T$1&amp;$R$1&amp;L113&amp;$Q$1&amp;$S$1&amp;$P$1&amp;$T$1&amp;$G$2&amp;$T$1&amp;$R$1&amp;G113&amp;$Q$1&amp;$S$1&amp;$P$1&amp;$T$1&amp;$H$2&amp;$T$1&amp;$R$1&amp;H113&amp;$Q$1&amp;$S$1&amp;$P$1&amp;$T$1&amp;$I$2&amp;$T$1&amp;$R$1&amp;I113&amp;$Q$1&amp;$S$1&amp;$P$1&amp;$T$1&amp;$J$2&amp;$T$1&amp;$R$1&amp;J113&amp;$Q$1&amp;$O$1</f>
        <v>[{"2":253},{"4":140},{"5":140},{"12":4810},{"7":8},{"6":0},{"8":10},{"9":0}]</v>
      </c>
      <c r="AG112">
        <v>110</v>
      </c>
      <c r="AH112">
        <f t="shared" si="20"/>
        <v>73</v>
      </c>
      <c r="AI112">
        <f t="shared" si="21"/>
        <v>73</v>
      </c>
      <c r="AJ112">
        <v>867</v>
      </c>
      <c r="AK112">
        <v>4</v>
      </c>
      <c r="AL112">
        <v>8</v>
      </c>
      <c r="AM112">
        <v>0</v>
      </c>
      <c r="AN112">
        <v>10</v>
      </c>
    </row>
    <row r="113" customFormat="1" ht="16.5" spans="1:40">
      <c r="A113">
        <v>111</v>
      </c>
      <c r="B113">
        <f>$AP$2+AG113</f>
        <v>211</v>
      </c>
      <c r="C113">
        <f t="shared" si="17"/>
        <v>253</v>
      </c>
      <c r="D113">
        <f>AH113+$AQ$2</f>
        <v>140</v>
      </c>
      <c r="E113">
        <f t="shared" si="11"/>
        <v>140</v>
      </c>
      <c r="F113" s="4">
        <f>INT(主角属性配置!F113/3+$AS$2)</f>
        <v>9620</v>
      </c>
      <c r="G113">
        <v>8</v>
      </c>
      <c r="H113">
        <v>0</v>
      </c>
      <c r="I113">
        <v>10</v>
      </c>
      <c r="J113">
        <v>0</v>
      </c>
      <c r="K113" s="3">
        <f t="shared" si="18"/>
        <v>3207</v>
      </c>
      <c r="L113" s="3">
        <f t="shared" si="19"/>
        <v>4810</v>
      </c>
      <c r="N113" t="str">
        <f>$N$1&amp;$P$1&amp;$T$1&amp;$B$2&amp;$T$1&amp;$R$1&amp;B114&amp;$Q$1&amp;$S$1&amp;$P$1&amp;$T$1&amp;$D$2&amp;$T$1&amp;$R$1&amp;D114&amp;$Q$1&amp;$S$1&amp;$P$1&amp;$T$1&amp;$E$2&amp;$T$1&amp;$R$1&amp;E114&amp;$Q$1&amp;$S$1&amp;$P$1&amp;$T$1&amp;$F$2&amp;$T$1&amp;$R$1&amp;F114&amp;$Q$1&amp;$S$1&amp;$P$1&amp;$T$1&amp;$G$2&amp;$T$1&amp;$R$1&amp;G114&amp;$Q$1&amp;$S$1&amp;$P$1&amp;$T$1&amp;$H$2&amp;$T$1&amp;$R$1&amp;H114&amp;$Q$1&amp;$S$1&amp;$P$1&amp;$T$1&amp;$I$2&amp;$T$1&amp;$R$1&amp;I114&amp;$Q$1&amp;$S$1&amp;$P$1&amp;$T$1&amp;$J$2&amp;$T$1&amp;$R$1&amp;J114&amp;$Q$1&amp;$O$1</f>
        <v>[{"1":212},{"4":140},{"5":140},{"12":9701},{"7":8},{"6":0},{"8":10},{"9":0}]</v>
      </c>
      <c r="W113" t="str">
        <f>$N$1&amp;$P$1&amp;$T$1&amp;$C$2&amp;$T$1&amp;$R$1&amp;C114&amp;$Q$1&amp;$S$1&amp;$P$1&amp;$T$1&amp;$D$2&amp;$T$1&amp;$R$1&amp;D114&amp;$Q$1&amp;$S$1&amp;$P$1&amp;$T$1&amp;$E$2&amp;$T$1&amp;$R$1&amp;E114&amp;$Q$1&amp;$S$1&amp;$P$1&amp;$T$1&amp;$F$2&amp;$T$1&amp;$R$1&amp;K114&amp;$Q$1&amp;$S$1&amp;$P$1&amp;$T$1&amp;$G$2&amp;$T$1&amp;$R$1&amp;G114&amp;$Q$1&amp;$S$1&amp;$P$1&amp;$T$1&amp;$H$2&amp;$T$1&amp;$R$1&amp;H114&amp;$Q$1&amp;$S$1&amp;$P$1&amp;$T$1&amp;$I$2&amp;$T$1&amp;$R$1&amp;I114&amp;$Q$1&amp;$S$1&amp;$P$1&amp;$T$1&amp;$J$2&amp;$T$1&amp;$R$1&amp;J114&amp;$Q$1&amp;$O$1</f>
        <v>[{"2":254},{"4":140},{"5":140},{"12":3234},{"7":8},{"6":0},{"8":10},{"9":0}]</v>
      </c>
      <c r="AE113" t="str">
        <f>$N$1&amp;$P$1&amp;$T$1&amp;$C$2&amp;$T$1&amp;$R$1&amp;C114&amp;$Q$1&amp;$S$1&amp;$P$1&amp;$T$1&amp;$D$2&amp;$T$1&amp;$R$1&amp;D114&amp;$Q$1&amp;$S$1&amp;$P$1&amp;$T$1&amp;$E$2&amp;$T$1&amp;$R$1&amp;E114&amp;$Q$1&amp;$S$1&amp;$P$1&amp;$T$1&amp;$F$2&amp;$T$1&amp;$R$1&amp;L114&amp;$Q$1&amp;$S$1&amp;$P$1&amp;$T$1&amp;$G$2&amp;$T$1&amp;$R$1&amp;G114&amp;$Q$1&amp;$S$1&amp;$P$1&amp;$T$1&amp;$H$2&amp;$T$1&amp;$R$1&amp;H114&amp;$Q$1&amp;$S$1&amp;$P$1&amp;$T$1&amp;$I$2&amp;$T$1&amp;$R$1&amp;I114&amp;$Q$1&amp;$S$1&amp;$P$1&amp;$T$1&amp;$J$2&amp;$T$1&amp;$R$1&amp;J114&amp;$Q$1&amp;$O$1</f>
        <v>[{"2":254},{"4":140},{"5":140},{"12":4851},{"7":8},{"6":0},{"8":10},{"9":0}]</v>
      </c>
      <c r="AG113">
        <v>111</v>
      </c>
      <c r="AH113">
        <f t="shared" si="20"/>
        <v>74</v>
      </c>
      <c r="AI113">
        <f t="shared" si="21"/>
        <v>74</v>
      </c>
      <c r="AJ113">
        <v>875</v>
      </c>
      <c r="AK113">
        <v>4</v>
      </c>
      <c r="AL113">
        <v>8</v>
      </c>
      <c r="AM113">
        <v>0</v>
      </c>
      <c r="AN113">
        <v>10</v>
      </c>
    </row>
    <row r="114" customFormat="1" ht="16.5" spans="1:40">
      <c r="A114">
        <v>112</v>
      </c>
      <c r="B114">
        <f>$AP$2+AG114</f>
        <v>212</v>
      </c>
      <c r="C114">
        <f t="shared" si="17"/>
        <v>254</v>
      </c>
      <c r="D114">
        <f>AH114+$AQ$2</f>
        <v>140</v>
      </c>
      <c r="E114">
        <f t="shared" si="11"/>
        <v>140</v>
      </c>
      <c r="F114" s="4">
        <f>INT(主角属性配置!F114/3+$AS$2)</f>
        <v>9701</v>
      </c>
      <c r="G114">
        <v>8</v>
      </c>
      <c r="H114">
        <v>0</v>
      </c>
      <c r="I114">
        <v>10</v>
      </c>
      <c r="J114">
        <v>0</v>
      </c>
      <c r="K114" s="3">
        <f t="shared" si="18"/>
        <v>3234</v>
      </c>
      <c r="L114" s="3">
        <f t="shared" si="19"/>
        <v>4851</v>
      </c>
      <c r="N114" t="str">
        <f>$N$1&amp;$P$1&amp;$T$1&amp;$B$2&amp;$T$1&amp;$R$1&amp;B115&amp;$Q$1&amp;$S$1&amp;$P$1&amp;$T$1&amp;$D$2&amp;$T$1&amp;$R$1&amp;D115&amp;$Q$1&amp;$S$1&amp;$P$1&amp;$T$1&amp;$E$2&amp;$T$1&amp;$R$1&amp;E115&amp;$Q$1&amp;$S$1&amp;$P$1&amp;$T$1&amp;$F$2&amp;$T$1&amp;$R$1&amp;F115&amp;$Q$1&amp;$S$1&amp;$P$1&amp;$T$1&amp;$G$2&amp;$T$1&amp;$R$1&amp;G115&amp;$Q$1&amp;$S$1&amp;$P$1&amp;$T$1&amp;$H$2&amp;$T$1&amp;$R$1&amp;H115&amp;$Q$1&amp;$S$1&amp;$P$1&amp;$T$1&amp;$I$2&amp;$T$1&amp;$R$1&amp;I115&amp;$Q$1&amp;$S$1&amp;$P$1&amp;$T$1&amp;$J$2&amp;$T$1&amp;$R$1&amp;J115&amp;$Q$1&amp;$O$1</f>
        <v>[{"1":213},{"4":141},{"5":141},{"12":9781},{"7":8},{"6":0},{"8":10},{"9":0}]</v>
      </c>
      <c r="W114" t="str">
        <f>$N$1&amp;$P$1&amp;$T$1&amp;$C$2&amp;$T$1&amp;$R$1&amp;C115&amp;$Q$1&amp;$S$1&amp;$P$1&amp;$T$1&amp;$D$2&amp;$T$1&amp;$R$1&amp;D115&amp;$Q$1&amp;$S$1&amp;$P$1&amp;$T$1&amp;$E$2&amp;$T$1&amp;$R$1&amp;E115&amp;$Q$1&amp;$S$1&amp;$P$1&amp;$T$1&amp;$F$2&amp;$T$1&amp;$R$1&amp;K115&amp;$Q$1&amp;$S$1&amp;$P$1&amp;$T$1&amp;$G$2&amp;$T$1&amp;$R$1&amp;G115&amp;$Q$1&amp;$S$1&amp;$P$1&amp;$T$1&amp;$H$2&amp;$T$1&amp;$R$1&amp;H115&amp;$Q$1&amp;$S$1&amp;$P$1&amp;$T$1&amp;$I$2&amp;$T$1&amp;$R$1&amp;I115&amp;$Q$1&amp;$S$1&amp;$P$1&amp;$T$1&amp;$J$2&amp;$T$1&amp;$R$1&amp;J115&amp;$Q$1&amp;$O$1</f>
        <v>[{"2":255},{"4":141},{"5":141},{"12":3260},{"7":8},{"6":0},{"8":10},{"9":0}]</v>
      </c>
      <c r="AE114" t="str">
        <f>$N$1&amp;$P$1&amp;$T$1&amp;$C$2&amp;$T$1&amp;$R$1&amp;C115&amp;$Q$1&amp;$S$1&amp;$P$1&amp;$T$1&amp;$D$2&amp;$T$1&amp;$R$1&amp;D115&amp;$Q$1&amp;$S$1&amp;$P$1&amp;$T$1&amp;$E$2&amp;$T$1&amp;$R$1&amp;E115&amp;$Q$1&amp;$S$1&amp;$P$1&amp;$T$1&amp;$F$2&amp;$T$1&amp;$R$1&amp;L115&amp;$Q$1&amp;$S$1&amp;$P$1&amp;$T$1&amp;$G$2&amp;$T$1&amp;$R$1&amp;G115&amp;$Q$1&amp;$S$1&amp;$P$1&amp;$T$1&amp;$H$2&amp;$T$1&amp;$R$1&amp;H115&amp;$Q$1&amp;$S$1&amp;$P$1&amp;$T$1&amp;$I$2&amp;$T$1&amp;$R$1&amp;I115&amp;$Q$1&amp;$S$1&amp;$P$1&amp;$T$1&amp;$J$2&amp;$T$1&amp;$R$1&amp;J115&amp;$Q$1&amp;$O$1</f>
        <v>[{"2":255},{"4":141},{"5":141},{"12":4891},{"7":8},{"6":0},{"8":10},{"9":0}]</v>
      </c>
      <c r="AG114">
        <v>112</v>
      </c>
      <c r="AH114">
        <f t="shared" si="20"/>
        <v>74</v>
      </c>
      <c r="AI114">
        <f t="shared" si="21"/>
        <v>74</v>
      </c>
      <c r="AJ114">
        <v>884</v>
      </c>
      <c r="AK114">
        <v>4</v>
      </c>
      <c r="AL114">
        <v>8</v>
      </c>
      <c r="AM114">
        <v>0</v>
      </c>
      <c r="AN114">
        <v>10</v>
      </c>
    </row>
    <row r="115" customFormat="1" ht="16.5" spans="1:40">
      <c r="A115">
        <v>113</v>
      </c>
      <c r="B115">
        <f>$AP$2+AG115</f>
        <v>213</v>
      </c>
      <c r="C115">
        <f t="shared" si="17"/>
        <v>255</v>
      </c>
      <c r="D115">
        <f>AH115+$AQ$2</f>
        <v>141</v>
      </c>
      <c r="E115">
        <f t="shared" si="11"/>
        <v>141</v>
      </c>
      <c r="F115" s="4">
        <f>INT(主角属性配置!F115/3+$AS$2)</f>
        <v>9781</v>
      </c>
      <c r="G115">
        <v>8</v>
      </c>
      <c r="H115">
        <v>0</v>
      </c>
      <c r="I115">
        <v>10</v>
      </c>
      <c r="J115">
        <v>0</v>
      </c>
      <c r="K115" s="3">
        <f t="shared" si="18"/>
        <v>3260</v>
      </c>
      <c r="L115" s="3">
        <f t="shared" si="19"/>
        <v>4891</v>
      </c>
      <c r="N115" t="str">
        <f>$N$1&amp;$P$1&amp;$T$1&amp;$B$2&amp;$T$1&amp;$R$1&amp;B116&amp;$Q$1&amp;$S$1&amp;$P$1&amp;$T$1&amp;$D$2&amp;$T$1&amp;$R$1&amp;D116&amp;$Q$1&amp;$S$1&amp;$P$1&amp;$T$1&amp;$E$2&amp;$T$1&amp;$R$1&amp;E116&amp;$Q$1&amp;$S$1&amp;$P$1&amp;$T$1&amp;$F$2&amp;$T$1&amp;$R$1&amp;F116&amp;$Q$1&amp;$S$1&amp;$P$1&amp;$T$1&amp;$G$2&amp;$T$1&amp;$R$1&amp;G116&amp;$Q$1&amp;$S$1&amp;$P$1&amp;$T$1&amp;$H$2&amp;$T$1&amp;$R$1&amp;H116&amp;$Q$1&amp;$S$1&amp;$P$1&amp;$T$1&amp;$I$2&amp;$T$1&amp;$R$1&amp;I116&amp;$Q$1&amp;$S$1&amp;$P$1&amp;$T$1&amp;$J$2&amp;$T$1&amp;$R$1&amp;J116&amp;$Q$1&amp;$O$1</f>
        <v>[{"1":214},{"4":142},{"5":142},{"12":9862},{"7":8},{"6":0},{"8":10},{"9":0}]</v>
      </c>
      <c r="W115" t="str">
        <f>$N$1&amp;$P$1&amp;$T$1&amp;$C$2&amp;$T$1&amp;$R$1&amp;C116&amp;$Q$1&amp;$S$1&amp;$P$1&amp;$T$1&amp;$D$2&amp;$T$1&amp;$R$1&amp;D116&amp;$Q$1&amp;$S$1&amp;$P$1&amp;$T$1&amp;$E$2&amp;$T$1&amp;$R$1&amp;E116&amp;$Q$1&amp;$S$1&amp;$P$1&amp;$T$1&amp;$F$2&amp;$T$1&amp;$R$1&amp;K116&amp;$Q$1&amp;$S$1&amp;$P$1&amp;$T$1&amp;$G$2&amp;$T$1&amp;$R$1&amp;G116&amp;$Q$1&amp;$S$1&amp;$P$1&amp;$T$1&amp;$H$2&amp;$T$1&amp;$R$1&amp;H116&amp;$Q$1&amp;$S$1&amp;$P$1&amp;$T$1&amp;$I$2&amp;$T$1&amp;$R$1&amp;I116&amp;$Q$1&amp;$S$1&amp;$P$1&amp;$T$1&amp;$J$2&amp;$T$1&amp;$R$1&amp;J116&amp;$Q$1&amp;$O$1</f>
        <v>[{"2":256},{"4":142},{"5":142},{"12":3287},{"7":8},{"6":0},{"8":10},{"9":0}]</v>
      </c>
      <c r="AE115" t="str">
        <f>$N$1&amp;$P$1&amp;$T$1&amp;$C$2&amp;$T$1&amp;$R$1&amp;C116&amp;$Q$1&amp;$S$1&amp;$P$1&amp;$T$1&amp;$D$2&amp;$T$1&amp;$R$1&amp;D116&amp;$Q$1&amp;$S$1&amp;$P$1&amp;$T$1&amp;$E$2&amp;$T$1&amp;$R$1&amp;E116&amp;$Q$1&amp;$S$1&amp;$P$1&amp;$T$1&amp;$F$2&amp;$T$1&amp;$R$1&amp;L116&amp;$Q$1&amp;$S$1&amp;$P$1&amp;$T$1&amp;$G$2&amp;$T$1&amp;$R$1&amp;G116&amp;$Q$1&amp;$S$1&amp;$P$1&amp;$T$1&amp;$H$2&amp;$T$1&amp;$R$1&amp;H116&amp;$Q$1&amp;$S$1&amp;$P$1&amp;$T$1&amp;$I$2&amp;$T$1&amp;$R$1&amp;I116&amp;$Q$1&amp;$S$1&amp;$P$1&amp;$T$1&amp;$J$2&amp;$T$1&amp;$R$1&amp;J116&amp;$Q$1&amp;$O$1</f>
        <v>[{"2":256},{"4":142},{"5":142},{"12":4931},{"7":8},{"6":0},{"8":10},{"9":0}]</v>
      </c>
      <c r="AG115">
        <v>113</v>
      </c>
      <c r="AH115">
        <f t="shared" si="20"/>
        <v>75</v>
      </c>
      <c r="AI115">
        <f t="shared" si="21"/>
        <v>75</v>
      </c>
      <c r="AJ115">
        <v>892</v>
      </c>
      <c r="AK115">
        <v>4</v>
      </c>
      <c r="AL115">
        <v>8</v>
      </c>
      <c r="AM115">
        <v>0</v>
      </c>
      <c r="AN115">
        <v>10</v>
      </c>
    </row>
    <row r="116" customFormat="1" ht="16.5" spans="1:40">
      <c r="A116">
        <v>114</v>
      </c>
      <c r="B116">
        <f>$AP$2+AG116</f>
        <v>214</v>
      </c>
      <c r="C116">
        <f t="shared" si="17"/>
        <v>256</v>
      </c>
      <c r="D116">
        <f>AH116+$AQ$2</f>
        <v>142</v>
      </c>
      <c r="E116">
        <f t="shared" si="11"/>
        <v>142</v>
      </c>
      <c r="F116" s="4">
        <f>INT(主角属性配置!F116/3+$AS$2)</f>
        <v>9862</v>
      </c>
      <c r="G116">
        <v>8</v>
      </c>
      <c r="H116">
        <v>0</v>
      </c>
      <c r="I116">
        <v>10</v>
      </c>
      <c r="J116">
        <v>0</v>
      </c>
      <c r="K116" s="3">
        <f t="shared" si="18"/>
        <v>3287</v>
      </c>
      <c r="L116" s="3">
        <f t="shared" si="19"/>
        <v>4931</v>
      </c>
      <c r="N116" t="str">
        <f>$N$1&amp;$P$1&amp;$T$1&amp;$B$2&amp;$T$1&amp;$R$1&amp;B117&amp;$Q$1&amp;$S$1&amp;$P$1&amp;$T$1&amp;$D$2&amp;$T$1&amp;$R$1&amp;D117&amp;$Q$1&amp;$S$1&amp;$P$1&amp;$T$1&amp;$E$2&amp;$T$1&amp;$R$1&amp;E117&amp;$Q$1&amp;$S$1&amp;$P$1&amp;$T$1&amp;$F$2&amp;$T$1&amp;$R$1&amp;F117&amp;$Q$1&amp;$S$1&amp;$P$1&amp;$T$1&amp;$G$2&amp;$T$1&amp;$R$1&amp;G117&amp;$Q$1&amp;$S$1&amp;$P$1&amp;$T$1&amp;$H$2&amp;$T$1&amp;$R$1&amp;H117&amp;$Q$1&amp;$S$1&amp;$P$1&amp;$T$1&amp;$I$2&amp;$T$1&amp;$R$1&amp;I117&amp;$Q$1&amp;$S$1&amp;$P$1&amp;$T$1&amp;$J$2&amp;$T$1&amp;$R$1&amp;J117&amp;$Q$1&amp;$O$1</f>
        <v>[{"1":215},{"4":142},{"5":142},{"12":9943},{"7":8},{"6":0},{"8":10},{"9":0}]</v>
      </c>
      <c r="W116" t="str">
        <f>$N$1&amp;$P$1&amp;$T$1&amp;$C$2&amp;$T$1&amp;$R$1&amp;C117&amp;$Q$1&amp;$S$1&amp;$P$1&amp;$T$1&amp;$D$2&amp;$T$1&amp;$R$1&amp;D117&amp;$Q$1&amp;$S$1&amp;$P$1&amp;$T$1&amp;$E$2&amp;$T$1&amp;$R$1&amp;E117&amp;$Q$1&amp;$S$1&amp;$P$1&amp;$T$1&amp;$F$2&amp;$T$1&amp;$R$1&amp;K117&amp;$Q$1&amp;$S$1&amp;$P$1&amp;$T$1&amp;$G$2&amp;$T$1&amp;$R$1&amp;G117&amp;$Q$1&amp;$S$1&amp;$P$1&amp;$T$1&amp;$H$2&amp;$T$1&amp;$R$1&amp;H117&amp;$Q$1&amp;$S$1&amp;$P$1&amp;$T$1&amp;$I$2&amp;$T$1&amp;$R$1&amp;I117&amp;$Q$1&amp;$S$1&amp;$P$1&amp;$T$1&amp;$J$2&amp;$T$1&amp;$R$1&amp;J117&amp;$Q$1&amp;$O$1</f>
        <v>[{"2":258},{"4":142},{"5":142},{"12":3314},{"7":8},{"6":0},{"8":10},{"9":0}]</v>
      </c>
      <c r="AE116" t="str">
        <f>$N$1&amp;$P$1&amp;$T$1&amp;$C$2&amp;$T$1&amp;$R$1&amp;C117&amp;$Q$1&amp;$S$1&amp;$P$1&amp;$T$1&amp;$D$2&amp;$T$1&amp;$R$1&amp;D117&amp;$Q$1&amp;$S$1&amp;$P$1&amp;$T$1&amp;$E$2&amp;$T$1&amp;$R$1&amp;E117&amp;$Q$1&amp;$S$1&amp;$P$1&amp;$T$1&amp;$F$2&amp;$T$1&amp;$R$1&amp;L117&amp;$Q$1&amp;$S$1&amp;$P$1&amp;$T$1&amp;$G$2&amp;$T$1&amp;$R$1&amp;G117&amp;$Q$1&amp;$S$1&amp;$P$1&amp;$T$1&amp;$H$2&amp;$T$1&amp;$R$1&amp;H117&amp;$Q$1&amp;$S$1&amp;$P$1&amp;$T$1&amp;$I$2&amp;$T$1&amp;$R$1&amp;I117&amp;$Q$1&amp;$S$1&amp;$P$1&amp;$T$1&amp;$J$2&amp;$T$1&amp;$R$1&amp;J117&amp;$Q$1&amp;$O$1</f>
        <v>[{"2":258},{"4":142},{"5":142},{"12":4972},{"7":8},{"6":0},{"8":10},{"9":0}]</v>
      </c>
      <c r="AG116">
        <v>114</v>
      </c>
      <c r="AH116">
        <f t="shared" si="20"/>
        <v>76</v>
      </c>
      <c r="AI116">
        <f t="shared" si="21"/>
        <v>76</v>
      </c>
      <c r="AJ116">
        <v>900</v>
      </c>
      <c r="AK116">
        <v>4</v>
      </c>
      <c r="AL116">
        <v>8</v>
      </c>
      <c r="AM116">
        <v>0</v>
      </c>
      <c r="AN116">
        <v>10</v>
      </c>
    </row>
    <row r="117" customFormat="1" ht="16.5" spans="1:40">
      <c r="A117">
        <v>115</v>
      </c>
      <c r="B117">
        <f>$AP$2+AG117</f>
        <v>215</v>
      </c>
      <c r="C117">
        <f t="shared" si="17"/>
        <v>258</v>
      </c>
      <c r="D117">
        <f>AH117+$AQ$2</f>
        <v>142</v>
      </c>
      <c r="E117">
        <f t="shared" si="11"/>
        <v>142</v>
      </c>
      <c r="F117" s="4">
        <f>INT(主角属性配置!F117/3+$AS$2)</f>
        <v>9943</v>
      </c>
      <c r="G117">
        <v>8</v>
      </c>
      <c r="H117">
        <v>0</v>
      </c>
      <c r="I117">
        <v>10</v>
      </c>
      <c r="J117">
        <v>0</v>
      </c>
      <c r="K117" s="3">
        <f t="shared" si="18"/>
        <v>3314</v>
      </c>
      <c r="L117" s="3">
        <f t="shared" si="19"/>
        <v>4972</v>
      </c>
      <c r="N117" t="str">
        <f>$N$1&amp;$P$1&amp;$T$1&amp;$B$2&amp;$T$1&amp;$R$1&amp;B118&amp;$Q$1&amp;$S$1&amp;$P$1&amp;$T$1&amp;$D$2&amp;$T$1&amp;$R$1&amp;D118&amp;$Q$1&amp;$S$1&amp;$P$1&amp;$T$1&amp;$E$2&amp;$T$1&amp;$R$1&amp;E118&amp;$Q$1&amp;$S$1&amp;$P$1&amp;$T$1&amp;$F$2&amp;$T$1&amp;$R$1&amp;F118&amp;$Q$1&amp;$S$1&amp;$P$1&amp;$T$1&amp;$G$2&amp;$T$1&amp;$R$1&amp;G118&amp;$Q$1&amp;$S$1&amp;$P$1&amp;$T$1&amp;$H$2&amp;$T$1&amp;$R$1&amp;H118&amp;$Q$1&amp;$S$1&amp;$P$1&amp;$T$1&amp;$I$2&amp;$T$1&amp;$R$1&amp;I118&amp;$Q$1&amp;$S$1&amp;$P$1&amp;$T$1&amp;$J$2&amp;$T$1&amp;$R$1&amp;J118&amp;$Q$1&amp;$O$1</f>
        <v>[{"1":216},{"4":143},{"5":143},{"12":10024},{"7":8},{"6":0},{"8":10},{"9":0}]</v>
      </c>
      <c r="W117" t="str">
        <f>$N$1&amp;$P$1&amp;$T$1&amp;$C$2&amp;$T$1&amp;$R$1&amp;C118&amp;$Q$1&amp;$S$1&amp;$P$1&amp;$T$1&amp;$D$2&amp;$T$1&amp;$R$1&amp;D118&amp;$Q$1&amp;$S$1&amp;$P$1&amp;$T$1&amp;$E$2&amp;$T$1&amp;$R$1&amp;E118&amp;$Q$1&amp;$S$1&amp;$P$1&amp;$T$1&amp;$F$2&amp;$T$1&amp;$R$1&amp;K118&amp;$Q$1&amp;$S$1&amp;$P$1&amp;$T$1&amp;$G$2&amp;$T$1&amp;$R$1&amp;G118&amp;$Q$1&amp;$S$1&amp;$P$1&amp;$T$1&amp;$H$2&amp;$T$1&amp;$R$1&amp;H118&amp;$Q$1&amp;$S$1&amp;$P$1&amp;$T$1&amp;$I$2&amp;$T$1&amp;$R$1&amp;I118&amp;$Q$1&amp;$S$1&amp;$P$1&amp;$T$1&amp;$J$2&amp;$T$1&amp;$R$1&amp;J118&amp;$Q$1&amp;$O$1</f>
        <v>[{"2":259},{"4":143},{"5":143},{"12":3341},{"7":8},{"6":0},{"8":10},{"9":0}]</v>
      </c>
      <c r="AE117" t="str">
        <f>$N$1&amp;$P$1&amp;$T$1&amp;$C$2&amp;$T$1&amp;$R$1&amp;C118&amp;$Q$1&amp;$S$1&amp;$P$1&amp;$T$1&amp;$D$2&amp;$T$1&amp;$R$1&amp;D118&amp;$Q$1&amp;$S$1&amp;$P$1&amp;$T$1&amp;$E$2&amp;$T$1&amp;$R$1&amp;E118&amp;$Q$1&amp;$S$1&amp;$P$1&amp;$T$1&amp;$F$2&amp;$T$1&amp;$R$1&amp;L118&amp;$Q$1&amp;$S$1&amp;$P$1&amp;$T$1&amp;$G$2&amp;$T$1&amp;$R$1&amp;G118&amp;$Q$1&amp;$S$1&amp;$P$1&amp;$T$1&amp;$H$2&amp;$T$1&amp;$R$1&amp;H118&amp;$Q$1&amp;$S$1&amp;$P$1&amp;$T$1&amp;$I$2&amp;$T$1&amp;$R$1&amp;I118&amp;$Q$1&amp;$S$1&amp;$P$1&amp;$T$1&amp;$J$2&amp;$T$1&amp;$R$1&amp;J118&amp;$Q$1&amp;$O$1</f>
        <v>[{"2":259},{"4":143},{"5":143},{"12":5012},{"7":8},{"6":0},{"8":10},{"9":0}]</v>
      </c>
      <c r="AG117">
        <v>115</v>
      </c>
      <c r="AH117">
        <f t="shared" si="20"/>
        <v>76</v>
      </c>
      <c r="AI117">
        <f t="shared" si="21"/>
        <v>76</v>
      </c>
      <c r="AJ117">
        <v>908</v>
      </c>
      <c r="AK117">
        <v>4</v>
      </c>
      <c r="AL117">
        <v>8</v>
      </c>
      <c r="AM117">
        <v>0</v>
      </c>
      <c r="AN117">
        <v>10</v>
      </c>
    </row>
    <row r="118" customFormat="1" ht="16.5" spans="1:40">
      <c r="A118">
        <v>116</v>
      </c>
      <c r="B118">
        <f>$AP$2+AG118</f>
        <v>216</v>
      </c>
      <c r="C118">
        <f t="shared" si="17"/>
        <v>259</v>
      </c>
      <c r="D118">
        <f>AH118+$AQ$2</f>
        <v>143</v>
      </c>
      <c r="E118">
        <f t="shared" si="11"/>
        <v>143</v>
      </c>
      <c r="F118" s="4">
        <f>INT(主角属性配置!F118/3+$AS$2)</f>
        <v>10024</v>
      </c>
      <c r="G118">
        <v>8</v>
      </c>
      <c r="H118">
        <v>0</v>
      </c>
      <c r="I118">
        <v>10</v>
      </c>
      <c r="J118">
        <v>0</v>
      </c>
      <c r="K118" s="3">
        <f t="shared" si="18"/>
        <v>3341</v>
      </c>
      <c r="L118" s="3">
        <f t="shared" si="19"/>
        <v>5012</v>
      </c>
      <c r="N118" t="str">
        <f>$N$1&amp;$P$1&amp;$T$1&amp;$B$2&amp;$T$1&amp;$R$1&amp;B119&amp;$Q$1&amp;$S$1&amp;$P$1&amp;$T$1&amp;$D$2&amp;$T$1&amp;$R$1&amp;D119&amp;$Q$1&amp;$S$1&amp;$P$1&amp;$T$1&amp;$E$2&amp;$T$1&amp;$R$1&amp;E119&amp;$Q$1&amp;$S$1&amp;$P$1&amp;$T$1&amp;$F$2&amp;$T$1&amp;$R$1&amp;F119&amp;$Q$1&amp;$S$1&amp;$P$1&amp;$T$1&amp;$G$2&amp;$T$1&amp;$R$1&amp;G119&amp;$Q$1&amp;$S$1&amp;$P$1&amp;$T$1&amp;$H$2&amp;$T$1&amp;$R$1&amp;H119&amp;$Q$1&amp;$S$1&amp;$P$1&amp;$T$1&amp;$I$2&amp;$T$1&amp;$R$1&amp;I119&amp;$Q$1&amp;$S$1&amp;$P$1&amp;$T$1&amp;$J$2&amp;$T$1&amp;$R$1&amp;J119&amp;$Q$1&amp;$O$1</f>
        <v>[{"1":217},{"4":144},{"5":144},{"12":10105},{"7":8},{"6":0},{"8":10},{"9":0}]</v>
      </c>
      <c r="W118" t="str">
        <f>$N$1&amp;$P$1&amp;$T$1&amp;$C$2&amp;$T$1&amp;$R$1&amp;C119&amp;$Q$1&amp;$S$1&amp;$P$1&amp;$T$1&amp;$D$2&amp;$T$1&amp;$R$1&amp;D119&amp;$Q$1&amp;$S$1&amp;$P$1&amp;$T$1&amp;$E$2&amp;$T$1&amp;$R$1&amp;E119&amp;$Q$1&amp;$S$1&amp;$P$1&amp;$T$1&amp;$F$2&amp;$T$1&amp;$R$1&amp;K119&amp;$Q$1&amp;$S$1&amp;$P$1&amp;$T$1&amp;$G$2&amp;$T$1&amp;$R$1&amp;G119&amp;$Q$1&amp;$S$1&amp;$P$1&amp;$T$1&amp;$H$2&amp;$T$1&amp;$R$1&amp;H119&amp;$Q$1&amp;$S$1&amp;$P$1&amp;$T$1&amp;$I$2&amp;$T$1&amp;$R$1&amp;I119&amp;$Q$1&amp;$S$1&amp;$P$1&amp;$T$1&amp;$J$2&amp;$T$1&amp;$R$1&amp;J119&amp;$Q$1&amp;$O$1</f>
        <v>[{"2":260},{"4":144},{"5":144},{"12":3368},{"7":8},{"6":0},{"8":10},{"9":0}]</v>
      </c>
      <c r="AE118" t="str">
        <f>$N$1&amp;$P$1&amp;$T$1&amp;$C$2&amp;$T$1&amp;$R$1&amp;C119&amp;$Q$1&amp;$S$1&amp;$P$1&amp;$T$1&amp;$D$2&amp;$T$1&amp;$R$1&amp;D119&amp;$Q$1&amp;$S$1&amp;$P$1&amp;$T$1&amp;$E$2&amp;$T$1&amp;$R$1&amp;E119&amp;$Q$1&amp;$S$1&amp;$P$1&amp;$T$1&amp;$F$2&amp;$T$1&amp;$R$1&amp;L119&amp;$Q$1&amp;$S$1&amp;$P$1&amp;$T$1&amp;$G$2&amp;$T$1&amp;$R$1&amp;G119&amp;$Q$1&amp;$S$1&amp;$P$1&amp;$T$1&amp;$H$2&amp;$T$1&amp;$R$1&amp;H119&amp;$Q$1&amp;$S$1&amp;$P$1&amp;$T$1&amp;$I$2&amp;$T$1&amp;$R$1&amp;I119&amp;$Q$1&amp;$S$1&amp;$P$1&amp;$T$1&amp;$J$2&amp;$T$1&amp;$R$1&amp;J119&amp;$Q$1&amp;$O$1</f>
        <v>[{"2":260},{"4":144},{"5":144},{"12":5053},{"7":8},{"6":0},{"8":10},{"9":0}]</v>
      </c>
      <c r="AG118">
        <v>116</v>
      </c>
      <c r="AH118">
        <f t="shared" si="20"/>
        <v>77</v>
      </c>
      <c r="AI118">
        <f t="shared" si="21"/>
        <v>77</v>
      </c>
      <c r="AJ118">
        <v>917</v>
      </c>
      <c r="AK118">
        <v>4</v>
      </c>
      <c r="AL118">
        <v>8</v>
      </c>
      <c r="AM118">
        <v>0</v>
      </c>
      <c r="AN118">
        <v>10</v>
      </c>
    </row>
    <row r="119" customFormat="1" ht="16.5" spans="1:40">
      <c r="A119">
        <v>117</v>
      </c>
      <c r="B119">
        <f>$AP$2+AG119</f>
        <v>217</v>
      </c>
      <c r="C119">
        <f t="shared" si="17"/>
        <v>260</v>
      </c>
      <c r="D119">
        <f>AH119+$AQ$2</f>
        <v>144</v>
      </c>
      <c r="E119">
        <f t="shared" si="11"/>
        <v>144</v>
      </c>
      <c r="F119" s="4">
        <f>INT(主角属性配置!F119/3+$AS$2)</f>
        <v>10105</v>
      </c>
      <c r="G119">
        <v>8</v>
      </c>
      <c r="H119">
        <v>0</v>
      </c>
      <c r="I119">
        <v>10</v>
      </c>
      <c r="J119">
        <v>0</v>
      </c>
      <c r="K119" s="3">
        <f t="shared" si="18"/>
        <v>3368</v>
      </c>
      <c r="L119" s="3">
        <f t="shared" si="19"/>
        <v>5053</v>
      </c>
      <c r="N119" t="str">
        <f>$N$1&amp;$P$1&amp;$T$1&amp;$B$2&amp;$T$1&amp;$R$1&amp;B120&amp;$Q$1&amp;$S$1&amp;$P$1&amp;$T$1&amp;$D$2&amp;$T$1&amp;$R$1&amp;D120&amp;$Q$1&amp;$S$1&amp;$P$1&amp;$T$1&amp;$E$2&amp;$T$1&amp;$R$1&amp;E120&amp;$Q$1&amp;$S$1&amp;$P$1&amp;$T$1&amp;$F$2&amp;$T$1&amp;$R$1&amp;F120&amp;$Q$1&amp;$S$1&amp;$P$1&amp;$T$1&amp;$G$2&amp;$T$1&amp;$R$1&amp;G120&amp;$Q$1&amp;$S$1&amp;$P$1&amp;$T$1&amp;$H$2&amp;$T$1&amp;$R$1&amp;H120&amp;$Q$1&amp;$S$1&amp;$P$1&amp;$T$1&amp;$I$2&amp;$T$1&amp;$R$1&amp;I120&amp;$Q$1&amp;$S$1&amp;$P$1&amp;$T$1&amp;$J$2&amp;$T$1&amp;$R$1&amp;J120&amp;$Q$1&amp;$O$1</f>
        <v>[{"1":218},{"4":144},{"5":144},{"12":10186},{"7":8},{"6":0},{"8":10},{"9":0}]</v>
      </c>
      <c r="W119" t="str">
        <f>$N$1&amp;$P$1&amp;$T$1&amp;$C$2&amp;$T$1&amp;$R$1&amp;C120&amp;$Q$1&amp;$S$1&amp;$P$1&amp;$T$1&amp;$D$2&amp;$T$1&amp;$R$1&amp;D120&amp;$Q$1&amp;$S$1&amp;$P$1&amp;$T$1&amp;$E$2&amp;$T$1&amp;$R$1&amp;E120&amp;$Q$1&amp;$S$1&amp;$P$1&amp;$T$1&amp;$F$2&amp;$T$1&amp;$R$1&amp;K120&amp;$Q$1&amp;$S$1&amp;$P$1&amp;$T$1&amp;$G$2&amp;$T$1&amp;$R$1&amp;G120&amp;$Q$1&amp;$S$1&amp;$P$1&amp;$T$1&amp;$H$2&amp;$T$1&amp;$R$1&amp;H120&amp;$Q$1&amp;$S$1&amp;$P$1&amp;$T$1&amp;$I$2&amp;$T$1&amp;$R$1&amp;I120&amp;$Q$1&amp;$S$1&amp;$P$1&amp;$T$1&amp;$J$2&amp;$T$1&amp;$R$1&amp;J120&amp;$Q$1&amp;$O$1</f>
        <v>[{"2":261},{"4":144},{"5":144},{"12":3395},{"7":8},{"6":0},{"8":10},{"9":0}]</v>
      </c>
      <c r="AE119" t="str">
        <f>$N$1&amp;$P$1&amp;$T$1&amp;$C$2&amp;$T$1&amp;$R$1&amp;C120&amp;$Q$1&amp;$S$1&amp;$P$1&amp;$T$1&amp;$D$2&amp;$T$1&amp;$R$1&amp;D120&amp;$Q$1&amp;$S$1&amp;$P$1&amp;$T$1&amp;$E$2&amp;$T$1&amp;$R$1&amp;E120&amp;$Q$1&amp;$S$1&amp;$P$1&amp;$T$1&amp;$F$2&amp;$T$1&amp;$R$1&amp;L120&amp;$Q$1&amp;$S$1&amp;$P$1&amp;$T$1&amp;$G$2&amp;$T$1&amp;$R$1&amp;G120&amp;$Q$1&amp;$S$1&amp;$P$1&amp;$T$1&amp;$H$2&amp;$T$1&amp;$R$1&amp;H120&amp;$Q$1&amp;$S$1&amp;$P$1&amp;$T$1&amp;$I$2&amp;$T$1&amp;$R$1&amp;I120&amp;$Q$1&amp;$S$1&amp;$P$1&amp;$T$1&amp;$J$2&amp;$T$1&amp;$R$1&amp;J120&amp;$Q$1&amp;$O$1</f>
        <v>[{"2":261},{"4":144},{"5":144},{"12":5093},{"7":8},{"6":0},{"8":10},{"9":0}]</v>
      </c>
      <c r="AG119">
        <v>117</v>
      </c>
      <c r="AH119">
        <f t="shared" si="20"/>
        <v>78</v>
      </c>
      <c r="AI119">
        <f t="shared" si="21"/>
        <v>78</v>
      </c>
      <c r="AJ119">
        <v>925</v>
      </c>
      <c r="AK119">
        <v>4</v>
      </c>
      <c r="AL119">
        <v>8</v>
      </c>
      <c r="AM119">
        <v>0</v>
      </c>
      <c r="AN119">
        <v>10</v>
      </c>
    </row>
    <row r="120" customFormat="1" ht="16.5" spans="1:40">
      <c r="A120">
        <v>118</v>
      </c>
      <c r="B120">
        <f>$AP$2+AG120</f>
        <v>218</v>
      </c>
      <c r="C120">
        <f t="shared" si="17"/>
        <v>261</v>
      </c>
      <c r="D120">
        <f>AH120+$AQ$2</f>
        <v>144</v>
      </c>
      <c r="E120">
        <f t="shared" si="11"/>
        <v>144</v>
      </c>
      <c r="F120" s="4">
        <f>INT(主角属性配置!F120/3+$AS$2)</f>
        <v>10186</v>
      </c>
      <c r="G120">
        <v>8</v>
      </c>
      <c r="H120">
        <v>0</v>
      </c>
      <c r="I120">
        <v>10</v>
      </c>
      <c r="J120">
        <v>0</v>
      </c>
      <c r="K120" s="3">
        <f t="shared" si="18"/>
        <v>3395</v>
      </c>
      <c r="L120" s="3">
        <f t="shared" si="19"/>
        <v>5093</v>
      </c>
      <c r="N120" t="str">
        <f>$N$1&amp;$P$1&amp;$T$1&amp;$B$2&amp;$T$1&amp;$R$1&amp;B121&amp;$Q$1&amp;$S$1&amp;$P$1&amp;$T$1&amp;$D$2&amp;$T$1&amp;$R$1&amp;D121&amp;$Q$1&amp;$S$1&amp;$P$1&amp;$T$1&amp;$E$2&amp;$T$1&amp;$R$1&amp;E121&amp;$Q$1&amp;$S$1&amp;$P$1&amp;$T$1&amp;$F$2&amp;$T$1&amp;$R$1&amp;F121&amp;$Q$1&amp;$S$1&amp;$P$1&amp;$T$1&amp;$G$2&amp;$T$1&amp;$R$1&amp;G121&amp;$Q$1&amp;$S$1&amp;$P$1&amp;$T$1&amp;$H$2&amp;$T$1&amp;$R$1&amp;H121&amp;$Q$1&amp;$S$1&amp;$P$1&amp;$T$1&amp;$I$2&amp;$T$1&amp;$R$1&amp;I121&amp;$Q$1&amp;$S$1&amp;$P$1&amp;$T$1&amp;$J$2&amp;$T$1&amp;$R$1&amp;J121&amp;$Q$1&amp;$O$1</f>
        <v>[{"1":219},{"4":145},{"5":145},{"12":10267},{"7":8},{"6":0},{"8":10},{"9":0}]</v>
      </c>
      <c r="W120" t="str">
        <f>$N$1&amp;$P$1&amp;$T$1&amp;$C$2&amp;$T$1&amp;$R$1&amp;C121&amp;$Q$1&amp;$S$1&amp;$P$1&amp;$T$1&amp;$D$2&amp;$T$1&amp;$R$1&amp;D121&amp;$Q$1&amp;$S$1&amp;$P$1&amp;$T$1&amp;$E$2&amp;$T$1&amp;$R$1&amp;E121&amp;$Q$1&amp;$S$1&amp;$P$1&amp;$T$1&amp;$F$2&amp;$T$1&amp;$R$1&amp;K121&amp;$Q$1&amp;$S$1&amp;$P$1&amp;$T$1&amp;$G$2&amp;$T$1&amp;$R$1&amp;G121&amp;$Q$1&amp;$S$1&amp;$P$1&amp;$T$1&amp;$H$2&amp;$T$1&amp;$R$1&amp;H121&amp;$Q$1&amp;$S$1&amp;$P$1&amp;$T$1&amp;$I$2&amp;$T$1&amp;$R$1&amp;I121&amp;$Q$1&amp;$S$1&amp;$P$1&amp;$T$1&amp;$J$2&amp;$T$1&amp;$R$1&amp;J121&amp;$Q$1&amp;$O$1</f>
        <v>[{"2":262},{"4":145},{"5":145},{"12":3422},{"7":8},{"6":0},{"8":10},{"9":0}]</v>
      </c>
      <c r="AE120" t="str">
        <f>$N$1&amp;$P$1&amp;$T$1&amp;$C$2&amp;$T$1&amp;$R$1&amp;C121&amp;$Q$1&amp;$S$1&amp;$P$1&amp;$T$1&amp;$D$2&amp;$T$1&amp;$R$1&amp;D121&amp;$Q$1&amp;$S$1&amp;$P$1&amp;$T$1&amp;$E$2&amp;$T$1&amp;$R$1&amp;E121&amp;$Q$1&amp;$S$1&amp;$P$1&amp;$T$1&amp;$F$2&amp;$T$1&amp;$R$1&amp;L121&amp;$Q$1&amp;$S$1&amp;$P$1&amp;$T$1&amp;$G$2&amp;$T$1&amp;$R$1&amp;G121&amp;$Q$1&amp;$S$1&amp;$P$1&amp;$T$1&amp;$H$2&amp;$T$1&amp;$R$1&amp;H121&amp;$Q$1&amp;$S$1&amp;$P$1&amp;$T$1&amp;$I$2&amp;$T$1&amp;$R$1&amp;I121&amp;$Q$1&amp;$S$1&amp;$P$1&amp;$T$1&amp;$J$2&amp;$T$1&amp;$R$1&amp;J121&amp;$Q$1&amp;$O$1</f>
        <v>[{"2":262},{"4":145},{"5":145},{"12":5134},{"7":8},{"6":0},{"8":10},{"9":0}]</v>
      </c>
      <c r="AG120">
        <v>118</v>
      </c>
      <c r="AH120">
        <f t="shared" si="20"/>
        <v>78</v>
      </c>
      <c r="AI120">
        <f t="shared" si="21"/>
        <v>78</v>
      </c>
      <c r="AJ120">
        <v>933</v>
      </c>
      <c r="AK120">
        <v>4</v>
      </c>
      <c r="AL120">
        <v>8</v>
      </c>
      <c r="AM120">
        <v>0</v>
      </c>
      <c r="AN120">
        <v>10</v>
      </c>
    </row>
    <row r="121" customFormat="1" ht="16.5" spans="1:40">
      <c r="A121">
        <v>119</v>
      </c>
      <c r="B121">
        <f>$AP$2+AG121</f>
        <v>219</v>
      </c>
      <c r="C121">
        <f t="shared" si="17"/>
        <v>262</v>
      </c>
      <c r="D121">
        <f>AH121+$AQ$2</f>
        <v>145</v>
      </c>
      <c r="E121">
        <f t="shared" si="11"/>
        <v>145</v>
      </c>
      <c r="F121" s="4">
        <f>INT(主角属性配置!F121/3+$AS$2)</f>
        <v>10267</v>
      </c>
      <c r="G121">
        <v>8</v>
      </c>
      <c r="H121">
        <v>0</v>
      </c>
      <c r="I121">
        <v>10</v>
      </c>
      <c r="J121">
        <v>0</v>
      </c>
      <c r="K121" s="3">
        <f t="shared" si="18"/>
        <v>3422</v>
      </c>
      <c r="L121" s="3">
        <f t="shared" si="19"/>
        <v>5134</v>
      </c>
      <c r="N121" t="str">
        <f>$N$1&amp;$P$1&amp;$T$1&amp;$B$2&amp;$T$1&amp;$R$1&amp;B122&amp;$Q$1&amp;$S$1&amp;$P$1&amp;$T$1&amp;$D$2&amp;$T$1&amp;$R$1&amp;D122&amp;$Q$1&amp;$S$1&amp;$P$1&amp;$T$1&amp;$E$2&amp;$T$1&amp;$R$1&amp;E122&amp;$Q$1&amp;$S$1&amp;$P$1&amp;$T$1&amp;$F$2&amp;$T$1&amp;$R$1&amp;F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[{"1":220},{"4":146},{"5":146},{"12":10348},{"7":8},{"6":0},{"8":10},{"9":0}]</v>
      </c>
      <c r="W121" t="str">
        <f>$N$1&amp;$P$1&amp;$T$1&amp;$C$2&amp;$T$1&amp;$R$1&amp;C122&amp;$Q$1&amp;$S$1&amp;$P$1&amp;$T$1&amp;$D$2&amp;$T$1&amp;$R$1&amp;D122&amp;$Q$1&amp;$S$1&amp;$P$1&amp;$T$1&amp;$E$2&amp;$T$1&amp;$R$1&amp;E122&amp;$Q$1&amp;$S$1&amp;$P$1&amp;$T$1&amp;$F$2&amp;$T$1&amp;$R$1&amp;K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[{"2":264},{"4":146},{"5":146},{"12":3449},{"7":8},{"6":0},{"8":10},{"9":0}]</v>
      </c>
      <c r="AE121" t="str">
        <f>$N$1&amp;$P$1&amp;$T$1&amp;$C$2&amp;$T$1&amp;$R$1&amp;C122&amp;$Q$1&amp;$S$1&amp;$P$1&amp;$T$1&amp;$D$2&amp;$T$1&amp;$R$1&amp;D122&amp;$Q$1&amp;$S$1&amp;$P$1&amp;$T$1&amp;$E$2&amp;$T$1&amp;$R$1&amp;E122&amp;$Q$1&amp;$S$1&amp;$P$1&amp;$T$1&amp;$F$2&amp;$T$1&amp;$R$1&amp;L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[{"2":264},{"4":146},{"5":146},{"12":5174},{"7":8},{"6":0},{"8":10},{"9":0}]</v>
      </c>
      <c r="AG121">
        <v>119</v>
      </c>
      <c r="AH121">
        <f t="shared" si="20"/>
        <v>79</v>
      </c>
      <c r="AI121">
        <f t="shared" si="21"/>
        <v>79</v>
      </c>
      <c r="AJ121">
        <v>941</v>
      </c>
      <c r="AK121">
        <v>4</v>
      </c>
      <c r="AL121">
        <v>8</v>
      </c>
      <c r="AM121">
        <v>0</v>
      </c>
      <c r="AN121">
        <v>10</v>
      </c>
    </row>
    <row r="122" customFormat="1" ht="16.5" spans="1:40">
      <c r="A122">
        <v>120</v>
      </c>
      <c r="B122">
        <f>$AP$2+AG122</f>
        <v>220</v>
      </c>
      <c r="C122">
        <f t="shared" si="17"/>
        <v>264</v>
      </c>
      <c r="D122">
        <f>AH122+$AQ$2</f>
        <v>146</v>
      </c>
      <c r="E122">
        <f t="shared" si="11"/>
        <v>146</v>
      </c>
      <c r="F122" s="4">
        <f>INT(主角属性配置!F122/3+$AS$2)</f>
        <v>10348</v>
      </c>
      <c r="G122">
        <v>8</v>
      </c>
      <c r="H122">
        <v>0</v>
      </c>
      <c r="I122">
        <v>10</v>
      </c>
      <c r="J122">
        <v>0</v>
      </c>
      <c r="K122" s="3">
        <f t="shared" si="18"/>
        <v>3449</v>
      </c>
      <c r="L122" s="3">
        <f t="shared" si="19"/>
        <v>5174</v>
      </c>
      <c r="N122" t="str">
        <f>$N$1&amp;$P$1&amp;$T$1&amp;$B$2&amp;$T$1&amp;$R$1&amp;B123&amp;$Q$1&amp;$S$1&amp;$P$1&amp;$T$1&amp;$D$2&amp;$T$1&amp;$R$1&amp;D123&amp;$Q$1&amp;$S$1&amp;$P$1&amp;$T$1&amp;$E$2&amp;$T$1&amp;$R$1&amp;E123&amp;$Q$1&amp;$S$1&amp;$P$1&amp;$T$1&amp;$F$2&amp;$T$1&amp;$R$1&amp;F123&amp;$Q$1&amp;$S$1&amp;$P$1&amp;$T$1&amp;$G$2&amp;$T$1&amp;$R$1&amp;G123&amp;$Q$1&amp;$S$1&amp;$P$1&amp;$T$1&amp;$H$2&amp;$T$1&amp;$R$1&amp;H123&amp;$Q$1&amp;$S$1&amp;$P$1&amp;$T$1&amp;$I$2&amp;$T$1&amp;$R$1&amp;I123&amp;$Q$1&amp;$S$1&amp;$P$1&amp;$T$1&amp;$J$2&amp;$T$1&amp;$R$1&amp;J123&amp;$Q$1&amp;$O$1</f>
        <v>[{"1":221},{"4":146},{"5":146},{"12":10429},{"7":8},{"6":0},{"8":10},{"9":0}]</v>
      </c>
      <c r="W122" t="str">
        <f>$N$1&amp;$P$1&amp;$T$1&amp;$C$2&amp;$T$1&amp;$R$1&amp;C123&amp;$Q$1&amp;$S$1&amp;$P$1&amp;$T$1&amp;$D$2&amp;$T$1&amp;$R$1&amp;D123&amp;$Q$1&amp;$S$1&amp;$P$1&amp;$T$1&amp;$E$2&amp;$T$1&amp;$R$1&amp;E123&amp;$Q$1&amp;$S$1&amp;$P$1&amp;$T$1&amp;$F$2&amp;$T$1&amp;$R$1&amp;K123&amp;$Q$1&amp;$S$1&amp;$P$1&amp;$T$1&amp;$G$2&amp;$T$1&amp;$R$1&amp;G123&amp;$Q$1&amp;$S$1&amp;$P$1&amp;$T$1&amp;$H$2&amp;$T$1&amp;$R$1&amp;H123&amp;$Q$1&amp;$S$1&amp;$P$1&amp;$T$1&amp;$I$2&amp;$T$1&amp;$R$1&amp;I123&amp;$Q$1&amp;$S$1&amp;$P$1&amp;$T$1&amp;$J$2&amp;$T$1&amp;$R$1&amp;J123&amp;$Q$1&amp;$O$1</f>
        <v>[{"2":265},{"4":146},{"5":146},{"12":3476},{"7":8},{"6":0},{"8":10},{"9":0}]</v>
      </c>
      <c r="AE122" t="str">
        <f>$N$1&amp;$P$1&amp;$T$1&amp;$C$2&amp;$T$1&amp;$R$1&amp;C123&amp;$Q$1&amp;$S$1&amp;$P$1&amp;$T$1&amp;$D$2&amp;$T$1&amp;$R$1&amp;D123&amp;$Q$1&amp;$S$1&amp;$P$1&amp;$T$1&amp;$E$2&amp;$T$1&amp;$R$1&amp;E123&amp;$Q$1&amp;$S$1&amp;$P$1&amp;$T$1&amp;$F$2&amp;$T$1&amp;$R$1&amp;L123&amp;$Q$1&amp;$S$1&amp;$P$1&amp;$T$1&amp;$G$2&amp;$T$1&amp;$R$1&amp;G123&amp;$Q$1&amp;$S$1&amp;$P$1&amp;$T$1&amp;$H$2&amp;$T$1&amp;$R$1&amp;H123&amp;$Q$1&amp;$S$1&amp;$P$1&amp;$T$1&amp;$I$2&amp;$T$1&amp;$R$1&amp;I123&amp;$Q$1&amp;$S$1&amp;$P$1&amp;$T$1&amp;$J$2&amp;$T$1&amp;$R$1&amp;J123&amp;$Q$1&amp;$O$1</f>
        <v>[{"2":265},{"4":146},{"5":146},{"12":5215},{"7":8},{"6":0},{"8":10},{"9":0}]</v>
      </c>
      <c r="AG122">
        <v>120</v>
      </c>
      <c r="AH122">
        <f t="shared" si="20"/>
        <v>80</v>
      </c>
      <c r="AI122">
        <f t="shared" si="21"/>
        <v>80</v>
      </c>
      <c r="AJ122">
        <v>950</v>
      </c>
      <c r="AK122">
        <v>4</v>
      </c>
      <c r="AL122">
        <v>8</v>
      </c>
      <c r="AM122">
        <v>0</v>
      </c>
      <c r="AN122">
        <v>10</v>
      </c>
    </row>
    <row r="123" customFormat="1" ht="16.5" spans="1:40">
      <c r="A123">
        <v>121</v>
      </c>
      <c r="B123">
        <f>$AP$2+AG123</f>
        <v>221</v>
      </c>
      <c r="C123">
        <f t="shared" si="17"/>
        <v>265</v>
      </c>
      <c r="D123">
        <f>AH123+$AQ$2</f>
        <v>146</v>
      </c>
      <c r="E123">
        <f t="shared" si="11"/>
        <v>146</v>
      </c>
      <c r="F123" s="4">
        <f>INT(主角属性配置!F123/3+$AS$2)</f>
        <v>10429</v>
      </c>
      <c r="G123">
        <v>8</v>
      </c>
      <c r="H123">
        <v>0</v>
      </c>
      <c r="I123">
        <v>10</v>
      </c>
      <c r="J123">
        <v>0</v>
      </c>
      <c r="K123" s="3">
        <f t="shared" si="18"/>
        <v>3476</v>
      </c>
      <c r="L123" s="3">
        <f t="shared" si="19"/>
        <v>5215</v>
      </c>
      <c r="N123" t="str">
        <f>$N$1&amp;$P$1&amp;$T$1&amp;$B$2&amp;$T$1&amp;$R$1&amp;B124&amp;$Q$1&amp;$S$1&amp;$P$1&amp;$T$1&amp;$D$2&amp;$T$1&amp;$R$1&amp;D124&amp;$Q$1&amp;$S$1&amp;$P$1&amp;$T$1&amp;$E$2&amp;$T$1&amp;$R$1&amp;E124&amp;$Q$1&amp;$S$1&amp;$P$1&amp;$T$1&amp;$F$2&amp;$T$1&amp;$R$1&amp;F124&amp;$Q$1&amp;$S$1&amp;$P$1&amp;$T$1&amp;$G$2&amp;$T$1&amp;$R$1&amp;G124&amp;$Q$1&amp;$S$1&amp;$P$1&amp;$T$1&amp;$H$2&amp;$T$1&amp;$R$1&amp;H124&amp;$Q$1&amp;$S$1&amp;$P$1&amp;$T$1&amp;$I$2&amp;$T$1&amp;$R$1&amp;I124&amp;$Q$1&amp;$S$1&amp;$P$1&amp;$T$1&amp;$J$2&amp;$T$1&amp;$R$1&amp;J124&amp;$Q$1&amp;$O$1</f>
        <v>[{"1":222},{"4":147},{"5":147},{"12":10509},{"7":8},{"6":0},{"8":10},{"9":0}]</v>
      </c>
      <c r="W123" t="str">
        <f>$N$1&amp;$P$1&amp;$T$1&amp;$C$2&amp;$T$1&amp;$R$1&amp;C124&amp;$Q$1&amp;$S$1&amp;$P$1&amp;$T$1&amp;$D$2&amp;$T$1&amp;$R$1&amp;D124&amp;$Q$1&amp;$S$1&amp;$P$1&amp;$T$1&amp;$E$2&amp;$T$1&amp;$R$1&amp;E124&amp;$Q$1&amp;$S$1&amp;$P$1&amp;$T$1&amp;$F$2&amp;$T$1&amp;$R$1&amp;K124&amp;$Q$1&amp;$S$1&amp;$P$1&amp;$T$1&amp;$G$2&amp;$T$1&amp;$R$1&amp;G124&amp;$Q$1&amp;$S$1&amp;$P$1&amp;$T$1&amp;$H$2&amp;$T$1&amp;$R$1&amp;H124&amp;$Q$1&amp;$S$1&amp;$P$1&amp;$T$1&amp;$I$2&amp;$T$1&amp;$R$1&amp;I124&amp;$Q$1&amp;$S$1&amp;$P$1&amp;$T$1&amp;$J$2&amp;$T$1&amp;$R$1&amp;J124&amp;$Q$1&amp;$O$1</f>
        <v>[{"2":266},{"4":147},{"5":147},{"12":3503},{"7":8},{"6":0},{"8":10},{"9":0}]</v>
      </c>
      <c r="AE123" t="str">
        <f>$N$1&amp;$P$1&amp;$T$1&amp;$C$2&amp;$T$1&amp;$R$1&amp;C124&amp;$Q$1&amp;$S$1&amp;$P$1&amp;$T$1&amp;$D$2&amp;$T$1&amp;$R$1&amp;D124&amp;$Q$1&amp;$S$1&amp;$P$1&amp;$T$1&amp;$E$2&amp;$T$1&amp;$R$1&amp;E124&amp;$Q$1&amp;$S$1&amp;$P$1&amp;$T$1&amp;$F$2&amp;$T$1&amp;$R$1&amp;L124&amp;$Q$1&amp;$S$1&amp;$P$1&amp;$T$1&amp;$G$2&amp;$T$1&amp;$R$1&amp;G124&amp;$Q$1&amp;$S$1&amp;$P$1&amp;$T$1&amp;$H$2&amp;$T$1&amp;$R$1&amp;H124&amp;$Q$1&amp;$S$1&amp;$P$1&amp;$T$1&amp;$I$2&amp;$T$1&amp;$R$1&amp;I124&amp;$Q$1&amp;$S$1&amp;$P$1&amp;$T$1&amp;$J$2&amp;$T$1&amp;$R$1&amp;J124&amp;$Q$1&amp;$O$1</f>
        <v>[{"2":266},{"4":147},{"5":147},{"12":5255},{"7":8},{"6":0},{"8":10},{"9":0}]</v>
      </c>
      <c r="AG123">
        <v>121</v>
      </c>
      <c r="AH123">
        <f t="shared" si="20"/>
        <v>80</v>
      </c>
      <c r="AI123">
        <f t="shared" si="21"/>
        <v>80</v>
      </c>
      <c r="AJ123">
        <v>958</v>
      </c>
      <c r="AK123">
        <v>4</v>
      </c>
      <c r="AL123">
        <v>8</v>
      </c>
      <c r="AM123">
        <v>0</v>
      </c>
      <c r="AN123">
        <v>10</v>
      </c>
    </row>
    <row r="124" customFormat="1" ht="16.5" spans="1:40">
      <c r="A124">
        <v>122</v>
      </c>
      <c r="B124">
        <f>$AP$2+AG124</f>
        <v>222</v>
      </c>
      <c r="C124">
        <f t="shared" si="17"/>
        <v>266</v>
      </c>
      <c r="D124">
        <f>AH124+$AQ$2</f>
        <v>147</v>
      </c>
      <c r="E124">
        <f t="shared" si="11"/>
        <v>147</v>
      </c>
      <c r="F124" s="4">
        <f>INT(主角属性配置!F124/3+$AS$2)</f>
        <v>10509</v>
      </c>
      <c r="G124">
        <v>8</v>
      </c>
      <c r="H124">
        <v>0</v>
      </c>
      <c r="I124">
        <v>10</v>
      </c>
      <c r="J124">
        <v>0</v>
      </c>
      <c r="K124" s="3">
        <f t="shared" si="18"/>
        <v>3503</v>
      </c>
      <c r="L124" s="3">
        <f t="shared" si="19"/>
        <v>5255</v>
      </c>
      <c r="N124" t="str">
        <f>$N$1&amp;$P$1&amp;$T$1&amp;$B$2&amp;$T$1&amp;$R$1&amp;B125&amp;$Q$1&amp;$S$1&amp;$P$1&amp;$T$1&amp;$D$2&amp;$T$1&amp;$R$1&amp;D125&amp;$Q$1&amp;$S$1&amp;$P$1&amp;$T$1&amp;$E$2&amp;$T$1&amp;$R$1&amp;E125&amp;$Q$1&amp;$S$1&amp;$P$1&amp;$T$1&amp;$F$2&amp;$T$1&amp;$R$1&amp;F125&amp;$Q$1&amp;$S$1&amp;$P$1&amp;$T$1&amp;$G$2&amp;$T$1&amp;$R$1&amp;G125&amp;$Q$1&amp;$S$1&amp;$P$1&amp;$T$1&amp;$H$2&amp;$T$1&amp;$R$1&amp;H125&amp;$Q$1&amp;$S$1&amp;$P$1&amp;$T$1&amp;$I$2&amp;$T$1&amp;$R$1&amp;I125&amp;$Q$1&amp;$S$1&amp;$P$1&amp;$T$1&amp;$J$2&amp;$T$1&amp;$R$1&amp;J125&amp;$Q$1&amp;$O$1</f>
        <v>[{"1":223},{"4":148},{"5":148},{"12":10590},{"7":8},{"6":0},{"8":10},{"9":0}]</v>
      </c>
      <c r="W124" t="str">
        <f>$N$1&amp;$P$1&amp;$T$1&amp;$C$2&amp;$T$1&amp;$R$1&amp;C125&amp;$Q$1&amp;$S$1&amp;$P$1&amp;$T$1&amp;$D$2&amp;$T$1&amp;$R$1&amp;D125&amp;$Q$1&amp;$S$1&amp;$P$1&amp;$T$1&amp;$E$2&amp;$T$1&amp;$R$1&amp;E125&amp;$Q$1&amp;$S$1&amp;$P$1&amp;$T$1&amp;$F$2&amp;$T$1&amp;$R$1&amp;K125&amp;$Q$1&amp;$S$1&amp;$P$1&amp;$T$1&amp;$G$2&amp;$T$1&amp;$R$1&amp;G125&amp;$Q$1&amp;$S$1&amp;$P$1&amp;$T$1&amp;$H$2&amp;$T$1&amp;$R$1&amp;H125&amp;$Q$1&amp;$S$1&amp;$P$1&amp;$T$1&amp;$I$2&amp;$T$1&amp;$R$1&amp;I125&amp;$Q$1&amp;$S$1&amp;$P$1&amp;$T$1&amp;$J$2&amp;$T$1&amp;$R$1&amp;J125&amp;$Q$1&amp;$O$1</f>
        <v>[{"2":267},{"4":148},{"5":148},{"12":3530},{"7":8},{"6":0},{"8":10},{"9":0}]</v>
      </c>
      <c r="AE124" t="str">
        <f>$N$1&amp;$P$1&amp;$T$1&amp;$C$2&amp;$T$1&amp;$R$1&amp;C125&amp;$Q$1&amp;$S$1&amp;$P$1&amp;$T$1&amp;$D$2&amp;$T$1&amp;$R$1&amp;D125&amp;$Q$1&amp;$S$1&amp;$P$1&amp;$T$1&amp;$E$2&amp;$T$1&amp;$R$1&amp;E125&amp;$Q$1&amp;$S$1&amp;$P$1&amp;$T$1&amp;$F$2&amp;$T$1&amp;$R$1&amp;L125&amp;$Q$1&amp;$S$1&amp;$P$1&amp;$T$1&amp;$G$2&amp;$T$1&amp;$R$1&amp;G125&amp;$Q$1&amp;$S$1&amp;$P$1&amp;$T$1&amp;$H$2&amp;$T$1&amp;$R$1&amp;H125&amp;$Q$1&amp;$S$1&amp;$P$1&amp;$T$1&amp;$I$2&amp;$T$1&amp;$R$1&amp;I125&amp;$Q$1&amp;$S$1&amp;$P$1&amp;$T$1&amp;$J$2&amp;$T$1&amp;$R$1&amp;J125&amp;$Q$1&amp;$O$1</f>
        <v>[{"2":267},{"4":148},{"5":148},{"12":5295},{"7":8},{"6":0},{"8":10},{"9":0}]</v>
      </c>
      <c r="AG124">
        <v>122</v>
      </c>
      <c r="AH124">
        <f t="shared" si="20"/>
        <v>81</v>
      </c>
      <c r="AI124">
        <f t="shared" si="21"/>
        <v>81</v>
      </c>
      <c r="AJ124">
        <v>966</v>
      </c>
      <c r="AK124">
        <v>4</v>
      </c>
      <c r="AL124">
        <v>8</v>
      </c>
      <c r="AM124">
        <v>0</v>
      </c>
      <c r="AN124">
        <v>10</v>
      </c>
    </row>
    <row r="125" customFormat="1" ht="16.5" spans="1:40">
      <c r="A125">
        <v>123</v>
      </c>
      <c r="B125">
        <f>$AP$2+AG125</f>
        <v>223</v>
      </c>
      <c r="C125">
        <f t="shared" si="17"/>
        <v>267</v>
      </c>
      <c r="D125">
        <f>AH125+$AQ$2</f>
        <v>148</v>
      </c>
      <c r="E125">
        <f t="shared" si="11"/>
        <v>148</v>
      </c>
      <c r="F125" s="4">
        <f>INT(主角属性配置!F125/3+$AS$2)</f>
        <v>10590</v>
      </c>
      <c r="G125">
        <v>8</v>
      </c>
      <c r="H125">
        <v>0</v>
      </c>
      <c r="I125">
        <v>10</v>
      </c>
      <c r="J125">
        <v>0</v>
      </c>
      <c r="K125" s="3">
        <f t="shared" si="18"/>
        <v>3530</v>
      </c>
      <c r="L125" s="3">
        <f t="shared" si="19"/>
        <v>5295</v>
      </c>
      <c r="N125" t="str">
        <f>$N$1&amp;$P$1&amp;$T$1&amp;$B$2&amp;$T$1&amp;$R$1&amp;B126&amp;$Q$1&amp;$S$1&amp;$P$1&amp;$T$1&amp;$D$2&amp;$T$1&amp;$R$1&amp;D126&amp;$Q$1&amp;$S$1&amp;$P$1&amp;$T$1&amp;$E$2&amp;$T$1&amp;$R$1&amp;E126&amp;$Q$1&amp;$S$1&amp;$P$1&amp;$T$1&amp;$F$2&amp;$T$1&amp;$R$1&amp;F126&amp;$Q$1&amp;$S$1&amp;$P$1&amp;$T$1&amp;$G$2&amp;$T$1&amp;$R$1&amp;G126&amp;$Q$1&amp;$S$1&amp;$P$1&amp;$T$1&amp;$H$2&amp;$T$1&amp;$R$1&amp;H126&amp;$Q$1&amp;$S$1&amp;$P$1&amp;$T$1&amp;$I$2&amp;$T$1&amp;$R$1&amp;I126&amp;$Q$1&amp;$S$1&amp;$P$1&amp;$T$1&amp;$J$2&amp;$T$1&amp;$R$1&amp;J126&amp;$Q$1&amp;$O$1</f>
        <v>[{"1":224},{"4":148},{"5":148},{"12":10671},{"7":8},{"6":0},{"8":10},{"9":0}]</v>
      </c>
      <c r="W125" t="str">
        <f>$N$1&amp;$P$1&amp;$T$1&amp;$C$2&amp;$T$1&amp;$R$1&amp;C126&amp;$Q$1&amp;$S$1&amp;$P$1&amp;$T$1&amp;$D$2&amp;$T$1&amp;$R$1&amp;D126&amp;$Q$1&amp;$S$1&amp;$P$1&amp;$T$1&amp;$E$2&amp;$T$1&amp;$R$1&amp;E126&amp;$Q$1&amp;$S$1&amp;$P$1&amp;$T$1&amp;$F$2&amp;$T$1&amp;$R$1&amp;K126&amp;$Q$1&amp;$S$1&amp;$P$1&amp;$T$1&amp;$G$2&amp;$T$1&amp;$R$1&amp;G126&amp;$Q$1&amp;$S$1&amp;$P$1&amp;$T$1&amp;$H$2&amp;$T$1&amp;$R$1&amp;H126&amp;$Q$1&amp;$S$1&amp;$P$1&amp;$T$1&amp;$I$2&amp;$T$1&amp;$R$1&amp;I126&amp;$Q$1&amp;$S$1&amp;$P$1&amp;$T$1&amp;$J$2&amp;$T$1&amp;$R$1&amp;J126&amp;$Q$1&amp;$O$1</f>
        <v>[{"2":268},{"4":148},{"5":148},{"12":3557},{"7":8},{"6":0},{"8":10},{"9":0}]</v>
      </c>
      <c r="AE125" t="str">
        <f>$N$1&amp;$P$1&amp;$T$1&amp;$C$2&amp;$T$1&amp;$R$1&amp;C126&amp;$Q$1&amp;$S$1&amp;$P$1&amp;$T$1&amp;$D$2&amp;$T$1&amp;$R$1&amp;D126&amp;$Q$1&amp;$S$1&amp;$P$1&amp;$T$1&amp;$E$2&amp;$T$1&amp;$R$1&amp;E126&amp;$Q$1&amp;$S$1&amp;$P$1&amp;$T$1&amp;$F$2&amp;$T$1&amp;$R$1&amp;L126&amp;$Q$1&amp;$S$1&amp;$P$1&amp;$T$1&amp;$G$2&amp;$T$1&amp;$R$1&amp;G126&amp;$Q$1&amp;$S$1&amp;$P$1&amp;$T$1&amp;$H$2&amp;$T$1&amp;$R$1&amp;H126&amp;$Q$1&amp;$S$1&amp;$P$1&amp;$T$1&amp;$I$2&amp;$T$1&amp;$R$1&amp;I126&amp;$Q$1&amp;$S$1&amp;$P$1&amp;$T$1&amp;$J$2&amp;$T$1&amp;$R$1&amp;J126&amp;$Q$1&amp;$O$1</f>
        <v>[{"2":268},{"4":148},{"5":148},{"12":5336},{"7":8},{"6":0},{"8":10},{"9":0}]</v>
      </c>
      <c r="AG125">
        <v>123</v>
      </c>
      <c r="AH125">
        <f t="shared" si="20"/>
        <v>82</v>
      </c>
      <c r="AI125">
        <f t="shared" si="21"/>
        <v>82</v>
      </c>
      <c r="AJ125">
        <v>975</v>
      </c>
      <c r="AK125">
        <v>4</v>
      </c>
      <c r="AL125">
        <v>8</v>
      </c>
      <c r="AM125">
        <v>0</v>
      </c>
      <c r="AN125">
        <v>10</v>
      </c>
    </row>
    <row r="126" customFormat="1" ht="16.5" spans="1:40">
      <c r="A126">
        <v>124</v>
      </c>
      <c r="B126">
        <f>$AP$2+AG126</f>
        <v>224</v>
      </c>
      <c r="C126">
        <f t="shared" si="17"/>
        <v>268</v>
      </c>
      <c r="D126">
        <f>AH126+$AQ$2</f>
        <v>148</v>
      </c>
      <c r="E126">
        <f t="shared" si="11"/>
        <v>148</v>
      </c>
      <c r="F126" s="4">
        <f>INT(主角属性配置!F126/3+$AS$2)</f>
        <v>10671</v>
      </c>
      <c r="G126">
        <v>8</v>
      </c>
      <c r="H126">
        <v>0</v>
      </c>
      <c r="I126">
        <v>10</v>
      </c>
      <c r="J126">
        <v>0</v>
      </c>
      <c r="K126" s="3">
        <f t="shared" si="18"/>
        <v>3557</v>
      </c>
      <c r="L126" s="3">
        <f t="shared" si="19"/>
        <v>5336</v>
      </c>
      <c r="N126" t="str">
        <f>$N$1&amp;$P$1&amp;$T$1&amp;$B$2&amp;$T$1&amp;$R$1&amp;B127&amp;$Q$1&amp;$S$1&amp;$P$1&amp;$T$1&amp;$D$2&amp;$T$1&amp;$R$1&amp;D127&amp;$Q$1&amp;$S$1&amp;$P$1&amp;$T$1&amp;$E$2&amp;$T$1&amp;$R$1&amp;E127&amp;$Q$1&amp;$S$1&amp;$P$1&amp;$T$1&amp;$F$2&amp;$T$1&amp;$R$1&amp;F127&amp;$Q$1&amp;$S$1&amp;$P$1&amp;$T$1&amp;$G$2&amp;$T$1&amp;$R$1&amp;G127&amp;$Q$1&amp;$S$1&amp;$P$1&amp;$T$1&amp;$H$2&amp;$T$1&amp;$R$1&amp;H127&amp;$Q$1&amp;$S$1&amp;$P$1&amp;$T$1&amp;$I$2&amp;$T$1&amp;$R$1&amp;I127&amp;$Q$1&amp;$S$1&amp;$P$1&amp;$T$1&amp;$J$2&amp;$T$1&amp;$R$1&amp;J127&amp;$Q$1&amp;$O$1</f>
        <v>[{"1":225},{"4":149},{"5":149},{"12":10752},{"7":8},{"6":0},{"8":10},{"9":0}]</v>
      </c>
      <c r="W126" t="str">
        <f>$N$1&amp;$P$1&amp;$T$1&amp;$C$2&amp;$T$1&amp;$R$1&amp;C127&amp;$Q$1&amp;$S$1&amp;$P$1&amp;$T$1&amp;$D$2&amp;$T$1&amp;$R$1&amp;D127&amp;$Q$1&amp;$S$1&amp;$P$1&amp;$T$1&amp;$E$2&amp;$T$1&amp;$R$1&amp;E127&amp;$Q$1&amp;$S$1&amp;$P$1&amp;$T$1&amp;$F$2&amp;$T$1&amp;$R$1&amp;K127&amp;$Q$1&amp;$S$1&amp;$P$1&amp;$T$1&amp;$G$2&amp;$T$1&amp;$R$1&amp;G127&amp;$Q$1&amp;$S$1&amp;$P$1&amp;$T$1&amp;$H$2&amp;$T$1&amp;$R$1&amp;H127&amp;$Q$1&amp;$S$1&amp;$P$1&amp;$T$1&amp;$I$2&amp;$T$1&amp;$R$1&amp;I127&amp;$Q$1&amp;$S$1&amp;$P$1&amp;$T$1&amp;$J$2&amp;$T$1&amp;$R$1&amp;J127&amp;$Q$1&amp;$O$1</f>
        <v>[{"2":270},{"4":149},{"5":149},{"12":3584},{"7":8},{"6":0},{"8":10},{"9":0}]</v>
      </c>
      <c r="AE126" t="str">
        <f>$N$1&amp;$P$1&amp;$T$1&amp;$C$2&amp;$T$1&amp;$R$1&amp;C127&amp;$Q$1&amp;$S$1&amp;$P$1&amp;$T$1&amp;$D$2&amp;$T$1&amp;$R$1&amp;D127&amp;$Q$1&amp;$S$1&amp;$P$1&amp;$T$1&amp;$E$2&amp;$T$1&amp;$R$1&amp;E127&amp;$Q$1&amp;$S$1&amp;$P$1&amp;$T$1&amp;$F$2&amp;$T$1&amp;$R$1&amp;L127&amp;$Q$1&amp;$S$1&amp;$P$1&amp;$T$1&amp;$G$2&amp;$T$1&amp;$R$1&amp;G127&amp;$Q$1&amp;$S$1&amp;$P$1&amp;$T$1&amp;$H$2&amp;$T$1&amp;$R$1&amp;H127&amp;$Q$1&amp;$S$1&amp;$P$1&amp;$T$1&amp;$I$2&amp;$T$1&amp;$R$1&amp;I127&amp;$Q$1&amp;$S$1&amp;$P$1&amp;$T$1&amp;$J$2&amp;$T$1&amp;$R$1&amp;J127&amp;$Q$1&amp;$O$1</f>
        <v>[{"2":270},{"4":149},{"5":149},{"12":5376},{"7":8},{"6":0},{"8":10},{"9":0}]</v>
      </c>
      <c r="AG126">
        <v>124</v>
      </c>
      <c r="AH126">
        <f t="shared" si="20"/>
        <v>82</v>
      </c>
      <c r="AI126">
        <f t="shared" si="21"/>
        <v>82</v>
      </c>
      <c r="AJ126">
        <v>983</v>
      </c>
      <c r="AK126">
        <v>4</v>
      </c>
      <c r="AL126">
        <v>8</v>
      </c>
      <c r="AM126">
        <v>0</v>
      </c>
      <c r="AN126">
        <v>10</v>
      </c>
    </row>
    <row r="127" customFormat="1" ht="16.5" spans="1:40">
      <c r="A127">
        <v>125</v>
      </c>
      <c r="B127">
        <f>$AP$2+AG127</f>
        <v>225</v>
      </c>
      <c r="C127">
        <f t="shared" si="17"/>
        <v>270</v>
      </c>
      <c r="D127">
        <f>AH127+$AQ$2</f>
        <v>149</v>
      </c>
      <c r="E127">
        <f t="shared" si="11"/>
        <v>149</v>
      </c>
      <c r="F127" s="4">
        <f>INT(主角属性配置!F127/3+$AS$2)</f>
        <v>10752</v>
      </c>
      <c r="G127">
        <v>8</v>
      </c>
      <c r="H127">
        <v>0</v>
      </c>
      <c r="I127">
        <v>10</v>
      </c>
      <c r="J127">
        <v>0</v>
      </c>
      <c r="K127" s="3">
        <f t="shared" si="18"/>
        <v>3584</v>
      </c>
      <c r="L127" s="3">
        <f t="shared" si="19"/>
        <v>5376</v>
      </c>
      <c r="N127" t="str">
        <f>$N$1&amp;$P$1&amp;$T$1&amp;$B$2&amp;$T$1&amp;$R$1&amp;B128&amp;$Q$1&amp;$S$1&amp;$P$1&amp;$T$1&amp;$D$2&amp;$T$1&amp;$R$1&amp;D128&amp;$Q$1&amp;$S$1&amp;$P$1&amp;$T$1&amp;$E$2&amp;$T$1&amp;$R$1&amp;E128&amp;$Q$1&amp;$S$1&amp;$P$1&amp;$T$1&amp;$F$2&amp;$T$1&amp;$R$1&amp;F128&amp;$Q$1&amp;$S$1&amp;$P$1&amp;$T$1&amp;$G$2&amp;$T$1&amp;$R$1&amp;G128&amp;$Q$1&amp;$S$1&amp;$P$1&amp;$T$1&amp;$H$2&amp;$T$1&amp;$R$1&amp;H128&amp;$Q$1&amp;$S$1&amp;$P$1&amp;$T$1&amp;$I$2&amp;$T$1&amp;$R$1&amp;I128&amp;$Q$1&amp;$S$1&amp;$P$1&amp;$T$1&amp;$J$2&amp;$T$1&amp;$R$1&amp;J128&amp;$Q$1&amp;$O$1</f>
        <v>[{"1":226},{"4":150},{"5":150},{"12":10833},{"7":8},{"6":0},{"8":10},{"9":0}]</v>
      </c>
      <c r="W127" t="str">
        <f>$N$1&amp;$P$1&amp;$T$1&amp;$C$2&amp;$T$1&amp;$R$1&amp;C128&amp;$Q$1&amp;$S$1&amp;$P$1&amp;$T$1&amp;$D$2&amp;$T$1&amp;$R$1&amp;D128&amp;$Q$1&amp;$S$1&amp;$P$1&amp;$T$1&amp;$E$2&amp;$T$1&amp;$R$1&amp;E128&amp;$Q$1&amp;$S$1&amp;$P$1&amp;$T$1&amp;$F$2&amp;$T$1&amp;$R$1&amp;K128&amp;$Q$1&amp;$S$1&amp;$P$1&amp;$T$1&amp;$G$2&amp;$T$1&amp;$R$1&amp;G128&amp;$Q$1&amp;$S$1&amp;$P$1&amp;$T$1&amp;$H$2&amp;$T$1&amp;$R$1&amp;H128&amp;$Q$1&amp;$S$1&amp;$P$1&amp;$T$1&amp;$I$2&amp;$T$1&amp;$R$1&amp;I128&amp;$Q$1&amp;$S$1&amp;$P$1&amp;$T$1&amp;$J$2&amp;$T$1&amp;$R$1&amp;J128&amp;$Q$1&amp;$O$1</f>
        <v>[{"2":271},{"4":150},{"5":150},{"12":3611},{"7":8},{"6":0},{"8":10},{"9":0}]</v>
      </c>
      <c r="AE127" t="str">
        <f>$N$1&amp;$P$1&amp;$T$1&amp;$C$2&amp;$T$1&amp;$R$1&amp;C128&amp;$Q$1&amp;$S$1&amp;$P$1&amp;$T$1&amp;$D$2&amp;$T$1&amp;$R$1&amp;D128&amp;$Q$1&amp;$S$1&amp;$P$1&amp;$T$1&amp;$E$2&amp;$T$1&amp;$R$1&amp;E128&amp;$Q$1&amp;$S$1&amp;$P$1&amp;$T$1&amp;$F$2&amp;$T$1&amp;$R$1&amp;L128&amp;$Q$1&amp;$S$1&amp;$P$1&amp;$T$1&amp;$G$2&amp;$T$1&amp;$R$1&amp;G128&amp;$Q$1&amp;$S$1&amp;$P$1&amp;$T$1&amp;$H$2&amp;$T$1&amp;$R$1&amp;H128&amp;$Q$1&amp;$S$1&amp;$P$1&amp;$T$1&amp;$I$2&amp;$T$1&amp;$R$1&amp;I128&amp;$Q$1&amp;$S$1&amp;$P$1&amp;$T$1&amp;$J$2&amp;$T$1&amp;$R$1&amp;J128&amp;$Q$1&amp;$O$1</f>
        <v>[{"2":271},{"4":150},{"5":150},{"12":5417},{"7":8},{"6":0},{"8":10},{"9":0}]</v>
      </c>
      <c r="AG127">
        <v>125</v>
      </c>
      <c r="AH127">
        <f t="shared" si="20"/>
        <v>83</v>
      </c>
      <c r="AI127">
        <f t="shared" si="21"/>
        <v>83</v>
      </c>
      <c r="AJ127">
        <v>991</v>
      </c>
      <c r="AK127">
        <v>4</v>
      </c>
      <c r="AL127">
        <v>8</v>
      </c>
      <c r="AM127">
        <v>0</v>
      </c>
      <c r="AN127">
        <v>10</v>
      </c>
    </row>
    <row r="128" customFormat="1" ht="16.5" spans="1:40">
      <c r="A128">
        <v>126</v>
      </c>
      <c r="B128">
        <f>$AP$2+AG128</f>
        <v>226</v>
      </c>
      <c r="C128">
        <f t="shared" si="17"/>
        <v>271</v>
      </c>
      <c r="D128">
        <f>AH128+$AQ$2</f>
        <v>150</v>
      </c>
      <c r="E128">
        <f t="shared" si="11"/>
        <v>150</v>
      </c>
      <c r="F128" s="4">
        <f>INT(主角属性配置!F128/3+$AS$2)</f>
        <v>10833</v>
      </c>
      <c r="G128">
        <v>8</v>
      </c>
      <c r="H128">
        <v>0</v>
      </c>
      <c r="I128">
        <v>10</v>
      </c>
      <c r="J128">
        <v>0</v>
      </c>
      <c r="K128" s="3">
        <f t="shared" si="18"/>
        <v>3611</v>
      </c>
      <c r="L128" s="3">
        <f t="shared" si="19"/>
        <v>5417</v>
      </c>
      <c r="N128" t="str">
        <f>$N$1&amp;$P$1&amp;$T$1&amp;$B$2&amp;$T$1&amp;$R$1&amp;B129&amp;$Q$1&amp;$S$1&amp;$P$1&amp;$T$1&amp;$D$2&amp;$T$1&amp;$R$1&amp;D129&amp;$Q$1&amp;$S$1&amp;$P$1&amp;$T$1&amp;$E$2&amp;$T$1&amp;$R$1&amp;E129&amp;$Q$1&amp;$S$1&amp;$P$1&amp;$T$1&amp;$F$2&amp;$T$1&amp;$R$1&amp;F129&amp;$Q$1&amp;$S$1&amp;$P$1&amp;$T$1&amp;$G$2&amp;$T$1&amp;$R$1&amp;G129&amp;$Q$1&amp;$S$1&amp;$P$1&amp;$T$1&amp;$H$2&amp;$T$1&amp;$R$1&amp;H129&amp;$Q$1&amp;$S$1&amp;$P$1&amp;$T$1&amp;$I$2&amp;$T$1&amp;$R$1&amp;I129&amp;$Q$1&amp;$S$1&amp;$P$1&amp;$T$1&amp;$J$2&amp;$T$1&amp;$R$1&amp;J129&amp;$Q$1&amp;$O$1</f>
        <v>[{"1":227},{"4":150},{"5":150},{"12":10914},{"7":8},{"6":0},{"8":10},{"9":0}]</v>
      </c>
      <c r="W128" t="str">
        <f>$N$1&amp;$P$1&amp;$T$1&amp;$C$2&amp;$T$1&amp;$R$1&amp;C129&amp;$Q$1&amp;$S$1&amp;$P$1&amp;$T$1&amp;$D$2&amp;$T$1&amp;$R$1&amp;D129&amp;$Q$1&amp;$S$1&amp;$P$1&amp;$T$1&amp;$E$2&amp;$T$1&amp;$R$1&amp;E129&amp;$Q$1&amp;$S$1&amp;$P$1&amp;$T$1&amp;$F$2&amp;$T$1&amp;$R$1&amp;K129&amp;$Q$1&amp;$S$1&amp;$P$1&amp;$T$1&amp;$G$2&amp;$T$1&amp;$R$1&amp;G129&amp;$Q$1&amp;$S$1&amp;$P$1&amp;$T$1&amp;$H$2&amp;$T$1&amp;$R$1&amp;H129&amp;$Q$1&amp;$S$1&amp;$P$1&amp;$T$1&amp;$I$2&amp;$T$1&amp;$R$1&amp;I129&amp;$Q$1&amp;$S$1&amp;$P$1&amp;$T$1&amp;$J$2&amp;$T$1&amp;$R$1&amp;J129&amp;$Q$1&amp;$O$1</f>
        <v>[{"2":272},{"4":150},{"5":150},{"12":3638},{"7":8},{"6":0},{"8":10},{"9":0}]</v>
      </c>
      <c r="AE128" t="str">
        <f>$N$1&amp;$P$1&amp;$T$1&amp;$C$2&amp;$T$1&amp;$R$1&amp;C129&amp;$Q$1&amp;$S$1&amp;$P$1&amp;$T$1&amp;$D$2&amp;$T$1&amp;$R$1&amp;D129&amp;$Q$1&amp;$S$1&amp;$P$1&amp;$T$1&amp;$E$2&amp;$T$1&amp;$R$1&amp;E129&amp;$Q$1&amp;$S$1&amp;$P$1&amp;$T$1&amp;$F$2&amp;$T$1&amp;$R$1&amp;L129&amp;$Q$1&amp;$S$1&amp;$P$1&amp;$T$1&amp;$G$2&amp;$T$1&amp;$R$1&amp;G129&amp;$Q$1&amp;$S$1&amp;$P$1&amp;$T$1&amp;$H$2&amp;$T$1&amp;$R$1&amp;H129&amp;$Q$1&amp;$S$1&amp;$P$1&amp;$T$1&amp;$I$2&amp;$T$1&amp;$R$1&amp;I129&amp;$Q$1&amp;$S$1&amp;$P$1&amp;$T$1&amp;$J$2&amp;$T$1&amp;$R$1&amp;J129&amp;$Q$1&amp;$O$1</f>
        <v>[{"2":272},{"4":150},{"5":150},{"12":5457},{"7":8},{"6":0},{"8":10},{"9":0}]</v>
      </c>
      <c r="AG128">
        <v>126</v>
      </c>
      <c r="AH128">
        <f t="shared" si="20"/>
        <v>84</v>
      </c>
      <c r="AI128">
        <f t="shared" si="21"/>
        <v>84</v>
      </c>
      <c r="AJ128">
        <v>1000</v>
      </c>
      <c r="AK128">
        <v>4</v>
      </c>
      <c r="AL128">
        <v>8</v>
      </c>
      <c r="AM128">
        <v>0</v>
      </c>
      <c r="AN128">
        <v>10</v>
      </c>
    </row>
    <row r="129" customFormat="1" ht="16.5" spans="1:40">
      <c r="A129">
        <v>127</v>
      </c>
      <c r="B129">
        <f>$AP$2+AG129</f>
        <v>227</v>
      </c>
      <c r="C129">
        <f t="shared" si="17"/>
        <v>272</v>
      </c>
      <c r="D129">
        <f>AH129+$AQ$2</f>
        <v>150</v>
      </c>
      <c r="E129">
        <f t="shared" si="11"/>
        <v>150</v>
      </c>
      <c r="F129" s="4">
        <f>INT(主角属性配置!F129/3+$AS$2)</f>
        <v>10914</v>
      </c>
      <c r="G129">
        <v>8</v>
      </c>
      <c r="H129">
        <v>0</v>
      </c>
      <c r="I129">
        <v>10</v>
      </c>
      <c r="J129">
        <v>0</v>
      </c>
      <c r="K129" s="3">
        <f t="shared" si="18"/>
        <v>3638</v>
      </c>
      <c r="L129" s="3">
        <f t="shared" si="19"/>
        <v>5457</v>
      </c>
      <c r="N129" t="str">
        <f>$N$1&amp;$P$1&amp;$T$1&amp;$B$2&amp;$T$1&amp;$R$1&amp;B130&amp;$Q$1&amp;$S$1&amp;$P$1&amp;$T$1&amp;$D$2&amp;$T$1&amp;$R$1&amp;D130&amp;$Q$1&amp;$S$1&amp;$P$1&amp;$T$1&amp;$E$2&amp;$T$1&amp;$R$1&amp;E130&amp;$Q$1&amp;$S$1&amp;$P$1&amp;$T$1&amp;$F$2&amp;$T$1&amp;$R$1&amp;F130&amp;$Q$1&amp;$S$1&amp;$P$1&amp;$T$1&amp;$G$2&amp;$T$1&amp;$R$1&amp;G130&amp;$Q$1&amp;$S$1&amp;$P$1&amp;$T$1&amp;$H$2&amp;$T$1&amp;$R$1&amp;H130&amp;$Q$1&amp;$S$1&amp;$P$1&amp;$T$1&amp;$I$2&amp;$T$1&amp;$R$1&amp;I130&amp;$Q$1&amp;$S$1&amp;$P$1&amp;$T$1&amp;$J$2&amp;$T$1&amp;$R$1&amp;J130&amp;$Q$1&amp;$O$1</f>
        <v>[{"1":228},{"4":151},{"5":151},{"12":10996},{"7":8},{"6":0},{"8":10},{"9":0}]</v>
      </c>
      <c r="W129" t="str">
        <f>$N$1&amp;$P$1&amp;$T$1&amp;$C$2&amp;$T$1&amp;$R$1&amp;C130&amp;$Q$1&amp;$S$1&amp;$P$1&amp;$T$1&amp;$D$2&amp;$T$1&amp;$R$1&amp;D130&amp;$Q$1&amp;$S$1&amp;$P$1&amp;$T$1&amp;$E$2&amp;$T$1&amp;$R$1&amp;E130&amp;$Q$1&amp;$S$1&amp;$P$1&amp;$T$1&amp;$F$2&amp;$T$1&amp;$R$1&amp;K130&amp;$Q$1&amp;$S$1&amp;$P$1&amp;$T$1&amp;$G$2&amp;$T$1&amp;$R$1&amp;G130&amp;$Q$1&amp;$S$1&amp;$P$1&amp;$T$1&amp;$H$2&amp;$T$1&amp;$R$1&amp;H130&amp;$Q$1&amp;$S$1&amp;$P$1&amp;$T$1&amp;$I$2&amp;$T$1&amp;$R$1&amp;I130&amp;$Q$1&amp;$S$1&amp;$P$1&amp;$T$1&amp;$J$2&amp;$T$1&amp;$R$1&amp;J130&amp;$Q$1&amp;$O$1</f>
        <v>[{"2":273},{"4":151},{"5":151},{"12":3665},{"7":8},{"6":0},{"8":10},{"9":0}]</v>
      </c>
      <c r="AE129" t="str">
        <f>$N$1&amp;$P$1&amp;$T$1&amp;$C$2&amp;$T$1&amp;$R$1&amp;C130&amp;$Q$1&amp;$S$1&amp;$P$1&amp;$T$1&amp;$D$2&amp;$T$1&amp;$R$1&amp;D130&amp;$Q$1&amp;$S$1&amp;$P$1&amp;$T$1&amp;$E$2&amp;$T$1&amp;$R$1&amp;E130&amp;$Q$1&amp;$S$1&amp;$P$1&amp;$T$1&amp;$F$2&amp;$T$1&amp;$R$1&amp;L130&amp;$Q$1&amp;$S$1&amp;$P$1&amp;$T$1&amp;$G$2&amp;$T$1&amp;$R$1&amp;G130&amp;$Q$1&amp;$S$1&amp;$P$1&amp;$T$1&amp;$H$2&amp;$T$1&amp;$R$1&amp;H130&amp;$Q$1&amp;$S$1&amp;$P$1&amp;$T$1&amp;$I$2&amp;$T$1&amp;$R$1&amp;I130&amp;$Q$1&amp;$S$1&amp;$P$1&amp;$T$1&amp;$J$2&amp;$T$1&amp;$R$1&amp;J130&amp;$Q$1&amp;$O$1</f>
        <v>[{"2":273},{"4":151},{"5":151},{"12":5498},{"7":8},{"6":0},{"8":10},{"9":0}]</v>
      </c>
      <c r="AG129">
        <v>127</v>
      </c>
      <c r="AH129">
        <f t="shared" si="20"/>
        <v>84</v>
      </c>
      <c r="AI129">
        <f t="shared" si="21"/>
        <v>84</v>
      </c>
      <c r="AJ129">
        <v>1008</v>
      </c>
      <c r="AK129">
        <v>4</v>
      </c>
      <c r="AL129">
        <v>8</v>
      </c>
      <c r="AM129">
        <v>0</v>
      </c>
      <c r="AN129">
        <v>10</v>
      </c>
    </row>
    <row r="130" customFormat="1" ht="16.5" spans="1:40">
      <c r="A130">
        <v>128</v>
      </c>
      <c r="B130">
        <f>$AP$2+AG130</f>
        <v>228</v>
      </c>
      <c r="C130">
        <f t="shared" si="17"/>
        <v>273</v>
      </c>
      <c r="D130">
        <f>AH130+$AQ$2</f>
        <v>151</v>
      </c>
      <c r="E130">
        <f t="shared" si="11"/>
        <v>151</v>
      </c>
      <c r="F130" s="4">
        <f>INT(主角属性配置!F130/3+$AS$2)</f>
        <v>10996</v>
      </c>
      <c r="G130">
        <v>8</v>
      </c>
      <c r="H130">
        <v>0</v>
      </c>
      <c r="I130">
        <v>10</v>
      </c>
      <c r="J130">
        <v>0</v>
      </c>
      <c r="K130" s="3">
        <f t="shared" si="18"/>
        <v>3665</v>
      </c>
      <c r="L130" s="3">
        <f t="shared" si="19"/>
        <v>5498</v>
      </c>
      <c r="N130" t="str">
        <f>$N$1&amp;$P$1&amp;$T$1&amp;$B$2&amp;$T$1&amp;$R$1&amp;B131&amp;$Q$1&amp;$S$1&amp;$P$1&amp;$T$1&amp;$D$2&amp;$T$1&amp;$R$1&amp;D131&amp;$Q$1&amp;$S$1&amp;$P$1&amp;$T$1&amp;$E$2&amp;$T$1&amp;$R$1&amp;E131&amp;$Q$1&amp;$S$1&amp;$P$1&amp;$T$1&amp;$F$2&amp;$T$1&amp;$R$1&amp;F131&amp;$Q$1&amp;$S$1&amp;$P$1&amp;$T$1&amp;$G$2&amp;$T$1&amp;$R$1&amp;G131&amp;$Q$1&amp;$S$1&amp;$P$1&amp;$T$1&amp;$H$2&amp;$T$1&amp;$R$1&amp;H131&amp;$Q$1&amp;$S$1&amp;$P$1&amp;$T$1&amp;$I$2&amp;$T$1&amp;$R$1&amp;I131&amp;$Q$1&amp;$S$1&amp;$P$1&amp;$T$1&amp;$J$2&amp;$T$1&amp;$R$1&amp;J131&amp;$Q$1&amp;$O$1</f>
        <v>[{"1":229},{"4":152},{"5":152},{"12":11077},{"7":8},{"6":0},{"8":10},{"9":0}]</v>
      </c>
      <c r="W130" t="str">
        <f>$N$1&amp;$P$1&amp;$T$1&amp;$C$2&amp;$T$1&amp;$R$1&amp;C131&amp;$Q$1&amp;$S$1&amp;$P$1&amp;$T$1&amp;$D$2&amp;$T$1&amp;$R$1&amp;D131&amp;$Q$1&amp;$S$1&amp;$P$1&amp;$T$1&amp;$E$2&amp;$T$1&amp;$R$1&amp;E131&amp;$Q$1&amp;$S$1&amp;$P$1&amp;$T$1&amp;$F$2&amp;$T$1&amp;$R$1&amp;K131&amp;$Q$1&amp;$S$1&amp;$P$1&amp;$T$1&amp;$G$2&amp;$T$1&amp;$R$1&amp;G131&amp;$Q$1&amp;$S$1&amp;$P$1&amp;$T$1&amp;$H$2&amp;$T$1&amp;$R$1&amp;H131&amp;$Q$1&amp;$S$1&amp;$P$1&amp;$T$1&amp;$I$2&amp;$T$1&amp;$R$1&amp;I131&amp;$Q$1&amp;$S$1&amp;$P$1&amp;$T$1&amp;$J$2&amp;$T$1&amp;$R$1&amp;J131&amp;$Q$1&amp;$O$1</f>
        <v>[{"2":274},{"4":152},{"5":152},{"12":3692},{"7":8},{"6":0},{"8":10},{"9":0}]</v>
      </c>
      <c r="AE130" t="str">
        <f>$N$1&amp;$P$1&amp;$T$1&amp;$C$2&amp;$T$1&amp;$R$1&amp;C131&amp;$Q$1&amp;$S$1&amp;$P$1&amp;$T$1&amp;$D$2&amp;$T$1&amp;$R$1&amp;D131&amp;$Q$1&amp;$S$1&amp;$P$1&amp;$T$1&amp;$E$2&amp;$T$1&amp;$R$1&amp;E131&amp;$Q$1&amp;$S$1&amp;$P$1&amp;$T$1&amp;$F$2&amp;$T$1&amp;$R$1&amp;L131&amp;$Q$1&amp;$S$1&amp;$P$1&amp;$T$1&amp;$G$2&amp;$T$1&amp;$R$1&amp;G131&amp;$Q$1&amp;$S$1&amp;$P$1&amp;$T$1&amp;$H$2&amp;$T$1&amp;$R$1&amp;H131&amp;$Q$1&amp;$S$1&amp;$P$1&amp;$T$1&amp;$I$2&amp;$T$1&amp;$R$1&amp;I131&amp;$Q$1&amp;$S$1&amp;$P$1&amp;$T$1&amp;$J$2&amp;$T$1&amp;$R$1&amp;J131&amp;$Q$1&amp;$O$1</f>
        <v>[{"2":274},{"4":152},{"5":152},{"12":5539},{"7":8},{"6":0},{"8":10},{"9":0}]</v>
      </c>
      <c r="AG130">
        <v>128</v>
      </c>
      <c r="AH130">
        <f t="shared" si="20"/>
        <v>85</v>
      </c>
      <c r="AI130">
        <f t="shared" si="21"/>
        <v>85</v>
      </c>
      <c r="AJ130">
        <v>1016</v>
      </c>
      <c r="AK130">
        <v>4</v>
      </c>
      <c r="AL130">
        <v>8</v>
      </c>
      <c r="AM130">
        <v>0</v>
      </c>
      <c r="AN130">
        <v>10</v>
      </c>
    </row>
    <row r="131" customFormat="1" ht="16.5" spans="1:40">
      <c r="A131">
        <v>129</v>
      </c>
      <c r="B131">
        <f>$AP$2+AG131</f>
        <v>229</v>
      </c>
      <c r="C131">
        <f t="shared" si="17"/>
        <v>274</v>
      </c>
      <c r="D131">
        <f>AH131+$AQ$2</f>
        <v>152</v>
      </c>
      <c r="E131">
        <f t="shared" ref="E131:E152" si="22">D131</f>
        <v>152</v>
      </c>
      <c r="F131" s="4">
        <f>INT(主角属性配置!F131/3+$AS$2)</f>
        <v>11077</v>
      </c>
      <c r="G131">
        <v>8</v>
      </c>
      <c r="H131">
        <v>0</v>
      </c>
      <c r="I131">
        <v>10</v>
      </c>
      <c r="J131">
        <v>0</v>
      </c>
      <c r="K131" s="3">
        <f t="shared" si="18"/>
        <v>3692</v>
      </c>
      <c r="L131" s="3">
        <f t="shared" si="19"/>
        <v>5539</v>
      </c>
      <c r="N131" t="str">
        <f>$N$1&amp;$P$1&amp;$T$1&amp;$B$2&amp;$T$1&amp;$R$1&amp;B132&amp;$Q$1&amp;$S$1&amp;$P$1&amp;$T$1&amp;$D$2&amp;$T$1&amp;$R$1&amp;D132&amp;$Q$1&amp;$S$1&amp;$P$1&amp;$T$1&amp;$E$2&amp;$T$1&amp;$R$1&amp;E132&amp;$Q$1&amp;$S$1&amp;$P$1&amp;$T$1&amp;$F$2&amp;$T$1&amp;$R$1&amp;F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[{"1":230},{"4":152},{"5":152},{"12":14447},{"7":8},{"6":0},{"8":10},{"9":0}]</v>
      </c>
      <c r="W131" t="str">
        <f>$N$1&amp;$P$1&amp;$T$1&amp;$C$2&amp;$T$1&amp;$R$1&amp;C132&amp;$Q$1&amp;$S$1&amp;$P$1&amp;$T$1&amp;$D$2&amp;$T$1&amp;$R$1&amp;D132&amp;$Q$1&amp;$S$1&amp;$P$1&amp;$T$1&amp;$E$2&amp;$T$1&amp;$R$1&amp;E132&amp;$Q$1&amp;$S$1&amp;$P$1&amp;$T$1&amp;$F$2&amp;$T$1&amp;$R$1&amp;K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[{"2":276},{"4":152},{"5":152},{"12":4816},{"7":8},{"6":0},{"8":10},{"9":0}]</v>
      </c>
      <c r="AE131" t="str">
        <f>$N$1&amp;$P$1&amp;$T$1&amp;$C$2&amp;$T$1&amp;$R$1&amp;C132&amp;$Q$1&amp;$S$1&amp;$P$1&amp;$T$1&amp;$D$2&amp;$T$1&amp;$R$1&amp;D132&amp;$Q$1&amp;$S$1&amp;$P$1&amp;$T$1&amp;$E$2&amp;$T$1&amp;$R$1&amp;E132&amp;$Q$1&amp;$S$1&amp;$P$1&amp;$T$1&amp;$F$2&amp;$T$1&amp;$R$1&amp;L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[{"2":276},{"4":152},{"5":152},{"12":7224},{"7":8},{"6":0},{"8":10},{"9":0}]</v>
      </c>
      <c r="AG131">
        <v>129</v>
      </c>
      <c r="AH131">
        <f t="shared" si="20"/>
        <v>86</v>
      </c>
      <c r="AI131">
        <f t="shared" si="21"/>
        <v>86</v>
      </c>
      <c r="AJ131">
        <v>1025</v>
      </c>
      <c r="AK131">
        <v>4</v>
      </c>
      <c r="AL131">
        <v>8</v>
      </c>
      <c r="AM131">
        <v>0</v>
      </c>
      <c r="AN131">
        <v>10</v>
      </c>
    </row>
    <row r="132" customFormat="1" ht="16.5" spans="1:40">
      <c r="A132">
        <v>130</v>
      </c>
      <c r="B132">
        <f>$AP$2+AG132</f>
        <v>230</v>
      </c>
      <c r="C132">
        <f t="shared" ref="C132:C152" si="23">INT(B132*1.2)</f>
        <v>276</v>
      </c>
      <c r="D132">
        <f>AH132+$AQ$2</f>
        <v>152</v>
      </c>
      <c r="E132">
        <f t="shared" si="22"/>
        <v>152</v>
      </c>
      <c r="F132" s="4">
        <f>INT(主角属性配置!F132/3+$AS$2)</f>
        <v>14447</v>
      </c>
      <c r="G132">
        <v>8</v>
      </c>
      <c r="H132">
        <v>0</v>
      </c>
      <c r="I132">
        <v>10</v>
      </c>
      <c r="J132">
        <v>0</v>
      </c>
      <c r="K132" s="3">
        <f t="shared" ref="K132:K152" si="24">ROUND(F132/3,0)</f>
        <v>4816</v>
      </c>
      <c r="L132" s="3">
        <f t="shared" ref="L132:L152" si="25">ROUND(F132/2,0)</f>
        <v>7224</v>
      </c>
      <c r="N132" t="str">
        <f>$N$1&amp;$P$1&amp;$T$1&amp;$B$2&amp;$T$1&amp;$R$1&amp;B133&amp;$Q$1&amp;$S$1&amp;$P$1&amp;$T$1&amp;$D$2&amp;$T$1&amp;$R$1&amp;D133&amp;$Q$1&amp;$S$1&amp;$P$1&amp;$T$1&amp;$E$2&amp;$T$1&amp;$R$1&amp;E133&amp;$Q$1&amp;$S$1&amp;$P$1&amp;$T$1&amp;$F$2&amp;$T$1&amp;$R$1&amp;F133&amp;$Q$1&amp;$S$1&amp;$P$1&amp;$T$1&amp;$G$2&amp;$T$1&amp;$R$1&amp;G133&amp;$Q$1&amp;$S$1&amp;$P$1&amp;$T$1&amp;$H$2&amp;$T$1&amp;$R$1&amp;H133&amp;$Q$1&amp;$S$1&amp;$P$1&amp;$T$1&amp;$I$2&amp;$T$1&amp;$R$1&amp;I133&amp;$Q$1&amp;$S$1&amp;$P$1&amp;$T$1&amp;$J$2&amp;$T$1&amp;$R$1&amp;J133&amp;$Q$1&amp;$O$1</f>
        <v>[{"1":231},{"4":153},{"5":153},{"12":14553},{"7":8},{"6":0},{"8":10},{"9":0}]</v>
      </c>
      <c r="W132" t="str">
        <f>$N$1&amp;$P$1&amp;$T$1&amp;$C$2&amp;$T$1&amp;$R$1&amp;C133&amp;$Q$1&amp;$S$1&amp;$P$1&amp;$T$1&amp;$D$2&amp;$T$1&amp;$R$1&amp;D133&amp;$Q$1&amp;$S$1&amp;$P$1&amp;$T$1&amp;$E$2&amp;$T$1&amp;$R$1&amp;E133&amp;$Q$1&amp;$S$1&amp;$P$1&amp;$T$1&amp;$F$2&amp;$T$1&amp;$R$1&amp;K133&amp;$Q$1&amp;$S$1&amp;$P$1&amp;$T$1&amp;$G$2&amp;$T$1&amp;$R$1&amp;G133&amp;$Q$1&amp;$S$1&amp;$P$1&amp;$T$1&amp;$H$2&amp;$T$1&amp;$R$1&amp;H133&amp;$Q$1&amp;$S$1&amp;$P$1&amp;$T$1&amp;$I$2&amp;$T$1&amp;$R$1&amp;I133&amp;$Q$1&amp;$S$1&amp;$P$1&amp;$T$1&amp;$J$2&amp;$T$1&amp;$R$1&amp;J133&amp;$Q$1&amp;$O$1</f>
        <v>[{"2":277},{"4":153},{"5":153},{"12":4851},{"7":8},{"6":0},{"8":10},{"9":0}]</v>
      </c>
      <c r="AE132" t="str">
        <f>$N$1&amp;$P$1&amp;$T$1&amp;$C$2&amp;$T$1&amp;$R$1&amp;C133&amp;$Q$1&amp;$S$1&amp;$P$1&amp;$T$1&amp;$D$2&amp;$T$1&amp;$R$1&amp;D133&amp;$Q$1&amp;$S$1&amp;$P$1&amp;$T$1&amp;$E$2&amp;$T$1&amp;$R$1&amp;E133&amp;$Q$1&amp;$S$1&amp;$P$1&amp;$T$1&amp;$F$2&amp;$T$1&amp;$R$1&amp;L133&amp;$Q$1&amp;$S$1&amp;$P$1&amp;$T$1&amp;$G$2&amp;$T$1&amp;$R$1&amp;G133&amp;$Q$1&amp;$S$1&amp;$P$1&amp;$T$1&amp;$H$2&amp;$T$1&amp;$R$1&amp;H133&amp;$Q$1&amp;$S$1&amp;$P$1&amp;$T$1&amp;$I$2&amp;$T$1&amp;$R$1&amp;I133&amp;$Q$1&amp;$S$1&amp;$P$1&amp;$T$1&amp;$J$2&amp;$T$1&amp;$R$1&amp;J133&amp;$Q$1&amp;$O$1</f>
        <v>[{"2":277},{"4":153},{"5":153},{"12":7277},{"7":8},{"6":0},{"8":10},{"9":0}]</v>
      </c>
      <c r="AG132">
        <v>130</v>
      </c>
      <c r="AH132">
        <f t="shared" ref="AH132:AH152" si="26">INT(AG132/1.5)</f>
        <v>86</v>
      </c>
      <c r="AI132">
        <f t="shared" ref="AI132:AI152" si="27">AH132</f>
        <v>86</v>
      </c>
      <c r="AJ132">
        <v>1033</v>
      </c>
      <c r="AK132">
        <v>4</v>
      </c>
      <c r="AL132">
        <v>8</v>
      </c>
      <c r="AM132">
        <v>0</v>
      </c>
      <c r="AN132">
        <v>10</v>
      </c>
    </row>
    <row r="133" customFormat="1" ht="16.5" spans="1:40">
      <c r="A133">
        <v>131</v>
      </c>
      <c r="B133">
        <f>$AP$2+AG133</f>
        <v>231</v>
      </c>
      <c r="C133">
        <f t="shared" si="23"/>
        <v>277</v>
      </c>
      <c r="D133">
        <f>AH133+$AQ$2</f>
        <v>153</v>
      </c>
      <c r="E133">
        <f t="shared" si="22"/>
        <v>153</v>
      </c>
      <c r="F133" s="4">
        <f>INT(主角属性配置!F133/3+$AS$2)</f>
        <v>14553</v>
      </c>
      <c r="G133">
        <v>8</v>
      </c>
      <c r="H133">
        <v>0</v>
      </c>
      <c r="I133">
        <v>10</v>
      </c>
      <c r="J133">
        <v>0</v>
      </c>
      <c r="K133" s="3">
        <f t="shared" si="24"/>
        <v>4851</v>
      </c>
      <c r="L133" s="3">
        <f t="shared" si="25"/>
        <v>7277</v>
      </c>
      <c r="N133" t="str">
        <f>$N$1&amp;$P$1&amp;$T$1&amp;$B$2&amp;$T$1&amp;$R$1&amp;B134&amp;$Q$1&amp;$S$1&amp;$P$1&amp;$T$1&amp;$D$2&amp;$T$1&amp;$R$1&amp;D134&amp;$Q$1&amp;$S$1&amp;$P$1&amp;$T$1&amp;$E$2&amp;$T$1&amp;$R$1&amp;E134&amp;$Q$1&amp;$S$1&amp;$P$1&amp;$T$1&amp;$F$2&amp;$T$1&amp;$R$1&amp;F134&amp;$Q$1&amp;$S$1&amp;$P$1&amp;$T$1&amp;$G$2&amp;$T$1&amp;$R$1&amp;G134&amp;$Q$1&amp;$S$1&amp;$P$1&amp;$T$1&amp;$H$2&amp;$T$1&amp;$R$1&amp;H134&amp;$Q$1&amp;$S$1&amp;$P$1&amp;$T$1&amp;$I$2&amp;$T$1&amp;$R$1&amp;I134&amp;$Q$1&amp;$S$1&amp;$P$1&amp;$T$1&amp;$J$2&amp;$T$1&amp;$R$1&amp;J134&amp;$Q$1&amp;$O$1</f>
        <v>[{"1":232},{"4":154},{"5":154},{"12":14658},{"7":8},{"6":0},{"8":10},{"9":0}]</v>
      </c>
      <c r="W133" t="str">
        <f>$N$1&amp;$P$1&amp;$T$1&amp;$C$2&amp;$T$1&amp;$R$1&amp;C134&amp;$Q$1&amp;$S$1&amp;$P$1&amp;$T$1&amp;$D$2&amp;$T$1&amp;$R$1&amp;D134&amp;$Q$1&amp;$S$1&amp;$P$1&amp;$T$1&amp;$E$2&amp;$T$1&amp;$R$1&amp;E134&amp;$Q$1&amp;$S$1&amp;$P$1&amp;$T$1&amp;$F$2&amp;$T$1&amp;$R$1&amp;K134&amp;$Q$1&amp;$S$1&amp;$P$1&amp;$T$1&amp;$G$2&amp;$T$1&amp;$R$1&amp;G134&amp;$Q$1&amp;$S$1&amp;$P$1&amp;$T$1&amp;$H$2&amp;$T$1&amp;$R$1&amp;H134&amp;$Q$1&amp;$S$1&amp;$P$1&amp;$T$1&amp;$I$2&amp;$T$1&amp;$R$1&amp;I134&amp;$Q$1&amp;$S$1&amp;$P$1&amp;$T$1&amp;$J$2&amp;$T$1&amp;$R$1&amp;J134&amp;$Q$1&amp;$O$1</f>
        <v>[{"2":278},{"4":154},{"5":154},{"12":4886},{"7":8},{"6":0},{"8":10},{"9":0}]</v>
      </c>
      <c r="AE133" t="str">
        <f>$N$1&amp;$P$1&amp;$T$1&amp;$C$2&amp;$T$1&amp;$R$1&amp;C134&amp;$Q$1&amp;$S$1&amp;$P$1&amp;$T$1&amp;$D$2&amp;$T$1&amp;$R$1&amp;D134&amp;$Q$1&amp;$S$1&amp;$P$1&amp;$T$1&amp;$E$2&amp;$T$1&amp;$R$1&amp;E134&amp;$Q$1&amp;$S$1&amp;$P$1&amp;$T$1&amp;$F$2&amp;$T$1&amp;$R$1&amp;L134&amp;$Q$1&amp;$S$1&amp;$P$1&amp;$T$1&amp;$G$2&amp;$T$1&amp;$R$1&amp;G134&amp;$Q$1&amp;$S$1&amp;$P$1&amp;$T$1&amp;$H$2&amp;$T$1&amp;$R$1&amp;H134&amp;$Q$1&amp;$S$1&amp;$P$1&amp;$T$1&amp;$I$2&amp;$T$1&amp;$R$1&amp;I134&amp;$Q$1&amp;$S$1&amp;$P$1&amp;$T$1&amp;$J$2&amp;$T$1&amp;$R$1&amp;J134&amp;$Q$1&amp;$O$1</f>
        <v>[{"2":278},{"4":154},{"5":154},{"12":7329},{"7":8},{"6":0},{"8":10},{"9":0}]</v>
      </c>
      <c r="AG133">
        <v>131</v>
      </c>
      <c r="AH133">
        <f t="shared" si="26"/>
        <v>87</v>
      </c>
      <c r="AI133">
        <f t="shared" si="27"/>
        <v>87</v>
      </c>
      <c r="AJ133">
        <v>1042</v>
      </c>
      <c r="AK133">
        <v>4</v>
      </c>
      <c r="AL133">
        <v>8</v>
      </c>
      <c r="AM133">
        <v>0</v>
      </c>
      <c r="AN133">
        <v>10</v>
      </c>
    </row>
    <row r="134" customFormat="1" ht="16.5" spans="1:40">
      <c r="A134">
        <v>132</v>
      </c>
      <c r="B134">
        <f>$AP$2+AG134</f>
        <v>232</v>
      </c>
      <c r="C134">
        <f t="shared" si="23"/>
        <v>278</v>
      </c>
      <c r="D134">
        <f>AH134+$AQ$2</f>
        <v>154</v>
      </c>
      <c r="E134">
        <f t="shared" si="22"/>
        <v>154</v>
      </c>
      <c r="F134" s="4">
        <f>INT(主角属性配置!F134/3+$AS$2)</f>
        <v>14658</v>
      </c>
      <c r="G134">
        <v>8</v>
      </c>
      <c r="H134">
        <v>0</v>
      </c>
      <c r="I134">
        <v>10</v>
      </c>
      <c r="J134">
        <v>0</v>
      </c>
      <c r="K134" s="3">
        <f t="shared" si="24"/>
        <v>4886</v>
      </c>
      <c r="L134" s="3">
        <f t="shared" si="25"/>
        <v>7329</v>
      </c>
      <c r="N134" t="str">
        <f>$N$1&amp;$P$1&amp;$T$1&amp;$B$2&amp;$T$1&amp;$R$1&amp;B135&amp;$Q$1&amp;$S$1&amp;$P$1&amp;$T$1&amp;$D$2&amp;$T$1&amp;$R$1&amp;D135&amp;$Q$1&amp;$S$1&amp;$P$1&amp;$T$1&amp;$E$2&amp;$T$1&amp;$R$1&amp;E135&amp;$Q$1&amp;$S$1&amp;$P$1&amp;$T$1&amp;$F$2&amp;$T$1&amp;$R$1&amp;F135&amp;$Q$1&amp;$S$1&amp;$P$1&amp;$T$1&amp;$G$2&amp;$T$1&amp;$R$1&amp;G135&amp;$Q$1&amp;$S$1&amp;$P$1&amp;$T$1&amp;$H$2&amp;$T$1&amp;$R$1&amp;H135&amp;$Q$1&amp;$S$1&amp;$P$1&amp;$T$1&amp;$I$2&amp;$T$1&amp;$R$1&amp;I135&amp;$Q$1&amp;$S$1&amp;$P$1&amp;$T$1&amp;$J$2&amp;$T$1&amp;$R$1&amp;J135&amp;$Q$1&amp;$O$1</f>
        <v>[{"1":233},{"4":154},{"5":154},{"12":14764},{"7":8},{"6":0},{"8":10},{"9":0}]</v>
      </c>
      <c r="W134" t="str">
        <f>$N$1&amp;$P$1&amp;$T$1&amp;$C$2&amp;$T$1&amp;$R$1&amp;C135&amp;$Q$1&amp;$S$1&amp;$P$1&amp;$T$1&amp;$D$2&amp;$T$1&amp;$R$1&amp;D135&amp;$Q$1&amp;$S$1&amp;$P$1&amp;$T$1&amp;$E$2&amp;$T$1&amp;$R$1&amp;E135&amp;$Q$1&amp;$S$1&amp;$P$1&amp;$T$1&amp;$F$2&amp;$T$1&amp;$R$1&amp;K135&amp;$Q$1&amp;$S$1&amp;$P$1&amp;$T$1&amp;$G$2&amp;$T$1&amp;$R$1&amp;G135&amp;$Q$1&amp;$S$1&amp;$P$1&amp;$T$1&amp;$H$2&amp;$T$1&amp;$R$1&amp;H135&amp;$Q$1&amp;$S$1&amp;$P$1&amp;$T$1&amp;$I$2&amp;$T$1&amp;$R$1&amp;I135&amp;$Q$1&amp;$S$1&amp;$P$1&amp;$T$1&amp;$J$2&amp;$T$1&amp;$R$1&amp;J135&amp;$Q$1&amp;$O$1</f>
        <v>[{"2":279},{"4":154},{"5":154},{"12":4921},{"7":8},{"6":0},{"8":10},{"9":0}]</v>
      </c>
      <c r="AE134" t="str">
        <f>$N$1&amp;$P$1&amp;$T$1&amp;$C$2&amp;$T$1&amp;$R$1&amp;C135&amp;$Q$1&amp;$S$1&amp;$P$1&amp;$T$1&amp;$D$2&amp;$T$1&amp;$R$1&amp;D135&amp;$Q$1&amp;$S$1&amp;$P$1&amp;$T$1&amp;$E$2&amp;$T$1&amp;$R$1&amp;E135&amp;$Q$1&amp;$S$1&amp;$P$1&amp;$T$1&amp;$F$2&amp;$T$1&amp;$R$1&amp;L135&amp;$Q$1&amp;$S$1&amp;$P$1&amp;$T$1&amp;$G$2&amp;$T$1&amp;$R$1&amp;G135&amp;$Q$1&amp;$S$1&amp;$P$1&amp;$T$1&amp;$H$2&amp;$T$1&amp;$R$1&amp;H135&amp;$Q$1&amp;$S$1&amp;$P$1&amp;$T$1&amp;$I$2&amp;$T$1&amp;$R$1&amp;I135&amp;$Q$1&amp;$S$1&amp;$P$1&amp;$T$1&amp;$J$2&amp;$T$1&amp;$R$1&amp;J135&amp;$Q$1&amp;$O$1</f>
        <v>[{"2":279},{"4":154},{"5":154},{"12":7382},{"7":8},{"6":0},{"8":10},{"9":0}]</v>
      </c>
      <c r="AG134">
        <v>132</v>
      </c>
      <c r="AH134">
        <f t="shared" si="26"/>
        <v>88</v>
      </c>
      <c r="AI134">
        <f t="shared" si="27"/>
        <v>88</v>
      </c>
      <c r="AJ134">
        <v>1050</v>
      </c>
      <c r="AK134">
        <v>4</v>
      </c>
      <c r="AL134">
        <v>8</v>
      </c>
      <c r="AM134">
        <v>0</v>
      </c>
      <c r="AN134">
        <v>10</v>
      </c>
    </row>
    <row r="135" customFormat="1" ht="16.5" spans="1:40">
      <c r="A135">
        <v>133</v>
      </c>
      <c r="B135">
        <f>$AP$2+AG135</f>
        <v>233</v>
      </c>
      <c r="C135">
        <f t="shared" si="23"/>
        <v>279</v>
      </c>
      <c r="D135">
        <f>AH135+$AQ$2</f>
        <v>154</v>
      </c>
      <c r="E135">
        <f t="shared" si="22"/>
        <v>154</v>
      </c>
      <c r="F135" s="4">
        <f>INT(主角属性配置!F135/3+$AS$2)</f>
        <v>14764</v>
      </c>
      <c r="G135">
        <v>8</v>
      </c>
      <c r="H135">
        <v>0</v>
      </c>
      <c r="I135">
        <v>10</v>
      </c>
      <c r="J135">
        <v>0</v>
      </c>
      <c r="K135" s="3">
        <f t="shared" si="24"/>
        <v>4921</v>
      </c>
      <c r="L135" s="3">
        <f t="shared" si="25"/>
        <v>7382</v>
      </c>
      <c r="N135" t="str">
        <f>$N$1&amp;$P$1&amp;$T$1&amp;$B$2&amp;$T$1&amp;$R$1&amp;B136&amp;$Q$1&amp;$S$1&amp;$P$1&amp;$T$1&amp;$D$2&amp;$T$1&amp;$R$1&amp;D136&amp;$Q$1&amp;$S$1&amp;$P$1&amp;$T$1&amp;$E$2&amp;$T$1&amp;$R$1&amp;E136&amp;$Q$1&amp;$S$1&amp;$P$1&amp;$T$1&amp;$F$2&amp;$T$1&amp;$R$1&amp;F136&amp;$Q$1&amp;$S$1&amp;$P$1&amp;$T$1&amp;$G$2&amp;$T$1&amp;$R$1&amp;G136&amp;$Q$1&amp;$S$1&amp;$P$1&amp;$T$1&amp;$H$2&amp;$T$1&amp;$R$1&amp;H136&amp;$Q$1&amp;$S$1&amp;$P$1&amp;$T$1&amp;$I$2&amp;$T$1&amp;$R$1&amp;I136&amp;$Q$1&amp;$S$1&amp;$P$1&amp;$T$1&amp;$J$2&amp;$T$1&amp;$R$1&amp;J136&amp;$Q$1&amp;$O$1</f>
        <v>[{"1":234},{"4":155},{"5":155},{"12":14871},{"7":8},{"6":0},{"8":10},{"9":0}]</v>
      </c>
      <c r="W135" t="str">
        <f>$N$1&amp;$P$1&amp;$T$1&amp;$C$2&amp;$T$1&amp;$R$1&amp;C136&amp;$Q$1&amp;$S$1&amp;$P$1&amp;$T$1&amp;$D$2&amp;$T$1&amp;$R$1&amp;D136&amp;$Q$1&amp;$S$1&amp;$P$1&amp;$T$1&amp;$E$2&amp;$T$1&amp;$R$1&amp;E136&amp;$Q$1&amp;$S$1&amp;$P$1&amp;$T$1&amp;$F$2&amp;$T$1&amp;$R$1&amp;K136&amp;$Q$1&amp;$S$1&amp;$P$1&amp;$T$1&amp;$G$2&amp;$T$1&amp;$R$1&amp;G136&amp;$Q$1&amp;$S$1&amp;$P$1&amp;$T$1&amp;$H$2&amp;$T$1&amp;$R$1&amp;H136&amp;$Q$1&amp;$S$1&amp;$P$1&amp;$T$1&amp;$I$2&amp;$T$1&amp;$R$1&amp;I136&amp;$Q$1&amp;$S$1&amp;$P$1&amp;$T$1&amp;$J$2&amp;$T$1&amp;$R$1&amp;J136&amp;$Q$1&amp;$O$1</f>
        <v>[{"2":280},{"4":155},{"5":155},{"12":4957},{"7":8},{"6":0},{"8":10},{"9":0}]</v>
      </c>
      <c r="AE135" t="str">
        <f>$N$1&amp;$P$1&amp;$T$1&amp;$C$2&amp;$T$1&amp;$R$1&amp;C136&amp;$Q$1&amp;$S$1&amp;$P$1&amp;$T$1&amp;$D$2&amp;$T$1&amp;$R$1&amp;D136&amp;$Q$1&amp;$S$1&amp;$P$1&amp;$T$1&amp;$E$2&amp;$T$1&amp;$R$1&amp;E136&amp;$Q$1&amp;$S$1&amp;$P$1&amp;$T$1&amp;$F$2&amp;$T$1&amp;$R$1&amp;L136&amp;$Q$1&amp;$S$1&amp;$P$1&amp;$T$1&amp;$G$2&amp;$T$1&amp;$R$1&amp;G136&amp;$Q$1&amp;$S$1&amp;$P$1&amp;$T$1&amp;$H$2&amp;$T$1&amp;$R$1&amp;H136&amp;$Q$1&amp;$S$1&amp;$P$1&amp;$T$1&amp;$I$2&amp;$T$1&amp;$R$1&amp;I136&amp;$Q$1&amp;$S$1&amp;$P$1&amp;$T$1&amp;$J$2&amp;$T$1&amp;$R$1&amp;J136&amp;$Q$1&amp;$O$1</f>
        <v>[{"2":280},{"4":155},{"5":155},{"12":7436},{"7":8},{"6":0},{"8":10},{"9":0}]</v>
      </c>
      <c r="AG135">
        <v>133</v>
      </c>
      <c r="AH135">
        <f t="shared" si="26"/>
        <v>88</v>
      </c>
      <c r="AI135">
        <f t="shared" si="27"/>
        <v>88</v>
      </c>
      <c r="AJ135">
        <v>1058</v>
      </c>
      <c r="AK135">
        <v>4</v>
      </c>
      <c r="AL135">
        <v>8</v>
      </c>
      <c r="AM135">
        <v>0</v>
      </c>
      <c r="AN135">
        <v>10</v>
      </c>
    </row>
    <row r="136" customFormat="1" ht="16.5" spans="1:40">
      <c r="A136">
        <v>134</v>
      </c>
      <c r="B136">
        <f>$AP$2+AG136</f>
        <v>234</v>
      </c>
      <c r="C136">
        <f t="shared" si="23"/>
        <v>280</v>
      </c>
      <c r="D136">
        <f>AH136+$AQ$2</f>
        <v>155</v>
      </c>
      <c r="E136">
        <f t="shared" si="22"/>
        <v>155</v>
      </c>
      <c r="F136" s="4">
        <f>INT(主角属性配置!F136/3+$AS$2)</f>
        <v>14871</v>
      </c>
      <c r="G136">
        <v>8</v>
      </c>
      <c r="H136">
        <v>0</v>
      </c>
      <c r="I136">
        <v>10</v>
      </c>
      <c r="J136">
        <v>0</v>
      </c>
      <c r="K136" s="3">
        <f t="shared" si="24"/>
        <v>4957</v>
      </c>
      <c r="L136" s="3">
        <f t="shared" si="25"/>
        <v>7436</v>
      </c>
      <c r="N136" t="str">
        <f>$N$1&amp;$P$1&amp;$T$1&amp;$B$2&amp;$T$1&amp;$R$1&amp;B137&amp;$Q$1&amp;$S$1&amp;$P$1&amp;$T$1&amp;$D$2&amp;$T$1&amp;$R$1&amp;D137&amp;$Q$1&amp;$S$1&amp;$P$1&amp;$T$1&amp;$E$2&amp;$T$1&amp;$R$1&amp;E137&amp;$Q$1&amp;$S$1&amp;$P$1&amp;$T$1&amp;$F$2&amp;$T$1&amp;$R$1&amp;F137&amp;$Q$1&amp;$S$1&amp;$P$1&amp;$T$1&amp;$G$2&amp;$T$1&amp;$R$1&amp;G137&amp;$Q$1&amp;$S$1&amp;$P$1&amp;$T$1&amp;$H$2&amp;$T$1&amp;$R$1&amp;H137&amp;$Q$1&amp;$S$1&amp;$P$1&amp;$T$1&amp;$I$2&amp;$T$1&amp;$R$1&amp;I137&amp;$Q$1&amp;$S$1&amp;$P$1&amp;$T$1&amp;$J$2&amp;$T$1&amp;$R$1&amp;J137&amp;$Q$1&amp;$O$1</f>
        <v>[{"1":235},{"4":156},{"5":156},{"12":14977},{"7":8},{"6":0},{"8":10},{"9":0}]</v>
      </c>
      <c r="W136" t="str">
        <f>$N$1&amp;$P$1&amp;$T$1&amp;$C$2&amp;$T$1&amp;$R$1&amp;C137&amp;$Q$1&amp;$S$1&amp;$P$1&amp;$T$1&amp;$D$2&amp;$T$1&amp;$R$1&amp;D137&amp;$Q$1&amp;$S$1&amp;$P$1&amp;$T$1&amp;$E$2&amp;$T$1&amp;$R$1&amp;E137&amp;$Q$1&amp;$S$1&amp;$P$1&amp;$T$1&amp;$F$2&amp;$T$1&amp;$R$1&amp;K137&amp;$Q$1&amp;$S$1&amp;$P$1&amp;$T$1&amp;$G$2&amp;$T$1&amp;$R$1&amp;G137&amp;$Q$1&amp;$S$1&amp;$P$1&amp;$T$1&amp;$H$2&amp;$T$1&amp;$R$1&amp;H137&amp;$Q$1&amp;$S$1&amp;$P$1&amp;$T$1&amp;$I$2&amp;$T$1&amp;$R$1&amp;I137&amp;$Q$1&amp;$S$1&amp;$P$1&amp;$T$1&amp;$J$2&amp;$T$1&amp;$R$1&amp;J137&amp;$Q$1&amp;$O$1</f>
        <v>[{"2":282},{"4":156},{"5":156},{"12":4992},{"7":8},{"6":0},{"8":10},{"9":0}]</v>
      </c>
      <c r="AE136" t="str">
        <f>$N$1&amp;$P$1&amp;$T$1&amp;$C$2&amp;$T$1&amp;$R$1&amp;C137&amp;$Q$1&amp;$S$1&amp;$P$1&amp;$T$1&amp;$D$2&amp;$T$1&amp;$R$1&amp;D137&amp;$Q$1&amp;$S$1&amp;$P$1&amp;$T$1&amp;$E$2&amp;$T$1&amp;$R$1&amp;E137&amp;$Q$1&amp;$S$1&amp;$P$1&amp;$T$1&amp;$F$2&amp;$T$1&amp;$R$1&amp;L137&amp;$Q$1&amp;$S$1&amp;$P$1&amp;$T$1&amp;$G$2&amp;$T$1&amp;$R$1&amp;G137&amp;$Q$1&amp;$S$1&amp;$P$1&amp;$T$1&amp;$H$2&amp;$T$1&amp;$R$1&amp;H137&amp;$Q$1&amp;$S$1&amp;$P$1&amp;$T$1&amp;$I$2&amp;$T$1&amp;$R$1&amp;I137&amp;$Q$1&amp;$S$1&amp;$P$1&amp;$T$1&amp;$J$2&amp;$T$1&amp;$R$1&amp;J137&amp;$Q$1&amp;$O$1</f>
        <v>[{"2":282},{"4":156},{"5":156},{"12":7489},{"7":8},{"6":0},{"8":10},{"9":0}]</v>
      </c>
      <c r="AG136">
        <v>134</v>
      </c>
      <c r="AH136">
        <f t="shared" si="26"/>
        <v>89</v>
      </c>
      <c r="AI136">
        <f t="shared" si="27"/>
        <v>89</v>
      </c>
      <c r="AJ136">
        <v>1067</v>
      </c>
      <c r="AK136">
        <v>4</v>
      </c>
      <c r="AL136">
        <v>8</v>
      </c>
      <c r="AM136">
        <v>0</v>
      </c>
      <c r="AN136">
        <v>10</v>
      </c>
    </row>
    <row r="137" customFormat="1" ht="16.5" spans="1:40">
      <c r="A137">
        <v>135</v>
      </c>
      <c r="B137">
        <f>$AP$2+AG137</f>
        <v>235</v>
      </c>
      <c r="C137">
        <f t="shared" si="23"/>
        <v>282</v>
      </c>
      <c r="D137">
        <f>AH137+$AQ$2</f>
        <v>156</v>
      </c>
      <c r="E137">
        <f t="shared" si="22"/>
        <v>156</v>
      </c>
      <c r="F137" s="4">
        <f>INT(主角属性配置!F137/3+$AS$2)</f>
        <v>14977</v>
      </c>
      <c r="G137">
        <v>8</v>
      </c>
      <c r="H137">
        <v>0</v>
      </c>
      <c r="I137">
        <v>10</v>
      </c>
      <c r="J137">
        <v>0</v>
      </c>
      <c r="K137" s="3">
        <f t="shared" si="24"/>
        <v>4992</v>
      </c>
      <c r="L137" s="3">
        <f t="shared" si="25"/>
        <v>7489</v>
      </c>
      <c r="N137" t="str">
        <f>$N$1&amp;$P$1&amp;$T$1&amp;$B$2&amp;$T$1&amp;$R$1&amp;B138&amp;$Q$1&amp;$S$1&amp;$P$1&amp;$T$1&amp;$D$2&amp;$T$1&amp;$R$1&amp;D138&amp;$Q$1&amp;$S$1&amp;$P$1&amp;$T$1&amp;$E$2&amp;$T$1&amp;$R$1&amp;E138&amp;$Q$1&amp;$S$1&amp;$P$1&amp;$T$1&amp;$F$2&amp;$T$1&amp;$R$1&amp;F138&amp;$Q$1&amp;$S$1&amp;$P$1&amp;$T$1&amp;$G$2&amp;$T$1&amp;$R$1&amp;G138&amp;$Q$1&amp;$S$1&amp;$P$1&amp;$T$1&amp;$H$2&amp;$T$1&amp;$R$1&amp;H138&amp;$Q$1&amp;$S$1&amp;$P$1&amp;$T$1&amp;$I$2&amp;$T$1&amp;$R$1&amp;I138&amp;$Q$1&amp;$S$1&amp;$P$1&amp;$T$1&amp;$J$2&amp;$T$1&amp;$R$1&amp;J138&amp;$Q$1&amp;$O$1</f>
        <v>[{"1":236},{"4":156},{"5":156},{"12":15084},{"7":8},{"6":0},{"8":10},{"9":0}]</v>
      </c>
      <c r="W137" t="str">
        <f>$N$1&amp;$P$1&amp;$T$1&amp;$C$2&amp;$T$1&amp;$R$1&amp;C138&amp;$Q$1&amp;$S$1&amp;$P$1&amp;$T$1&amp;$D$2&amp;$T$1&amp;$R$1&amp;D138&amp;$Q$1&amp;$S$1&amp;$P$1&amp;$T$1&amp;$E$2&amp;$T$1&amp;$R$1&amp;E138&amp;$Q$1&amp;$S$1&amp;$P$1&amp;$T$1&amp;$F$2&amp;$T$1&amp;$R$1&amp;K138&amp;$Q$1&amp;$S$1&amp;$P$1&amp;$T$1&amp;$G$2&amp;$T$1&amp;$R$1&amp;G138&amp;$Q$1&amp;$S$1&amp;$P$1&amp;$T$1&amp;$H$2&amp;$T$1&amp;$R$1&amp;H138&amp;$Q$1&amp;$S$1&amp;$P$1&amp;$T$1&amp;$I$2&amp;$T$1&amp;$R$1&amp;I138&amp;$Q$1&amp;$S$1&amp;$P$1&amp;$T$1&amp;$J$2&amp;$T$1&amp;$R$1&amp;J138&amp;$Q$1&amp;$O$1</f>
        <v>[{"2":283},{"4":156},{"5":156},{"12":5028},{"7":8},{"6":0},{"8":10},{"9":0}]</v>
      </c>
      <c r="AE137" t="str">
        <f>$N$1&amp;$P$1&amp;$T$1&amp;$C$2&amp;$T$1&amp;$R$1&amp;C138&amp;$Q$1&amp;$S$1&amp;$P$1&amp;$T$1&amp;$D$2&amp;$T$1&amp;$R$1&amp;D138&amp;$Q$1&amp;$S$1&amp;$P$1&amp;$T$1&amp;$E$2&amp;$T$1&amp;$R$1&amp;E138&amp;$Q$1&amp;$S$1&amp;$P$1&amp;$T$1&amp;$F$2&amp;$T$1&amp;$R$1&amp;L138&amp;$Q$1&amp;$S$1&amp;$P$1&amp;$T$1&amp;$G$2&amp;$T$1&amp;$R$1&amp;G138&amp;$Q$1&amp;$S$1&amp;$P$1&amp;$T$1&amp;$H$2&amp;$T$1&amp;$R$1&amp;H138&amp;$Q$1&amp;$S$1&amp;$P$1&amp;$T$1&amp;$I$2&amp;$T$1&amp;$R$1&amp;I138&amp;$Q$1&amp;$S$1&amp;$P$1&amp;$T$1&amp;$J$2&amp;$T$1&amp;$R$1&amp;J138&amp;$Q$1&amp;$O$1</f>
        <v>[{"2":283},{"4":156},{"5":156},{"12":7542},{"7":8},{"6":0},{"8":10},{"9":0}]</v>
      </c>
      <c r="AG137">
        <v>135</v>
      </c>
      <c r="AH137">
        <f t="shared" si="26"/>
        <v>90</v>
      </c>
      <c r="AI137">
        <f t="shared" si="27"/>
        <v>90</v>
      </c>
      <c r="AJ137">
        <v>1075</v>
      </c>
      <c r="AK137">
        <v>4</v>
      </c>
      <c r="AL137">
        <v>8</v>
      </c>
      <c r="AM137">
        <v>0</v>
      </c>
      <c r="AN137">
        <v>10</v>
      </c>
    </row>
    <row r="138" customFormat="1" ht="16.5" spans="1:40">
      <c r="A138">
        <v>136</v>
      </c>
      <c r="B138">
        <f>$AP$2+AG138</f>
        <v>236</v>
      </c>
      <c r="C138">
        <f t="shared" si="23"/>
        <v>283</v>
      </c>
      <c r="D138">
        <f>AH138+$AQ$2</f>
        <v>156</v>
      </c>
      <c r="E138">
        <f t="shared" si="22"/>
        <v>156</v>
      </c>
      <c r="F138" s="4">
        <f>INT(主角属性配置!F138/3+$AS$2)</f>
        <v>15084</v>
      </c>
      <c r="G138">
        <v>8</v>
      </c>
      <c r="H138">
        <v>0</v>
      </c>
      <c r="I138">
        <v>10</v>
      </c>
      <c r="J138">
        <v>0</v>
      </c>
      <c r="K138" s="3">
        <f t="shared" si="24"/>
        <v>5028</v>
      </c>
      <c r="L138" s="3">
        <f t="shared" si="25"/>
        <v>7542</v>
      </c>
      <c r="N138" t="str">
        <f>$N$1&amp;$P$1&amp;$T$1&amp;$B$2&amp;$T$1&amp;$R$1&amp;B139&amp;$Q$1&amp;$S$1&amp;$P$1&amp;$T$1&amp;$D$2&amp;$T$1&amp;$R$1&amp;D139&amp;$Q$1&amp;$S$1&amp;$P$1&amp;$T$1&amp;$E$2&amp;$T$1&amp;$R$1&amp;E139&amp;$Q$1&amp;$S$1&amp;$P$1&amp;$T$1&amp;$F$2&amp;$T$1&amp;$R$1&amp;F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[{"1":237},{"4":157},{"5":157},{"12":15190},{"7":8},{"6":0},{"8":10},{"9":0}]</v>
      </c>
      <c r="W138" t="str">
        <f>$N$1&amp;$P$1&amp;$T$1&amp;$C$2&amp;$T$1&amp;$R$1&amp;C139&amp;$Q$1&amp;$S$1&amp;$P$1&amp;$T$1&amp;$D$2&amp;$T$1&amp;$R$1&amp;D139&amp;$Q$1&amp;$S$1&amp;$P$1&amp;$T$1&amp;$E$2&amp;$T$1&amp;$R$1&amp;E139&amp;$Q$1&amp;$S$1&amp;$P$1&amp;$T$1&amp;$F$2&amp;$T$1&amp;$R$1&amp;K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[{"2":284},{"4":157},{"5":157},{"12":5063},{"7":8},{"6":0},{"8":10},{"9":0}]</v>
      </c>
      <c r="AE138" t="str">
        <f>$N$1&amp;$P$1&amp;$T$1&amp;$C$2&amp;$T$1&amp;$R$1&amp;C139&amp;$Q$1&amp;$S$1&amp;$P$1&amp;$T$1&amp;$D$2&amp;$T$1&amp;$R$1&amp;D139&amp;$Q$1&amp;$S$1&amp;$P$1&amp;$T$1&amp;$E$2&amp;$T$1&amp;$R$1&amp;E139&amp;$Q$1&amp;$S$1&amp;$P$1&amp;$T$1&amp;$F$2&amp;$T$1&amp;$R$1&amp;L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[{"2":284},{"4":157},{"5":157},{"12":7595},{"7":8},{"6":0},{"8":10},{"9":0}]</v>
      </c>
      <c r="AG138">
        <v>136</v>
      </c>
      <c r="AH138">
        <f t="shared" si="26"/>
        <v>90</v>
      </c>
      <c r="AI138">
        <f t="shared" si="27"/>
        <v>90</v>
      </c>
      <c r="AJ138">
        <v>1084</v>
      </c>
      <c r="AK138">
        <v>4</v>
      </c>
      <c r="AL138">
        <v>8</v>
      </c>
      <c r="AM138">
        <v>0</v>
      </c>
      <c r="AN138">
        <v>10</v>
      </c>
    </row>
    <row r="139" customFormat="1" ht="16.5" spans="1:40">
      <c r="A139">
        <v>137</v>
      </c>
      <c r="B139">
        <f>$AP$2+AG139</f>
        <v>237</v>
      </c>
      <c r="C139">
        <f t="shared" si="23"/>
        <v>284</v>
      </c>
      <c r="D139">
        <f>AH139+$AQ$2</f>
        <v>157</v>
      </c>
      <c r="E139">
        <f t="shared" si="22"/>
        <v>157</v>
      </c>
      <c r="F139" s="4">
        <f>INT(主角属性配置!F139/3+$AS$2)</f>
        <v>15190</v>
      </c>
      <c r="G139">
        <v>8</v>
      </c>
      <c r="H139">
        <v>0</v>
      </c>
      <c r="I139">
        <v>10</v>
      </c>
      <c r="J139">
        <v>0</v>
      </c>
      <c r="K139" s="3">
        <f t="shared" si="24"/>
        <v>5063</v>
      </c>
      <c r="L139" s="3">
        <f t="shared" si="25"/>
        <v>7595</v>
      </c>
      <c r="N139" t="str">
        <f>$N$1&amp;$P$1&amp;$T$1&amp;$B$2&amp;$T$1&amp;$R$1&amp;B140&amp;$Q$1&amp;$S$1&amp;$P$1&amp;$T$1&amp;$D$2&amp;$T$1&amp;$R$1&amp;D140&amp;$Q$1&amp;$S$1&amp;$P$1&amp;$T$1&amp;$E$2&amp;$T$1&amp;$R$1&amp;E140&amp;$Q$1&amp;$S$1&amp;$P$1&amp;$T$1&amp;$F$2&amp;$T$1&amp;$R$1&amp;F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[{"1":238},{"4":158},{"5":158},{"12":15296},{"7":8},{"6":0},{"8":10},{"9":0}]</v>
      </c>
      <c r="W139" t="str">
        <f>$N$1&amp;$P$1&amp;$T$1&amp;$C$2&amp;$T$1&amp;$R$1&amp;C140&amp;$Q$1&amp;$S$1&amp;$P$1&amp;$T$1&amp;$D$2&amp;$T$1&amp;$R$1&amp;D140&amp;$Q$1&amp;$S$1&amp;$P$1&amp;$T$1&amp;$E$2&amp;$T$1&amp;$R$1&amp;E140&amp;$Q$1&amp;$S$1&amp;$P$1&amp;$T$1&amp;$F$2&amp;$T$1&amp;$R$1&amp;K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[{"2":285},{"4":158},{"5":158},{"12":5099},{"7":8},{"6":0},{"8":10},{"9":0}]</v>
      </c>
      <c r="AE139" t="str">
        <f>$N$1&amp;$P$1&amp;$T$1&amp;$C$2&amp;$T$1&amp;$R$1&amp;C140&amp;$Q$1&amp;$S$1&amp;$P$1&amp;$T$1&amp;$D$2&amp;$T$1&amp;$R$1&amp;D140&amp;$Q$1&amp;$S$1&amp;$P$1&amp;$T$1&amp;$E$2&amp;$T$1&amp;$R$1&amp;E140&amp;$Q$1&amp;$S$1&amp;$P$1&amp;$T$1&amp;$F$2&amp;$T$1&amp;$R$1&amp;L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[{"2":285},{"4":158},{"5":158},{"12":7648},{"7":8},{"6":0},{"8":10},{"9":0}]</v>
      </c>
      <c r="AG139">
        <v>137</v>
      </c>
      <c r="AH139">
        <f t="shared" si="26"/>
        <v>91</v>
      </c>
      <c r="AI139">
        <f t="shared" si="27"/>
        <v>91</v>
      </c>
      <c r="AJ139">
        <v>1092</v>
      </c>
      <c r="AK139">
        <v>4</v>
      </c>
      <c r="AL139">
        <v>8</v>
      </c>
      <c r="AM139">
        <v>0</v>
      </c>
      <c r="AN139">
        <v>10</v>
      </c>
    </row>
    <row r="140" customFormat="1" ht="16.5" spans="1:40">
      <c r="A140">
        <v>138</v>
      </c>
      <c r="B140">
        <f>$AP$2+AG140</f>
        <v>238</v>
      </c>
      <c r="C140">
        <f t="shared" si="23"/>
        <v>285</v>
      </c>
      <c r="D140">
        <f>AH140+$AQ$2</f>
        <v>158</v>
      </c>
      <c r="E140">
        <f t="shared" si="22"/>
        <v>158</v>
      </c>
      <c r="F140" s="4">
        <f>INT(主角属性配置!F140/3+$AS$2)</f>
        <v>15296</v>
      </c>
      <c r="G140">
        <v>8</v>
      </c>
      <c r="H140">
        <v>0</v>
      </c>
      <c r="I140">
        <v>10</v>
      </c>
      <c r="J140">
        <v>0</v>
      </c>
      <c r="K140" s="3">
        <f t="shared" si="24"/>
        <v>5099</v>
      </c>
      <c r="L140" s="3">
        <f t="shared" si="25"/>
        <v>7648</v>
      </c>
      <c r="N140" t="str">
        <f>$N$1&amp;$P$1&amp;$T$1&amp;$B$2&amp;$T$1&amp;$R$1&amp;B141&amp;$Q$1&amp;$S$1&amp;$P$1&amp;$T$1&amp;$D$2&amp;$T$1&amp;$R$1&amp;D141&amp;$Q$1&amp;$S$1&amp;$P$1&amp;$T$1&amp;$E$2&amp;$T$1&amp;$R$1&amp;E141&amp;$Q$1&amp;$S$1&amp;$P$1&amp;$T$1&amp;$F$2&amp;$T$1&amp;$R$1&amp;F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[{"1":239},{"4":158},{"5":158},{"12":15403},{"7":8},{"6":0},{"8":10},{"9":0}]</v>
      </c>
      <c r="W140" t="str">
        <f>$N$1&amp;$P$1&amp;$T$1&amp;$C$2&amp;$T$1&amp;$R$1&amp;C141&amp;$Q$1&amp;$S$1&amp;$P$1&amp;$T$1&amp;$D$2&amp;$T$1&amp;$R$1&amp;D141&amp;$Q$1&amp;$S$1&amp;$P$1&amp;$T$1&amp;$E$2&amp;$T$1&amp;$R$1&amp;E141&amp;$Q$1&amp;$S$1&amp;$P$1&amp;$T$1&amp;$F$2&amp;$T$1&amp;$R$1&amp;K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[{"2":286},{"4":158},{"5":158},{"12":5134},{"7":8},{"6":0},{"8":10},{"9":0}]</v>
      </c>
      <c r="AE140" t="str">
        <f>$N$1&amp;$P$1&amp;$T$1&amp;$C$2&amp;$T$1&amp;$R$1&amp;C141&amp;$Q$1&amp;$S$1&amp;$P$1&amp;$T$1&amp;$D$2&amp;$T$1&amp;$R$1&amp;D141&amp;$Q$1&amp;$S$1&amp;$P$1&amp;$T$1&amp;$E$2&amp;$T$1&amp;$R$1&amp;E141&amp;$Q$1&amp;$S$1&amp;$P$1&amp;$T$1&amp;$F$2&amp;$T$1&amp;$R$1&amp;L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[{"2":286},{"4":158},{"5":158},{"12":7702},{"7":8},{"6":0},{"8":10},{"9":0}]</v>
      </c>
      <c r="AG140">
        <v>138</v>
      </c>
      <c r="AH140">
        <f t="shared" si="26"/>
        <v>92</v>
      </c>
      <c r="AI140">
        <f t="shared" si="27"/>
        <v>92</v>
      </c>
      <c r="AJ140">
        <v>1100</v>
      </c>
      <c r="AK140">
        <v>4</v>
      </c>
      <c r="AL140">
        <v>8</v>
      </c>
      <c r="AM140">
        <v>0</v>
      </c>
      <c r="AN140">
        <v>10</v>
      </c>
    </row>
    <row r="141" customFormat="1" ht="16.5" spans="1:40">
      <c r="A141">
        <v>139</v>
      </c>
      <c r="B141">
        <f>$AP$2+AG141</f>
        <v>239</v>
      </c>
      <c r="C141">
        <f t="shared" si="23"/>
        <v>286</v>
      </c>
      <c r="D141">
        <f>AH141+$AQ$2</f>
        <v>158</v>
      </c>
      <c r="E141">
        <f t="shared" si="22"/>
        <v>158</v>
      </c>
      <c r="F141" s="4">
        <f>INT(主角属性配置!F141/3+$AS$2)</f>
        <v>15403</v>
      </c>
      <c r="G141">
        <v>8</v>
      </c>
      <c r="H141">
        <v>0</v>
      </c>
      <c r="I141">
        <v>10</v>
      </c>
      <c r="J141">
        <v>0</v>
      </c>
      <c r="K141" s="3">
        <f t="shared" si="24"/>
        <v>5134</v>
      </c>
      <c r="L141" s="3">
        <f t="shared" si="25"/>
        <v>7702</v>
      </c>
      <c r="N141" t="str">
        <f>$N$1&amp;$P$1&amp;$T$1&amp;$B$2&amp;$T$1&amp;$R$1&amp;B142&amp;$Q$1&amp;$S$1&amp;$P$1&amp;$T$1&amp;$D$2&amp;$T$1&amp;$R$1&amp;D142&amp;$Q$1&amp;$S$1&amp;$P$1&amp;$T$1&amp;$E$2&amp;$T$1&amp;$R$1&amp;E142&amp;$Q$1&amp;$S$1&amp;$P$1&amp;$T$1&amp;$F$2&amp;$T$1&amp;$R$1&amp;F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[{"1":240},{"4":159},{"5":159},{"12":15509},{"7":8},{"6":0},{"8":10},{"9":0}]</v>
      </c>
      <c r="W141" t="str">
        <f>$N$1&amp;$P$1&amp;$T$1&amp;$C$2&amp;$T$1&amp;$R$1&amp;C142&amp;$Q$1&amp;$S$1&amp;$P$1&amp;$T$1&amp;$D$2&amp;$T$1&amp;$R$1&amp;D142&amp;$Q$1&amp;$S$1&amp;$P$1&amp;$T$1&amp;$E$2&amp;$T$1&amp;$R$1&amp;E142&amp;$Q$1&amp;$S$1&amp;$P$1&amp;$T$1&amp;$F$2&amp;$T$1&amp;$R$1&amp;K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[{"2":288},{"4":159},{"5":159},{"12":5170},{"7":8},{"6":0},{"8":10},{"9":0}]</v>
      </c>
      <c r="AE141" t="str">
        <f>$N$1&amp;$P$1&amp;$T$1&amp;$C$2&amp;$T$1&amp;$R$1&amp;C142&amp;$Q$1&amp;$S$1&amp;$P$1&amp;$T$1&amp;$D$2&amp;$T$1&amp;$R$1&amp;D142&amp;$Q$1&amp;$S$1&amp;$P$1&amp;$T$1&amp;$E$2&amp;$T$1&amp;$R$1&amp;E142&amp;$Q$1&amp;$S$1&amp;$P$1&amp;$T$1&amp;$F$2&amp;$T$1&amp;$R$1&amp;L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[{"2":288},{"4":159},{"5":159},{"12":7755},{"7":8},{"6":0},{"8":10},{"9":0}]</v>
      </c>
      <c r="AG141">
        <v>139</v>
      </c>
      <c r="AH141">
        <f t="shared" si="26"/>
        <v>92</v>
      </c>
      <c r="AI141">
        <f t="shared" si="27"/>
        <v>92</v>
      </c>
      <c r="AJ141">
        <v>1109</v>
      </c>
      <c r="AK141">
        <v>4</v>
      </c>
      <c r="AL141">
        <v>8</v>
      </c>
      <c r="AM141">
        <v>0</v>
      </c>
      <c r="AN141">
        <v>10</v>
      </c>
    </row>
    <row r="142" customFormat="1" ht="16.5" spans="1:40">
      <c r="A142">
        <v>140</v>
      </c>
      <c r="B142">
        <f>$AP$2+AG142</f>
        <v>240</v>
      </c>
      <c r="C142">
        <f t="shared" si="23"/>
        <v>288</v>
      </c>
      <c r="D142">
        <f>AH142+$AQ$2</f>
        <v>159</v>
      </c>
      <c r="E142">
        <f t="shared" si="22"/>
        <v>159</v>
      </c>
      <c r="F142" s="4">
        <f>INT(主角属性配置!F142/3+$AS$2)</f>
        <v>15509</v>
      </c>
      <c r="G142">
        <v>8</v>
      </c>
      <c r="H142">
        <v>0</v>
      </c>
      <c r="I142">
        <v>10</v>
      </c>
      <c r="J142">
        <v>0</v>
      </c>
      <c r="K142" s="3">
        <f t="shared" si="24"/>
        <v>5170</v>
      </c>
      <c r="L142" s="3">
        <f t="shared" si="25"/>
        <v>7755</v>
      </c>
      <c r="N142" t="str">
        <f>$N$1&amp;$P$1&amp;$T$1&amp;$B$2&amp;$T$1&amp;$R$1&amp;B143&amp;$Q$1&amp;$S$1&amp;$P$1&amp;$T$1&amp;$D$2&amp;$T$1&amp;$R$1&amp;D143&amp;$Q$1&amp;$S$1&amp;$P$1&amp;$T$1&amp;$E$2&amp;$T$1&amp;$R$1&amp;E143&amp;$Q$1&amp;$S$1&amp;$P$1&amp;$T$1&amp;$F$2&amp;$T$1&amp;$R$1&amp;F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[{"1":241},{"4":160},{"5":160},{"12":15616},{"7":8},{"6":0},{"8":10},{"9":0}]</v>
      </c>
      <c r="W142" t="str">
        <f>$N$1&amp;$P$1&amp;$T$1&amp;$C$2&amp;$T$1&amp;$R$1&amp;C143&amp;$Q$1&amp;$S$1&amp;$P$1&amp;$T$1&amp;$D$2&amp;$T$1&amp;$R$1&amp;D143&amp;$Q$1&amp;$S$1&amp;$P$1&amp;$T$1&amp;$E$2&amp;$T$1&amp;$R$1&amp;E143&amp;$Q$1&amp;$S$1&amp;$P$1&amp;$T$1&amp;$F$2&amp;$T$1&amp;$R$1&amp;K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[{"2":289},{"4":160},{"5":160},{"12":5205},{"7":8},{"6":0},{"8":10},{"9":0}]</v>
      </c>
      <c r="AE142" t="str">
        <f>$N$1&amp;$P$1&amp;$T$1&amp;$C$2&amp;$T$1&amp;$R$1&amp;C143&amp;$Q$1&amp;$S$1&amp;$P$1&amp;$T$1&amp;$D$2&amp;$T$1&amp;$R$1&amp;D143&amp;$Q$1&amp;$S$1&amp;$P$1&amp;$T$1&amp;$E$2&amp;$T$1&amp;$R$1&amp;E143&amp;$Q$1&amp;$S$1&amp;$P$1&amp;$T$1&amp;$F$2&amp;$T$1&amp;$R$1&amp;L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[{"2":289},{"4":160},{"5":160},{"12":7808},{"7":8},{"6":0},{"8":10},{"9":0}]</v>
      </c>
      <c r="AG142">
        <v>140</v>
      </c>
      <c r="AH142">
        <f t="shared" si="26"/>
        <v>93</v>
      </c>
      <c r="AI142">
        <f t="shared" si="27"/>
        <v>93</v>
      </c>
      <c r="AJ142">
        <v>1117</v>
      </c>
      <c r="AK142">
        <v>4</v>
      </c>
      <c r="AL142">
        <v>8</v>
      </c>
      <c r="AM142">
        <v>0</v>
      </c>
      <c r="AN142">
        <v>10</v>
      </c>
    </row>
    <row r="143" customFormat="1" ht="16.5" spans="1:40">
      <c r="A143">
        <v>141</v>
      </c>
      <c r="B143">
        <f>$AP$2+AG143</f>
        <v>241</v>
      </c>
      <c r="C143">
        <f t="shared" si="23"/>
        <v>289</v>
      </c>
      <c r="D143">
        <f>AH143+$AQ$2</f>
        <v>160</v>
      </c>
      <c r="E143">
        <f t="shared" si="22"/>
        <v>160</v>
      </c>
      <c r="F143" s="4">
        <f>INT(主角属性配置!F143/3+$AS$2)</f>
        <v>15616</v>
      </c>
      <c r="G143">
        <v>8</v>
      </c>
      <c r="H143">
        <v>0</v>
      </c>
      <c r="I143">
        <v>10</v>
      </c>
      <c r="J143">
        <v>0</v>
      </c>
      <c r="K143" s="3">
        <f t="shared" si="24"/>
        <v>5205</v>
      </c>
      <c r="L143" s="3">
        <f t="shared" si="25"/>
        <v>7808</v>
      </c>
      <c r="N143" t="str">
        <f>$N$1&amp;$P$1&amp;$T$1&amp;$B$2&amp;$T$1&amp;$R$1&amp;B144&amp;$Q$1&amp;$S$1&amp;$P$1&amp;$T$1&amp;$D$2&amp;$T$1&amp;$R$1&amp;D144&amp;$Q$1&amp;$S$1&amp;$P$1&amp;$T$1&amp;$E$2&amp;$T$1&amp;$R$1&amp;E144&amp;$Q$1&amp;$S$1&amp;$P$1&amp;$T$1&amp;$F$2&amp;$T$1&amp;$R$1&amp;F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[{"1":242},{"4":160},{"5":160},{"12":15721},{"7":8},{"6":0},{"8":10},{"9":0}]</v>
      </c>
      <c r="W143" t="str">
        <f>$N$1&amp;$P$1&amp;$T$1&amp;$C$2&amp;$T$1&amp;$R$1&amp;C144&amp;$Q$1&amp;$S$1&amp;$P$1&amp;$T$1&amp;$D$2&amp;$T$1&amp;$R$1&amp;D144&amp;$Q$1&amp;$S$1&amp;$P$1&amp;$T$1&amp;$E$2&amp;$T$1&amp;$R$1&amp;E144&amp;$Q$1&amp;$S$1&amp;$P$1&amp;$T$1&amp;$F$2&amp;$T$1&amp;$R$1&amp;K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[{"2":290},{"4":160},{"5":160},{"12":5240},{"7":8},{"6":0},{"8":10},{"9":0}]</v>
      </c>
      <c r="AE143" t="str">
        <f>$N$1&amp;$P$1&amp;$T$1&amp;$C$2&amp;$T$1&amp;$R$1&amp;C144&amp;$Q$1&amp;$S$1&amp;$P$1&amp;$T$1&amp;$D$2&amp;$T$1&amp;$R$1&amp;D144&amp;$Q$1&amp;$S$1&amp;$P$1&amp;$T$1&amp;$E$2&amp;$T$1&amp;$R$1&amp;E144&amp;$Q$1&amp;$S$1&amp;$P$1&amp;$T$1&amp;$F$2&amp;$T$1&amp;$R$1&amp;L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[{"2":290},{"4":160},{"5":160},{"12":7861},{"7":8},{"6":0},{"8":10},{"9":0}]</v>
      </c>
      <c r="AG143">
        <v>141</v>
      </c>
      <c r="AH143">
        <f t="shared" si="26"/>
        <v>94</v>
      </c>
      <c r="AI143">
        <f t="shared" si="27"/>
        <v>94</v>
      </c>
      <c r="AJ143">
        <v>1126</v>
      </c>
      <c r="AK143">
        <v>4</v>
      </c>
      <c r="AL143">
        <v>8</v>
      </c>
      <c r="AM143">
        <v>0</v>
      </c>
      <c r="AN143">
        <v>10</v>
      </c>
    </row>
    <row r="144" customFormat="1" ht="16.5" spans="1:40">
      <c r="A144">
        <v>142</v>
      </c>
      <c r="B144">
        <f>$AP$2+AG144</f>
        <v>242</v>
      </c>
      <c r="C144">
        <f t="shared" si="23"/>
        <v>290</v>
      </c>
      <c r="D144">
        <f>AH144+$AQ$2</f>
        <v>160</v>
      </c>
      <c r="E144">
        <f t="shared" si="22"/>
        <v>160</v>
      </c>
      <c r="F144" s="4">
        <f>INT(主角属性配置!F144/3+$AS$2)</f>
        <v>15721</v>
      </c>
      <c r="G144">
        <v>8</v>
      </c>
      <c r="H144">
        <v>0</v>
      </c>
      <c r="I144">
        <v>10</v>
      </c>
      <c r="J144">
        <v>0</v>
      </c>
      <c r="K144" s="3">
        <f t="shared" si="24"/>
        <v>5240</v>
      </c>
      <c r="L144" s="3">
        <f t="shared" si="25"/>
        <v>7861</v>
      </c>
      <c r="N144" t="str">
        <f>$N$1&amp;$P$1&amp;$T$1&amp;$B$2&amp;$T$1&amp;$R$1&amp;B145&amp;$Q$1&amp;$S$1&amp;$P$1&amp;$T$1&amp;$D$2&amp;$T$1&amp;$R$1&amp;D145&amp;$Q$1&amp;$S$1&amp;$P$1&amp;$T$1&amp;$E$2&amp;$T$1&amp;$R$1&amp;E145&amp;$Q$1&amp;$S$1&amp;$P$1&amp;$T$1&amp;$F$2&amp;$T$1&amp;$R$1&amp;F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[{"1":243},{"4":161},{"5":161},{"12":15827},{"7":8},{"6":0},{"8":10},{"9":0}]</v>
      </c>
      <c r="W144" t="str">
        <f>$N$1&amp;$P$1&amp;$T$1&amp;$C$2&amp;$T$1&amp;$R$1&amp;C145&amp;$Q$1&amp;$S$1&amp;$P$1&amp;$T$1&amp;$D$2&amp;$T$1&amp;$R$1&amp;D145&amp;$Q$1&amp;$S$1&amp;$P$1&amp;$T$1&amp;$E$2&amp;$T$1&amp;$R$1&amp;E145&amp;$Q$1&amp;$S$1&amp;$P$1&amp;$T$1&amp;$F$2&amp;$T$1&amp;$R$1&amp;K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[{"2":291},{"4":161},{"5":161},{"12":5276},{"7":8},{"6":0},{"8":10},{"9":0}]</v>
      </c>
      <c r="AE144" t="str">
        <f>$N$1&amp;$P$1&amp;$T$1&amp;$C$2&amp;$T$1&amp;$R$1&amp;C145&amp;$Q$1&amp;$S$1&amp;$P$1&amp;$T$1&amp;$D$2&amp;$T$1&amp;$R$1&amp;D145&amp;$Q$1&amp;$S$1&amp;$P$1&amp;$T$1&amp;$E$2&amp;$T$1&amp;$R$1&amp;E145&amp;$Q$1&amp;$S$1&amp;$P$1&amp;$T$1&amp;$F$2&amp;$T$1&amp;$R$1&amp;L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[{"2":291},{"4":161},{"5":161},{"12":7914},{"7":8},{"6":0},{"8":10},{"9":0}]</v>
      </c>
      <c r="AG144">
        <v>142</v>
      </c>
      <c r="AH144">
        <f t="shared" si="26"/>
        <v>94</v>
      </c>
      <c r="AI144">
        <f t="shared" si="27"/>
        <v>94</v>
      </c>
      <c r="AJ144">
        <v>1134</v>
      </c>
      <c r="AK144">
        <v>4</v>
      </c>
      <c r="AL144">
        <v>8</v>
      </c>
      <c r="AM144">
        <v>0</v>
      </c>
      <c r="AN144">
        <v>10</v>
      </c>
    </row>
    <row r="145" customFormat="1" ht="16.5" spans="1:40">
      <c r="A145">
        <v>143</v>
      </c>
      <c r="B145">
        <f>$AP$2+AG145</f>
        <v>243</v>
      </c>
      <c r="C145">
        <f t="shared" si="23"/>
        <v>291</v>
      </c>
      <c r="D145">
        <f>AH145+$AQ$2</f>
        <v>161</v>
      </c>
      <c r="E145">
        <f t="shared" si="22"/>
        <v>161</v>
      </c>
      <c r="F145" s="4">
        <f>INT(主角属性配置!F145/3+$AS$2)</f>
        <v>15827</v>
      </c>
      <c r="G145">
        <v>8</v>
      </c>
      <c r="H145">
        <v>0</v>
      </c>
      <c r="I145">
        <v>10</v>
      </c>
      <c r="J145">
        <v>0</v>
      </c>
      <c r="K145" s="3">
        <f t="shared" si="24"/>
        <v>5276</v>
      </c>
      <c r="L145" s="3">
        <f t="shared" si="25"/>
        <v>7914</v>
      </c>
      <c r="N145" t="str">
        <f>$N$1&amp;$P$1&amp;$T$1&amp;$B$2&amp;$T$1&amp;$R$1&amp;B146&amp;$Q$1&amp;$S$1&amp;$P$1&amp;$T$1&amp;$D$2&amp;$T$1&amp;$R$1&amp;D146&amp;$Q$1&amp;$S$1&amp;$P$1&amp;$T$1&amp;$E$2&amp;$T$1&amp;$R$1&amp;E146&amp;$Q$1&amp;$S$1&amp;$P$1&amp;$T$1&amp;$F$2&amp;$T$1&amp;$R$1&amp;F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[{"1":244},{"4":162},{"5":162},{"12":15933},{"7":8},{"6":0},{"8":10},{"9":0}]</v>
      </c>
      <c r="W145" t="str">
        <f>$N$1&amp;$P$1&amp;$T$1&amp;$C$2&amp;$T$1&amp;$R$1&amp;C146&amp;$Q$1&amp;$S$1&amp;$P$1&amp;$T$1&amp;$D$2&amp;$T$1&amp;$R$1&amp;D146&amp;$Q$1&amp;$S$1&amp;$P$1&amp;$T$1&amp;$E$2&amp;$T$1&amp;$R$1&amp;E146&amp;$Q$1&amp;$S$1&amp;$P$1&amp;$T$1&amp;$F$2&amp;$T$1&amp;$R$1&amp;K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[{"2":292},{"4":162},{"5":162},{"12":5311},{"7":8},{"6":0},{"8":10},{"9":0}]</v>
      </c>
      <c r="AE145" t="str">
        <f>$N$1&amp;$P$1&amp;$T$1&amp;$C$2&amp;$T$1&amp;$R$1&amp;C146&amp;$Q$1&amp;$S$1&amp;$P$1&amp;$T$1&amp;$D$2&amp;$T$1&amp;$R$1&amp;D146&amp;$Q$1&amp;$S$1&amp;$P$1&amp;$T$1&amp;$E$2&amp;$T$1&amp;$R$1&amp;E146&amp;$Q$1&amp;$S$1&amp;$P$1&amp;$T$1&amp;$F$2&amp;$T$1&amp;$R$1&amp;L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[{"2":292},{"4":162},{"5":162},{"12":7967},{"7":8},{"6":0},{"8":10},{"9":0}]</v>
      </c>
      <c r="AG145">
        <v>143</v>
      </c>
      <c r="AH145">
        <f t="shared" si="26"/>
        <v>95</v>
      </c>
      <c r="AI145">
        <f t="shared" si="27"/>
        <v>95</v>
      </c>
      <c r="AJ145">
        <v>1143</v>
      </c>
      <c r="AK145">
        <v>4</v>
      </c>
      <c r="AL145">
        <v>8</v>
      </c>
      <c r="AM145">
        <v>0</v>
      </c>
      <c r="AN145">
        <v>10</v>
      </c>
    </row>
    <row r="146" customFormat="1" ht="16.5" spans="1:40">
      <c r="A146">
        <v>144</v>
      </c>
      <c r="B146">
        <f>$AP$2+AG146</f>
        <v>244</v>
      </c>
      <c r="C146">
        <f t="shared" si="23"/>
        <v>292</v>
      </c>
      <c r="D146">
        <f>AH146+$AQ$2</f>
        <v>162</v>
      </c>
      <c r="E146">
        <f t="shared" si="22"/>
        <v>162</v>
      </c>
      <c r="F146" s="4">
        <f>INT(主角属性配置!F146/3+$AS$2)</f>
        <v>15933</v>
      </c>
      <c r="G146">
        <v>8</v>
      </c>
      <c r="H146">
        <v>0</v>
      </c>
      <c r="I146">
        <v>10</v>
      </c>
      <c r="J146">
        <v>0</v>
      </c>
      <c r="K146" s="3">
        <f t="shared" si="24"/>
        <v>5311</v>
      </c>
      <c r="L146" s="3">
        <f t="shared" si="25"/>
        <v>7967</v>
      </c>
      <c r="N146" t="str">
        <f>$N$1&amp;$P$1&amp;$T$1&amp;$B$2&amp;$T$1&amp;$R$1&amp;B147&amp;$Q$1&amp;$S$1&amp;$P$1&amp;$T$1&amp;$D$2&amp;$T$1&amp;$R$1&amp;D147&amp;$Q$1&amp;$S$1&amp;$P$1&amp;$T$1&amp;$E$2&amp;$T$1&amp;$R$1&amp;E147&amp;$Q$1&amp;$S$1&amp;$P$1&amp;$T$1&amp;$F$2&amp;$T$1&amp;$R$1&amp;F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[{"1":245},{"4":162},{"5":162},{"12":16040},{"7":8},{"6":0},{"8":10},{"9":0}]</v>
      </c>
      <c r="W146" t="str">
        <f>$N$1&amp;$P$1&amp;$T$1&amp;$C$2&amp;$T$1&amp;$R$1&amp;C147&amp;$Q$1&amp;$S$1&amp;$P$1&amp;$T$1&amp;$D$2&amp;$T$1&amp;$R$1&amp;D147&amp;$Q$1&amp;$S$1&amp;$P$1&amp;$T$1&amp;$E$2&amp;$T$1&amp;$R$1&amp;E147&amp;$Q$1&amp;$S$1&amp;$P$1&amp;$T$1&amp;$F$2&amp;$T$1&amp;$R$1&amp;K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[{"2":294},{"4":162},{"5":162},{"12":5347},{"7":8},{"6":0},{"8":10},{"9":0}]</v>
      </c>
      <c r="AE146" t="str">
        <f>$N$1&amp;$P$1&amp;$T$1&amp;$C$2&amp;$T$1&amp;$R$1&amp;C147&amp;$Q$1&amp;$S$1&amp;$P$1&amp;$T$1&amp;$D$2&amp;$T$1&amp;$R$1&amp;D147&amp;$Q$1&amp;$S$1&amp;$P$1&amp;$T$1&amp;$E$2&amp;$T$1&amp;$R$1&amp;E147&amp;$Q$1&amp;$S$1&amp;$P$1&amp;$T$1&amp;$F$2&amp;$T$1&amp;$R$1&amp;L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[{"2":294},{"4":162},{"5":162},{"12":8020},{"7":8},{"6":0},{"8":10},{"9":0}]</v>
      </c>
      <c r="AG146">
        <v>144</v>
      </c>
      <c r="AH146">
        <f t="shared" si="26"/>
        <v>96</v>
      </c>
      <c r="AI146">
        <f t="shared" si="27"/>
        <v>96</v>
      </c>
      <c r="AJ146">
        <v>1151</v>
      </c>
      <c r="AK146">
        <v>4</v>
      </c>
      <c r="AL146">
        <v>8</v>
      </c>
      <c r="AM146">
        <v>0</v>
      </c>
      <c r="AN146">
        <v>10</v>
      </c>
    </row>
    <row r="147" customFormat="1" ht="16.5" spans="1:40">
      <c r="A147">
        <v>145</v>
      </c>
      <c r="B147">
        <f>$AP$2+AG147</f>
        <v>245</v>
      </c>
      <c r="C147">
        <f t="shared" si="23"/>
        <v>294</v>
      </c>
      <c r="D147">
        <f>AH147+$AQ$2</f>
        <v>162</v>
      </c>
      <c r="E147">
        <f t="shared" si="22"/>
        <v>162</v>
      </c>
      <c r="F147" s="4">
        <f>INT(主角属性配置!F147/3+$AS$2)</f>
        <v>16040</v>
      </c>
      <c r="G147">
        <v>8</v>
      </c>
      <c r="H147">
        <v>0</v>
      </c>
      <c r="I147">
        <v>10</v>
      </c>
      <c r="J147">
        <v>0</v>
      </c>
      <c r="K147" s="3">
        <f t="shared" si="24"/>
        <v>5347</v>
      </c>
      <c r="L147" s="3">
        <f t="shared" si="25"/>
        <v>8020</v>
      </c>
      <c r="N147" t="str">
        <f>$N$1&amp;$P$1&amp;$T$1&amp;$B$2&amp;$T$1&amp;$R$1&amp;B148&amp;$Q$1&amp;$S$1&amp;$P$1&amp;$T$1&amp;$D$2&amp;$T$1&amp;$R$1&amp;D148&amp;$Q$1&amp;$S$1&amp;$P$1&amp;$T$1&amp;$E$2&amp;$T$1&amp;$R$1&amp;E148&amp;$Q$1&amp;$S$1&amp;$P$1&amp;$T$1&amp;$F$2&amp;$T$1&amp;$R$1&amp;F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[{"1":246},{"4":163},{"5":163},{"12":16146},{"7":8},{"6":0},{"8":10},{"9":0}]</v>
      </c>
      <c r="W147" t="str">
        <f>$N$1&amp;$P$1&amp;$T$1&amp;$C$2&amp;$T$1&amp;$R$1&amp;C148&amp;$Q$1&amp;$S$1&amp;$P$1&amp;$T$1&amp;$D$2&amp;$T$1&amp;$R$1&amp;D148&amp;$Q$1&amp;$S$1&amp;$P$1&amp;$T$1&amp;$E$2&amp;$T$1&amp;$R$1&amp;E148&amp;$Q$1&amp;$S$1&amp;$P$1&amp;$T$1&amp;$F$2&amp;$T$1&amp;$R$1&amp;K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[{"2":295},{"4":163},{"5":163},{"12":5382},{"7":8},{"6":0},{"8":10},{"9":0}]</v>
      </c>
      <c r="AE147" t="str">
        <f>$N$1&amp;$P$1&amp;$T$1&amp;$C$2&amp;$T$1&amp;$R$1&amp;C148&amp;$Q$1&amp;$S$1&amp;$P$1&amp;$T$1&amp;$D$2&amp;$T$1&amp;$R$1&amp;D148&amp;$Q$1&amp;$S$1&amp;$P$1&amp;$T$1&amp;$E$2&amp;$T$1&amp;$R$1&amp;E148&amp;$Q$1&amp;$S$1&amp;$P$1&amp;$T$1&amp;$F$2&amp;$T$1&amp;$R$1&amp;L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[{"2":295},{"4":163},{"5":163},{"12":8073},{"7":8},{"6":0},{"8":10},{"9":0}]</v>
      </c>
      <c r="AG147">
        <v>145</v>
      </c>
      <c r="AH147">
        <f t="shared" si="26"/>
        <v>96</v>
      </c>
      <c r="AI147">
        <f t="shared" si="27"/>
        <v>96</v>
      </c>
      <c r="AJ147">
        <v>1160</v>
      </c>
      <c r="AK147">
        <v>4</v>
      </c>
      <c r="AL147">
        <v>8</v>
      </c>
      <c r="AM147">
        <v>0</v>
      </c>
      <c r="AN147">
        <v>10</v>
      </c>
    </row>
    <row r="148" customFormat="1" ht="16.5" spans="1:40">
      <c r="A148">
        <v>146</v>
      </c>
      <c r="B148">
        <f>$AP$2+AG148</f>
        <v>246</v>
      </c>
      <c r="C148">
        <f t="shared" si="23"/>
        <v>295</v>
      </c>
      <c r="D148">
        <f>AH148+$AQ$2</f>
        <v>163</v>
      </c>
      <c r="E148">
        <f t="shared" si="22"/>
        <v>163</v>
      </c>
      <c r="F148" s="4">
        <f>INT(主角属性配置!F148/3+$AS$2)</f>
        <v>16146</v>
      </c>
      <c r="G148">
        <v>8</v>
      </c>
      <c r="H148">
        <v>0</v>
      </c>
      <c r="I148">
        <v>10</v>
      </c>
      <c r="J148">
        <v>0</v>
      </c>
      <c r="K148" s="3">
        <f t="shared" si="24"/>
        <v>5382</v>
      </c>
      <c r="L148" s="3">
        <f t="shared" si="25"/>
        <v>8073</v>
      </c>
      <c r="N148" t="str">
        <f>$N$1&amp;$P$1&amp;$T$1&amp;$B$2&amp;$T$1&amp;$R$1&amp;B149&amp;$Q$1&amp;$S$1&amp;$P$1&amp;$T$1&amp;$D$2&amp;$T$1&amp;$R$1&amp;D149&amp;$Q$1&amp;$S$1&amp;$P$1&amp;$T$1&amp;$E$2&amp;$T$1&amp;$R$1&amp;E149&amp;$Q$1&amp;$S$1&amp;$P$1&amp;$T$1&amp;$F$2&amp;$T$1&amp;$R$1&amp;F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[{"1":247},{"4":164},{"5":164},{"12":16253},{"7":8},{"6":0},{"8":10},{"9":0}]</v>
      </c>
      <c r="W148" t="str">
        <f>$N$1&amp;$P$1&amp;$T$1&amp;$C$2&amp;$T$1&amp;$R$1&amp;C149&amp;$Q$1&amp;$S$1&amp;$P$1&amp;$T$1&amp;$D$2&amp;$T$1&amp;$R$1&amp;D149&amp;$Q$1&amp;$S$1&amp;$P$1&amp;$T$1&amp;$E$2&amp;$T$1&amp;$R$1&amp;E149&amp;$Q$1&amp;$S$1&amp;$P$1&amp;$T$1&amp;$F$2&amp;$T$1&amp;$R$1&amp;K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[{"2":296},{"4":164},{"5":164},{"12":5418},{"7":8},{"6":0},{"8":10},{"9":0}]</v>
      </c>
      <c r="AE148" t="str">
        <f>$N$1&amp;$P$1&amp;$T$1&amp;$C$2&amp;$T$1&amp;$R$1&amp;C149&amp;$Q$1&amp;$S$1&amp;$P$1&amp;$T$1&amp;$D$2&amp;$T$1&amp;$R$1&amp;D149&amp;$Q$1&amp;$S$1&amp;$P$1&amp;$T$1&amp;$E$2&amp;$T$1&amp;$R$1&amp;E149&amp;$Q$1&amp;$S$1&amp;$P$1&amp;$T$1&amp;$F$2&amp;$T$1&amp;$R$1&amp;L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[{"2":296},{"4":164},{"5":164},{"12":8127},{"7":8},{"6":0},{"8":10},{"9":0}]</v>
      </c>
      <c r="AG148">
        <v>146</v>
      </c>
      <c r="AH148">
        <f t="shared" si="26"/>
        <v>97</v>
      </c>
      <c r="AI148">
        <f t="shared" si="27"/>
        <v>97</v>
      </c>
      <c r="AJ148">
        <v>1168</v>
      </c>
      <c r="AK148">
        <v>4</v>
      </c>
      <c r="AL148">
        <v>8</v>
      </c>
      <c r="AM148">
        <v>0</v>
      </c>
      <c r="AN148">
        <v>10</v>
      </c>
    </row>
    <row r="149" customFormat="1" ht="16.5" spans="1:40">
      <c r="A149">
        <v>147</v>
      </c>
      <c r="B149">
        <f>$AP$2+AG149</f>
        <v>247</v>
      </c>
      <c r="C149">
        <f t="shared" si="23"/>
        <v>296</v>
      </c>
      <c r="D149">
        <f>AH149+$AQ$2</f>
        <v>164</v>
      </c>
      <c r="E149">
        <f t="shared" si="22"/>
        <v>164</v>
      </c>
      <c r="F149" s="4">
        <f>INT(主角属性配置!F149/3+$AS$2)</f>
        <v>16253</v>
      </c>
      <c r="G149">
        <v>8</v>
      </c>
      <c r="H149">
        <v>0</v>
      </c>
      <c r="I149">
        <v>10</v>
      </c>
      <c r="J149">
        <v>0</v>
      </c>
      <c r="K149" s="3">
        <f t="shared" si="24"/>
        <v>5418</v>
      </c>
      <c r="L149" s="3">
        <f t="shared" si="25"/>
        <v>8127</v>
      </c>
      <c r="N149" t="str">
        <f>$N$1&amp;$P$1&amp;$T$1&amp;$B$2&amp;$T$1&amp;$R$1&amp;B150&amp;$Q$1&amp;$S$1&amp;$P$1&amp;$T$1&amp;$D$2&amp;$T$1&amp;$R$1&amp;D150&amp;$Q$1&amp;$S$1&amp;$P$1&amp;$T$1&amp;$E$2&amp;$T$1&amp;$R$1&amp;E150&amp;$Q$1&amp;$S$1&amp;$P$1&amp;$T$1&amp;$F$2&amp;$T$1&amp;$R$1&amp;F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[{"1":248},{"4":164},{"5":164},{"12":16359},{"7":8},{"6":0},{"8":10},{"9":0}]</v>
      </c>
      <c r="W149" t="str">
        <f>$N$1&amp;$P$1&amp;$T$1&amp;$C$2&amp;$T$1&amp;$R$1&amp;C150&amp;$Q$1&amp;$S$1&amp;$P$1&amp;$T$1&amp;$D$2&amp;$T$1&amp;$R$1&amp;D150&amp;$Q$1&amp;$S$1&amp;$P$1&amp;$T$1&amp;$E$2&amp;$T$1&amp;$R$1&amp;E150&amp;$Q$1&amp;$S$1&amp;$P$1&amp;$T$1&amp;$F$2&amp;$T$1&amp;$R$1&amp;K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[{"2":297},{"4":164},{"5":164},{"12":5453},{"7":8},{"6":0},{"8":10},{"9":0}]</v>
      </c>
      <c r="AE149" t="str">
        <f>$N$1&amp;$P$1&amp;$T$1&amp;$C$2&amp;$T$1&amp;$R$1&amp;C150&amp;$Q$1&amp;$S$1&amp;$P$1&amp;$T$1&amp;$D$2&amp;$T$1&amp;$R$1&amp;D150&amp;$Q$1&amp;$S$1&amp;$P$1&amp;$T$1&amp;$E$2&amp;$T$1&amp;$R$1&amp;E150&amp;$Q$1&amp;$S$1&amp;$P$1&amp;$T$1&amp;$F$2&amp;$T$1&amp;$R$1&amp;L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[{"2":297},{"4":164},{"5":164},{"12":8180},{"7":8},{"6":0},{"8":10},{"9":0}]</v>
      </c>
      <c r="AG149">
        <v>147</v>
      </c>
      <c r="AH149">
        <f t="shared" si="26"/>
        <v>98</v>
      </c>
      <c r="AI149">
        <f t="shared" si="27"/>
        <v>98</v>
      </c>
      <c r="AJ149">
        <v>1177</v>
      </c>
      <c r="AK149">
        <v>4</v>
      </c>
      <c r="AL149">
        <v>8</v>
      </c>
      <c r="AM149">
        <v>0</v>
      </c>
      <c r="AN149">
        <v>10</v>
      </c>
    </row>
    <row r="150" customFormat="1" ht="16.5" spans="1:40">
      <c r="A150">
        <v>148</v>
      </c>
      <c r="B150">
        <f>$AP$2+AG150</f>
        <v>248</v>
      </c>
      <c r="C150">
        <f t="shared" si="23"/>
        <v>297</v>
      </c>
      <c r="D150">
        <f>AH150+$AQ$2</f>
        <v>164</v>
      </c>
      <c r="E150">
        <f t="shared" si="22"/>
        <v>164</v>
      </c>
      <c r="F150" s="4">
        <f>INT(主角属性配置!F150/3+$AS$2)</f>
        <v>16359</v>
      </c>
      <c r="G150">
        <v>8</v>
      </c>
      <c r="H150">
        <v>0</v>
      </c>
      <c r="I150">
        <v>10</v>
      </c>
      <c r="J150">
        <v>0</v>
      </c>
      <c r="K150" s="3">
        <f t="shared" si="24"/>
        <v>5453</v>
      </c>
      <c r="L150" s="3">
        <f t="shared" si="25"/>
        <v>8180</v>
      </c>
      <c r="N150" t="str">
        <f>$N$1&amp;$P$1&amp;$T$1&amp;$B$2&amp;$T$1&amp;$R$1&amp;B151&amp;$Q$1&amp;$S$1&amp;$P$1&amp;$T$1&amp;$D$2&amp;$T$1&amp;$R$1&amp;D151&amp;$Q$1&amp;$S$1&amp;$P$1&amp;$T$1&amp;$E$2&amp;$T$1&amp;$R$1&amp;E151&amp;$Q$1&amp;$S$1&amp;$P$1&amp;$T$1&amp;$F$2&amp;$T$1&amp;$R$1&amp;F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[{"1":249},{"4":165},{"5":165},{"12":16465},{"7":8},{"6":0},{"8":10},{"9":0}]</v>
      </c>
      <c r="W150" t="str">
        <f>$N$1&amp;$P$1&amp;$T$1&amp;$C$2&amp;$T$1&amp;$R$1&amp;C151&amp;$Q$1&amp;$S$1&amp;$P$1&amp;$T$1&amp;$D$2&amp;$T$1&amp;$R$1&amp;D151&amp;$Q$1&amp;$S$1&amp;$P$1&amp;$T$1&amp;$E$2&amp;$T$1&amp;$R$1&amp;E151&amp;$Q$1&amp;$S$1&amp;$P$1&amp;$T$1&amp;$F$2&amp;$T$1&amp;$R$1&amp;K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[{"2":298},{"4":165},{"5":165},{"12":5488},{"7":8},{"6":0},{"8":10},{"9":0}]</v>
      </c>
      <c r="AE150" t="str">
        <f>$N$1&amp;$P$1&amp;$T$1&amp;$C$2&amp;$T$1&amp;$R$1&amp;C151&amp;$Q$1&amp;$S$1&amp;$P$1&amp;$T$1&amp;$D$2&amp;$T$1&amp;$R$1&amp;D151&amp;$Q$1&amp;$S$1&amp;$P$1&amp;$T$1&amp;$E$2&amp;$T$1&amp;$R$1&amp;E151&amp;$Q$1&amp;$S$1&amp;$P$1&amp;$T$1&amp;$F$2&amp;$T$1&amp;$R$1&amp;L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[{"2":298},{"4":165},{"5":165},{"12":8233},{"7":8},{"6":0},{"8":10},{"9":0}]</v>
      </c>
      <c r="AG150">
        <v>148</v>
      </c>
      <c r="AH150">
        <f t="shared" si="26"/>
        <v>98</v>
      </c>
      <c r="AI150">
        <f t="shared" si="27"/>
        <v>98</v>
      </c>
      <c r="AJ150">
        <v>1185</v>
      </c>
      <c r="AK150">
        <v>4</v>
      </c>
      <c r="AL150">
        <v>8</v>
      </c>
      <c r="AM150">
        <v>0</v>
      </c>
      <c r="AN150">
        <v>10</v>
      </c>
    </row>
    <row r="151" customFormat="1" ht="16.5" spans="1:40">
      <c r="A151">
        <v>149</v>
      </c>
      <c r="B151">
        <f>$AP$2+AG151</f>
        <v>249</v>
      </c>
      <c r="C151">
        <f t="shared" si="23"/>
        <v>298</v>
      </c>
      <c r="D151">
        <f>AH151+$AQ$2</f>
        <v>165</v>
      </c>
      <c r="E151">
        <f t="shared" si="22"/>
        <v>165</v>
      </c>
      <c r="F151" s="4">
        <f>INT(主角属性配置!F151/3+$AS$2)</f>
        <v>16465</v>
      </c>
      <c r="G151">
        <v>8</v>
      </c>
      <c r="H151">
        <v>0</v>
      </c>
      <c r="I151">
        <v>10</v>
      </c>
      <c r="J151">
        <v>0</v>
      </c>
      <c r="K151" s="3">
        <f t="shared" si="24"/>
        <v>5488</v>
      </c>
      <c r="L151" s="3">
        <f t="shared" si="25"/>
        <v>8233</v>
      </c>
      <c r="N151" t="str">
        <f>$N$1&amp;$P$1&amp;$T$1&amp;$B$2&amp;$T$1&amp;$R$1&amp;B152&amp;$Q$1&amp;$S$1&amp;$P$1&amp;$T$1&amp;$D$2&amp;$T$1&amp;$R$1&amp;D152&amp;$Q$1&amp;$S$1&amp;$P$1&amp;$T$1&amp;$E$2&amp;$T$1&amp;$R$1&amp;E152&amp;$Q$1&amp;$S$1&amp;$P$1&amp;$T$1&amp;$F$2&amp;$T$1&amp;$R$1&amp;F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[{"1":250},{"4":166},{"5":166},{"12":16572},{"7":8},{"6":0},{"8":10},{"9":0}]</v>
      </c>
      <c r="W151" t="str">
        <f>$N$1&amp;$P$1&amp;$T$1&amp;$C$2&amp;$T$1&amp;$R$1&amp;C152&amp;$Q$1&amp;$S$1&amp;$P$1&amp;$T$1&amp;$D$2&amp;$T$1&amp;$R$1&amp;D152&amp;$Q$1&amp;$S$1&amp;$P$1&amp;$T$1&amp;$E$2&amp;$T$1&amp;$R$1&amp;E152&amp;$Q$1&amp;$S$1&amp;$P$1&amp;$T$1&amp;$F$2&amp;$T$1&amp;$R$1&amp;K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[{"2":300},{"4":166},{"5":166},{"12":5524},{"7":8},{"6":0},{"8":10},{"9":0}]</v>
      </c>
      <c r="AE151" t="str">
        <f>$N$1&amp;$P$1&amp;$T$1&amp;$C$2&amp;$T$1&amp;$R$1&amp;C152&amp;$Q$1&amp;$S$1&amp;$P$1&amp;$T$1&amp;$D$2&amp;$T$1&amp;$R$1&amp;D152&amp;$Q$1&amp;$S$1&amp;$P$1&amp;$T$1&amp;$E$2&amp;$T$1&amp;$R$1&amp;E152&amp;$Q$1&amp;$S$1&amp;$P$1&amp;$T$1&amp;$F$2&amp;$T$1&amp;$R$1&amp;L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[{"2":300},{"4":166},{"5":166},{"12":8286},{"7":8},{"6":0},{"8":10},{"9":0}]</v>
      </c>
      <c r="AG151">
        <v>149</v>
      </c>
      <c r="AH151">
        <f t="shared" si="26"/>
        <v>99</v>
      </c>
      <c r="AI151">
        <f t="shared" si="27"/>
        <v>99</v>
      </c>
      <c r="AJ151">
        <v>1194</v>
      </c>
      <c r="AK151">
        <v>4</v>
      </c>
      <c r="AL151">
        <v>8</v>
      </c>
      <c r="AM151">
        <v>0</v>
      </c>
      <c r="AN151">
        <v>10</v>
      </c>
    </row>
    <row r="152" customFormat="1" ht="16.5" spans="1:40">
      <c r="A152">
        <v>150</v>
      </c>
      <c r="B152">
        <f>$AP$2+AG152</f>
        <v>250</v>
      </c>
      <c r="C152">
        <f t="shared" si="23"/>
        <v>300</v>
      </c>
      <c r="D152">
        <f>AH152+$AQ$2</f>
        <v>166</v>
      </c>
      <c r="E152">
        <f t="shared" si="22"/>
        <v>166</v>
      </c>
      <c r="F152" s="4">
        <f>INT(主角属性配置!F152/3+$AS$2)</f>
        <v>16572</v>
      </c>
      <c r="G152">
        <v>8</v>
      </c>
      <c r="H152">
        <v>0</v>
      </c>
      <c r="I152">
        <v>10</v>
      </c>
      <c r="J152">
        <v>0</v>
      </c>
      <c r="K152" s="3">
        <f t="shared" si="24"/>
        <v>5524</v>
      </c>
      <c r="L152" s="3">
        <f t="shared" si="25"/>
        <v>8286</v>
      </c>
      <c r="N152" t="str">
        <f>$N$1&amp;$P$1&amp;$T$1&amp;$B$2&amp;$T$1&amp;$R$1&amp;B153&amp;$Q$1&amp;$S$1&amp;$P$1&amp;$T$1&amp;$D$2&amp;$T$1&amp;$R$1&amp;D153&amp;$Q$1&amp;$S$1&amp;$P$1&amp;$T$1&amp;$E$2&amp;$T$1&amp;$R$1&amp;E153&amp;$Q$1&amp;$S$1&amp;$P$1&amp;$T$1&amp;$F$2&amp;$T$1&amp;$R$1&amp;F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[{"1":},{"4":},{"5":},{"12":},{"7":},{"6":},{"8":},{"9":}]</v>
      </c>
      <c r="W152" t="str">
        <f>$N$1&amp;$P$1&amp;$T$1&amp;$C$2&amp;$T$1&amp;$R$1&amp;C153&amp;$Q$1&amp;$S$1&amp;$P$1&amp;$T$1&amp;$D$2&amp;$T$1&amp;$R$1&amp;D153&amp;$Q$1&amp;$S$1&amp;$P$1&amp;$T$1&amp;$E$2&amp;$T$1&amp;$R$1&amp;E153&amp;$Q$1&amp;$S$1&amp;$P$1&amp;$T$1&amp;$F$2&amp;$T$1&amp;$R$1&amp;K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[{"2":},{"4":},{"5":},{"12":},{"7":},{"6":},{"8":},{"9":}]</v>
      </c>
      <c r="AE152" t="str">
        <f>$N$1&amp;$P$1&amp;$T$1&amp;$C$2&amp;$T$1&amp;$R$1&amp;C153&amp;$Q$1&amp;$S$1&amp;$P$1&amp;$T$1&amp;$D$2&amp;$T$1&amp;$R$1&amp;D153&amp;$Q$1&amp;$S$1&amp;$P$1&amp;$T$1&amp;$E$2&amp;$T$1&amp;$R$1&amp;E153&amp;$Q$1&amp;$S$1&amp;$P$1&amp;$T$1&amp;$F$2&amp;$T$1&amp;$R$1&amp;L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[{"2":},{"4":},{"5":},{"12":},{"7":},{"6":},{"8":},{"9":}]</v>
      </c>
      <c r="AG152">
        <v>150</v>
      </c>
      <c r="AH152">
        <f t="shared" si="26"/>
        <v>100</v>
      </c>
      <c r="AI152">
        <f t="shared" si="27"/>
        <v>100</v>
      </c>
      <c r="AJ152">
        <v>1202</v>
      </c>
      <c r="AK152">
        <v>4</v>
      </c>
      <c r="AL152">
        <v>8</v>
      </c>
      <c r="AM152">
        <v>0</v>
      </c>
      <c r="AN152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2"/>
  <sheetViews>
    <sheetView workbookViewId="0">
      <selection activeCell="AG4" sqref="AG4"/>
    </sheetView>
  </sheetViews>
  <sheetFormatPr defaultColWidth="9" defaultRowHeight="13.5"/>
  <cols>
    <col min="6" max="6" width="10.875" style="1" customWidth="1"/>
    <col min="11" max="11" width="14.875" style="1" customWidth="1"/>
    <col min="12" max="12" width="10.875" style="1" customWidth="1"/>
    <col min="13" max="13" width="10.25" customWidth="1"/>
    <col min="30" max="30" width="10" customWidth="1"/>
    <col min="31" max="31" width="82.625" customWidth="1"/>
    <col min="32" max="32" width="10" customWidth="1"/>
  </cols>
  <sheetData>
    <row r="1" customFormat="1" spans="1:47">
      <c r="A1" t="s">
        <v>1</v>
      </c>
      <c r="B1" t="s">
        <v>12</v>
      </c>
      <c r="C1" t="s">
        <v>13</v>
      </c>
      <c r="D1" t="s">
        <v>14</v>
      </c>
      <c r="E1" t="s">
        <v>15</v>
      </c>
      <c r="F1" s="1" t="s">
        <v>16</v>
      </c>
      <c r="G1" t="s">
        <v>17</v>
      </c>
      <c r="H1" t="s">
        <v>18</v>
      </c>
      <c r="I1" t="s">
        <v>19</v>
      </c>
      <c r="J1" t="s">
        <v>20</v>
      </c>
      <c r="K1" s="1" t="s">
        <v>21</v>
      </c>
      <c r="L1" s="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29</v>
      </c>
      <c r="W1" t="s">
        <v>30</v>
      </c>
      <c r="AE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17</v>
      </c>
      <c r="AM1" t="s">
        <v>18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</row>
    <row r="2" customFormat="1" spans="1:47">
      <c r="A2">
        <v>0</v>
      </c>
      <c r="B2">
        <v>1</v>
      </c>
      <c r="C2">
        <v>2</v>
      </c>
      <c r="D2">
        <v>4</v>
      </c>
      <c r="E2">
        <v>5</v>
      </c>
      <c r="F2" s="1">
        <v>12</v>
      </c>
      <c r="G2">
        <v>7</v>
      </c>
      <c r="H2">
        <v>6</v>
      </c>
      <c r="I2">
        <v>8</v>
      </c>
      <c r="J2">
        <v>9</v>
      </c>
      <c r="K2" s="1">
        <f>INT(F2/4)</f>
        <v>3</v>
      </c>
      <c r="L2" s="1"/>
      <c r="N2" t="str">
        <f>$N$1&amp;$P$1&amp;$T$1&amp;$B$2&amp;$T$1&amp;$R$1&amp;B3&amp;$Q$1&amp;$S$1&amp;$P$1&amp;$T$1&amp;$C$2&amp;$T$1&amp;$R$1&amp;C3&amp;$Q$1&amp;$S$1&amp;$P$1&amp;$T$1&amp;$D$2&amp;$T$1&amp;$R$1&amp;D3&amp;$Q$1&amp;$S$1&amp;$P$1&amp;$T$1&amp;$E$2&amp;$T$1&amp;$R$1&amp;E3&amp;$Q$1&amp;$S$1&amp;$P$1&amp;$T$1&amp;$F$2&amp;$T$1&amp;$R$1&amp;F3&amp;$Q$1&amp;$O$1</f>
        <v>[{"1":112},{"2":91},{"4":74},{"5":74},{"12":1540}]</v>
      </c>
      <c r="W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K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[{"2":91},{"4":74},{"5":74},{"12":513},{"7":8},{"6":0},{"8":10},{"9":0}]</v>
      </c>
      <c r="AE2" t="str">
        <f>$N$1&amp;$P$1&amp;$T$1&amp;$C$2&amp;$T$1&amp;$R$1&amp;C3&amp;$Q$1&amp;$S$1&amp;$P$1&amp;$T$1&amp;$D$2&amp;$T$1&amp;$R$1&amp;D3&amp;$Q$1&amp;$S$1&amp;$P$1&amp;$T$1&amp;$E$2&amp;$T$1&amp;$R$1&amp;E3&amp;$Q$1&amp;$S$1&amp;$P$1&amp;$T$1&amp;$F$2&amp;$T$1&amp;$R$1&amp;L3&amp;$Q$1&amp;$S$1&amp;$P$1&amp;$T$1&amp;$G$2&amp;$T$1&amp;$R$1&amp;G3&amp;$Q$1&amp;$S$1&amp;$P$1&amp;$T$1&amp;$H$2&amp;$T$1&amp;$R$1&amp;H3&amp;$Q$1&amp;$S$1&amp;$P$1&amp;$T$1&amp;$I$2&amp;$T$1&amp;$R$1&amp;I3&amp;$Q$1&amp;$S$1&amp;$P$1&amp;$T$1&amp;$J$2&amp;$T$1&amp;$R$1&amp;J3&amp;$Q$1&amp;$O$1</f>
        <v>[{"2":91},{"4":74},{"5":74},{"12":770},{"7":8},{"6":0},{"8":10},{"9":0}]</v>
      </c>
      <c r="AG2">
        <v>1.5</v>
      </c>
      <c r="AH2">
        <v>1</v>
      </c>
      <c r="AI2">
        <v>1</v>
      </c>
      <c r="AJ2">
        <v>10</v>
      </c>
      <c r="AK2">
        <v>0.4</v>
      </c>
      <c r="AL2">
        <v>0.4</v>
      </c>
      <c r="AM2">
        <v>0.4</v>
      </c>
      <c r="AN2">
        <v>0.4</v>
      </c>
      <c r="AO2">
        <v>12</v>
      </c>
      <c r="AP2">
        <v>8</v>
      </c>
      <c r="AQ2">
        <v>8</v>
      </c>
      <c r="AR2">
        <v>220</v>
      </c>
      <c r="AS2">
        <v>10</v>
      </c>
      <c r="AT2">
        <v>0</v>
      </c>
      <c r="AU2">
        <v>10</v>
      </c>
    </row>
    <row r="3" customFormat="1" ht="16.5" spans="1:40">
      <c r="A3">
        <v>1</v>
      </c>
      <c r="B3">
        <f>$AO$2+AG3</f>
        <v>112</v>
      </c>
      <c r="C3">
        <f>INT(B3*0.82)</f>
        <v>91</v>
      </c>
      <c r="D3">
        <f>INT(B3/1.5)</f>
        <v>74</v>
      </c>
      <c r="E3">
        <f>D3</f>
        <v>74</v>
      </c>
      <c r="F3" s="2">
        <f>$AR$2+AJ3</f>
        <v>1540</v>
      </c>
      <c r="G3">
        <v>8</v>
      </c>
      <c r="H3">
        <v>0</v>
      </c>
      <c r="I3">
        <v>10</v>
      </c>
      <c r="J3">
        <v>0</v>
      </c>
      <c r="K3" s="2">
        <f>INT(F3/3)</f>
        <v>513</v>
      </c>
      <c r="L3" s="3">
        <f>INT(F3/2)</f>
        <v>770</v>
      </c>
      <c r="N3" t="str">
        <f t="shared" ref="N3:N34" si="0">$N$1&amp;$P$1&amp;$T$1&amp;$B$2&amp;$T$1&amp;$R$1&amp;B4&amp;$Q$1&amp;$S$1&amp;$P$1&amp;$T$1&amp;$C$2&amp;$T$1&amp;$R$1&amp;C4&amp;$Q$1&amp;$S$1&amp;$P$1&amp;$T$1&amp;$D$2&amp;$T$1&amp;$R$1&amp;D4&amp;$Q$1&amp;$S$1&amp;$P$1&amp;$T$1&amp;$E$2&amp;$T$1&amp;$R$1&amp;E4&amp;$Q$1&amp;$S$1&amp;$P$1&amp;$T$1&amp;$F$2&amp;$T$1&amp;$R$1&amp;F4&amp;$Q$1&amp;$O$1</f>
        <v>[{"1":114},{"2":93},{"4":76},{"5":76},{"12":1580}]</v>
      </c>
      <c r="W3" t="str">
        <f>$N$1&amp;$P$1&amp;$T$1&amp;$C$2&amp;$T$1&amp;$R$1&amp;C4&amp;$Q$1&amp;$S$1&amp;$P$1&amp;$T$1&amp;$D$2&amp;$T$1&amp;$R$1&amp;D4&amp;$Q$1&amp;$S$1&amp;$P$1&amp;$T$1&amp;$E$2&amp;$T$1&amp;$R$1&amp;E4&amp;$Q$1&amp;$S$1&amp;$P$1&amp;$T$1&amp;$F$2&amp;$T$1&amp;$R$1&amp;K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[{"2":93},{"4":76},{"5":76},{"12":526},{"7":8},{"6":0},{"8":10},{"9":0}]</v>
      </c>
      <c r="AE3" t="str">
        <f>$N$1&amp;$P$1&amp;$T$1&amp;$C$2&amp;$T$1&amp;$R$1&amp;C4&amp;$Q$1&amp;$S$1&amp;$P$1&amp;$T$1&amp;$D$2&amp;$T$1&amp;$R$1&amp;D4&amp;$Q$1&amp;$S$1&amp;$P$1&amp;$T$1&amp;$E$2&amp;$T$1&amp;$R$1&amp;E4&amp;$Q$1&amp;$S$1&amp;$P$1&amp;$T$1&amp;$F$2&amp;$T$1&amp;$R$1&amp;L4&amp;$Q$1&amp;$S$1&amp;$P$1&amp;$T$1&amp;$G$2&amp;$T$1&amp;$R$1&amp;G4&amp;$Q$1&amp;$S$1&amp;$P$1&amp;$T$1&amp;$H$2&amp;$T$1&amp;$R$1&amp;H4&amp;$Q$1&amp;$S$1&amp;$P$1&amp;$T$1&amp;$I$2&amp;$T$1&amp;$R$1&amp;I4&amp;$Q$1&amp;$S$1&amp;$P$1&amp;$T$1&amp;$J$2&amp;$T$1&amp;$R$1&amp;J4&amp;$Q$1&amp;$O$1</f>
        <v>[{"2":93},{"4":76},{"5":76},{"12":790},{"7":8},{"6":0},{"8":10},{"9":0}]</v>
      </c>
      <c r="AG3">
        <v>100</v>
      </c>
      <c r="AH3">
        <f>INT(AG3/1.5)</f>
        <v>66</v>
      </c>
      <c r="AI3">
        <f>AH3</f>
        <v>66</v>
      </c>
      <c r="AJ3">
        <f>AI3*20</f>
        <v>1320</v>
      </c>
      <c r="AK3">
        <v>4</v>
      </c>
      <c r="AL3">
        <v>8</v>
      </c>
      <c r="AM3">
        <v>0</v>
      </c>
      <c r="AN3">
        <v>10</v>
      </c>
    </row>
    <row r="4" customFormat="1" ht="16.5" spans="1:40">
      <c r="A4">
        <v>2</v>
      </c>
      <c r="B4">
        <f t="shared" ref="B4:B35" si="1">$AO$2+AG4</f>
        <v>114</v>
      </c>
      <c r="C4">
        <f t="shared" ref="C4:C35" si="2">INT(B4*0.82)</f>
        <v>93</v>
      </c>
      <c r="D4">
        <f t="shared" ref="D4:D35" si="3">INT(B4/1.5)</f>
        <v>76</v>
      </c>
      <c r="E4">
        <f t="shared" ref="E4:E35" si="4">D4</f>
        <v>76</v>
      </c>
      <c r="F4" s="2">
        <f t="shared" ref="F4:F35" si="5">$AR$2+AJ4</f>
        <v>1580</v>
      </c>
      <c r="G4">
        <v>8</v>
      </c>
      <c r="H4">
        <v>0</v>
      </c>
      <c r="I4">
        <v>10</v>
      </c>
      <c r="J4">
        <v>0</v>
      </c>
      <c r="K4" s="2">
        <f t="shared" ref="K4:K35" si="6">INT(F4/3)</f>
        <v>526</v>
      </c>
      <c r="L4" s="3">
        <f t="shared" ref="L4:L35" si="7">INT(F4/2)</f>
        <v>790</v>
      </c>
      <c r="N4" t="str">
        <f t="shared" si="0"/>
        <v>[{"1":116},{"2":95},{"4":77},{"5":77},{"12":1600}]</v>
      </c>
      <c r="W4" t="str">
        <f>$N$1&amp;$P$1&amp;$T$1&amp;$C$2&amp;$T$1&amp;$R$1&amp;C5&amp;$Q$1&amp;$S$1&amp;$P$1&amp;$T$1&amp;$D$2&amp;$T$1&amp;$R$1&amp;D5&amp;$Q$1&amp;$S$1&amp;$P$1&amp;$T$1&amp;$E$2&amp;$T$1&amp;$R$1&amp;E5&amp;$Q$1&amp;$S$1&amp;$P$1&amp;$T$1&amp;$F$2&amp;$T$1&amp;$R$1&amp;K5&amp;$Q$1&amp;$S$1&amp;$P$1&amp;$T$1&amp;$G$2&amp;$T$1&amp;$R$1&amp;G5&amp;$Q$1&amp;$S$1&amp;$P$1&amp;$T$1&amp;$H$2&amp;$T$1&amp;$R$1&amp;H5&amp;$Q$1&amp;$S$1&amp;$P$1&amp;$T$1&amp;$I$2&amp;$T$1&amp;$R$1&amp;I5&amp;$Q$1&amp;$S$1&amp;$P$1&amp;$T$1&amp;$J$2&amp;$T$1&amp;$R$1&amp;J5&amp;$Q$1&amp;$O$1</f>
        <v>[{"2":95},{"4":77},{"5":77},{"12":533},{"7":8},{"6":0},{"8":10},{"9":0}]</v>
      </c>
      <c r="AE4" t="str">
        <f>$N$1&amp;$P$1&amp;$T$1&amp;$C$2&amp;$T$1&amp;$R$1&amp;C5&amp;$Q$1&amp;$S$1&amp;$P$1&amp;$T$1&amp;$D$2&amp;$T$1&amp;$R$1&amp;D5&amp;$Q$1&amp;$S$1&amp;$P$1&amp;$T$1&amp;$E$2&amp;$T$1&amp;$R$1&amp;E5&amp;$Q$1&amp;$S$1&amp;$P$1&amp;$T$1&amp;$F$2&amp;$T$1&amp;$R$1&amp;L5&amp;$Q$1&amp;$S$1&amp;$P$1&amp;$T$1&amp;$G$2&amp;$T$1&amp;$R$1&amp;G5&amp;$Q$1&amp;$S$1&amp;$P$1&amp;$T$1&amp;$H$2&amp;$T$1&amp;$R$1&amp;H5&amp;$Q$1&amp;$S$1&amp;$P$1&amp;$T$1&amp;$I$2&amp;$T$1&amp;$R$1&amp;I5&amp;$Q$1&amp;$S$1&amp;$P$1&amp;$T$1&amp;$J$2&amp;$T$1&amp;$R$1&amp;J5&amp;$Q$1&amp;$O$1</f>
        <v>[{"2":95},{"4":77},{"5":77},{"12":800},{"7":8},{"6":0},{"8":10},{"9":0}]</v>
      </c>
      <c r="AG4">
        <v>102</v>
      </c>
      <c r="AH4">
        <f t="shared" ref="AH4:AH35" si="8">INT(AG4/1.5)</f>
        <v>68</v>
      </c>
      <c r="AI4">
        <f t="shared" ref="AI4:AI35" si="9">AH4</f>
        <v>68</v>
      </c>
      <c r="AJ4">
        <f t="shared" ref="AJ4:AJ35" si="10">AI4*20</f>
        <v>1360</v>
      </c>
      <c r="AK4">
        <v>4</v>
      </c>
      <c r="AL4">
        <v>8</v>
      </c>
      <c r="AM4">
        <v>0</v>
      </c>
      <c r="AN4">
        <v>10</v>
      </c>
    </row>
    <row r="5" customFormat="1" ht="16.5" spans="1:40">
      <c r="A5">
        <v>3</v>
      </c>
      <c r="B5">
        <f t="shared" si="1"/>
        <v>116</v>
      </c>
      <c r="C5">
        <f t="shared" si="2"/>
        <v>95</v>
      </c>
      <c r="D5">
        <f t="shared" si="3"/>
        <v>77</v>
      </c>
      <c r="E5">
        <f t="shared" si="4"/>
        <v>77</v>
      </c>
      <c r="F5" s="2">
        <f t="shared" si="5"/>
        <v>1600</v>
      </c>
      <c r="G5">
        <v>8</v>
      </c>
      <c r="H5">
        <v>0</v>
      </c>
      <c r="I5">
        <v>10</v>
      </c>
      <c r="J5">
        <v>0</v>
      </c>
      <c r="K5" s="2">
        <f t="shared" si="6"/>
        <v>533</v>
      </c>
      <c r="L5" s="3">
        <f t="shared" si="7"/>
        <v>800</v>
      </c>
      <c r="N5" t="str">
        <f t="shared" si="0"/>
        <v>[{"1":118},{"2":96},{"4":78},{"5":78},{"12":1620}]</v>
      </c>
      <c r="W5" t="str">
        <f>$N$1&amp;$P$1&amp;$T$1&amp;$C$2&amp;$T$1&amp;$R$1&amp;C6&amp;$Q$1&amp;$S$1&amp;$P$1&amp;$T$1&amp;$D$2&amp;$T$1&amp;$R$1&amp;D6&amp;$Q$1&amp;$S$1&amp;$P$1&amp;$T$1&amp;$E$2&amp;$T$1&amp;$R$1&amp;E6&amp;$Q$1&amp;$S$1&amp;$P$1&amp;$T$1&amp;$F$2&amp;$T$1&amp;$R$1&amp;K6&amp;$Q$1&amp;$S$1&amp;$P$1&amp;$T$1&amp;$G$2&amp;$T$1&amp;$R$1&amp;G6&amp;$Q$1&amp;$S$1&amp;$P$1&amp;$T$1&amp;$H$2&amp;$T$1&amp;$R$1&amp;H6&amp;$Q$1&amp;$S$1&amp;$P$1&amp;$T$1&amp;$I$2&amp;$T$1&amp;$R$1&amp;I6&amp;$Q$1&amp;$S$1&amp;$P$1&amp;$T$1&amp;$J$2&amp;$T$1&amp;$R$1&amp;J6&amp;$Q$1&amp;$O$1</f>
        <v>[{"2":96},{"4":78},{"5":78},{"12":540},{"7":8},{"6":0},{"8":10},{"9":0}]</v>
      </c>
      <c r="AE5" t="str">
        <f>$N$1&amp;$P$1&amp;$T$1&amp;$C$2&amp;$T$1&amp;$R$1&amp;C6&amp;$Q$1&amp;$S$1&amp;$P$1&amp;$T$1&amp;$D$2&amp;$T$1&amp;$R$1&amp;D6&amp;$Q$1&amp;$S$1&amp;$P$1&amp;$T$1&amp;$E$2&amp;$T$1&amp;$R$1&amp;E6&amp;$Q$1&amp;$S$1&amp;$P$1&amp;$T$1&amp;$F$2&amp;$T$1&amp;$R$1&amp;L6&amp;$Q$1&amp;$S$1&amp;$P$1&amp;$T$1&amp;$G$2&amp;$T$1&amp;$R$1&amp;G6&amp;$Q$1&amp;$S$1&amp;$P$1&amp;$T$1&amp;$H$2&amp;$T$1&amp;$R$1&amp;H6&amp;$Q$1&amp;$S$1&amp;$P$1&amp;$T$1&amp;$I$2&amp;$T$1&amp;$R$1&amp;I6&amp;$Q$1&amp;$S$1&amp;$P$1&amp;$T$1&amp;$J$2&amp;$T$1&amp;$R$1&amp;J6&amp;$Q$1&amp;$O$1</f>
        <v>[{"2":96},{"4":78},{"5":78},{"12":810},{"7":8},{"6":0},{"8":10},{"9":0}]</v>
      </c>
      <c r="AG5">
        <v>104</v>
      </c>
      <c r="AH5">
        <f t="shared" si="8"/>
        <v>69</v>
      </c>
      <c r="AI5">
        <f t="shared" si="9"/>
        <v>69</v>
      </c>
      <c r="AJ5">
        <f t="shared" si="10"/>
        <v>1380</v>
      </c>
      <c r="AK5">
        <v>4</v>
      </c>
      <c r="AL5">
        <v>8</v>
      </c>
      <c r="AM5">
        <v>0</v>
      </c>
      <c r="AN5">
        <v>10</v>
      </c>
    </row>
    <row r="6" customFormat="1" ht="16.5" spans="1:40">
      <c r="A6">
        <v>4</v>
      </c>
      <c r="B6">
        <f t="shared" si="1"/>
        <v>118</v>
      </c>
      <c r="C6">
        <f t="shared" si="2"/>
        <v>96</v>
      </c>
      <c r="D6">
        <f t="shared" si="3"/>
        <v>78</v>
      </c>
      <c r="E6">
        <f t="shared" si="4"/>
        <v>78</v>
      </c>
      <c r="F6" s="2">
        <f t="shared" si="5"/>
        <v>1620</v>
      </c>
      <c r="G6">
        <v>8</v>
      </c>
      <c r="H6">
        <v>0</v>
      </c>
      <c r="I6">
        <v>10</v>
      </c>
      <c r="J6">
        <v>0</v>
      </c>
      <c r="K6" s="2">
        <f t="shared" si="6"/>
        <v>540</v>
      </c>
      <c r="L6" s="3">
        <f t="shared" si="7"/>
        <v>810</v>
      </c>
      <c r="N6" t="str">
        <f t="shared" si="0"/>
        <v>[{"1":120},{"2":98},{"4":80},{"5":80},{"12":1660}]</v>
      </c>
      <c r="W6" t="str">
        <f>$N$1&amp;$P$1&amp;$T$1&amp;$C$2&amp;$T$1&amp;$R$1&amp;C7&amp;$Q$1&amp;$S$1&amp;$P$1&amp;$T$1&amp;$D$2&amp;$T$1&amp;$R$1&amp;D7&amp;$Q$1&amp;$S$1&amp;$P$1&amp;$T$1&amp;$E$2&amp;$T$1&amp;$R$1&amp;E7&amp;$Q$1&amp;$S$1&amp;$P$1&amp;$T$1&amp;$F$2&amp;$T$1&amp;$R$1&amp;K7&amp;$Q$1&amp;$S$1&amp;$P$1&amp;$T$1&amp;$G$2&amp;$T$1&amp;$R$1&amp;G7&amp;$Q$1&amp;$S$1&amp;$P$1&amp;$T$1&amp;$H$2&amp;$T$1&amp;$R$1&amp;H7&amp;$Q$1&amp;$S$1&amp;$P$1&amp;$T$1&amp;$I$2&amp;$T$1&amp;$R$1&amp;I7&amp;$Q$1&amp;$S$1&amp;$P$1&amp;$T$1&amp;$J$2&amp;$T$1&amp;$R$1&amp;J7&amp;$Q$1&amp;$O$1</f>
        <v>[{"2":98},{"4":80},{"5":80},{"12":553},{"7":8},{"6":0},{"8":10},{"9":0}]</v>
      </c>
      <c r="AE6" t="str">
        <f>$N$1&amp;$P$1&amp;$T$1&amp;$C$2&amp;$T$1&amp;$R$1&amp;C7&amp;$Q$1&amp;$S$1&amp;$P$1&amp;$T$1&amp;$D$2&amp;$T$1&amp;$R$1&amp;D7&amp;$Q$1&amp;$S$1&amp;$P$1&amp;$T$1&amp;$E$2&amp;$T$1&amp;$R$1&amp;E7&amp;$Q$1&amp;$S$1&amp;$P$1&amp;$T$1&amp;$F$2&amp;$T$1&amp;$R$1&amp;L7&amp;$Q$1&amp;$S$1&amp;$P$1&amp;$T$1&amp;$G$2&amp;$T$1&amp;$R$1&amp;G7&amp;$Q$1&amp;$S$1&amp;$P$1&amp;$T$1&amp;$H$2&amp;$T$1&amp;$R$1&amp;H7&amp;$Q$1&amp;$S$1&amp;$P$1&amp;$T$1&amp;$I$2&amp;$T$1&amp;$R$1&amp;I7&amp;$Q$1&amp;$S$1&amp;$P$1&amp;$T$1&amp;$J$2&amp;$T$1&amp;$R$1&amp;J7&amp;$Q$1&amp;$O$1</f>
        <v>[{"2":98},{"4":80},{"5":80},{"12":830},{"7":8},{"6":0},{"8":10},{"9":0}]</v>
      </c>
      <c r="AG6">
        <v>106</v>
      </c>
      <c r="AH6">
        <f t="shared" si="8"/>
        <v>70</v>
      </c>
      <c r="AI6">
        <f t="shared" si="9"/>
        <v>70</v>
      </c>
      <c r="AJ6">
        <f t="shared" si="10"/>
        <v>1400</v>
      </c>
      <c r="AK6">
        <v>4</v>
      </c>
      <c r="AL6">
        <v>8</v>
      </c>
      <c r="AM6">
        <v>0</v>
      </c>
      <c r="AN6">
        <v>10</v>
      </c>
    </row>
    <row r="7" customFormat="1" ht="16.5" spans="1:40">
      <c r="A7">
        <v>5</v>
      </c>
      <c r="B7">
        <f t="shared" si="1"/>
        <v>120</v>
      </c>
      <c r="C7">
        <f t="shared" si="2"/>
        <v>98</v>
      </c>
      <c r="D7">
        <f t="shared" si="3"/>
        <v>80</v>
      </c>
      <c r="E7">
        <f t="shared" si="4"/>
        <v>80</v>
      </c>
      <c r="F7" s="2">
        <f t="shared" si="5"/>
        <v>1660</v>
      </c>
      <c r="G7">
        <v>8</v>
      </c>
      <c r="H7">
        <v>0</v>
      </c>
      <c r="I7">
        <v>10</v>
      </c>
      <c r="J7">
        <v>0</v>
      </c>
      <c r="K7" s="2">
        <f t="shared" si="6"/>
        <v>553</v>
      </c>
      <c r="L7" s="3">
        <f t="shared" si="7"/>
        <v>830</v>
      </c>
      <c r="N7" t="str">
        <f t="shared" si="0"/>
        <v>[{"1":122},{"2":100},{"4":81},{"5":81},{"12":1680}]</v>
      </c>
      <c r="W7" t="str">
        <f>$N$1&amp;$P$1&amp;$T$1&amp;$C$2&amp;$T$1&amp;$R$1&amp;C8&amp;$Q$1&amp;$S$1&amp;$P$1&amp;$T$1&amp;$D$2&amp;$T$1&amp;$R$1&amp;D8&amp;$Q$1&amp;$S$1&amp;$P$1&amp;$T$1&amp;$E$2&amp;$T$1&amp;$R$1&amp;E8&amp;$Q$1&amp;$S$1&amp;$P$1&amp;$T$1&amp;$F$2&amp;$T$1&amp;$R$1&amp;K8&amp;$Q$1&amp;$S$1&amp;$P$1&amp;$T$1&amp;$G$2&amp;$T$1&amp;$R$1&amp;G8&amp;$Q$1&amp;$S$1&amp;$P$1&amp;$T$1&amp;$H$2&amp;$T$1&amp;$R$1&amp;H8&amp;$Q$1&amp;$S$1&amp;$P$1&amp;$T$1&amp;$I$2&amp;$T$1&amp;$R$1&amp;I8&amp;$Q$1&amp;$S$1&amp;$P$1&amp;$T$1&amp;$J$2&amp;$T$1&amp;$R$1&amp;J8&amp;$Q$1&amp;$O$1</f>
        <v>[{"2":100},{"4":81},{"5":81},{"12":560},{"7":8},{"6":0},{"8":10},{"9":0}]</v>
      </c>
      <c r="AE7" t="str">
        <f>$N$1&amp;$P$1&amp;$T$1&amp;$C$2&amp;$T$1&amp;$R$1&amp;C8&amp;$Q$1&amp;$S$1&amp;$P$1&amp;$T$1&amp;$D$2&amp;$T$1&amp;$R$1&amp;D8&amp;$Q$1&amp;$S$1&amp;$P$1&amp;$T$1&amp;$E$2&amp;$T$1&amp;$R$1&amp;E8&amp;$Q$1&amp;$S$1&amp;$P$1&amp;$T$1&amp;$F$2&amp;$T$1&amp;$R$1&amp;L8&amp;$Q$1&amp;$S$1&amp;$P$1&amp;$T$1&amp;$G$2&amp;$T$1&amp;$R$1&amp;G8&amp;$Q$1&amp;$S$1&amp;$P$1&amp;$T$1&amp;$H$2&amp;$T$1&amp;$R$1&amp;H8&amp;$Q$1&amp;$S$1&amp;$P$1&amp;$T$1&amp;$I$2&amp;$T$1&amp;$R$1&amp;I8&amp;$Q$1&amp;$S$1&amp;$P$1&amp;$T$1&amp;$J$2&amp;$T$1&amp;$R$1&amp;J8&amp;$Q$1&amp;$O$1</f>
        <v>[{"2":100},{"4":81},{"5":81},{"12":840},{"7":8},{"6":0},{"8":10},{"9":0}]</v>
      </c>
      <c r="AG7">
        <v>108</v>
      </c>
      <c r="AH7">
        <f t="shared" si="8"/>
        <v>72</v>
      </c>
      <c r="AI7">
        <f t="shared" si="9"/>
        <v>72</v>
      </c>
      <c r="AJ7">
        <f t="shared" si="10"/>
        <v>1440</v>
      </c>
      <c r="AK7">
        <v>4</v>
      </c>
      <c r="AL7">
        <v>8</v>
      </c>
      <c r="AM7">
        <v>0</v>
      </c>
      <c r="AN7">
        <v>10</v>
      </c>
    </row>
    <row r="8" customFormat="1" ht="16.5" spans="1:40">
      <c r="A8">
        <v>6</v>
      </c>
      <c r="B8">
        <f t="shared" si="1"/>
        <v>122</v>
      </c>
      <c r="C8">
        <f t="shared" si="2"/>
        <v>100</v>
      </c>
      <c r="D8">
        <f t="shared" si="3"/>
        <v>81</v>
      </c>
      <c r="E8">
        <f t="shared" si="4"/>
        <v>81</v>
      </c>
      <c r="F8" s="2">
        <f t="shared" si="5"/>
        <v>1680</v>
      </c>
      <c r="G8">
        <v>8</v>
      </c>
      <c r="H8">
        <v>0</v>
      </c>
      <c r="I8">
        <v>10</v>
      </c>
      <c r="J8">
        <v>0</v>
      </c>
      <c r="K8" s="2">
        <f t="shared" si="6"/>
        <v>560</v>
      </c>
      <c r="L8" s="3">
        <f t="shared" si="7"/>
        <v>840</v>
      </c>
      <c r="N8" t="str">
        <f t="shared" si="0"/>
        <v>[{"1":124},{"2":101},{"4":82},{"5":82},{"12":1700}]</v>
      </c>
      <c r="W8" t="str">
        <f>$N$1&amp;$P$1&amp;$T$1&amp;$C$2&amp;$T$1&amp;$R$1&amp;C9&amp;$Q$1&amp;$S$1&amp;$P$1&amp;$T$1&amp;$D$2&amp;$T$1&amp;$R$1&amp;D9&amp;$Q$1&amp;$S$1&amp;$P$1&amp;$T$1&amp;$E$2&amp;$T$1&amp;$R$1&amp;E9&amp;$Q$1&amp;$S$1&amp;$P$1&amp;$T$1&amp;$F$2&amp;$T$1&amp;$R$1&amp;K9&amp;$Q$1&amp;$S$1&amp;$P$1&amp;$T$1&amp;$G$2&amp;$T$1&amp;$R$1&amp;G9&amp;$Q$1&amp;$S$1&amp;$P$1&amp;$T$1&amp;$H$2&amp;$T$1&amp;$R$1&amp;H9&amp;$Q$1&amp;$S$1&amp;$P$1&amp;$T$1&amp;$I$2&amp;$T$1&amp;$R$1&amp;I9&amp;$Q$1&amp;$S$1&amp;$P$1&amp;$T$1&amp;$J$2&amp;$T$1&amp;$R$1&amp;J9&amp;$Q$1&amp;$O$1</f>
        <v>[{"2":101},{"4":82},{"5":82},{"12":566},{"7":8},{"6":0},{"8":10},{"9":0}]</v>
      </c>
      <c r="AE8" t="str">
        <f>$N$1&amp;$P$1&amp;$T$1&amp;$C$2&amp;$T$1&amp;$R$1&amp;C9&amp;$Q$1&amp;$S$1&amp;$P$1&amp;$T$1&amp;$D$2&amp;$T$1&amp;$R$1&amp;D9&amp;$Q$1&amp;$S$1&amp;$P$1&amp;$T$1&amp;$E$2&amp;$T$1&amp;$R$1&amp;E9&amp;$Q$1&amp;$S$1&amp;$P$1&amp;$T$1&amp;$F$2&amp;$T$1&amp;$R$1&amp;L9&amp;$Q$1&amp;$S$1&amp;$P$1&amp;$T$1&amp;$G$2&amp;$T$1&amp;$R$1&amp;G9&amp;$Q$1&amp;$S$1&amp;$P$1&amp;$T$1&amp;$H$2&amp;$T$1&amp;$R$1&amp;H9&amp;$Q$1&amp;$S$1&amp;$P$1&amp;$T$1&amp;$I$2&amp;$T$1&amp;$R$1&amp;I9&amp;$Q$1&amp;$S$1&amp;$P$1&amp;$T$1&amp;$J$2&amp;$T$1&amp;$R$1&amp;J9&amp;$Q$1&amp;$O$1</f>
        <v>[{"2":101},{"4":82},{"5":82},{"12":850},{"7":8},{"6":0},{"8":10},{"9":0}]</v>
      </c>
      <c r="AG8">
        <v>110</v>
      </c>
      <c r="AH8">
        <f t="shared" si="8"/>
        <v>73</v>
      </c>
      <c r="AI8">
        <f t="shared" si="9"/>
        <v>73</v>
      </c>
      <c r="AJ8">
        <f t="shared" si="10"/>
        <v>1460</v>
      </c>
      <c r="AK8">
        <v>4</v>
      </c>
      <c r="AL8">
        <v>8</v>
      </c>
      <c r="AM8">
        <v>0</v>
      </c>
      <c r="AN8">
        <v>10</v>
      </c>
    </row>
    <row r="9" customFormat="1" ht="16.5" spans="1:40">
      <c r="A9">
        <v>7</v>
      </c>
      <c r="B9">
        <f t="shared" si="1"/>
        <v>124</v>
      </c>
      <c r="C9">
        <f t="shared" si="2"/>
        <v>101</v>
      </c>
      <c r="D9">
        <f t="shared" si="3"/>
        <v>82</v>
      </c>
      <c r="E9">
        <f t="shared" si="4"/>
        <v>82</v>
      </c>
      <c r="F9" s="2">
        <f t="shared" si="5"/>
        <v>1700</v>
      </c>
      <c r="G9">
        <v>8</v>
      </c>
      <c r="H9">
        <v>0</v>
      </c>
      <c r="I9">
        <v>10</v>
      </c>
      <c r="J9">
        <v>0</v>
      </c>
      <c r="K9" s="2">
        <f t="shared" si="6"/>
        <v>566</v>
      </c>
      <c r="L9" s="3">
        <f t="shared" si="7"/>
        <v>850</v>
      </c>
      <c r="N9" t="str">
        <f t="shared" si="0"/>
        <v>[{"1":126},{"2":103},{"4":84},{"5":84},{"12":1740}]</v>
      </c>
      <c r="W9" t="str">
        <f>$N$1&amp;$P$1&amp;$T$1&amp;$C$2&amp;$T$1&amp;$R$1&amp;C10&amp;$Q$1&amp;$S$1&amp;$P$1&amp;$T$1&amp;$D$2&amp;$T$1&amp;$R$1&amp;D10&amp;$Q$1&amp;$S$1&amp;$P$1&amp;$T$1&amp;$E$2&amp;$T$1&amp;$R$1&amp;E10&amp;$Q$1&amp;$S$1&amp;$P$1&amp;$T$1&amp;$F$2&amp;$T$1&amp;$R$1&amp;K10&amp;$Q$1&amp;$S$1&amp;$P$1&amp;$T$1&amp;$G$2&amp;$T$1&amp;$R$1&amp;G10&amp;$Q$1&amp;$S$1&amp;$P$1&amp;$T$1&amp;$H$2&amp;$T$1&amp;$R$1&amp;H10&amp;$Q$1&amp;$S$1&amp;$P$1&amp;$T$1&amp;$I$2&amp;$T$1&amp;$R$1&amp;I10&amp;$Q$1&amp;$S$1&amp;$P$1&amp;$T$1&amp;$J$2&amp;$T$1&amp;$R$1&amp;J10&amp;$Q$1&amp;$O$1</f>
        <v>[{"2":103},{"4":84},{"5":84},{"12":580},{"7":8},{"6":0},{"8":10},{"9":0}]</v>
      </c>
      <c r="AE9" t="str">
        <f>$N$1&amp;$P$1&amp;$T$1&amp;$C$2&amp;$T$1&amp;$R$1&amp;C10&amp;$Q$1&amp;$S$1&amp;$P$1&amp;$T$1&amp;$D$2&amp;$T$1&amp;$R$1&amp;D10&amp;$Q$1&amp;$S$1&amp;$P$1&amp;$T$1&amp;$E$2&amp;$T$1&amp;$R$1&amp;E10&amp;$Q$1&amp;$S$1&amp;$P$1&amp;$T$1&amp;$F$2&amp;$T$1&amp;$R$1&amp;L10&amp;$Q$1&amp;$S$1&amp;$P$1&amp;$T$1&amp;$G$2&amp;$T$1&amp;$R$1&amp;G10&amp;$Q$1&amp;$S$1&amp;$P$1&amp;$T$1&amp;$H$2&amp;$T$1&amp;$R$1&amp;H10&amp;$Q$1&amp;$S$1&amp;$P$1&amp;$T$1&amp;$I$2&amp;$T$1&amp;$R$1&amp;I10&amp;$Q$1&amp;$S$1&amp;$P$1&amp;$T$1&amp;$J$2&amp;$T$1&amp;$R$1&amp;J10&amp;$Q$1&amp;$O$1</f>
        <v>[{"2":103},{"4":84},{"5":84},{"12":870},{"7":8},{"6":0},{"8":10},{"9":0}]</v>
      </c>
      <c r="AG9">
        <v>112</v>
      </c>
      <c r="AH9">
        <f t="shared" si="8"/>
        <v>74</v>
      </c>
      <c r="AI9">
        <f t="shared" si="9"/>
        <v>74</v>
      </c>
      <c r="AJ9">
        <f t="shared" si="10"/>
        <v>1480</v>
      </c>
      <c r="AK9">
        <v>4</v>
      </c>
      <c r="AL9">
        <v>8</v>
      </c>
      <c r="AM9">
        <v>0</v>
      </c>
      <c r="AN9">
        <v>10</v>
      </c>
    </row>
    <row r="10" customFormat="1" ht="16.5" spans="1:40">
      <c r="A10">
        <v>8</v>
      </c>
      <c r="B10">
        <f t="shared" si="1"/>
        <v>126</v>
      </c>
      <c r="C10">
        <f t="shared" si="2"/>
        <v>103</v>
      </c>
      <c r="D10">
        <f t="shared" si="3"/>
        <v>84</v>
      </c>
      <c r="E10">
        <f t="shared" si="4"/>
        <v>84</v>
      </c>
      <c r="F10" s="2">
        <f t="shared" si="5"/>
        <v>1740</v>
      </c>
      <c r="G10">
        <v>8</v>
      </c>
      <c r="H10">
        <v>0</v>
      </c>
      <c r="I10">
        <v>10</v>
      </c>
      <c r="J10">
        <v>0</v>
      </c>
      <c r="K10" s="2">
        <f t="shared" si="6"/>
        <v>580</v>
      </c>
      <c r="L10" s="3">
        <f t="shared" si="7"/>
        <v>870</v>
      </c>
      <c r="N10" t="str">
        <f t="shared" si="0"/>
        <v>[{"1":128},{"2":104},{"4":85},{"5":85},{"12":1760}]</v>
      </c>
      <c r="W10" t="str">
        <f>$N$1&amp;$P$1&amp;$T$1&amp;$C$2&amp;$T$1&amp;$R$1&amp;C11&amp;$Q$1&amp;$S$1&amp;$P$1&amp;$T$1&amp;$D$2&amp;$T$1&amp;$R$1&amp;D11&amp;$Q$1&amp;$S$1&amp;$P$1&amp;$T$1&amp;$E$2&amp;$T$1&amp;$R$1&amp;E11&amp;$Q$1&amp;$S$1&amp;$P$1&amp;$T$1&amp;$F$2&amp;$T$1&amp;$R$1&amp;K11&amp;$Q$1&amp;$S$1&amp;$P$1&amp;$T$1&amp;$G$2&amp;$T$1&amp;$R$1&amp;G11&amp;$Q$1&amp;$S$1&amp;$P$1&amp;$T$1&amp;$H$2&amp;$T$1&amp;$R$1&amp;H11&amp;$Q$1&amp;$S$1&amp;$P$1&amp;$T$1&amp;$I$2&amp;$T$1&amp;$R$1&amp;I11&amp;$Q$1&amp;$S$1&amp;$P$1&amp;$T$1&amp;$J$2&amp;$T$1&amp;$R$1&amp;J11&amp;$Q$1&amp;$O$1</f>
        <v>[{"2":104},{"4":85},{"5":85},{"12":586},{"7":8},{"6":0},{"8":10},{"9":0}]</v>
      </c>
      <c r="AE10" t="str">
        <f>$N$1&amp;$P$1&amp;$T$1&amp;$C$2&amp;$T$1&amp;$R$1&amp;C11&amp;$Q$1&amp;$S$1&amp;$P$1&amp;$T$1&amp;$D$2&amp;$T$1&amp;$R$1&amp;D11&amp;$Q$1&amp;$S$1&amp;$P$1&amp;$T$1&amp;$E$2&amp;$T$1&amp;$R$1&amp;E11&amp;$Q$1&amp;$S$1&amp;$P$1&amp;$T$1&amp;$F$2&amp;$T$1&amp;$R$1&amp;L11&amp;$Q$1&amp;$S$1&amp;$P$1&amp;$T$1&amp;$G$2&amp;$T$1&amp;$R$1&amp;G11&amp;$Q$1&amp;$S$1&amp;$P$1&amp;$T$1&amp;$H$2&amp;$T$1&amp;$R$1&amp;H11&amp;$Q$1&amp;$S$1&amp;$P$1&amp;$T$1&amp;$I$2&amp;$T$1&amp;$R$1&amp;I11&amp;$Q$1&amp;$S$1&amp;$P$1&amp;$T$1&amp;$J$2&amp;$T$1&amp;$R$1&amp;J11&amp;$Q$1&amp;$O$1</f>
        <v>[{"2":104},{"4":85},{"5":85},{"12":880},{"7":8},{"6":0},{"8":10},{"9":0}]</v>
      </c>
      <c r="AG10">
        <v>114</v>
      </c>
      <c r="AH10">
        <f t="shared" si="8"/>
        <v>76</v>
      </c>
      <c r="AI10">
        <f t="shared" si="9"/>
        <v>76</v>
      </c>
      <c r="AJ10">
        <f t="shared" si="10"/>
        <v>1520</v>
      </c>
      <c r="AK10">
        <v>4</v>
      </c>
      <c r="AL10">
        <v>8</v>
      </c>
      <c r="AM10">
        <v>0</v>
      </c>
      <c r="AN10">
        <v>10</v>
      </c>
    </row>
    <row r="11" customFormat="1" ht="16.5" spans="1:40">
      <c r="A11">
        <v>9</v>
      </c>
      <c r="B11">
        <f t="shared" si="1"/>
        <v>128</v>
      </c>
      <c r="C11">
        <f t="shared" si="2"/>
        <v>104</v>
      </c>
      <c r="D11">
        <f t="shared" si="3"/>
        <v>85</v>
      </c>
      <c r="E11">
        <f t="shared" si="4"/>
        <v>85</v>
      </c>
      <c r="F11" s="2">
        <f t="shared" si="5"/>
        <v>1760</v>
      </c>
      <c r="G11">
        <v>8</v>
      </c>
      <c r="H11">
        <v>0</v>
      </c>
      <c r="I11">
        <v>10</v>
      </c>
      <c r="J11">
        <v>0</v>
      </c>
      <c r="K11" s="2">
        <f t="shared" si="6"/>
        <v>586</v>
      </c>
      <c r="L11" s="3">
        <f t="shared" si="7"/>
        <v>880</v>
      </c>
      <c r="N11" t="str">
        <f t="shared" si="0"/>
        <v>[{"1":130},{"2":106},{"4":86},{"5":86},{"12":1780}]</v>
      </c>
      <c r="W11" t="str">
        <f>$N$1&amp;$P$1&amp;$T$1&amp;$C$2&amp;$T$1&amp;$R$1&amp;C12&amp;$Q$1&amp;$S$1&amp;$P$1&amp;$T$1&amp;$D$2&amp;$T$1&amp;$R$1&amp;D12&amp;$Q$1&amp;$S$1&amp;$P$1&amp;$T$1&amp;$E$2&amp;$T$1&amp;$R$1&amp;E12&amp;$Q$1&amp;$S$1&amp;$P$1&amp;$T$1&amp;$F$2&amp;$T$1&amp;$R$1&amp;K12&amp;$Q$1&amp;$S$1&amp;$P$1&amp;$T$1&amp;$G$2&amp;$T$1&amp;$R$1&amp;G12&amp;$Q$1&amp;$S$1&amp;$P$1&amp;$T$1&amp;$H$2&amp;$T$1&amp;$R$1&amp;H12&amp;$Q$1&amp;$S$1&amp;$P$1&amp;$T$1&amp;$I$2&amp;$T$1&amp;$R$1&amp;I12&amp;$Q$1&amp;$S$1&amp;$P$1&amp;$T$1&amp;$J$2&amp;$T$1&amp;$R$1&amp;J12&amp;$Q$1&amp;$O$1</f>
        <v>[{"2":106},{"4":86},{"5":86},{"12":593},{"7":8},{"6":0},{"8":10},{"9":0}]</v>
      </c>
      <c r="AE11" t="str">
        <f>$N$1&amp;$P$1&amp;$T$1&amp;$C$2&amp;$T$1&amp;$R$1&amp;C12&amp;$Q$1&amp;$S$1&amp;$P$1&amp;$T$1&amp;$D$2&amp;$T$1&amp;$R$1&amp;D12&amp;$Q$1&amp;$S$1&amp;$P$1&amp;$T$1&amp;$E$2&amp;$T$1&amp;$R$1&amp;E12&amp;$Q$1&amp;$S$1&amp;$P$1&amp;$T$1&amp;$F$2&amp;$T$1&amp;$R$1&amp;L12&amp;$Q$1&amp;$S$1&amp;$P$1&amp;$T$1&amp;$G$2&amp;$T$1&amp;$R$1&amp;G12&amp;$Q$1&amp;$S$1&amp;$P$1&amp;$T$1&amp;$H$2&amp;$T$1&amp;$R$1&amp;H12&amp;$Q$1&amp;$S$1&amp;$P$1&amp;$T$1&amp;$I$2&amp;$T$1&amp;$R$1&amp;I12&amp;$Q$1&amp;$S$1&amp;$P$1&amp;$T$1&amp;$J$2&amp;$T$1&amp;$R$1&amp;J12&amp;$Q$1&amp;$O$1</f>
        <v>[{"2":106},{"4":86},{"5":86},{"12":890},{"7":8},{"6":0},{"8":10},{"9":0}]</v>
      </c>
      <c r="AG11">
        <v>116</v>
      </c>
      <c r="AH11">
        <f t="shared" si="8"/>
        <v>77</v>
      </c>
      <c r="AI11">
        <f t="shared" si="9"/>
        <v>77</v>
      </c>
      <c r="AJ11">
        <f t="shared" si="10"/>
        <v>1540</v>
      </c>
      <c r="AK11">
        <v>4</v>
      </c>
      <c r="AL11">
        <v>8</v>
      </c>
      <c r="AM11">
        <v>0</v>
      </c>
      <c r="AN11">
        <v>10</v>
      </c>
    </row>
    <row r="12" customFormat="1" ht="16.5" spans="1:40">
      <c r="A12">
        <v>10</v>
      </c>
      <c r="B12">
        <f t="shared" si="1"/>
        <v>130</v>
      </c>
      <c r="C12">
        <f t="shared" si="2"/>
        <v>106</v>
      </c>
      <c r="D12">
        <f t="shared" si="3"/>
        <v>86</v>
      </c>
      <c r="E12">
        <f t="shared" si="4"/>
        <v>86</v>
      </c>
      <c r="F12" s="2">
        <f t="shared" si="5"/>
        <v>1780</v>
      </c>
      <c r="G12">
        <v>8</v>
      </c>
      <c r="H12">
        <v>0</v>
      </c>
      <c r="I12">
        <v>10</v>
      </c>
      <c r="J12">
        <v>0</v>
      </c>
      <c r="K12" s="2">
        <f t="shared" si="6"/>
        <v>593</v>
      </c>
      <c r="L12" s="3">
        <f t="shared" si="7"/>
        <v>890</v>
      </c>
      <c r="N12" t="str">
        <f t="shared" si="0"/>
        <v>[{"1":132},{"2":108},{"4":88},{"5":88},{"12":1820}]</v>
      </c>
      <c r="W12" t="str">
        <f>$N$1&amp;$P$1&amp;$T$1&amp;$C$2&amp;$T$1&amp;$R$1&amp;C13&amp;$Q$1&amp;$S$1&amp;$P$1&amp;$T$1&amp;$D$2&amp;$T$1&amp;$R$1&amp;D13&amp;$Q$1&amp;$S$1&amp;$P$1&amp;$T$1&amp;$E$2&amp;$T$1&amp;$R$1&amp;E13&amp;$Q$1&amp;$S$1&amp;$P$1&amp;$T$1&amp;$F$2&amp;$T$1&amp;$R$1&amp;K13&amp;$Q$1&amp;$S$1&amp;$P$1&amp;$T$1&amp;$G$2&amp;$T$1&amp;$R$1&amp;G13&amp;$Q$1&amp;$S$1&amp;$P$1&amp;$T$1&amp;$H$2&amp;$T$1&amp;$R$1&amp;H13&amp;$Q$1&amp;$S$1&amp;$P$1&amp;$T$1&amp;$I$2&amp;$T$1&amp;$R$1&amp;I13&amp;$Q$1&amp;$S$1&amp;$P$1&amp;$T$1&amp;$J$2&amp;$T$1&amp;$R$1&amp;J13&amp;$Q$1&amp;$O$1</f>
        <v>[{"2":108},{"4":88},{"5":88},{"12":606},{"7":8},{"6":0},{"8":10},{"9":0}]</v>
      </c>
      <c r="AE12" t="str">
        <f>$N$1&amp;$P$1&amp;$T$1&amp;$C$2&amp;$T$1&amp;$R$1&amp;C13&amp;$Q$1&amp;$S$1&amp;$P$1&amp;$T$1&amp;$D$2&amp;$T$1&amp;$R$1&amp;D13&amp;$Q$1&amp;$S$1&amp;$P$1&amp;$T$1&amp;$E$2&amp;$T$1&amp;$R$1&amp;E13&amp;$Q$1&amp;$S$1&amp;$P$1&amp;$T$1&amp;$F$2&amp;$T$1&amp;$R$1&amp;L13&amp;$Q$1&amp;$S$1&amp;$P$1&amp;$T$1&amp;$G$2&amp;$T$1&amp;$R$1&amp;G13&amp;$Q$1&amp;$S$1&amp;$P$1&amp;$T$1&amp;$H$2&amp;$T$1&amp;$R$1&amp;H13&amp;$Q$1&amp;$S$1&amp;$P$1&amp;$T$1&amp;$I$2&amp;$T$1&amp;$R$1&amp;I13&amp;$Q$1&amp;$S$1&amp;$P$1&amp;$T$1&amp;$J$2&amp;$T$1&amp;$R$1&amp;J13&amp;$Q$1&amp;$O$1</f>
        <v>[{"2":108},{"4":88},{"5":88},{"12":910},{"7":8},{"6":0},{"8":10},{"9":0}]</v>
      </c>
      <c r="AG12">
        <v>118</v>
      </c>
      <c r="AH12">
        <f t="shared" si="8"/>
        <v>78</v>
      </c>
      <c r="AI12">
        <f t="shared" si="9"/>
        <v>78</v>
      </c>
      <c r="AJ12">
        <f t="shared" si="10"/>
        <v>1560</v>
      </c>
      <c r="AK12">
        <v>4</v>
      </c>
      <c r="AL12">
        <v>8</v>
      </c>
      <c r="AM12">
        <v>0</v>
      </c>
      <c r="AN12">
        <v>10</v>
      </c>
    </row>
    <row r="13" customFormat="1" ht="16.5" spans="1:40">
      <c r="A13">
        <v>11</v>
      </c>
      <c r="B13">
        <f t="shared" si="1"/>
        <v>132</v>
      </c>
      <c r="C13">
        <f t="shared" si="2"/>
        <v>108</v>
      </c>
      <c r="D13">
        <f t="shared" si="3"/>
        <v>88</v>
      </c>
      <c r="E13">
        <f t="shared" si="4"/>
        <v>88</v>
      </c>
      <c r="F13" s="2">
        <f t="shared" si="5"/>
        <v>1820</v>
      </c>
      <c r="G13">
        <v>8</v>
      </c>
      <c r="H13">
        <v>0</v>
      </c>
      <c r="I13">
        <v>10</v>
      </c>
      <c r="J13">
        <v>0</v>
      </c>
      <c r="K13" s="2">
        <f t="shared" si="6"/>
        <v>606</v>
      </c>
      <c r="L13" s="3">
        <f t="shared" si="7"/>
        <v>910</v>
      </c>
      <c r="N13" t="str">
        <f t="shared" si="0"/>
        <v>[{"1":134},{"2":109},{"4":89},{"5":89},{"12":1840}]</v>
      </c>
      <c r="W13" t="str">
        <f>$N$1&amp;$P$1&amp;$T$1&amp;$C$2&amp;$T$1&amp;$R$1&amp;C14&amp;$Q$1&amp;$S$1&amp;$P$1&amp;$T$1&amp;$D$2&amp;$T$1&amp;$R$1&amp;D14&amp;$Q$1&amp;$S$1&amp;$P$1&amp;$T$1&amp;$E$2&amp;$T$1&amp;$R$1&amp;E14&amp;$Q$1&amp;$S$1&amp;$P$1&amp;$T$1&amp;$F$2&amp;$T$1&amp;$R$1&amp;K14&amp;$Q$1&amp;$S$1&amp;$P$1&amp;$T$1&amp;$G$2&amp;$T$1&amp;$R$1&amp;G14&amp;$Q$1&amp;$S$1&amp;$P$1&amp;$T$1&amp;$H$2&amp;$T$1&amp;$R$1&amp;H14&amp;$Q$1&amp;$S$1&amp;$P$1&amp;$T$1&amp;$I$2&amp;$T$1&amp;$R$1&amp;I14&amp;$Q$1&amp;$S$1&amp;$P$1&amp;$T$1&amp;$J$2&amp;$T$1&amp;$R$1&amp;J14&amp;$Q$1&amp;$O$1</f>
        <v>[{"2":109},{"4":89},{"5":89},{"12":613},{"7":8},{"6":0},{"8":10},{"9":0}]</v>
      </c>
      <c r="AE13" t="str">
        <f>$N$1&amp;$P$1&amp;$T$1&amp;$C$2&amp;$T$1&amp;$R$1&amp;C14&amp;$Q$1&amp;$S$1&amp;$P$1&amp;$T$1&amp;$D$2&amp;$T$1&amp;$R$1&amp;D14&amp;$Q$1&amp;$S$1&amp;$P$1&amp;$T$1&amp;$E$2&amp;$T$1&amp;$R$1&amp;E14&amp;$Q$1&amp;$S$1&amp;$P$1&amp;$T$1&amp;$F$2&amp;$T$1&amp;$R$1&amp;L14&amp;$Q$1&amp;$S$1&amp;$P$1&amp;$T$1&amp;$G$2&amp;$T$1&amp;$R$1&amp;G14&amp;$Q$1&amp;$S$1&amp;$P$1&amp;$T$1&amp;$H$2&amp;$T$1&amp;$R$1&amp;H14&amp;$Q$1&amp;$S$1&amp;$P$1&amp;$T$1&amp;$I$2&amp;$T$1&amp;$R$1&amp;I14&amp;$Q$1&amp;$S$1&amp;$P$1&amp;$T$1&amp;$J$2&amp;$T$1&amp;$R$1&amp;J14&amp;$Q$1&amp;$O$1</f>
        <v>[{"2":109},{"4":89},{"5":89},{"12":920},{"7":8},{"6":0},{"8":10},{"9":0}]</v>
      </c>
      <c r="AG13">
        <v>120</v>
      </c>
      <c r="AH13">
        <f t="shared" si="8"/>
        <v>80</v>
      </c>
      <c r="AI13">
        <f t="shared" si="9"/>
        <v>80</v>
      </c>
      <c r="AJ13">
        <f t="shared" si="10"/>
        <v>1600</v>
      </c>
      <c r="AK13">
        <v>4</v>
      </c>
      <c r="AL13">
        <v>8</v>
      </c>
      <c r="AM13">
        <v>0</v>
      </c>
      <c r="AN13">
        <v>10</v>
      </c>
    </row>
    <row r="14" customFormat="1" ht="16.5" spans="1:40">
      <c r="A14">
        <v>12</v>
      </c>
      <c r="B14">
        <f t="shared" si="1"/>
        <v>134</v>
      </c>
      <c r="C14">
        <f t="shared" si="2"/>
        <v>109</v>
      </c>
      <c r="D14">
        <f t="shared" si="3"/>
        <v>89</v>
      </c>
      <c r="E14">
        <f t="shared" si="4"/>
        <v>89</v>
      </c>
      <c r="F14" s="2">
        <f t="shared" si="5"/>
        <v>1840</v>
      </c>
      <c r="G14">
        <v>8</v>
      </c>
      <c r="H14">
        <v>0</v>
      </c>
      <c r="I14">
        <v>10</v>
      </c>
      <c r="J14">
        <v>0</v>
      </c>
      <c r="K14" s="2">
        <f t="shared" si="6"/>
        <v>613</v>
      </c>
      <c r="L14" s="3">
        <f t="shared" si="7"/>
        <v>920</v>
      </c>
      <c r="N14" t="str">
        <f t="shared" si="0"/>
        <v>[{"1":136},{"2":111},{"4":90},{"5":90},{"12":1860}]</v>
      </c>
      <c r="W14" t="str">
        <f>$N$1&amp;$P$1&amp;$T$1&amp;$C$2&amp;$T$1&amp;$R$1&amp;C15&amp;$Q$1&amp;$S$1&amp;$P$1&amp;$T$1&amp;$D$2&amp;$T$1&amp;$R$1&amp;D15&amp;$Q$1&amp;$S$1&amp;$P$1&amp;$T$1&amp;$E$2&amp;$T$1&amp;$R$1&amp;E15&amp;$Q$1&amp;$S$1&amp;$P$1&amp;$T$1&amp;$F$2&amp;$T$1&amp;$R$1&amp;K15&amp;$Q$1&amp;$S$1&amp;$P$1&amp;$T$1&amp;$G$2&amp;$T$1&amp;$R$1&amp;G15&amp;$Q$1&amp;$S$1&amp;$P$1&amp;$T$1&amp;$H$2&amp;$T$1&amp;$R$1&amp;H15&amp;$Q$1&amp;$S$1&amp;$P$1&amp;$T$1&amp;$I$2&amp;$T$1&amp;$R$1&amp;I15&amp;$Q$1&amp;$S$1&amp;$P$1&amp;$T$1&amp;$J$2&amp;$T$1&amp;$R$1&amp;J15&amp;$Q$1&amp;$O$1</f>
        <v>[{"2":111},{"4":90},{"5":90},{"12":620},{"7":8},{"6":0},{"8":10},{"9":0}]</v>
      </c>
      <c r="AE14" t="str">
        <f>$N$1&amp;$P$1&amp;$T$1&amp;$C$2&amp;$T$1&amp;$R$1&amp;C15&amp;$Q$1&amp;$S$1&amp;$P$1&amp;$T$1&amp;$D$2&amp;$T$1&amp;$R$1&amp;D15&amp;$Q$1&amp;$S$1&amp;$P$1&amp;$T$1&amp;$E$2&amp;$T$1&amp;$R$1&amp;E15&amp;$Q$1&amp;$S$1&amp;$P$1&amp;$T$1&amp;$F$2&amp;$T$1&amp;$R$1&amp;L15&amp;$Q$1&amp;$S$1&amp;$P$1&amp;$T$1&amp;$G$2&amp;$T$1&amp;$R$1&amp;G15&amp;$Q$1&amp;$S$1&amp;$P$1&amp;$T$1&amp;$H$2&amp;$T$1&amp;$R$1&amp;H15&amp;$Q$1&amp;$S$1&amp;$P$1&amp;$T$1&amp;$I$2&amp;$T$1&amp;$R$1&amp;I15&amp;$Q$1&amp;$S$1&amp;$P$1&amp;$T$1&amp;$J$2&amp;$T$1&amp;$R$1&amp;J15&amp;$Q$1&amp;$O$1</f>
        <v>[{"2":111},{"4":90},{"5":90},{"12":930},{"7":8},{"6":0},{"8":10},{"9":0}]</v>
      </c>
      <c r="AG14">
        <v>122</v>
      </c>
      <c r="AH14">
        <f t="shared" si="8"/>
        <v>81</v>
      </c>
      <c r="AI14">
        <f t="shared" si="9"/>
        <v>81</v>
      </c>
      <c r="AJ14">
        <f t="shared" si="10"/>
        <v>1620</v>
      </c>
      <c r="AK14">
        <v>4</v>
      </c>
      <c r="AL14">
        <v>8</v>
      </c>
      <c r="AM14">
        <v>0</v>
      </c>
      <c r="AN14">
        <v>10</v>
      </c>
    </row>
    <row r="15" customFormat="1" ht="16.5" spans="1:40">
      <c r="A15">
        <v>13</v>
      </c>
      <c r="B15">
        <f t="shared" si="1"/>
        <v>136</v>
      </c>
      <c r="C15">
        <f t="shared" si="2"/>
        <v>111</v>
      </c>
      <c r="D15">
        <f t="shared" si="3"/>
        <v>90</v>
      </c>
      <c r="E15">
        <f t="shared" si="4"/>
        <v>90</v>
      </c>
      <c r="F15" s="2">
        <f t="shared" si="5"/>
        <v>1860</v>
      </c>
      <c r="G15">
        <v>8</v>
      </c>
      <c r="H15">
        <v>0</v>
      </c>
      <c r="I15">
        <v>10</v>
      </c>
      <c r="J15">
        <v>0</v>
      </c>
      <c r="K15" s="2">
        <f t="shared" si="6"/>
        <v>620</v>
      </c>
      <c r="L15" s="3">
        <f t="shared" si="7"/>
        <v>930</v>
      </c>
      <c r="N15" t="str">
        <f t="shared" si="0"/>
        <v>[{"1":138},{"2":113},{"4":92},{"5":92},{"12":1900}]</v>
      </c>
      <c r="W15" t="str">
        <f>$N$1&amp;$P$1&amp;$T$1&amp;$C$2&amp;$T$1&amp;$R$1&amp;C16&amp;$Q$1&amp;$S$1&amp;$P$1&amp;$T$1&amp;$D$2&amp;$T$1&amp;$R$1&amp;D16&amp;$Q$1&amp;$S$1&amp;$P$1&amp;$T$1&amp;$E$2&amp;$T$1&amp;$R$1&amp;E16&amp;$Q$1&amp;$S$1&amp;$P$1&amp;$T$1&amp;$F$2&amp;$T$1&amp;$R$1&amp;K16&amp;$Q$1&amp;$S$1&amp;$P$1&amp;$T$1&amp;$G$2&amp;$T$1&amp;$R$1&amp;G16&amp;$Q$1&amp;$S$1&amp;$P$1&amp;$T$1&amp;$H$2&amp;$T$1&amp;$R$1&amp;H16&amp;$Q$1&amp;$S$1&amp;$P$1&amp;$T$1&amp;$I$2&amp;$T$1&amp;$R$1&amp;I16&amp;$Q$1&amp;$S$1&amp;$P$1&amp;$T$1&amp;$J$2&amp;$T$1&amp;$R$1&amp;J16&amp;$Q$1&amp;$O$1</f>
        <v>[{"2":113},{"4":92},{"5":92},{"12":633},{"7":8},{"6":0},{"8":10},{"9":0}]</v>
      </c>
      <c r="AE15" t="str">
        <f>$N$1&amp;$P$1&amp;$T$1&amp;$C$2&amp;$T$1&amp;$R$1&amp;C16&amp;$Q$1&amp;$S$1&amp;$P$1&amp;$T$1&amp;$D$2&amp;$T$1&amp;$R$1&amp;D16&amp;$Q$1&amp;$S$1&amp;$P$1&amp;$T$1&amp;$E$2&amp;$T$1&amp;$R$1&amp;E16&amp;$Q$1&amp;$S$1&amp;$P$1&amp;$T$1&amp;$F$2&amp;$T$1&amp;$R$1&amp;L16&amp;$Q$1&amp;$S$1&amp;$P$1&amp;$T$1&amp;$G$2&amp;$T$1&amp;$R$1&amp;G16&amp;$Q$1&amp;$S$1&amp;$P$1&amp;$T$1&amp;$H$2&amp;$T$1&amp;$R$1&amp;H16&amp;$Q$1&amp;$S$1&amp;$P$1&amp;$T$1&amp;$I$2&amp;$T$1&amp;$R$1&amp;I16&amp;$Q$1&amp;$S$1&amp;$P$1&amp;$T$1&amp;$J$2&amp;$T$1&amp;$R$1&amp;J16&amp;$Q$1&amp;$O$1</f>
        <v>[{"2":113},{"4":92},{"5":92},{"12":950},{"7":8},{"6":0},{"8":10},{"9":0}]</v>
      </c>
      <c r="AG15">
        <v>124</v>
      </c>
      <c r="AH15">
        <f t="shared" si="8"/>
        <v>82</v>
      </c>
      <c r="AI15">
        <f t="shared" si="9"/>
        <v>82</v>
      </c>
      <c r="AJ15">
        <f t="shared" si="10"/>
        <v>1640</v>
      </c>
      <c r="AK15">
        <v>4</v>
      </c>
      <c r="AL15">
        <v>8</v>
      </c>
      <c r="AM15">
        <v>0</v>
      </c>
      <c r="AN15">
        <v>10</v>
      </c>
    </row>
    <row r="16" customFormat="1" ht="16.5" spans="1:40">
      <c r="A16">
        <v>14</v>
      </c>
      <c r="B16">
        <f t="shared" si="1"/>
        <v>138</v>
      </c>
      <c r="C16">
        <f t="shared" si="2"/>
        <v>113</v>
      </c>
      <c r="D16">
        <f t="shared" si="3"/>
        <v>92</v>
      </c>
      <c r="E16">
        <f t="shared" si="4"/>
        <v>92</v>
      </c>
      <c r="F16" s="2">
        <f t="shared" si="5"/>
        <v>1900</v>
      </c>
      <c r="G16">
        <v>8</v>
      </c>
      <c r="H16">
        <v>0</v>
      </c>
      <c r="I16">
        <v>10</v>
      </c>
      <c r="J16">
        <v>0</v>
      </c>
      <c r="K16" s="2">
        <f t="shared" si="6"/>
        <v>633</v>
      </c>
      <c r="L16" s="3">
        <f t="shared" si="7"/>
        <v>950</v>
      </c>
      <c r="N16" t="str">
        <f t="shared" si="0"/>
        <v>[{"1":140},{"2":114},{"4":93},{"5":93},{"12":1920}]</v>
      </c>
      <c r="W16" t="str">
        <f>$N$1&amp;$P$1&amp;$T$1&amp;$C$2&amp;$T$1&amp;$R$1&amp;C17&amp;$Q$1&amp;$S$1&amp;$P$1&amp;$T$1&amp;$D$2&amp;$T$1&amp;$R$1&amp;D17&amp;$Q$1&amp;$S$1&amp;$P$1&amp;$T$1&amp;$E$2&amp;$T$1&amp;$R$1&amp;E17&amp;$Q$1&amp;$S$1&amp;$P$1&amp;$T$1&amp;$F$2&amp;$T$1&amp;$R$1&amp;K17&amp;$Q$1&amp;$S$1&amp;$P$1&amp;$T$1&amp;$G$2&amp;$T$1&amp;$R$1&amp;G17&amp;$Q$1&amp;$S$1&amp;$P$1&amp;$T$1&amp;$H$2&amp;$T$1&amp;$R$1&amp;H17&amp;$Q$1&amp;$S$1&amp;$P$1&amp;$T$1&amp;$I$2&amp;$T$1&amp;$R$1&amp;I17&amp;$Q$1&amp;$S$1&amp;$P$1&amp;$T$1&amp;$J$2&amp;$T$1&amp;$R$1&amp;J17&amp;$Q$1&amp;$O$1</f>
        <v>[{"2":114},{"4":93},{"5":93},{"12":640},{"7":8},{"6":0},{"8":10},{"9":0}]</v>
      </c>
      <c r="AE16" t="str">
        <f>$N$1&amp;$P$1&amp;$T$1&amp;$C$2&amp;$T$1&amp;$R$1&amp;C17&amp;$Q$1&amp;$S$1&amp;$P$1&amp;$T$1&amp;$D$2&amp;$T$1&amp;$R$1&amp;D17&amp;$Q$1&amp;$S$1&amp;$P$1&amp;$T$1&amp;$E$2&amp;$T$1&amp;$R$1&amp;E17&amp;$Q$1&amp;$S$1&amp;$P$1&amp;$T$1&amp;$F$2&amp;$T$1&amp;$R$1&amp;L17&amp;$Q$1&amp;$S$1&amp;$P$1&amp;$T$1&amp;$G$2&amp;$T$1&amp;$R$1&amp;G17&amp;$Q$1&amp;$S$1&amp;$P$1&amp;$T$1&amp;$H$2&amp;$T$1&amp;$R$1&amp;H17&amp;$Q$1&amp;$S$1&amp;$P$1&amp;$T$1&amp;$I$2&amp;$T$1&amp;$R$1&amp;I17&amp;$Q$1&amp;$S$1&amp;$P$1&amp;$T$1&amp;$J$2&amp;$T$1&amp;$R$1&amp;J17&amp;$Q$1&amp;$O$1</f>
        <v>[{"2":114},{"4":93},{"5":93},{"12":960},{"7":8},{"6":0},{"8":10},{"9":0}]</v>
      </c>
      <c r="AG16">
        <v>126</v>
      </c>
      <c r="AH16">
        <f t="shared" si="8"/>
        <v>84</v>
      </c>
      <c r="AI16">
        <f t="shared" si="9"/>
        <v>84</v>
      </c>
      <c r="AJ16">
        <f t="shared" si="10"/>
        <v>1680</v>
      </c>
      <c r="AK16">
        <v>4</v>
      </c>
      <c r="AL16">
        <v>8</v>
      </c>
      <c r="AM16">
        <v>0</v>
      </c>
      <c r="AN16">
        <v>10</v>
      </c>
    </row>
    <row r="17" customFormat="1" ht="16.5" spans="1:40">
      <c r="A17">
        <v>15</v>
      </c>
      <c r="B17">
        <f t="shared" si="1"/>
        <v>140</v>
      </c>
      <c r="C17">
        <f t="shared" si="2"/>
        <v>114</v>
      </c>
      <c r="D17">
        <f t="shared" si="3"/>
        <v>93</v>
      </c>
      <c r="E17">
        <f t="shared" si="4"/>
        <v>93</v>
      </c>
      <c r="F17" s="2">
        <f t="shared" si="5"/>
        <v>1920</v>
      </c>
      <c r="G17">
        <v>8</v>
      </c>
      <c r="H17">
        <v>0</v>
      </c>
      <c r="I17">
        <v>10</v>
      </c>
      <c r="J17">
        <v>0</v>
      </c>
      <c r="K17" s="2">
        <f t="shared" si="6"/>
        <v>640</v>
      </c>
      <c r="L17" s="3">
        <f t="shared" si="7"/>
        <v>960</v>
      </c>
      <c r="N17" t="str">
        <f t="shared" si="0"/>
        <v>[{"1":142},{"2":116},{"4":94},{"5":94},{"12":1940}]</v>
      </c>
      <c r="W17" t="str">
        <f>$N$1&amp;$P$1&amp;$T$1&amp;$C$2&amp;$T$1&amp;$R$1&amp;C18&amp;$Q$1&amp;$S$1&amp;$P$1&amp;$T$1&amp;$D$2&amp;$T$1&amp;$R$1&amp;D18&amp;$Q$1&amp;$S$1&amp;$P$1&amp;$T$1&amp;$E$2&amp;$T$1&amp;$R$1&amp;E18&amp;$Q$1&amp;$S$1&amp;$P$1&amp;$T$1&amp;$F$2&amp;$T$1&amp;$R$1&amp;K18&amp;$Q$1&amp;$S$1&amp;$P$1&amp;$T$1&amp;$G$2&amp;$T$1&amp;$R$1&amp;G18&amp;$Q$1&amp;$S$1&amp;$P$1&amp;$T$1&amp;$H$2&amp;$T$1&amp;$R$1&amp;H18&amp;$Q$1&amp;$S$1&amp;$P$1&amp;$T$1&amp;$I$2&amp;$T$1&amp;$R$1&amp;I18&amp;$Q$1&amp;$S$1&amp;$P$1&amp;$T$1&amp;$J$2&amp;$T$1&amp;$R$1&amp;J18&amp;$Q$1&amp;$O$1</f>
        <v>[{"2":116},{"4":94},{"5":94},{"12":646},{"7":8},{"6":0},{"8":10},{"9":0}]</v>
      </c>
      <c r="AE17" t="str">
        <f>$N$1&amp;$P$1&amp;$T$1&amp;$C$2&amp;$T$1&amp;$R$1&amp;C18&amp;$Q$1&amp;$S$1&amp;$P$1&amp;$T$1&amp;$D$2&amp;$T$1&amp;$R$1&amp;D18&amp;$Q$1&amp;$S$1&amp;$P$1&amp;$T$1&amp;$E$2&amp;$T$1&amp;$R$1&amp;E18&amp;$Q$1&amp;$S$1&amp;$P$1&amp;$T$1&amp;$F$2&amp;$T$1&amp;$R$1&amp;L18&amp;$Q$1&amp;$S$1&amp;$P$1&amp;$T$1&amp;$G$2&amp;$T$1&amp;$R$1&amp;G18&amp;$Q$1&amp;$S$1&amp;$P$1&amp;$T$1&amp;$H$2&amp;$T$1&amp;$R$1&amp;H18&amp;$Q$1&amp;$S$1&amp;$P$1&amp;$T$1&amp;$I$2&amp;$T$1&amp;$R$1&amp;I18&amp;$Q$1&amp;$S$1&amp;$P$1&amp;$T$1&amp;$J$2&amp;$T$1&amp;$R$1&amp;J18&amp;$Q$1&amp;$O$1</f>
        <v>[{"2":116},{"4":94},{"5":94},{"12":970},{"7":8},{"6":0},{"8":10},{"9":0}]</v>
      </c>
      <c r="AG17">
        <v>128</v>
      </c>
      <c r="AH17">
        <f t="shared" si="8"/>
        <v>85</v>
      </c>
      <c r="AI17">
        <f t="shared" si="9"/>
        <v>85</v>
      </c>
      <c r="AJ17">
        <f t="shared" si="10"/>
        <v>1700</v>
      </c>
      <c r="AK17">
        <v>4</v>
      </c>
      <c r="AL17">
        <v>8</v>
      </c>
      <c r="AM17">
        <v>0</v>
      </c>
      <c r="AN17">
        <v>10</v>
      </c>
    </row>
    <row r="18" customFormat="1" ht="16.5" spans="1:40">
      <c r="A18">
        <v>16</v>
      </c>
      <c r="B18">
        <f t="shared" si="1"/>
        <v>142</v>
      </c>
      <c r="C18">
        <f t="shared" si="2"/>
        <v>116</v>
      </c>
      <c r="D18">
        <f t="shared" si="3"/>
        <v>94</v>
      </c>
      <c r="E18">
        <f t="shared" si="4"/>
        <v>94</v>
      </c>
      <c r="F18" s="2">
        <f t="shared" si="5"/>
        <v>1940</v>
      </c>
      <c r="G18">
        <v>8</v>
      </c>
      <c r="H18">
        <v>0</v>
      </c>
      <c r="I18">
        <v>10</v>
      </c>
      <c r="J18">
        <v>0</v>
      </c>
      <c r="K18" s="2">
        <f t="shared" si="6"/>
        <v>646</v>
      </c>
      <c r="L18" s="3">
        <f t="shared" si="7"/>
        <v>970</v>
      </c>
      <c r="N18" t="str">
        <f t="shared" si="0"/>
        <v>[{"1":144},{"2":118},{"4":96},{"5":96},{"12":1980}]</v>
      </c>
      <c r="W18" t="str">
        <f>$N$1&amp;$P$1&amp;$T$1&amp;$C$2&amp;$T$1&amp;$R$1&amp;C19&amp;$Q$1&amp;$S$1&amp;$P$1&amp;$T$1&amp;$D$2&amp;$T$1&amp;$R$1&amp;D19&amp;$Q$1&amp;$S$1&amp;$P$1&amp;$T$1&amp;$E$2&amp;$T$1&amp;$R$1&amp;E19&amp;$Q$1&amp;$S$1&amp;$P$1&amp;$T$1&amp;$F$2&amp;$T$1&amp;$R$1&amp;K19&amp;$Q$1&amp;$S$1&amp;$P$1&amp;$T$1&amp;$G$2&amp;$T$1&amp;$R$1&amp;G19&amp;$Q$1&amp;$S$1&amp;$P$1&amp;$T$1&amp;$H$2&amp;$T$1&amp;$R$1&amp;H19&amp;$Q$1&amp;$S$1&amp;$P$1&amp;$T$1&amp;$I$2&amp;$T$1&amp;$R$1&amp;I19&amp;$Q$1&amp;$S$1&amp;$P$1&amp;$T$1&amp;$J$2&amp;$T$1&amp;$R$1&amp;J19&amp;$Q$1&amp;$O$1</f>
        <v>[{"2":118},{"4":96},{"5":96},{"12":660},{"7":8},{"6":0},{"8":10},{"9":0}]</v>
      </c>
      <c r="AE18" t="str">
        <f>$N$1&amp;$P$1&amp;$T$1&amp;$C$2&amp;$T$1&amp;$R$1&amp;C19&amp;$Q$1&amp;$S$1&amp;$P$1&amp;$T$1&amp;$D$2&amp;$T$1&amp;$R$1&amp;D19&amp;$Q$1&amp;$S$1&amp;$P$1&amp;$T$1&amp;$E$2&amp;$T$1&amp;$R$1&amp;E19&amp;$Q$1&amp;$S$1&amp;$P$1&amp;$T$1&amp;$F$2&amp;$T$1&amp;$R$1&amp;L19&amp;$Q$1&amp;$S$1&amp;$P$1&amp;$T$1&amp;$G$2&amp;$T$1&amp;$R$1&amp;G19&amp;$Q$1&amp;$S$1&amp;$P$1&amp;$T$1&amp;$H$2&amp;$T$1&amp;$R$1&amp;H19&amp;$Q$1&amp;$S$1&amp;$P$1&amp;$T$1&amp;$I$2&amp;$T$1&amp;$R$1&amp;I19&amp;$Q$1&amp;$S$1&amp;$P$1&amp;$T$1&amp;$J$2&amp;$T$1&amp;$R$1&amp;J19&amp;$Q$1&amp;$O$1</f>
        <v>[{"2":118},{"4":96},{"5":96},{"12":990},{"7":8},{"6":0},{"8":10},{"9":0}]</v>
      </c>
      <c r="AG18">
        <v>130</v>
      </c>
      <c r="AH18">
        <f t="shared" si="8"/>
        <v>86</v>
      </c>
      <c r="AI18">
        <f t="shared" si="9"/>
        <v>86</v>
      </c>
      <c r="AJ18">
        <f t="shared" si="10"/>
        <v>1720</v>
      </c>
      <c r="AK18">
        <v>4</v>
      </c>
      <c r="AL18">
        <v>8</v>
      </c>
      <c r="AM18">
        <v>0</v>
      </c>
      <c r="AN18">
        <v>10</v>
      </c>
    </row>
    <row r="19" customFormat="1" ht="16.5" spans="1:40">
      <c r="A19">
        <v>17</v>
      </c>
      <c r="B19">
        <f t="shared" si="1"/>
        <v>144</v>
      </c>
      <c r="C19">
        <f t="shared" si="2"/>
        <v>118</v>
      </c>
      <c r="D19">
        <f t="shared" si="3"/>
        <v>96</v>
      </c>
      <c r="E19">
        <f t="shared" si="4"/>
        <v>96</v>
      </c>
      <c r="F19" s="2">
        <f t="shared" si="5"/>
        <v>1980</v>
      </c>
      <c r="G19">
        <v>8</v>
      </c>
      <c r="H19">
        <v>0</v>
      </c>
      <c r="I19">
        <v>10</v>
      </c>
      <c r="J19">
        <v>0</v>
      </c>
      <c r="K19" s="2">
        <f t="shared" si="6"/>
        <v>660</v>
      </c>
      <c r="L19" s="3">
        <f t="shared" si="7"/>
        <v>990</v>
      </c>
      <c r="N19" t="str">
        <f t="shared" si="0"/>
        <v>[{"1":146},{"2":119},{"4":97},{"5":97},{"12":2000}]</v>
      </c>
      <c r="W19" t="str">
        <f>$N$1&amp;$P$1&amp;$T$1&amp;$C$2&amp;$T$1&amp;$R$1&amp;C20&amp;$Q$1&amp;$S$1&amp;$P$1&amp;$T$1&amp;$D$2&amp;$T$1&amp;$R$1&amp;D20&amp;$Q$1&amp;$S$1&amp;$P$1&amp;$T$1&amp;$E$2&amp;$T$1&amp;$R$1&amp;E20&amp;$Q$1&amp;$S$1&amp;$P$1&amp;$T$1&amp;$F$2&amp;$T$1&amp;$R$1&amp;K20&amp;$Q$1&amp;$S$1&amp;$P$1&amp;$T$1&amp;$G$2&amp;$T$1&amp;$R$1&amp;G20&amp;$Q$1&amp;$S$1&amp;$P$1&amp;$T$1&amp;$H$2&amp;$T$1&amp;$R$1&amp;H20&amp;$Q$1&amp;$S$1&amp;$P$1&amp;$T$1&amp;$I$2&amp;$T$1&amp;$R$1&amp;I20&amp;$Q$1&amp;$S$1&amp;$P$1&amp;$T$1&amp;$J$2&amp;$T$1&amp;$R$1&amp;J20&amp;$Q$1&amp;$O$1</f>
        <v>[{"2":119},{"4":97},{"5":97},{"12":666},{"7":8},{"6":0},{"8":10},{"9":0}]</v>
      </c>
      <c r="AE19" t="str">
        <f>$N$1&amp;$P$1&amp;$T$1&amp;$C$2&amp;$T$1&amp;$R$1&amp;C20&amp;$Q$1&amp;$S$1&amp;$P$1&amp;$T$1&amp;$D$2&amp;$T$1&amp;$R$1&amp;D20&amp;$Q$1&amp;$S$1&amp;$P$1&amp;$T$1&amp;$E$2&amp;$T$1&amp;$R$1&amp;E20&amp;$Q$1&amp;$S$1&amp;$P$1&amp;$T$1&amp;$F$2&amp;$T$1&amp;$R$1&amp;L20&amp;$Q$1&amp;$S$1&amp;$P$1&amp;$T$1&amp;$G$2&amp;$T$1&amp;$R$1&amp;G20&amp;$Q$1&amp;$S$1&amp;$P$1&amp;$T$1&amp;$H$2&amp;$T$1&amp;$R$1&amp;H20&amp;$Q$1&amp;$S$1&amp;$P$1&amp;$T$1&amp;$I$2&amp;$T$1&amp;$R$1&amp;I20&amp;$Q$1&amp;$S$1&amp;$P$1&amp;$T$1&amp;$J$2&amp;$T$1&amp;$R$1&amp;J20&amp;$Q$1&amp;$O$1</f>
        <v>[{"2":119},{"4":97},{"5":97},{"12":1000},{"7":8},{"6":0},{"8":10},{"9":0}]</v>
      </c>
      <c r="AG19">
        <v>132</v>
      </c>
      <c r="AH19">
        <f t="shared" si="8"/>
        <v>88</v>
      </c>
      <c r="AI19">
        <f t="shared" si="9"/>
        <v>88</v>
      </c>
      <c r="AJ19">
        <f t="shared" si="10"/>
        <v>1760</v>
      </c>
      <c r="AK19">
        <v>4</v>
      </c>
      <c r="AL19">
        <v>8</v>
      </c>
      <c r="AM19">
        <v>0</v>
      </c>
      <c r="AN19">
        <v>10</v>
      </c>
    </row>
    <row r="20" customFormat="1" ht="16.5" spans="1:40">
      <c r="A20">
        <v>18</v>
      </c>
      <c r="B20">
        <f t="shared" si="1"/>
        <v>146</v>
      </c>
      <c r="C20">
        <f t="shared" si="2"/>
        <v>119</v>
      </c>
      <c r="D20">
        <f t="shared" si="3"/>
        <v>97</v>
      </c>
      <c r="E20">
        <f t="shared" si="4"/>
        <v>97</v>
      </c>
      <c r="F20" s="2">
        <f t="shared" si="5"/>
        <v>2000</v>
      </c>
      <c r="G20">
        <v>8</v>
      </c>
      <c r="H20">
        <v>0</v>
      </c>
      <c r="I20">
        <v>10</v>
      </c>
      <c r="J20">
        <v>0</v>
      </c>
      <c r="K20" s="2">
        <f t="shared" si="6"/>
        <v>666</v>
      </c>
      <c r="L20" s="3">
        <f t="shared" si="7"/>
        <v>1000</v>
      </c>
      <c r="N20" t="str">
        <f t="shared" si="0"/>
        <v>[{"1":148},{"2":121},{"4":98},{"5":98},{"12":2020}]</v>
      </c>
      <c r="W20" t="str">
        <f>$N$1&amp;$P$1&amp;$T$1&amp;$C$2&amp;$T$1&amp;$R$1&amp;C21&amp;$Q$1&amp;$S$1&amp;$P$1&amp;$T$1&amp;$D$2&amp;$T$1&amp;$R$1&amp;D21&amp;$Q$1&amp;$S$1&amp;$P$1&amp;$T$1&amp;$E$2&amp;$T$1&amp;$R$1&amp;E21&amp;$Q$1&amp;$S$1&amp;$P$1&amp;$T$1&amp;$F$2&amp;$T$1&amp;$R$1&amp;K21&amp;$Q$1&amp;$S$1&amp;$P$1&amp;$T$1&amp;$G$2&amp;$T$1&amp;$R$1&amp;G21&amp;$Q$1&amp;$S$1&amp;$P$1&amp;$T$1&amp;$H$2&amp;$T$1&amp;$R$1&amp;H21&amp;$Q$1&amp;$S$1&amp;$P$1&amp;$T$1&amp;$I$2&amp;$T$1&amp;$R$1&amp;I21&amp;$Q$1&amp;$S$1&amp;$P$1&amp;$T$1&amp;$J$2&amp;$T$1&amp;$R$1&amp;J21&amp;$Q$1&amp;$O$1</f>
        <v>[{"2":121},{"4":98},{"5":98},{"12":673},{"7":8},{"6":0},{"8":10},{"9":0}]</v>
      </c>
      <c r="AE20" t="str">
        <f>$N$1&amp;$P$1&amp;$T$1&amp;$C$2&amp;$T$1&amp;$R$1&amp;C21&amp;$Q$1&amp;$S$1&amp;$P$1&amp;$T$1&amp;$D$2&amp;$T$1&amp;$R$1&amp;D21&amp;$Q$1&amp;$S$1&amp;$P$1&amp;$T$1&amp;$E$2&amp;$T$1&amp;$R$1&amp;E21&amp;$Q$1&amp;$S$1&amp;$P$1&amp;$T$1&amp;$F$2&amp;$T$1&amp;$R$1&amp;L21&amp;$Q$1&amp;$S$1&amp;$P$1&amp;$T$1&amp;$G$2&amp;$T$1&amp;$R$1&amp;G21&amp;$Q$1&amp;$S$1&amp;$P$1&amp;$T$1&amp;$H$2&amp;$T$1&amp;$R$1&amp;H21&amp;$Q$1&amp;$S$1&amp;$P$1&amp;$T$1&amp;$I$2&amp;$T$1&amp;$R$1&amp;I21&amp;$Q$1&amp;$S$1&amp;$P$1&amp;$T$1&amp;$J$2&amp;$T$1&amp;$R$1&amp;J21&amp;$Q$1&amp;$O$1</f>
        <v>[{"2":121},{"4":98},{"5":98},{"12":1010},{"7":8},{"6":0},{"8":10},{"9":0}]</v>
      </c>
      <c r="AG20">
        <v>134</v>
      </c>
      <c r="AH20">
        <f t="shared" si="8"/>
        <v>89</v>
      </c>
      <c r="AI20">
        <f t="shared" si="9"/>
        <v>89</v>
      </c>
      <c r="AJ20">
        <f t="shared" si="10"/>
        <v>1780</v>
      </c>
      <c r="AK20">
        <v>4</v>
      </c>
      <c r="AL20">
        <v>8</v>
      </c>
      <c r="AM20">
        <v>0</v>
      </c>
      <c r="AN20">
        <v>10</v>
      </c>
    </row>
    <row r="21" customFormat="1" ht="16.5" spans="1:40">
      <c r="A21">
        <v>19</v>
      </c>
      <c r="B21">
        <f t="shared" si="1"/>
        <v>148</v>
      </c>
      <c r="C21">
        <f t="shared" si="2"/>
        <v>121</v>
      </c>
      <c r="D21">
        <f t="shared" si="3"/>
        <v>98</v>
      </c>
      <c r="E21">
        <f t="shared" si="4"/>
        <v>98</v>
      </c>
      <c r="F21" s="2">
        <f t="shared" si="5"/>
        <v>2020</v>
      </c>
      <c r="G21">
        <v>8</v>
      </c>
      <c r="H21">
        <v>0</v>
      </c>
      <c r="I21">
        <v>10</v>
      </c>
      <c r="J21">
        <v>0</v>
      </c>
      <c r="K21" s="2">
        <f t="shared" si="6"/>
        <v>673</v>
      </c>
      <c r="L21" s="3">
        <f t="shared" si="7"/>
        <v>1010</v>
      </c>
      <c r="N21" t="str">
        <f t="shared" si="0"/>
        <v>[{"1":150},{"2":123},{"4":100},{"5":100},{"12":2060}]</v>
      </c>
      <c r="W21" t="str">
        <f>$N$1&amp;$P$1&amp;$T$1&amp;$C$2&amp;$T$1&amp;$R$1&amp;C22&amp;$Q$1&amp;$S$1&amp;$P$1&amp;$T$1&amp;$D$2&amp;$T$1&amp;$R$1&amp;D22&amp;$Q$1&amp;$S$1&amp;$P$1&amp;$T$1&amp;$E$2&amp;$T$1&amp;$R$1&amp;E22&amp;$Q$1&amp;$S$1&amp;$P$1&amp;$T$1&amp;$F$2&amp;$T$1&amp;$R$1&amp;K22&amp;$Q$1&amp;$S$1&amp;$P$1&amp;$T$1&amp;$G$2&amp;$T$1&amp;$R$1&amp;G22&amp;$Q$1&amp;$S$1&amp;$P$1&amp;$T$1&amp;$H$2&amp;$T$1&amp;$R$1&amp;H22&amp;$Q$1&amp;$S$1&amp;$P$1&amp;$T$1&amp;$I$2&amp;$T$1&amp;$R$1&amp;I22&amp;$Q$1&amp;$S$1&amp;$P$1&amp;$T$1&amp;$J$2&amp;$T$1&amp;$R$1&amp;J22&amp;$Q$1&amp;$O$1</f>
        <v>[{"2":123},{"4":100},{"5":100},{"12":686},{"7":8},{"6":0},{"8":10},{"9":0}]</v>
      </c>
      <c r="AE21" t="str">
        <f>$N$1&amp;$P$1&amp;$T$1&amp;$C$2&amp;$T$1&amp;$R$1&amp;C22&amp;$Q$1&amp;$S$1&amp;$P$1&amp;$T$1&amp;$D$2&amp;$T$1&amp;$R$1&amp;D22&amp;$Q$1&amp;$S$1&amp;$P$1&amp;$T$1&amp;$E$2&amp;$T$1&amp;$R$1&amp;E22&amp;$Q$1&amp;$S$1&amp;$P$1&amp;$T$1&amp;$F$2&amp;$T$1&amp;$R$1&amp;L22&amp;$Q$1&amp;$S$1&amp;$P$1&amp;$T$1&amp;$G$2&amp;$T$1&amp;$R$1&amp;G22&amp;$Q$1&amp;$S$1&amp;$P$1&amp;$T$1&amp;$H$2&amp;$T$1&amp;$R$1&amp;H22&amp;$Q$1&amp;$S$1&amp;$P$1&amp;$T$1&amp;$I$2&amp;$T$1&amp;$R$1&amp;I22&amp;$Q$1&amp;$S$1&amp;$P$1&amp;$T$1&amp;$J$2&amp;$T$1&amp;$R$1&amp;J22&amp;$Q$1&amp;$O$1</f>
        <v>[{"2":123},{"4":100},{"5":100},{"12":1030},{"7":8},{"6":0},{"8":10},{"9":0}]</v>
      </c>
      <c r="AG21">
        <v>136</v>
      </c>
      <c r="AH21">
        <f t="shared" si="8"/>
        <v>90</v>
      </c>
      <c r="AI21">
        <f t="shared" si="9"/>
        <v>90</v>
      </c>
      <c r="AJ21">
        <f t="shared" si="10"/>
        <v>1800</v>
      </c>
      <c r="AK21">
        <v>4</v>
      </c>
      <c r="AL21">
        <v>8</v>
      </c>
      <c r="AM21">
        <v>0</v>
      </c>
      <c r="AN21">
        <v>10</v>
      </c>
    </row>
    <row r="22" customFormat="1" ht="16.5" spans="1:40">
      <c r="A22">
        <v>20</v>
      </c>
      <c r="B22">
        <f t="shared" si="1"/>
        <v>150</v>
      </c>
      <c r="C22">
        <f t="shared" si="2"/>
        <v>123</v>
      </c>
      <c r="D22">
        <f t="shared" si="3"/>
        <v>100</v>
      </c>
      <c r="E22">
        <f t="shared" si="4"/>
        <v>100</v>
      </c>
      <c r="F22" s="2">
        <f t="shared" si="5"/>
        <v>2060</v>
      </c>
      <c r="G22">
        <v>8</v>
      </c>
      <c r="H22">
        <v>0</v>
      </c>
      <c r="I22">
        <v>10</v>
      </c>
      <c r="J22">
        <v>0</v>
      </c>
      <c r="K22" s="2">
        <f t="shared" si="6"/>
        <v>686</v>
      </c>
      <c r="L22" s="3">
        <f t="shared" si="7"/>
        <v>1030</v>
      </c>
      <c r="N22" t="str">
        <f t="shared" si="0"/>
        <v>[{"1":152},{"2":124},{"4":101},{"5":101},{"12":2080}]</v>
      </c>
      <c r="W22" t="str">
        <f>$N$1&amp;$P$1&amp;$T$1&amp;$C$2&amp;$T$1&amp;$R$1&amp;C23&amp;$Q$1&amp;$S$1&amp;$P$1&amp;$T$1&amp;$D$2&amp;$T$1&amp;$R$1&amp;D23&amp;$Q$1&amp;$S$1&amp;$P$1&amp;$T$1&amp;$E$2&amp;$T$1&amp;$R$1&amp;E23&amp;$Q$1&amp;$S$1&amp;$P$1&amp;$T$1&amp;$F$2&amp;$T$1&amp;$R$1&amp;K23&amp;$Q$1&amp;$S$1&amp;$P$1&amp;$T$1&amp;$G$2&amp;$T$1&amp;$R$1&amp;G23&amp;$Q$1&amp;$S$1&amp;$P$1&amp;$T$1&amp;$H$2&amp;$T$1&amp;$R$1&amp;H23&amp;$Q$1&amp;$S$1&amp;$P$1&amp;$T$1&amp;$I$2&amp;$T$1&amp;$R$1&amp;I23&amp;$Q$1&amp;$S$1&amp;$P$1&amp;$T$1&amp;$J$2&amp;$T$1&amp;$R$1&amp;J23&amp;$Q$1&amp;$O$1</f>
        <v>[{"2":124},{"4":101},{"5":101},{"12":693},{"7":8},{"6":0},{"8":10},{"9":0}]</v>
      </c>
      <c r="AE22" t="str">
        <f>$N$1&amp;$P$1&amp;$T$1&amp;$C$2&amp;$T$1&amp;$R$1&amp;C23&amp;$Q$1&amp;$S$1&amp;$P$1&amp;$T$1&amp;$D$2&amp;$T$1&amp;$R$1&amp;D23&amp;$Q$1&amp;$S$1&amp;$P$1&amp;$T$1&amp;$E$2&amp;$T$1&amp;$R$1&amp;E23&amp;$Q$1&amp;$S$1&amp;$P$1&amp;$T$1&amp;$F$2&amp;$T$1&amp;$R$1&amp;L23&amp;$Q$1&amp;$S$1&amp;$P$1&amp;$T$1&amp;$G$2&amp;$T$1&amp;$R$1&amp;G23&amp;$Q$1&amp;$S$1&amp;$P$1&amp;$T$1&amp;$H$2&amp;$T$1&amp;$R$1&amp;H23&amp;$Q$1&amp;$S$1&amp;$P$1&amp;$T$1&amp;$I$2&amp;$T$1&amp;$R$1&amp;I23&amp;$Q$1&amp;$S$1&amp;$P$1&amp;$T$1&amp;$J$2&amp;$T$1&amp;$R$1&amp;J23&amp;$Q$1&amp;$O$1</f>
        <v>[{"2":124},{"4":101},{"5":101},{"12":1040},{"7":8},{"6":0},{"8":10},{"9":0}]</v>
      </c>
      <c r="AG22">
        <v>138</v>
      </c>
      <c r="AH22">
        <f t="shared" si="8"/>
        <v>92</v>
      </c>
      <c r="AI22">
        <f t="shared" si="9"/>
        <v>92</v>
      </c>
      <c r="AJ22">
        <f t="shared" si="10"/>
        <v>1840</v>
      </c>
      <c r="AK22">
        <v>4</v>
      </c>
      <c r="AL22">
        <v>8</v>
      </c>
      <c r="AM22">
        <v>0</v>
      </c>
      <c r="AN22">
        <v>10</v>
      </c>
    </row>
    <row r="23" customFormat="1" ht="16.5" spans="1:40">
      <c r="A23">
        <v>21</v>
      </c>
      <c r="B23">
        <f t="shared" si="1"/>
        <v>152</v>
      </c>
      <c r="C23">
        <f t="shared" si="2"/>
        <v>124</v>
      </c>
      <c r="D23">
        <f t="shared" si="3"/>
        <v>101</v>
      </c>
      <c r="E23">
        <f t="shared" si="4"/>
        <v>101</v>
      </c>
      <c r="F23" s="2">
        <f t="shared" si="5"/>
        <v>2080</v>
      </c>
      <c r="G23">
        <v>8</v>
      </c>
      <c r="H23">
        <v>0</v>
      </c>
      <c r="I23">
        <v>10</v>
      </c>
      <c r="J23">
        <v>0</v>
      </c>
      <c r="K23" s="2">
        <f t="shared" si="6"/>
        <v>693</v>
      </c>
      <c r="L23" s="3">
        <f t="shared" si="7"/>
        <v>1040</v>
      </c>
      <c r="N23" t="str">
        <f t="shared" si="0"/>
        <v>[{"1":154},{"2":126},{"4":102},{"5":102},{"12":2100}]</v>
      </c>
      <c r="W23" t="str">
        <f>$N$1&amp;$P$1&amp;$T$1&amp;$C$2&amp;$T$1&amp;$R$1&amp;C24&amp;$Q$1&amp;$S$1&amp;$P$1&amp;$T$1&amp;$D$2&amp;$T$1&amp;$R$1&amp;D24&amp;$Q$1&amp;$S$1&amp;$P$1&amp;$T$1&amp;$E$2&amp;$T$1&amp;$R$1&amp;E24&amp;$Q$1&amp;$S$1&amp;$P$1&amp;$T$1&amp;$F$2&amp;$T$1&amp;$R$1&amp;K24&amp;$Q$1&amp;$S$1&amp;$P$1&amp;$T$1&amp;$G$2&amp;$T$1&amp;$R$1&amp;G24&amp;$Q$1&amp;$S$1&amp;$P$1&amp;$T$1&amp;$H$2&amp;$T$1&amp;$R$1&amp;H24&amp;$Q$1&amp;$S$1&amp;$P$1&amp;$T$1&amp;$I$2&amp;$T$1&amp;$R$1&amp;I24&amp;$Q$1&amp;$S$1&amp;$P$1&amp;$T$1&amp;$J$2&amp;$T$1&amp;$R$1&amp;J24&amp;$Q$1&amp;$O$1</f>
        <v>[{"2":126},{"4":102},{"5":102},{"12":700},{"7":8},{"6":0},{"8":10},{"9":0}]</v>
      </c>
      <c r="AE23" t="str">
        <f>$N$1&amp;$P$1&amp;$T$1&amp;$C$2&amp;$T$1&amp;$R$1&amp;C24&amp;$Q$1&amp;$S$1&amp;$P$1&amp;$T$1&amp;$D$2&amp;$T$1&amp;$R$1&amp;D24&amp;$Q$1&amp;$S$1&amp;$P$1&amp;$T$1&amp;$E$2&amp;$T$1&amp;$R$1&amp;E24&amp;$Q$1&amp;$S$1&amp;$P$1&amp;$T$1&amp;$F$2&amp;$T$1&amp;$R$1&amp;L24&amp;$Q$1&amp;$S$1&amp;$P$1&amp;$T$1&amp;$G$2&amp;$T$1&amp;$R$1&amp;G24&amp;$Q$1&amp;$S$1&amp;$P$1&amp;$T$1&amp;$H$2&amp;$T$1&amp;$R$1&amp;H24&amp;$Q$1&amp;$S$1&amp;$P$1&amp;$T$1&amp;$I$2&amp;$T$1&amp;$R$1&amp;I24&amp;$Q$1&amp;$S$1&amp;$P$1&amp;$T$1&amp;$J$2&amp;$T$1&amp;$R$1&amp;J24&amp;$Q$1&amp;$O$1</f>
        <v>[{"2":126},{"4":102},{"5":102},{"12":1050},{"7":8},{"6":0},{"8":10},{"9":0}]</v>
      </c>
      <c r="AG23">
        <v>140</v>
      </c>
      <c r="AH23">
        <f t="shared" si="8"/>
        <v>93</v>
      </c>
      <c r="AI23">
        <f t="shared" si="9"/>
        <v>93</v>
      </c>
      <c r="AJ23">
        <f t="shared" si="10"/>
        <v>1860</v>
      </c>
      <c r="AK23">
        <v>4</v>
      </c>
      <c r="AL23">
        <v>8</v>
      </c>
      <c r="AM23">
        <v>0</v>
      </c>
      <c r="AN23">
        <v>10</v>
      </c>
    </row>
    <row r="24" customFormat="1" ht="16.5" spans="1:40">
      <c r="A24">
        <v>22</v>
      </c>
      <c r="B24">
        <f t="shared" si="1"/>
        <v>154</v>
      </c>
      <c r="C24">
        <f t="shared" si="2"/>
        <v>126</v>
      </c>
      <c r="D24">
        <f t="shared" si="3"/>
        <v>102</v>
      </c>
      <c r="E24">
        <f t="shared" si="4"/>
        <v>102</v>
      </c>
      <c r="F24" s="2">
        <f t="shared" si="5"/>
        <v>2100</v>
      </c>
      <c r="G24">
        <v>8</v>
      </c>
      <c r="H24">
        <v>0</v>
      </c>
      <c r="I24">
        <v>10</v>
      </c>
      <c r="J24">
        <v>0</v>
      </c>
      <c r="K24" s="2">
        <f t="shared" si="6"/>
        <v>700</v>
      </c>
      <c r="L24" s="3">
        <f t="shared" si="7"/>
        <v>1050</v>
      </c>
      <c r="N24" t="str">
        <f t="shared" si="0"/>
        <v>[{"1":156},{"2":127},{"4":104},{"5":104},{"12":2140}]</v>
      </c>
      <c r="W24" t="str">
        <f>$N$1&amp;$P$1&amp;$T$1&amp;$C$2&amp;$T$1&amp;$R$1&amp;C25&amp;$Q$1&amp;$S$1&amp;$P$1&amp;$T$1&amp;$D$2&amp;$T$1&amp;$R$1&amp;D25&amp;$Q$1&amp;$S$1&amp;$P$1&amp;$T$1&amp;$E$2&amp;$T$1&amp;$R$1&amp;E25&amp;$Q$1&amp;$S$1&amp;$P$1&amp;$T$1&amp;$F$2&amp;$T$1&amp;$R$1&amp;K25&amp;$Q$1&amp;$S$1&amp;$P$1&amp;$T$1&amp;$G$2&amp;$T$1&amp;$R$1&amp;G25&amp;$Q$1&amp;$S$1&amp;$P$1&amp;$T$1&amp;$H$2&amp;$T$1&amp;$R$1&amp;H25&amp;$Q$1&amp;$S$1&amp;$P$1&amp;$T$1&amp;$I$2&amp;$T$1&amp;$R$1&amp;I25&amp;$Q$1&amp;$S$1&amp;$P$1&amp;$T$1&amp;$J$2&amp;$T$1&amp;$R$1&amp;J25&amp;$Q$1&amp;$O$1</f>
        <v>[{"2":127},{"4":104},{"5":104},{"12":713},{"7":8},{"6":0},{"8":10},{"9":0}]</v>
      </c>
      <c r="AE24" t="str">
        <f>$N$1&amp;$P$1&amp;$T$1&amp;$C$2&amp;$T$1&amp;$R$1&amp;C25&amp;$Q$1&amp;$S$1&amp;$P$1&amp;$T$1&amp;$D$2&amp;$T$1&amp;$R$1&amp;D25&amp;$Q$1&amp;$S$1&amp;$P$1&amp;$T$1&amp;$E$2&amp;$T$1&amp;$R$1&amp;E25&amp;$Q$1&amp;$S$1&amp;$P$1&amp;$T$1&amp;$F$2&amp;$T$1&amp;$R$1&amp;L25&amp;$Q$1&amp;$S$1&amp;$P$1&amp;$T$1&amp;$G$2&amp;$T$1&amp;$R$1&amp;G25&amp;$Q$1&amp;$S$1&amp;$P$1&amp;$T$1&amp;$H$2&amp;$T$1&amp;$R$1&amp;H25&amp;$Q$1&amp;$S$1&amp;$P$1&amp;$T$1&amp;$I$2&amp;$T$1&amp;$R$1&amp;I25&amp;$Q$1&amp;$S$1&amp;$P$1&amp;$T$1&amp;$J$2&amp;$T$1&amp;$R$1&amp;J25&amp;$Q$1&amp;$O$1</f>
        <v>[{"2":127},{"4":104},{"5":104},{"12":1070},{"7":8},{"6":0},{"8":10},{"9":0}]</v>
      </c>
      <c r="AG24">
        <v>142</v>
      </c>
      <c r="AH24">
        <f t="shared" si="8"/>
        <v>94</v>
      </c>
      <c r="AI24">
        <f t="shared" si="9"/>
        <v>94</v>
      </c>
      <c r="AJ24">
        <f t="shared" si="10"/>
        <v>1880</v>
      </c>
      <c r="AK24">
        <v>4</v>
      </c>
      <c r="AL24">
        <v>8</v>
      </c>
      <c r="AM24">
        <v>0</v>
      </c>
      <c r="AN24">
        <v>10</v>
      </c>
    </row>
    <row r="25" customFormat="1" ht="16.5" spans="1:40">
      <c r="A25">
        <v>23</v>
      </c>
      <c r="B25">
        <f t="shared" si="1"/>
        <v>156</v>
      </c>
      <c r="C25">
        <f t="shared" si="2"/>
        <v>127</v>
      </c>
      <c r="D25">
        <f t="shared" si="3"/>
        <v>104</v>
      </c>
      <c r="E25">
        <f t="shared" si="4"/>
        <v>104</v>
      </c>
      <c r="F25" s="2">
        <f t="shared" si="5"/>
        <v>2140</v>
      </c>
      <c r="G25">
        <v>8</v>
      </c>
      <c r="H25">
        <v>0</v>
      </c>
      <c r="I25">
        <v>10</v>
      </c>
      <c r="J25">
        <v>0</v>
      </c>
      <c r="K25" s="2">
        <f t="shared" si="6"/>
        <v>713</v>
      </c>
      <c r="L25" s="3">
        <f t="shared" si="7"/>
        <v>1070</v>
      </c>
      <c r="N25" t="str">
        <f t="shared" si="0"/>
        <v>[{"1":158},{"2":129},{"4":105},{"5":105},{"12":2160}]</v>
      </c>
      <c r="W25" t="str">
        <f>$N$1&amp;$P$1&amp;$T$1&amp;$C$2&amp;$T$1&amp;$R$1&amp;C26&amp;$Q$1&amp;$S$1&amp;$P$1&amp;$T$1&amp;$D$2&amp;$T$1&amp;$R$1&amp;D26&amp;$Q$1&amp;$S$1&amp;$P$1&amp;$T$1&amp;$E$2&amp;$T$1&amp;$R$1&amp;E26&amp;$Q$1&amp;$S$1&amp;$P$1&amp;$T$1&amp;$F$2&amp;$T$1&amp;$R$1&amp;K26&amp;$Q$1&amp;$S$1&amp;$P$1&amp;$T$1&amp;$G$2&amp;$T$1&amp;$R$1&amp;G26&amp;$Q$1&amp;$S$1&amp;$P$1&amp;$T$1&amp;$H$2&amp;$T$1&amp;$R$1&amp;H26&amp;$Q$1&amp;$S$1&amp;$P$1&amp;$T$1&amp;$I$2&amp;$T$1&amp;$R$1&amp;I26&amp;$Q$1&amp;$S$1&amp;$P$1&amp;$T$1&amp;$J$2&amp;$T$1&amp;$R$1&amp;J26&amp;$Q$1&amp;$O$1</f>
        <v>[{"2":129},{"4":105},{"5":105},{"12":720},{"7":8},{"6":0},{"8":10},{"9":0}]</v>
      </c>
      <c r="AE25" t="str">
        <f>$N$1&amp;$P$1&amp;$T$1&amp;$C$2&amp;$T$1&amp;$R$1&amp;C26&amp;$Q$1&amp;$S$1&amp;$P$1&amp;$T$1&amp;$D$2&amp;$T$1&amp;$R$1&amp;D26&amp;$Q$1&amp;$S$1&amp;$P$1&amp;$T$1&amp;$E$2&amp;$T$1&amp;$R$1&amp;E26&amp;$Q$1&amp;$S$1&amp;$P$1&amp;$T$1&amp;$F$2&amp;$T$1&amp;$R$1&amp;L26&amp;$Q$1&amp;$S$1&amp;$P$1&amp;$T$1&amp;$G$2&amp;$T$1&amp;$R$1&amp;G26&amp;$Q$1&amp;$S$1&amp;$P$1&amp;$T$1&amp;$H$2&amp;$T$1&amp;$R$1&amp;H26&amp;$Q$1&amp;$S$1&amp;$P$1&amp;$T$1&amp;$I$2&amp;$T$1&amp;$R$1&amp;I26&amp;$Q$1&amp;$S$1&amp;$P$1&amp;$T$1&amp;$J$2&amp;$T$1&amp;$R$1&amp;J26&amp;$Q$1&amp;$O$1</f>
        <v>[{"2":129},{"4":105},{"5":105},{"12":1080},{"7":8},{"6":0},{"8":10},{"9":0}]</v>
      </c>
      <c r="AG25">
        <v>144</v>
      </c>
      <c r="AH25">
        <f t="shared" si="8"/>
        <v>96</v>
      </c>
      <c r="AI25">
        <f t="shared" si="9"/>
        <v>96</v>
      </c>
      <c r="AJ25">
        <f t="shared" si="10"/>
        <v>1920</v>
      </c>
      <c r="AK25">
        <v>4</v>
      </c>
      <c r="AL25">
        <v>8</v>
      </c>
      <c r="AM25">
        <v>0</v>
      </c>
      <c r="AN25">
        <v>10</v>
      </c>
    </row>
    <row r="26" customFormat="1" ht="16.5" spans="1:40">
      <c r="A26">
        <v>24</v>
      </c>
      <c r="B26">
        <f t="shared" si="1"/>
        <v>158</v>
      </c>
      <c r="C26">
        <f t="shared" si="2"/>
        <v>129</v>
      </c>
      <c r="D26">
        <f t="shared" si="3"/>
        <v>105</v>
      </c>
      <c r="E26">
        <f t="shared" si="4"/>
        <v>105</v>
      </c>
      <c r="F26" s="2">
        <f t="shared" si="5"/>
        <v>2160</v>
      </c>
      <c r="G26">
        <v>8</v>
      </c>
      <c r="H26">
        <v>0</v>
      </c>
      <c r="I26">
        <v>10</v>
      </c>
      <c r="J26">
        <v>0</v>
      </c>
      <c r="K26" s="2">
        <f t="shared" si="6"/>
        <v>720</v>
      </c>
      <c r="L26" s="3">
        <f t="shared" si="7"/>
        <v>1080</v>
      </c>
      <c r="N26" t="str">
        <f t="shared" si="0"/>
        <v>[{"1":160},{"2":131},{"4":106},{"5":106},{"12":2180}]</v>
      </c>
      <c r="W26" t="str">
        <f>$N$1&amp;$P$1&amp;$T$1&amp;$C$2&amp;$T$1&amp;$R$1&amp;C27&amp;$Q$1&amp;$S$1&amp;$P$1&amp;$T$1&amp;$D$2&amp;$T$1&amp;$R$1&amp;D27&amp;$Q$1&amp;$S$1&amp;$P$1&amp;$T$1&amp;$E$2&amp;$T$1&amp;$R$1&amp;E27&amp;$Q$1&amp;$S$1&amp;$P$1&amp;$T$1&amp;$F$2&amp;$T$1&amp;$R$1&amp;K27&amp;$Q$1&amp;$S$1&amp;$P$1&amp;$T$1&amp;$G$2&amp;$T$1&amp;$R$1&amp;G27&amp;$Q$1&amp;$S$1&amp;$P$1&amp;$T$1&amp;$H$2&amp;$T$1&amp;$R$1&amp;H27&amp;$Q$1&amp;$S$1&amp;$P$1&amp;$T$1&amp;$I$2&amp;$T$1&amp;$R$1&amp;I27&amp;$Q$1&amp;$S$1&amp;$P$1&amp;$T$1&amp;$J$2&amp;$T$1&amp;$R$1&amp;J27&amp;$Q$1&amp;$O$1</f>
        <v>[{"2":131},{"4":106},{"5":106},{"12":726},{"7":8},{"6":0},{"8":10},{"9":0}]</v>
      </c>
      <c r="AE26" t="str">
        <f>$N$1&amp;$P$1&amp;$T$1&amp;$C$2&amp;$T$1&amp;$R$1&amp;C27&amp;$Q$1&amp;$S$1&amp;$P$1&amp;$T$1&amp;$D$2&amp;$T$1&amp;$R$1&amp;D27&amp;$Q$1&amp;$S$1&amp;$P$1&amp;$T$1&amp;$E$2&amp;$T$1&amp;$R$1&amp;E27&amp;$Q$1&amp;$S$1&amp;$P$1&amp;$T$1&amp;$F$2&amp;$T$1&amp;$R$1&amp;L27&amp;$Q$1&amp;$S$1&amp;$P$1&amp;$T$1&amp;$G$2&amp;$T$1&amp;$R$1&amp;G27&amp;$Q$1&amp;$S$1&amp;$P$1&amp;$T$1&amp;$H$2&amp;$T$1&amp;$R$1&amp;H27&amp;$Q$1&amp;$S$1&amp;$P$1&amp;$T$1&amp;$I$2&amp;$T$1&amp;$R$1&amp;I27&amp;$Q$1&amp;$S$1&amp;$P$1&amp;$T$1&amp;$J$2&amp;$T$1&amp;$R$1&amp;J27&amp;$Q$1&amp;$O$1</f>
        <v>[{"2":131},{"4":106},{"5":106},{"12":1090},{"7":8},{"6":0},{"8":10},{"9":0}]</v>
      </c>
      <c r="AG26">
        <v>146</v>
      </c>
      <c r="AH26">
        <f t="shared" si="8"/>
        <v>97</v>
      </c>
      <c r="AI26">
        <f t="shared" si="9"/>
        <v>97</v>
      </c>
      <c r="AJ26">
        <f t="shared" si="10"/>
        <v>1940</v>
      </c>
      <c r="AK26">
        <v>4</v>
      </c>
      <c r="AL26">
        <v>8</v>
      </c>
      <c r="AM26">
        <v>0</v>
      </c>
      <c r="AN26">
        <v>10</v>
      </c>
    </row>
    <row r="27" customFormat="1" ht="16.5" spans="1:40">
      <c r="A27">
        <v>25</v>
      </c>
      <c r="B27">
        <f t="shared" si="1"/>
        <v>160</v>
      </c>
      <c r="C27">
        <f t="shared" si="2"/>
        <v>131</v>
      </c>
      <c r="D27">
        <f t="shared" si="3"/>
        <v>106</v>
      </c>
      <c r="E27">
        <f t="shared" si="4"/>
        <v>106</v>
      </c>
      <c r="F27" s="2">
        <f t="shared" si="5"/>
        <v>2180</v>
      </c>
      <c r="G27">
        <v>8</v>
      </c>
      <c r="H27">
        <v>0</v>
      </c>
      <c r="I27">
        <v>10</v>
      </c>
      <c r="J27">
        <v>0</v>
      </c>
      <c r="K27" s="2">
        <f t="shared" si="6"/>
        <v>726</v>
      </c>
      <c r="L27" s="3">
        <f t="shared" si="7"/>
        <v>1090</v>
      </c>
      <c r="N27" t="str">
        <f t="shared" si="0"/>
        <v>[{"1":162},{"2":132},{"4":108},{"5":108},{"12":2220}]</v>
      </c>
      <c r="W27" t="str">
        <f>$N$1&amp;$P$1&amp;$T$1&amp;$C$2&amp;$T$1&amp;$R$1&amp;C28&amp;$Q$1&amp;$S$1&amp;$P$1&amp;$T$1&amp;$D$2&amp;$T$1&amp;$R$1&amp;D28&amp;$Q$1&amp;$S$1&amp;$P$1&amp;$T$1&amp;$E$2&amp;$T$1&amp;$R$1&amp;E28&amp;$Q$1&amp;$S$1&amp;$P$1&amp;$T$1&amp;$F$2&amp;$T$1&amp;$R$1&amp;K28&amp;$Q$1&amp;$S$1&amp;$P$1&amp;$T$1&amp;$G$2&amp;$T$1&amp;$R$1&amp;G28&amp;$Q$1&amp;$S$1&amp;$P$1&amp;$T$1&amp;$H$2&amp;$T$1&amp;$R$1&amp;H28&amp;$Q$1&amp;$S$1&amp;$P$1&amp;$T$1&amp;$I$2&amp;$T$1&amp;$R$1&amp;I28&amp;$Q$1&amp;$S$1&amp;$P$1&amp;$T$1&amp;$J$2&amp;$T$1&amp;$R$1&amp;J28&amp;$Q$1&amp;$O$1</f>
        <v>[{"2":132},{"4":108},{"5":108},{"12":740},{"7":8},{"6":0},{"8":10},{"9":0}]</v>
      </c>
      <c r="AE27" t="str">
        <f>$N$1&amp;$P$1&amp;$T$1&amp;$C$2&amp;$T$1&amp;$R$1&amp;C28&amp;$Q$1&amp;$S$1&amp;$P$1&amp;$T$1&amp;$D$2&amp;$T$1&amp;$R$1&amp;D28&amp;$Q$1&amp;$S$1&amp;$P$1&amp;$T$1&amp;$E$2&amp;$T$1&amp;$R$1&amp;E28&amp;$Q$1&amp;$S$1&amp;$P$1&amp;$T$1&amp;$F$2&amp;$T$1&amp;$R$1&amp;L28&amp;$Q$1&amp;$S$1&amp;$P$1&amp;$T$1&amp;$G$2&amp;$T$1&amp;$R$1&amp;G28&amp;$Q$1&amp;$S$1&amp;$P$1&amp;$T$1&amp;$H$2&amp;$T$1&amp;$R$1&amp;H28&amp;$Q$1&amp;$S$1&amp;$P$1&amp;$T$1&amp;$I$2&amp;$T$1&amp;$R$1&amp;I28&amp;$Q$1&amp;$S$1&amp;$P$1&amp;$T$1&amp;$J$2&amp;$T$1&amp;$R$1&amp;J28&amp;$Q$1&amp;$O$1</f>
        <v>[{"2":132},{"4":108},{"5":108},{"12":1110},{"7":8},{"6":0},{"8":10},{"9":0}]</v>
      </c>
      <c r="AG27">
        <v>148</v>
      </c>
      <c r="AH27">
        <f t="shared" si="8"/>
        <v>98</v>
      </c>
      <c r="AI27">
        <f t="shared" si="9"/>
        <v>98</v>
      </c>
      <c r="AJ27">
        <f t="shared" si="10"/>
        <v>1960</v>
      </c>
      <c r="AK27">
        <v>4</v>
      </c>
      <c r="AL27">
        <v>8</v>
      </c>
      <c r="AM27">
        <v>0</v>
      </c>
      <c r="AN27">
        <v>10</v>
      </c>
    </row>
    <row r="28" customFormat="1" ht="16.5" spans="1:40">
      <c r="A28">
        <v>26</v>
      </c>
      <c r="B28">
        <f t="shared" si="1"/>
        <v>162</v>
      </c>
      <c r="C28">
        <f t="shared" si="2"/>
        <v>132</v>
      </c>
      <c r="D28">
        <f t="shared" si="3"/>
        <v>108</v>
      </c>
      <c r="E28">
        <f t="shared" si="4"/>
        <v>108</v>
      </c>
      <c r="F28" s="2">
        <f t="shared" si="5"/>
        <v>2220</v>
      </c>
      <c r="G28">
        <v>8</v>
      </c>
      <c r="H28">
        <v>0</v>
      </c>
      <c r="I28">
        <v>10</v>
      </c>
      <c r="J28">
        <v>0</v>
      </c>
      <c r="K28" s="2">
        <f t="shared" si="6"/>
        <v>740</v>
      </c>
      <c r="L28" s="3">
        <f t="shared" si="7"/>
        <v>1110</v>
      </c>
      <c r="N28" t="str">
        <f t="shared" si="0"/>
        <v>[{"1":164},{"2":134},{"4":109},{"5":109},{"12":2240}]</v>
      </c>
      <c r="W28" t="str">
        <f>$N$1&amp;$P$1&amp;$T$1&amp;$C$2&amp;$T$1&amp;$R$1&amp;C29&amp;$Q$1&amp;$S$1&amp;$P$1&amp;$T$1&amp;$D$2&amp;$T$1&amp;$R$1&amp;D29&amp;$Q$1&amp;$S$1&amp;$P$1&amp;$T$1&amp;$E$2&amp;$T$1&amp;$R$1&amp;E29&amp;$Q$1&amp;$S$1&amp;$P$1&amp;$T$1&amp;$F$2&amp;$T$1&amp;$R$1&amp;K29&amp;$Q$1&amp;$S$1&amp;$P$1&amp;$T$1&amp;$G$2&amp;$T$1&amp;$R$1&amp;G29&amp;$Q$1&amp;$S$1&amp;$P$1&amp;$T$1&amp;$H$2&amp;$T$1&amp;$R$1&amp;H29&amp;$Q$1&amp;$S$1&amp;$P$1&amp;$T$1&amp;$I$2&amp;$T$1&amp;$R$1&amp;I29&amp;$Q$1&amp;$S$1&amp;$P$1&amp;$T$1&amp;$J$2&amp;$T$1&amp;$R$1&amp;J29&amp;$Q$1&amp;$O$1</f>
        <v>[{"2":134},{"4":109},{"5":109},{"12":746},{"7":8},{"6":0},{"8":10},{"9":0}]</v>
      </c>
      <c r="AE28" t="str">
        <f>$N$1&amp;$P$1&amp;$T$1&amp;$C$2&amp;$T$1&amp;$R$1&amp;C29&amp;$Q$1&amp;$S$1&amp;$P$1&amp;$T$1&amp;$D$2&amp;$T$1&amp;$R$1&amp;D29&amp;$Q$1&amp;$S$1&amp;$P$1&amp;$T$1&amp;$E$2&amp;$T$1&amp;$R$1&amp;E29&amp;$Q$1&amp;$S$1&amp;$P$1&amp;$T$1&amp;$F$2&amp;$T$1&amp;$R$1&amp;L29&amp;$Q$1&amp;$S$1&amp;$P$1&amp;$T$1&amp;$G$2&amp;$T$1&amp;$R$1&amp;G29&amp;$Q$1&amp;$S$1&amp;$P$1&amp;$T$1&amp;$H$2&amp;$T$1&amp;$R$1&amp;H29&amp;$Q$1&amp;$S$1&amp;$P$1&amp;$T$1&amp;$I$2&amp;$T$1&amp;$R$1&amp;I29&amp;$Q$1&amp;$S$1&amp;$P$1&amp;$T$1&amp;$J$2&amp;$T$1&amp;$R$1&amp;J29&amp;$Q$1&amp;$O$1</f>
        <v>[{"2":134},{"4":109},{"5":109},{"12":1120},{"7":8},{"6":0},{"8":10},{"9":0}]</v>
      </c>
      <c r="AG28">
        <v>150</v>
      </c>
      <c r="AH28">
        <f t="shared" si="8"/>
        <v>100</v>
      </c>
      <c r="AI28">
        <f t="shared" si="9"/>
        <v>100</v>
      </c>
      <c r="AJ28">
        <f t="shared" si="10"/>
        <v>2000</v>
      </c>
      <c r="AK28">
        <v>4</v>
      </c>
      <c r="AL28">
        <v>8</v>
      </c>
      <c r="AM28">
        <v>0</v>
      </c>
      <c r="AN28">
        <v>10</v>
      </c>
    </row>
    <row r="29" customFormat="1" ht="16.5" spans="1:40">
      <c r="A29">
        <v>27</v>
      </c>
      <c r="B29">
        <f t="shared" si="1"/>
        <v>164</v>
      </c>
      <c r="C29">
        <f t="shared" si="2"/>
        <v>134</v>
      </c>
      <c r="D29">
        <f t="shared" si="3"/>
        <v>109</v>
      </c>
      <c r="E29">
        <f t="shared" si="4"/>
        <v>109</v>
      </c>
      <c r="F29" s="2">
        <f t="shared" si="5"/>
        <v>2240</v>
      </c>
      <c r="G29">
        <v>8</v>
      </c>
      <c r="H29">
        <v>0</v>
      </c>
      <c r="I29">
        <v>10</v>
      </c>
      <c r="J29">
        <v>0</v>
      </c>
      <c r="K29" s="2">
        <f t="shared" si="6"/>
        <v>746</v>
      </c>
      <c r="L29" s="3">
        <f t="shared" si="7"/>
        <v>1120</v>
      </c>
      <c r="N29" t="str">
        <f t="shared" si="0"/>
        <v>[{"1":166},{"2":136},{"4":110},{"5":110},{"12":2260}]</v>
      </c>
      <c r="W29" t="str">
        <f>$N$1&amp;$P$1&amp;$T$1&amp;$C$2&amp;$T$1&amp;$R$1&amp;C30&amp;$Q$1&amp;$S$1&amp;$P$1&amp;$T$1&amp;$D$2&amp;$T$1&amp;$R$1&amp;D30&amp;$Q$1&amp;$S$1&amp;$P$1&amp;$T$1&amp;$E$2&amp;$T$1&amp;$R$1&amp;E30&amp;$Q$1&amp;$S$1&amp;$P$1&amp;$T$1&amp;$F$2&amp;$T$1&amp;$R$1&amp;K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[{"2":136},{"4":110},{"5":110},{"12":753},{"7":8},{"6":0},{"8":10},{"9":0}]</v>
      </c>
      <c r="AE29" t="str">
        <f>$N$1&amp;$P$1&amp;$T$1&amp;$C$2&amp;$T$1&amp;$R$1&amp;C30&amp;$Q$1&amp;$S$1&amp;$P$1&amp;$T$1&amp;$D$2&amp;$T$1&amp;$R$1&amp;D30&amp;$Q$1&amp;$S$1&amp;$P$1&amp;$T$1&amp;$E$2&amp;$T$1&amp;$R$1&amp;E30&amp;$Q$1&amp;$S$1&amp;$P$1&amp;$T$1&amp;$F$2&amp;$T$1&amp;$R$1&amp;L30&amp;$Q$1&amp;$S$1&amp;$P$1&amp;$T$1&amp;$G$2&amp;$T$1&amp;$R$1&amp;G30&amp;$Q$1&amp;$S$1&amp;$P$1&amp;$T$1&amp;$H$2&amp;$T$1&amp;$R$1&amp;H30&amp;$Q$1&amp;$S$1&amp;$P$1&amp;$T$1&amp;$I$2&amp;$T$1&amp;$R$1&amp;I30&amp;$Q$1&amp;$S$1&amp;$P$1&amp;$T$1&amp;$J$2&amp;$T$1&amp;$R$1&amp;J30&amp;$Q$1&amp;$O$1</f>
        <v>[{"2":136},{"4":110},{"5":110},{"12":1130},{"7":8},{"6":0},{"8":10},{"9":0}]</v>
      </c>
      <c r="AG29">
        <v>152</v>
      </c>
      <c r="AH29">
        <f t="shared" si="8"/>
        <v>101</v>
      </c>
      <c r="AI29">
        <f t="shared" si="9"/>
        <v>101</v>
      </c>
      <c r="AJ29">
        <f t="shared" si="10"/>
        <v>2020</v>
      </c>
      <c r="AK29">
        <v>4</v>
      </c>
      <c r="AL29">
        <v>8</v>
      </c>
      <c r="AM29">
        <v>0</v>
      </c>
      <c r="AN29">
        <v>10</v>
      </c>
    </row>
    <row r="30" customFormat="1" ht="16.5" spans="1:40">
      <c r="A30">
        <v>28</v>
      </c>
      <c r="B30">
        <f t="shared" si="1"/>
        <v>166</v>
      </c>
      <c r="C30">
        <f t="shared" si="2"/>
        <v>136</v>
      </c>
      <c r="D30">
        <f t="shared" si="3"/>
        <v>110</v>
      </c>
      <c r="E30">
        <f t="shared" si="4"/>
        <v>110</v>
      </c>
      <c r="F30" s="2">
        <f t="shared" si="5"/>
        <v>2260</v>
      </c>
      <c r="G30">
        <v>8</v>
      </c>
      <c r="H30">
        <v>0</v>
      </c>
      <c r="I30">
        <v>10</v>
      </c>
      <c r="J30">
        <v>0</v>
      </c>
      <c r="K30" s="2">
        <f t="shared" si="6"/>
        <v>753</v>
      </c>
      <c r="L30" s="3">
        <f t="shared" si="7"/>
        <v>1130</v>
      </c>
      <c r="N30" t="str">
        <f t="shared" si="0"/>
        <v>[{"1":168},{"2":137},{"4":112},{"5":112},{"12":2300}]</v>
      </c>
      <c r="W30" t="str">
        <f>$N$1&amp;$P$1&amp;$T$1&amp;$C$2&amp;$T$1&amp;$R$1&amp;C31&amp;$Q$1&amp;$S$1&amp;$P$1&amp;$T$1&amp;$D$2&amp;$T$1&amp;$R$1&amp;D31&amp;$Q$1&amp;$S$1&amp;$P$1&amp;$T$1&amp;$E$2&amp;$T$1&amp;$R$1&amp;E31&amp;$Q$1&amp;$S$1&amp;$P$1&amp;$T$1&amp;$F$2&amp;$T$1&amp;$R$1&amp;K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[{"2":137},{"4":112},{"5":112},{"12":766},{"7":8},{"6":0},{"8":10},{"9":0}]</v>
      </c>
      <c r="AE30" t="str">
        <f>$N$1&amp;$P$1&amp;$T$1&amp;$C$2&amp;$T$1&amp;$R$1&amp;C31&amp;$Q$1&amp;$S$1&amp;$P$1&amp;$T$1&amp;$D$2&amp;$T$1&amp;$R$1&amp;D31&amp;$Q$1&amp;$S$1&amp;$P$1&amp;$T$1&amp;$E$2&amp;$T$1&amp;$R$1&amp;E31&amp;$Q$1&amp;$S$1&amp;$P$1&amp;$T$1&amp;$F$2&amp;$T$1&amp;$R$1&amp;L31&amp;$Q$1&amp;$S$1&amp;$P$1&amp;$T$1&amp;$G$2&amp;$T$1&amp;$R$1&amp;G31&amp;$Q$1&amp;$S$1&amp;$P$1&amp;$T$1&amp;$H$2&amp;$T$1&amp;$R$1&amp;H31&amp;$Q$1&amp;$S$1&amp;$P$1&amp;$T$1&amp;$I$2&amp;$T$1&amp;$R$1&amp;I31&amp;$Q$1&amp;$S$1&amp;$P$1&amp;$T$1&amp;$J$2&amp;$T$1&amp;$R$1&amp;J31&amp;$Q$1&amp;$O$1</f>
        <v>[{"2":137},{"4":112},{"5":112},{"12":1150},{"7":8},{"6":0},{"8":10},{"9":0}]</v>
      </c>
      <c r="AG30">
        <v>154</v>
      </c>
      <c r="AH30">
        <f t="shared" si="8"/>
        <v>102</v>
      </c>
      <c r="AI30">
        <f t="shared" si="9"/>
        <v>102</v>
      </c>
      <c r="AJ30">
        <f t="shared" si="10"/>
        <v>2040</v>
      </c>
      <c r="AK30">
        <v>4</v>
      </c>
      <c r="AL30">
        <v>8</v>
      </c>
      <c r="AM30">
        <v>0</v>
      </c>
      <c r="AN30">
        <v>10</v>
      </c>
    </row>
    <row r="31" customFormat="1" ht="16.5" spans="1:40">
      <c r="A31">
        <v>29</v>
      </c>
      <c r="B31">
        <f t="shared" si="1"/>
        <v>168</v>
      </c>
      <c r="C31">
        <f t="shared" si="2"/>
        <v>137</v>
      </c>
      <c r="D31">
        <f t="shared" si="3"/>
        <v>112</v>
      </c>
      <c r="E31">
        <f t="shared" si="4"/>
        <v>112</v>
      </c>
      <c r="F31" s="2">
        <f t="shared" si="5"/>
        <v>2300</v>
      </c>
      <c r="G31">
        <v>8</v>
      </c>
      <c r="H31">
        <v>0</v>
      </c>
      <c r="I31">
        <v>10</v>
      </c>
      <c r="J31">
        <v>0</v>
      </c>
      <c r="K31" s="2">
        <f t="shared" si="6"/>
        <v>766</v>
      </c>
      <c r="L31" s="3">
        <f t="shared" si="7"/>
        <v>1150</v>
      </c>
      <c r="N31" t="str">
        <f t="shared" si="0"/>
        <v>[{"1":170},{"2":139},{"4":113},{"5":113},{"12":2320}]</v>
      </c>
      <c r="W31" t="str">
        <f>$N$1&amp;$P$1&amp;$T$1&amp;$C$2&amp;$T$1&amp;$R$1&amp;C32&amp;$Q$1&amp;$S$1&amp;$P$1&amp;$T$1&amp;$D$2&amp;$T$1&amp;$R$1&amp;D32&amp;$Q$1&amp;$S$1&amp;$P$1&amp;$T$1&amp;$E$2&amp;$T$1&amp;$R$1&amp;E32&amp;$Q$1&amp;$S$1&amp;$P$1&amp;$T$1&amp;$F$2&amp;$T$1&amp;$R$1&amp;K32&amp;$Q$1&amp;$S$1&amp;$P$1&amp;$T$1&amp;$G$2&amp;$T$1&amp;$R$1&amp;G32&amp;$Q$1&amp;$S$1&amp;$P$1&amp;$T$1&amp;$H$2&amp;$T$1&amp;$R$1&amp;H32&amp;$Q$1&amp;$S$1&amp;$P$1&amp;$T$1&amp;$I$2&amp;$T$1&amp;$R$1&amp;I32&amp;$Q$1&amp;$S$1&amp;$P$1&amp;$T$1&amp;$J$2&amp;$T$1&amp;$R$1&amp;J32&amp;$Q$1&amp;$O$1</f>
        <v>[{"2":139},{"4":113},{"5":113},{"12":773},{"7":8},{"6":0},{"8":10},{"9":0}]</v>
      </c>
      <c r="AE31" t="str">
        <f>$N$1&amp;$P$1&amp;$T$1&amp;$C$2&amp;$T$1&amp;$R$1&amp;C32&amp;$Q$1&amp;$S$1&amp;$P$1&amp;$T$1&amp;$D$2&amp;$T$1&amp;$R$1&amp;D32&amp;$Q$1&amp;$S$1&amp;$P$1&amp;$T$1&amp;$E$2&amp;$T$1&amp;$R$1&amp;E32&amp;$Q$1&amp;$S$1&amp;$P$1&amp;$T$1&amp;$F$2&amp;$T$1&amp;$R$1&amp;L32&amp;$Q$1&amp;$S$1&amp;$P$1&amp;$T$1&amp;$G$2&amp;$T$1&amp;$R$1&amp;G32&amp;$Q$1&amp;$S$1&amp;$P$1&amp;$T$1&amp;$H$2&amp;$T$1&amp;$R$1&amp;H32&amp;$Q$1&amp;$S$1&amp;$P$1&amp;$T$1&amp;$I$2&amp;$T$1&amp;$R$1&amp;I32&amp;$Q$1&amp;$S$1&amp;$P$1&amp;$T$1&amp;$J$2&amp;$T$1&amp;$R$1&amp;J32&amp;$Q$1&amp;$O$1</f>
        <v>[{"2":139},{"4":113},{"5":113},{"12":1160},{"7":8},{"6":0},{"8":10},{"9":0}]</v>
      </c>
      <c r="AG31">
        <v>156</v>
      </c>
      <c r="AH31">
        <f t="shared" si="8"/>
        <v>104</v>
      </c>
      <c r="AI31">
        <f t="shared" si="9"/>
        <v>104</v>
      </c>
      <c r="AJ31">
        <f t="shared" si="10"/>
        <v>2080</v>
      </c>
      <c r="AK31">
        <v>4</v>
      </c>
      <c r="AL31">
        <v>8</v>
      </c>
      <c r="AM31">
        <v>0</v>
      </c>
      <c r="AN31">
        <v>10</v>
      </c>
    </row>
    <row r="32" customFormat="1" ht="16.5" spans="1:40">
      <c r="A32">
        <v>30</v>
      </c>
      <c r="B32">
        <f t="shared" si="1"/>
        <v>170</v>
      </c>
      <c r="C32">
        <f t="shared" si="2"/>
        <v>139</v>
      </c>
      <c r="D32">
        <f t="shared" si="3"/>
        <v>113</v>
      </c>
      <c r="E32">
        <f t="shared" si="4"/>
        <v>113</v>
      </c>
      <c r="F32" s="2">
        <f t="shared" si="5"/>
        <v>2320</v>
      </c>
      <c r="G32">
        <v>8</v>
      </c>
      <c r="H32">
        <v>0</v>
      </c>
      <c r="I32">
        <v>10</v>
      </c>
      <c r="J32">
        <v>0</v>
      </c>
      <c r="K32" s="2">
        <f t="shared" si="6"/>
        <v>773</v>
      </c>
      <c r="L32" s="3">
        <f t="shared" si="7"/>
        <v>1160</v>
      </c>
      <c r="N32" t="str">
        <f t="shared" si="0"/>
        <v>[{"1":172},{"2":141},{"4":114},{"5":114},{"12":2340}]</v>
      </c>
      <c r="W32" t="str">
        <f>$N$1&amp;$P$1&amp;$T$1&amp;$C$2&amp;$T$1&amp;$R$1&amp;C33&amp;$Q$1&amp;$S$1&amp;$P$1&amp;$T$1&amp;$D$2&amp;$T$1&amp;$R$1&amp;D33&amp;$Q$1&amp;$S$1&amp;$P$1&amp;$T$1&amp;$E$2&amp;$T$1&amp;$R$1&amp;E33&amp;$Q$1&amp;$S$1&amp;$P$1&amp;$T$1&amp;$F$2&amp;$T$1&amp;$R$1&amp;K33&amp;$Q$1&amp;$S$1&amp;$P$1&amp;$T$1&amp;$G$2&amp;$T$1&amp;$R$1&amp;G33&amp;$Q$1&amp;$S$1&amp;$P$1&amp;$T$1&amp;$H$2&amp;$T$1&amp;$R$1&amp;H33&amp;$Q$1&amp;$S$1&amp;$P$1&amp;$T$1&amp;$I$2&amp;$T$1&amp;$R$1&amp;I33&amp;$Q$1&amp;$S$1&amp;$P$1&amp;$T$1&amp;$J$2&amp;$T$1&amp;$R$1&amp;J33&amp;$Q$1&amp;$O$1</f>
        <v>[{"2":141},{"4":114},{"5":114},{"12":780},{"7":8},{"6":0},{"8":10},{"9":0}]</v>
      </c>
      <c r="AE32" t="str">
        <f>$N$1&amp;$P$1&amp;$T$1&amp;$C$2&amp;$T$1&amp;$R$1&amp;C33&amp;$Q$1&amp;$S$1&amp;$P$1&amp;$T$1&amp;$D$2&amp;$T$1&amp;$R$1&amp;D33&amp;$Q$1&amp;$S$1&amp;$P$1&amp;$T$1&amp;$E$2&amp;$T$1&amp;$R$1&amp;E33&amp;$Q$1&amp;$S$1&amp;$P$1&amp;$T$1&amp;$F$2&amp;$T$1&amp;$R$1&amp;L33&amp;$Q$1&amp;$S$1&amp;$P$1&amp;$T$1&amp;$G$2&amp;$T$1&amp;$R$1&amp;G33&amp;$Q$1&amp;$S$1&amp;$P$1&amp;$T$1&amp;$H$2&amp;$T$1&amp;$R$1&amp;H33&amp;$Q$1&amp;$S$1&amp;$P$1&amp;$T$1&amp;$I$2&amp;$T$1&amp;$R$1&amp;I33&amp;$Q$1&amp;$S$1&amp;$P$1&amp;$T$1&amp;$J$2&amp;$T$1&amp;$R$1&amp;J33&amp;$Q$1&amp;$O$1</f>
        <v>[{"2":141},{"4":114},{"5":114},{"12":1170},{"7":8},{"6":0},{"8":10},{"9":0}]</v>
      </c>
      <c r="AG32">
        <v>158</v>
      </c>
      <c r="AH32">
        <f t="shared" si="8"/>
        <v>105</v>
      </c>
      <c r="AI32">
        <f t="shared" si="9"/>
        <v>105</v>
      </c>
      <c r="AJ32">
        <f t="shared" si="10"/>
        <v>2100</v>
      </c>
      <c r="AK32">
        <v>4</v>
      </c>
      <c r="AL32">
        <v>8</v>
      </c>
      <c r="AM32">
        <v>0</v>
      </c>
      <c r="AN32">
        <v>10</v>
      </c>
    </row>
    <row r="33" customFormat="1" ht="16.5" spans="1:40">
      <c r="A33">
        <v>31</v>
      </c>
      <c r="B33">
        <f t="shared" si="1"/>
        <v>172</v>
      </c>
      <c r="C33">
        <f t="shared" si="2"/>
        <v>141</v>
      </c>
      <c r="D33">
        <f t="shared" si="3"/>
        <v>114</v>
      </c>
      <c r="E33">
        <f t="shared" si="4"/>
        <v>114</v>
      </c>
      <c r="F33" s="2">
        <f t="shared" si="5"/>
        <v>2340</v>
      </c>
      <c r="G33">
        <v>8</v>
      </c>
      <c r="H33">
        <v>0</v>
      </c>
      <c r="I33">
        <v>10</v>
      </c>
      <c r="J33">
        <v>0</v>
      </c>
      <c r="K33" s="2">
        <f t="shared" si="6"/>
        <v>780</v>
      </c>
      <c r="L33" s="3">
        <f t="shared" si="7"/>
        <v>1170</v>
      </c>
      <c r="N33" t="str">
        <f t="shared" si="0"/>
        <v>[{"1":174},{"2":142},{"4":116},{"5":116},{"12":2380}]</v>
      </c>
      <c r="W33" t="str">
        <f>$N$1&amp;$P$1&amp;$T$1&amp;$C$2&amp;$T$1&amp;$R$1&amp;C34&amp;$Q$1&amp;$S$1&amp;$P$1&amp;$T$1&amp;$D$2&amp;$T$1&amp;$R$1&amp;D34&amp;$Q$1&amp;$S$1&amp;$P$1&amp;$T$1&amp;$E$2&amp;$T$1&amp;$R$1&amp;E34&amp;$Q$1&amp;$S$1&amp;$P$1&amp;$T$1&amp;$F$2&amp;$T$1&amp;$R$1&amp;K34&amp;$Q$1&amp;$S$1&amp;$P$1&amp;$T$1&amp;$G$2&amp;$T$1&amp;$R$1&amp;G34&amp;$Q$1&amp;$S$1&amp;$P$1&amp;$T$1&amp;$H$2&amp;$T$1&amp;$R$1&amp;H34&amp;$Q$1&amp;$S$1&amp;$P$1&amp;$T$1&amp;$I$2&amp;$T$1&amp;$R$1&amp;I34&amp;$Q$1&amp;$S$1&amp;$P$1&amp;$T$1&amp;$J$2&amp;$T$1&amp;$R$1&amp;J34&amp;$Q$1&amp;$O$1</f>
        <v>[{"2":142},{"4":116},{"5":116},{"12":793},{"7":8},{"6":0},{"8":10},{"9":0}]</v>
      </c>
      <c r="AE33" t="str">
        <f>$N$1&amp;$P$1&amp;$T$1&amp;$C$2&amp;$T$1&amp;$R$1&amp;C34&amp;$Q$1&amp;$S$1&amp;$P$1&amp;$T$1&amp;$D$2&amp;$T$1&amp;$R$1&amp;D34&amp;$Q$1&amp;$S$1&amp;$P$1&amp;$T$1&amp;$E$2&amp;$T$1&amp;$R$1&amp;E34&amp;$Q$1&amp;$S$1&amp;$P$1&amp;$T$1&amp;$F$2&amp;$T$1&amp;$R$1&amp;L34&amp;$Q$1&amp;$S$1&amp;$P$1&amp;$T$1&amp;$G$2&amp;$T$1&amp;$R$1&amp;G34&amp;$Q$1&amp;$S$1&amp;$P$1&amp;$T$1&amp;$H$2&amp;$T$1&amp;$R$1&amp;H34&amp;$Q$1&amp;$S$1&amp;$P$1&amp;$T$1&amp;$I$2&amp;$T$1&amp;$R$1&amp;I34&amp;$Q$1&amp;$S$1&amp;$P$1&amp;$T$1&amp;$J$2&amp;$T$1&amp;$R$1&amp;J34&amp;$Q$1&amp;$O$1</f>
        <v>[{"2":142},{"4":116},{"5":116},{"12":1190},{"7":8},{"6":0},{"8":10},{"9":0}]</v>
      </c>
      <c r="AG33">
        <v>160</v>
      </c>
      <c r="AH33">
        <f t="shared" si="8"/>
        <v>106</v>
      </c>
      <c r="AI33">
        <f t="shared" si="9"/>
        <v>106</v>
      </c>
      <c r="AJ33">
        <f t="shared" si="10"/>
        <v>2120</v>
      </c>
      <c r="AK33">
        <v>4</v>
      </c>
      <c r="AL33">
        <v>8</v>
      </c>
      <c r="AM33">
        <v>0</v>
      </c>
      <c r="AN33">
        <v>10</v>
      </c>
    </row>
    <row r="34" customFormat="1" ht="16.5" spans="1:40">
      <c r="A34">
        <v>32</v>
      </c>
      <c r="B34">
        <f t="shared" si="1"/>
        <v>174</v>
      </c>
      <c r="C34">
        <f t="shared" si="2"/>
        <v>142</v>
      </c>
      <c r="D34">
        <f t="shared" si="3"/>
        <v>116</v>
      </c>
      <c r="E34">
        <f t="shared" si="4"/>
        <v>116</v>
      </c>
      <c r="F34" s="2">
        <f t="shared" si="5"/>
        <v>2380</v>
      </c>
      <c r="G34">
        <v>8</v>
      </c>
      <c r="H34">
        <v>0</v>
      </c>
      <c r="I34">
        <v>10</v>
      </c>
      <c r="J34">
        <v>0</v>
      </c>
      <c r="K34" s="2">
        <f t="shared" si="6"/>
        <v>793</v>
      </c>
      <c r="L34" s="3">
        <f t="shared" si="7"/>
        <v>1190</v>
      </c>
      <c r="N34" t="str">
        <f t="shared" si="0"/>
        <v>[{"1":176},{"2":144},{"4":117},{"5":117},{"12":2400}]</v>
      </c>
      <c r="W34" t="str">
        <f>$N$1&amp;$P$1&amp;$T$1&amp;$C$2&amp;$T$1&amp;$R$1&amp;C35&amp;$Q$1&amp;$S$1&amp;$P$1&amp;$T$1&amp;$D$2&amp;$T$1&amp;$R$1&amp;D35&amp;$Q$1&amp;$S$1&amp;$P$1&amp;$T$1&amp;$E$2&amp;$T$1&amp;$R$1&amp;E35&amp;$Q$1&amp;$S$1&amp;$P$1&amp;$T$1&amp;$F$2&amp;$T$1&amp;$R$1&amp;K35&amp;$Q$1&amp;$S$1&amp;$P$1&amp;$T$1&amp;$G$2&amp;$T$1&amp;$R$1&amp;G35&amp;$Q$1&amp;$S$1&amp;$P$1&amp;$T$1&amp;$H$2&amp;$T$1&amp;$R$1&amp;H35&amp;$Q$1&amp;$S$1&amp;$P$1&amp;$T$1&amp;$I$2&amp;$T$1&amp;$R$1&amp;I35&amp;$Q$1&amp;$S$1&amp;$P$1&amp;$T$1&amp;$J$2&amp;$T$1&amp;$R$1&amp;J35&amp;$Q$1&amp;$O$1</f>
        <v>[{"2":144},{"4":117},{"5":117},{"12":800},{"7":8},{"6":0},{"8":10},{"9":0}]</v>
      </c>
      <c r="AE34" t="str">
        <f>$N$1&amp;$P$1&amp;$T$1&amp;$C$2&amp;$T$1&amp;$R$1&amp;C35&amp;$Q$1&amp;$S$1&amp;$P$1&amp;$T$1&amp;$D$2&amp;$T$1&amp;$R$1&amp;D35&amp;$Q$1&amp;$S$1&amp;$P$1&amp;$T$1&amp;$E$2&amp;$T$1&amp;$R$1&amp;E35&amp;$Q$1&amp;$S$1&amp;$P$1&amp;$T$1&amp;$F$2&amp;$T$1&amp;$R$1&amp;L35&amp;$Q$1&amp;$S$1&amp;$P$1&amp;$T$1&amp;$G$2&amp;$T$1&amp;$R$1&amp;G35&amp;$Q$1&amp;$S$1&amp;$P$1&amp;$T$1&amp;$H$2&amp;$T$1&amp;$R$1&amp;H35&amp;$Q$1&amp;$S$1&amp;$P$1&amp;$T$1&amp;$I$2&amp;$T$1&amp;$R$1&amp;I35&amp;$Q$1&amp;$S$1&amp;$P$1&amp;$T$1&amp;$J$2&amp;$T$1&amp;$R$1&amp;J35&amp;$Q$1&amp;$O$1</f>
        <v>[{"2":144},{"4":117},{"5":117},{"12":1200},{"7":8},{"6":0},{"8":10},{"9":0}]</v>
      </c>
      <c r="AG34">
        <v>162</v>
      </c>
      <c r="AH34">
        <f t="shared" si="8"/>
        <v>108</v>
      </c>
      <c r="AI34">
        <f t="shared" si="9"/>
        <v>108</v>
      </c>
      <c r="AJ34">
        <f t="shared" si="10"/>
        <v>2160</v>
      </c>
      <c r="AK34">
        <v>4</v>
      </c>
      <c r="AL34">
        <v>8</v>
      </c>
      <c r="AM34">
        <v>0</v>
      </c>
      <c r="AN34">
        <v>10</v>
      </c>
    </row>
    <row r="35" customFormat="1" ht="16.5" spans="1:40">
      <c r="A35">
        <v>33</v>
      </c>
      <c r="B35">
        <f t="shared" si="1"/>
        <v>176</v>
      </c>
      <c r="C35">
        <f t="shared" si="2"/>
        <v>144</v>
      </c>
      <c r="D35">
        <f t="shared" si="3"/>
        <v>117</v>
      </c>
      <c r="E35">
        <f t="shared" si="4"/>
        <v>117</v>
      </c>
      <c r="F35" s="2">
        <f t="shared" si="5"/>
        <v>2400</v>
      </c>
      <c r="G35">
        <v>8</v>
      </c>
      <c r="H35">
        <v>0</v>
      </c>
      <c r="I35">
        <v>10</v>
      </c>
      <c r="J35">
        <v>0</v>
      </c>
      <c r="K35" s="2">
        <f t="shared" si="6"/>
        <v>800</v>
      </c>
      <c r="L35" s="3">
        <f t="shared" si="7"/>
        <v>1200</v>
      </c>
      <c r="N35" t="str">
        <f t="shared" ref="N35:N66" si="11">$N$1&amp;$P$1&amp;$T$1&amp;$B$2&amp;$T$1&amp;$R$1&amp;B36&amp;$Q$1&amp;$S$1&amp;$P$1&amp;$T$1&amp;$C$2&amp;$T$1&amp;$R$1&amp;C36&amp;$Q$1&amp;$S$1&amp;$P$1&amp;$T$1&amp;$D$2&amp;$T$1&amp;$R$1&amp;D36&amp;$Q$1&amp;$S$1&amp;$P$1&amp;$T$1&amp;$E$2&amp;$T$1&amp;$R$1&amp;E36&amp;$Q$1&amp;$S$1&amp;$P$1&amp;$T$1&amp;$F$2&amp;$T$1&amp;$R$1&amp;F36&amp;$Q$1&amp;$O$1</f>
        <v>[{"1":178},{"2":145},{"4":118},{"5":118},{"12":2420}]</v>
      </c>
      <c r="W35" t="str">
        <f>$N$1&amp;$P$1&amp;$T$1&amp;$C$2&amp;$T$1&amp;$R$1&amp;C36&amp;$Q$1&amp;$S$1&amp;$P$1&amp;$T$1&amp;$D$2&amp;$T$1&amp;$R$1&amp;D36&amp;$Q$1&amp;$S$1&amp;$P$1&amp;$T$1&amp;$E$2&amp;$T$1&amp;$R$1&amp;E36&amp;$Q$1&amp;$S$1&amp;$P$1&amp;$T$1&amp;$F$2&amp;$T$1&amp;$R$1&amp;K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[{"2":145},{"4":118},{"5":118},{"12":806},{"7":8},{"6":0},{"8":10},{"9":0}]</v>
      </c>
      <c r="AE35" t="str">
        <f>$N$1&amp;$P$1&amp;$T$1&amp;$C$2&amp;$T$1&amp;$R$1&amp;C36&amp;$Q$1&amp;$S$1&amp;$P$1&amp;$T$1&amp;$D$2&amp;$T$1&amp;$R$1&amp;D36&amp;$Q$1&amp;$S$1&amp;$P$1&amp;$T$1&amp;$E$2&amp;$T$1&amp;$R$1&amp;E36&amp;$Q$1&amp;$S$1&amp;$P$1&amp;$T$1&amp;$F$2&amp;$T$1&amp;$R$1&amp;L36&amp;$Q$1&amp;$S$1&amp;$P$1&amp;$T$1&amp;$G$2&amp;$T$1&amp;$R$1&amp;G36&amp;$Q$1&amp;$S$1&amp;$P$1&amp;$T$1&amp;$H$2&amp;$T$1&amp;$R$1&amp;H36&amp;$Q$1&amp;$S$1&amp;$P$1&amp;$T$1&amp;$I$2&amp;$T$1&amp;$R$1&amp;I36&amp;$Q$1&amp;$S$1&amp;$P$1&amp;$T$1&amp;$J$2&amp;$T$1&amp;$R$1&amp;J36&amp;$Q$1&amp;$O$1</f>
        <v>[{"2":145},{"4":118},{"5":118},{"12":1210},{"7":8},{"6":0},{"8":10},{"9":0}]</v>
      </c>
      <c r="AG35">
        <v>164</v>
      </c>
      <c r="AH35">
        <f t="shared" si="8"/>
        <v>109</v>
      </c>
      <c r="AI35">
        <f t="shared" si="9"/>
        <v>109</v>
      </c>
      <c r="AJ35">
        <f t="shared" si="10"/>
        <v>2180</v>
      </c>
      <c r="AK35">
        <v>4</v>
      </c>
      <c r="AL35">
        <v>8</v>
      </c>
      <c r="AM35">
        <v>0</v>
      </c>
      <c r="AN35">
        <v>10</v>
      </c>
    </row>
    <row r="36" customFormat="1" ht="16.5" spans="1:40">
      <c r="A36">
        <v>34</v>
      </c>
      <c r="B36">
        <f t="shared" ref="B36:B67" si="12">$AO$2+AG36</f>
        <v>178</v>
      </c>
      <c r="C36">
        <f t="shared" ref="C36:C67" si="13">INT(B36*0.82)</f>
        <v>145</v>
      </c>
      <c r="D36">
        <f t="shared" ref="D36:D67" si="14">INT(B36/1.5)</f>
        <v>118</v>
      </c>
      <c r="E36">
        <f t="shared" ref="E36:E67" si="15">D36</f>
        <v>118</v>
      </c>
      <c r="F36" s="2">
        <f t="shared" ref="F36:F67" si="16">$AR$2+AJ36</f>
        <v>2420</v>
      </c>
      <c r="G36">
        <v>8</v>
      </c>
      <c r="H36">
        <v>0</v>
      </c>
      <c r="I36">
        <v>10</v>
      </c>
      <c r="J36">
        <v>0</v>
      </c>
      <c r="K36" s="2">
        <f t="shared" ref="K36:K67" si="17">INT(F36/3)</f>
        <v>806</v>
      </c>
      <c r="L36" s="3">
        <f t="shared" ref="L36:L67" si="18">INT(F36/2)</f>
        <v>1210</v>
      </c>
      <c r="N36" t="str">
        <f t="shared" si="11"/>
        <v>[{"1":180},{"2":147},{"4":120},{"5":120},{"12":2460}]</v>
      </c>
      <c r="W36" t="str">
        <f>$N$1&amp;$P$1&amp;$T$1&amp;$C$2&amp;$T$1&amp;$R$1&amp;C37&amp;$Q$1&amp;$S$1&amp;$P$1&amp;$T$1&amp;$D$2&amp;$T$1&amp;$R$1&amp;D37&amp;$Q$1&amp;$S$1&amp;$P$1&amp;$T$1&amp;$E$2&amp;$T$1&amp;$R$1&amp;E37&amp;$Q$1&amp;$S$1&amp;$P$1&amp;$T$1&amp;$F$2&amp;$T$1&amp;$R$1&amp;K37&amp;$Q$1&amp;$S$1&amp;$P$1&amp;$T$1&amp;$G$2&amp;$T$1&amp;$R$1&amp;G37&amp;$Q$1&amp;$S$1&amp;$P$1&amp;$T$1&amp;$H$2&amp;$T$1&amp;$R$1&amp;H37&amp;$Q$1&amp;$S$1&amp;$P$1&amp;$T$1&amp;$I$2&amp;$T$1&amp;$R$1&amp;I37&amp;$Q$1&amp;$S$1&amp;$P$1&amp;$T$1&amp;$J$2&amp;$T$1&amp;$R$1&amp;J37&amp;$Q$1&amp;$O$1</f>
        <v>[{"2":147},{"4":120},{"5":120},{"12":820},{"7":8},{"6":0},{"8":10},{"9":0}]</v>
      </c>
      <c r="AE36" t="str">
        <f>$N$1&amp;$P$1&amp;$T$1&amp;$C$2&amp;$T$1&amp;$R$1&amp;C37&amp;$Q$1&amp;$S$1&amp;$P$1&amp;$T$1&amp;$D$2&amp;$T$1&amp;$R$1&amp;D37&amp;$Q$1&amp;$S$1&amp;$P$1&amp;$T$1&amp;$E$2&amp;$T$1&amp;$R$1&amp;E37&amp;$Q$1&amp;$S$1&amp;$P$1&amp;$T$1&amp;$F$2&amp;$T$1&amp;$R$1&amp;L37&amp;$Q$1&amp;$S$1&amp;$P$1&amp;$T$1&amp;$G$2&amp;$T$1&amp;$R$1&amp;G37&amp;$Q$1&amp;$S$1&amp;$P$1&amp;$T$1&amp;$H$2&amp;$T$1&amp;$R$1&amp;H37&amp;$Q$1&amp;$S$1&amp;$P$1&amp;$T$1&amp;$I$2&amp;$T$1&amp;$R$1&amp;I37&amp;$Q$1&amp;$S$1&amp;$P$1&amp;$T$1&amp;$J$2&amp;$T$1&amp;$R$1&amp;J37&amp;$Q$1&amp;$O$1</f>
        <v>[{"2":147},{"4":120},{"5":120},{"12":1230},{"7":8},{"6":0},{"8":10},{"9":0}]</v>
      </c>
      <c r="AG36">
        <v>166</v>
      </c>
      <c r="AH36">
        <f t="shared" ref="AH36:AH67" si="19">INT(AG36/1.5)</f>
        <v>110</v>
      </c>
      <c r="AI36">
        <f t="shared" ref="AI36:AI67" si="20">AH36</f>
        <v>110</v>
      </c>
      <c r="AJ36">
        <f t="shared" ref="AJ36:AJ67" si="21">AI36*20</f>
        <v>2200</v>
      </c>
      <c r="AK36">
        <v>4</v>
      </c>
      <c r="AL36">
        <v>8</v>
      </c>
      <c r="AM36">
        <v>0</v>
      </c>
      <c r="AN36">
        <v>10</v>
      </c>
    </row>
    <row r="37" customFormat="1" ht="16.5" spans="1:40">
      <c r="A37">
        <v>35</v>
      </c>
      <c r="B37">
        <f t="shared" si="12"/>
        <v>180</v>
      </c>
      <c r="C37">
        <f t="shared" si="13"/>
        <v>147</v>
      </c>
      <c r="D37">
        <f t="shared" si="14"/>
        <v>120</v>
      </c>
      <c r="E37">
        <f t="shared" si="15"/>
        <v>120</v>
      </c>
      <c r="F37" s="2">
        <f t="shared" si="16"/>
        <v>2460</v>
      </c>
      <c r="G37">
        <v>8</v>
      </c>
      <c r="H37">
        <v>0</v>
      </c>
      <c r="I37">
        <v>10</v>
      </c>
      <c r="J37">
        <v>0</v>
      </c>
      <c r="K37" s="2">
        <f t="shared" si="17"/>
        <v>820</v>
      </c>
      <c r="L37" s="3">
        <f t="shared" si="18"/>
        <v>1230</v>
      </c>
      <c r="N37" t="str">
        <f t="shared" si="11"/>
        <v>[{"1":182},{"2":149},{"4":121},{"5":121},{"12":2480}]</v>
      </c>
      <c r="W37" t="str">
        <f>$N$1&amp;$P$1&amp;$T$1&amp;$C$2&amp;$T$1&amp;$R$1&amp;C38&amp;$Q$1&amp;$S$1&amp;$P$1&amp;$T$1&amp;$D$2&amp;$T$1&amp;$R$1&amp;D38&amp;$Q$1&amp;$S$1&amp;$P$1&amp;$T$1&amp;$E$2&amp;$T$1&amp;$R$1&amp;E38&amp;$Q$1&amp;$S$1&amp;$P$1&amp;$T$1&amp;$F$2&amp;$T$1&amp;$R$1&amp;K38&amp;$Q$1&amp;$S$1&amp;$P$1&amp;$T$1&amp;$G$2&amp;$T$1&amp;$R$1&amp;G38&amp;$Q$1&amp;$S$1&amp;$P$1&amp;$T$1&amp;$H$2&amp;$T$1&amp;$R$1&amp;H38&amp;$Q$1&amp;$S$1&amp;$P$1&amp;$T$1&amp;$I$2&amp;$T$1&amp;$R$1&amp;I38&amp;$Q$1&amp;$S$1&amp;$P$1&amp;$T$1&amp;$J$2&amp;$T$1&amp;$R$1&amp;J38&amp;$Q$1&amp;$O$1</f>
        <v>[{"2":149},{"4":121},{"5":121},{"12":826},{"7":8},{"6":0},{"8":10},{"9":0}]</v>
      </c>
      <c r="AE37" t="str">
        <f>$N$1&amp;$P$1&amp;$T$1&amp;$C$2&amp;$T$1&amp;$R$1&amp;C38&amp;$Q$1&amp;$S$1&amp;$P$1&amp;$T$1&amp;$D$2&amp;$T$1&amp;$R$1&amp;D38&amp;$Q$1&amp;$S$1&amp;$P$1&amp;$T$1&amp;$E$2&amp;$T$1&amp;$R$1&amp;E38&amp;$Q$1&amp;$S$1&amp;$P$1&amp;$T$1&amp;$F$2&amp;$T$1&amp;$R$1&amp;L38&amp;$Q$1&amp;$S$1&amp;$P$1&amp;$T$1&amp;$G$2&amp;$T$1&amp;$R$1&amp;G38&amp;$Q$1&amp;$S$1&amp;$P$1&amp;$T$1&amp;$H$2&amp;$T$1&amp;$R$1&amp;H38&amp;$Q$1&amp;$S$1&amp;$P$1&amp;$T$1&amp;$I$2&amp;$T$1&amp;$R$1&amp;I38&amp;$Q$1&amp;$S$1&amp;$P$1&amp;$T$1&amp;$J$2&amp;$T$1&amp;$R$1&amp;J38&amp;$Q$1&amp;$O$1</f>
        <v>[{"2":149},{"4":121},{"5":121},{"12":1240},{"7":8},{"6":0},{"8":10},{"9":0}]</v>
      </c>
      <c r="AG37">
        <v>168</v>
      </c>
      <c r="AH37">
        <f t="shared" si="19"/>
        <v>112</v>
      </c>
      <c r="AI37">
        <f t="shared" si="20"/>
        <v>112</v>
      </c>
      <c r="AJ37">
        <f t="shared" si="21"/>
        <v>2240</v>
      </c>
      <c r="AK37">
        <v>4</v>
      </c>
      <c r="AL37">
        <v>8</v>
      </c>
      <c r="AM37">
        <v>0</v>
      </c>
      <c r="AN37">
        <v>10</v>
      </c>
    </row>
    <row r="38" customFormat="1" ht="16.5" spans="1:40">
      <c r="A38">
        <v>36</v>
      </c>
      <c r="B38">
        <f t="shared" si="12"/>
        <v>182</v>
      </c>
      <c r="C38">
        <f t="shared" si="13"/>
        <v>149</v>
      </c>
      <c r="D38">
        <f t="shared" si="14"/>
        <v>121</v>
      </c>
      <c r="E38">
        <f t="shared" si="15"/>
        <v>121</v>
      </c>
      <c r="F38" s="2">
        <f t="shared" si="16"/>
        <v>2480</v>
      </c>
      <c r="G38">
        <v>8</v>
      </c>
      <c r="H38">
        <v>0</v>
      </c>
      <c r="I38">
        <v>10</v>
      </c>
      <c r="J38">
        <v>0</v>
      </c>
      <c r="K38" s="2">
        <f t="shared" si="17"/>
        <v>826</v>
      </c>
      <c r="L38" s="3">
        <f t="shared" si="18"/>
        <v>1240</v>
      </c>
      <c r="N38" t="str">
        <f t="shared" si="11"/>
        <v>[{"1":184},{"2":150},{"4":122},{"5":122},{"12":2500}]</v>
      </c>
      <c r="W38" t="str">
        <f>$N$1&amp;$P$1&amp;$T$1&amp;$C$2&amp;$T$1&amp;$R$1&amp;C39&amp;$Q$1&amp;$S$1&amp;$P$1&amp;$T$1&amp;$D$2&amp;$T$1&amp;$R$1&amp;D39&amp;$Q$1&amp;$S$1&amp;$P$1&amp;$T$1&amp;$E$2&amp;$T$1&amp;$R$1&amp;E39&amp;$Q$1&amp;$S$1&amp;$P$1&amp;$T$1&amp;$F$2&amp;$T$1&amp;$R$1&amp;K39&amp;$Q$1&amp;$S$1&amp;$P$1&amp;$T$1&amp;$G$2&amp;$T$1&amp;$R$1&amp;G39&amp;$Q$1&amp;$S$1&amp;$P$1&amp;$T$1&amp;$H$2&amp;$T$1&amp;$R$1&amp;H39&amp;$Q$1&amp;$S$1&amp;$P$1&amp;$T$1&amp;$I$2&amp;$T$1&amp;$R$1&amp;I39&amp;$Q$1&amp;$S$1&amp;$P$1&amp;$T$1&amp;$J$2&amp;$T$1&amp;$R$1&amp;J39&amp;$Q$1&amp;$O$1</f>
        <v>[{"2":150},{"4":122},{"5":122},{"12":833},{"7":8},{"6":0},{"8":10},{"9":0}]</v>
      </c>
      <c r="AE38" t="str">
        <f>$N$1&amp;$P$1&amp;$T$1&amp;$C$2&amp;$T$1&amp;$R$1&amp;C39&amp;$Q$1&amp;$S$1&amp;$P$1&amp;$T$1&amp;$D$2&amp;$T$1&amp;$R$1&amp;D39&amp;$Q$1&amp;$S$1&amp;$P$1&amp;$T$1&amp;$E$2&amp;$T$1&amp;$R$1&amp;E39&amp;$Q$1&amp;$S$1&amp;$P$1&amp;$T$1&amp;$F$2&amp;$T$1&amp;$R$1&amp;L39&amp;$Q$1&amp;$S$1&amp;$P$1&amp;$T$1&amp;$G$2&amp;$T$1&amp;$R$1&amp;G39&amp;$Q$1&amp;$S$1&amp;$P$1&amp;$T$1&amp;$H$2&amp;$T$1&amp;$R$1&amp;H39&amp;$Q$1&amp;$S$1&amp;$P$1&amp;$T$1&amp;$I$2&amp;$T$1&amp;$R$1&amp;I39&amp;$Q$1&amp;$S$1&amp;$P$1&amp;$T$1&amp;$J$2&amp;$T$1&amp;$R$1&amp;J39&amp;$Q$1&amp;$O$1</f>
        <v>[{"2":150},{"4":122},{"5":122},{"12":1250},{"7":8},{"6":0},{"8":10},{"9":0}]</v>
      </c>
      <c r="AG38">
        <v>170</v>
      </c>
      <c r="AH38">
        <f t="shared" si="19"/>
        <v>113</v>
      </c>
      <c r="AI38">
        <f t="shared" si="20"/>
        <v>113</v>
      </c>
      <c r="AJ38">
        <f t="shared" si="21"/>
        <v>2260</v>
      </c>
      <c r="AK38">
        <v>4</v>
      </c>
      <c r="AL38">
        <v>8</v>
      </c>
      <c r="AM38">
        <v>0</v>
      </c>
      <c r="AN38">
        <v>10</v>
      </c>
    </row>
    <row r="39" customFormat="1" ht="16.5" spans="1:40">
      <c r="A39">
        <v>37</v>
      </c>
      <c r="B39">
        <f t="shared" si="12"/>
        <v>184</v>
      </c>
      <c r="C39">
        <f t="shared" si="13"/>
        <v>150</v>
      </c>
      <c r="D39">
        <f t="shared" si="14"/>
        <v>122</v>
      </c>
      <c r="E39">
        <f t="shared" si="15"/>
        <v>122</v>
      </c>
      <c r="F39" s="2">
        <f t="shared" si="16"/>
        <v>2500</v>
      </c>
      <c r="G39">
        <v>8</v>
      </c>
      <c r="H39">
        <v>0</v>
      </c>
      <c r="I39">
        <v>10</v>
      </c>
      <c r="J39">
        <v>0</v>
      </c>
      <c r="K39" s="2">
        <f t="shared" si="17"/>
        <v>833</v>
      </c>
      <c r="L39" s="3">
        <f t="shared" si="18"/>
        <v>1250</v>
      </c>
      <c r="N39" t="str">
        <f t="shared" si="11"/>
        <v>[{"1":186},{"2":152},{"4":124},{"5":124},{"12":2540}]</v>
      </c>
      <c r="W39" t="str">
        <f>$N$1&amp;$P$1&amp;$T$1&amp;$C$2&amp;$T$1&amp;$R$1&amp;C40&amp;$Q$1&amp;$S$1&amp;$P$1&amp;$T$1&amp;$D$2&amp;$T$1&amp;$R$1&amp;D40&amp;$Q$1&amp;$S$1&amp;$P$1&amp;$T$1&amp;$E$2&amp;$T$1&amp;$R$1&amp;E40&amp;$Q$1&amp;$S$1&amp;$P$1&amp;$T$1&amp;$F$2&amp;$T$1&amp;$R$1&amp;K40&amp;$Q$1&amp;$S$1&amp;$P$1&amp;$T$1&amp;$G$2&amp;$T$1&amp;$R$1&amp;G40&amp;$Q$1&amp;$S$1&amp;$P$1&amp;$T$1&amp;$H$2&amp;$T$1&amp;$R$1&amp;H40&amp;$Q$1&amp;$S$1&amp;$P$1&amp;$T$1&amp;$I$2&amp;$T$1&amp;$R$1&amp;I40&amp;$Q$1&amp;$S$1&amp;$P$1&amp;$T$1&amp;$J$2&amp;$T$1&amp;$R$1&amp;J40&amp;$Q$1&amp;$O$1</f>
        <v>[{"2":152},{"4":124},{"5":124},{"12":846},{"7":8},{"6":0},{"8":10},{"9":0}]</v>
      </c>
      <c r="AE39" t="str">
        <f>$N$1&amp;$P$1&amp;$T$1&amp;$C$2&amp;$T$1&amp;$R$1&amp;C40&amp;$Q$1&amp;$S$1&amp;$P$1&amp;$T$1&amp;$D$2&amp;$T$1&amp;$R$1&amp;D40&amp;$Q$1&amp;$S$1&amp;$P$1&amp;$T$1&amp;$E$2&amp;$T$1&amp;$R$1&amp;E40&amp;$Q$1&amp;$S$1&amp;$P$1&amp;$T$1&amp;$F$2&amp;$T$1&amp;$R$1&amp;L40&amp;$Q$1&amp;$S$1&amp;$P$1&amp;$T$1&amp;$G$2&amp;$T$1&amp;$R$1&amp;G40&amp;$Q$1&amp;$S$1&amp;$P$1&amp;$T$1&amp;$H$2&amp;$T$1&amp;$R$1&amp;H40&amp;$Q$1&amp;$S$1&amp;$P$1&amp;$T$1&amp;$I$2&amp;$T$1&amp;$R$1&amp;I40&amp;$Q$1&amp;$S$1&amp;$P$1&amp;$T$1&amp;$J$2&amp;$T$1&amp;$R$1&amp;J40&amp;$Q$1&amp;$O$1</f>
        <v>[{"2":152},{"4":124},{"5":124},{"12":1270},{"7":8},{"6":0},{"8":10},{"9":0}]</v>
      </c>
      <c r="AG39">
        <v>172</v>
      </c>
      <c r="AH39">
        <f t="shared" si="19"/>
        <v>114</v>
      </c>
      <c r="AI39">
        <f t="shared" si="20"/>
        <v>114</v>
      </c>
      <c r="AJ39">
        <f t="shared" si="21"/>
        <v>2280</v>
      </c>
      <c r="AK39">
        <v>4</v>
      </c>
      <c r="AL39">
        <v>8</v>
      </c>
      <c r="AM39">
        <v>0</v>
      </c>
      <c r="AN39">
        <v>10</v>
      </c>
    </row>
    <row r="40" customFormat="1" ht="16.5" spans="1:40">
      <c r="A40">
        <v>38</v>
      </c>
      <c r="B40">
        <f t="shared" si="12"/>
        <v>186</v>
      </c>
      <c r="C40">
        <f t="shared" si="13"/>
        <v>152</v>
      </c>
      <c r="D40">
        <f t="shared" si="14"/>
        <v>124</v>
      </c>
      <c r="E40">
        <f t="shared" si="15"/>
        <v>124</v>
      </c>
      <c r="F40" s="2">
        <f t="shared" si="16"/>
        <v>2540</v>
      </c>
      <c r="G40">
        <v>8</v>
      </c>
      <c r="H40">
        <v>0</v>
      </c>
      <c r="I40">
        <v>10</v>
      </c>
      <c r="J40">
        <v>0</v>
      </c>
      <c r="K40" s="2">
        <f t="shared" si="17"/>
        <v>846</v>
      </c>
      <c r="L40" s="3">
        <f t="shared" si="18"/>
        <v>1270</v>
      </c>
      <c r="N40" t="str">
        <f t="shared" si="11"/>
        <v>[{"1":188},{"2":154},{"4":125},{"5":125},{"12":2560}]</v>
      </c>
      <c r="W40" t="str">
        <f>$N$1&amp;$P$1&amp;$T$1&amp;$C$2&amp;$T$1&amp;$R$1&amp;C41&amp;$Q$1&amp;$S$1&amp;$P$1&amp;$T$1&amp;$D$2&amp;$T$1&amp;$R$1&amp;D41&amp;$Q$1&amp;$S$1&amp;$P$1&amp;$T$1&amp;$E$2&amp;$T$1&amp;$R$1&amp;E41&amp;$Q$1&amp;$S$1&amp;$P$1&amp;$T$1&amp;$F$2&amp;$T$1&amp;$R$1&amp;K41&amp;$Q$1&amp;$S$1&amp;$P$1&amp;$T$1&amp;$G$2&amp;$T$1&amp;$R$1&amp;G41&amp;$Q$1&amp;$S$1&amp;$P$1&amp;$T$1&amp;$H$2&amp;$T$1&amp;$R$1&amp;H41&amp;$Q$1&amp;$S$1&amp;$P$1&amp;$T$1&amp;$I$2&amp;$T$1&amp;$R$1&amp;I41&amp;$Q$1&amp;$S$1&amp;$P$1&amp;$T$1&amp;$J$2&amp;$T$1&amp;$R$1&amp;J41&amp;$Q$1&amp;$O$1</f>
        <v>[{"2":154},{"4":125},{"5":125},{"12":853},{"7":8},{"6":0},{"8":10},{"9":0}]</v>
      </c>
      <c r="AE40" t="str">
        <f>$N$1&amp;$P$1&amp;$T$1&amp;$C$2&amp;$T$1&amp;$R$1&amp;C41&amp;$Q$1&amp;$S$1&amp;$P$1&amp;$T$1&amp;$D$2&amp;$T$1&amp;$R$1&amp;D41&amp;$Q$1&amp;$S$1&amp;$P$1&amp;$T$1&amp;$E$2&amp;$T$1&amp;$R$1&amp;E41&amp;$Q$1&amp;$S$1&amp;$P$1&amp;$T$1&amp;$F$2&amp;$T$1&amp;$R$1&amp;L41&amp;$Q$1&amp;$S$1&amp;$P$1&amp;$T$1&amp;$G$2&amp;$T$1&amp;$R$1&amp;G41&amp;$Q$1&amp;$S$1&amp;$P$1&amp;$T$1&amp;$H$2&amp;$T$1&amp;$R$1&amp;H41&amp;$Q$1&amp;$S$1&amp;$P$1&amp;$T$1&amp;$I$2&amp;$T$1&amp;$R$1&amp;I41&amp;$Q$1&amp;$S$1&amp;$P$1&amp;$T$1&amp;$J$2&amp;$T$1&amp;$R$1&amp;J41&amp;$Q$1&amp;$O$1</f>
        <v>[{"2":154},{"4":125},{"5":125},{"12":1280},{"7":8},{"6":0},{"8":10},{"9":0}]</v>
      </c>
      <c r="AG40">
        <v>174</v>
      </c>
      <c r="AH40">
        <f t="shared" si="19"/>
        <v>116</v>
      </c>
      <c r="AI40">
        <f t="shared" si="20"/>
        <v>116</v>
      </c>
      <c r="AJ40">
        <f t="shared" si="21"/>
        <v>2320</v>
      </c>
      <c r="AK40">
        <v>4</v>
      </c>
      <c r="AL40">
        <v>8</v>
      </c>
      <c r="AM40">
        <v>0</v>
      </c>
      <c r="AN40">
        <v>10</v>
      </c>
    </row>
    <row r="41" customFormat="1" ht="16.5" spans="1:40">
      <c r="A41">
        <v>39</v>
      </c>
      <c r="B41">
        <f t="shared" si="12"/>
        <v>188</v>
      </c>
      <c r="C41">
        <f t="shared" si="13"/>
        <v>154</v>
      </c>
      <c r="D41">
        <f t="shared" si="14"/>
        <v>125</v>
      </c>
      <c r="E41">
        <f t="shared" si="15"/>
        <v>125</v>
      </c>
      <c r="F41" s="2">
        <f t="shared" si="16"/>
        <v>2560</v>
      </c>
      <c r="G41">
        <v>8</v>
      </c>
      <c r="H41">
        <v>0</v>
      </c>
      <c r="I41">
        <v>10</v>
      </c>
      <c r="J41">
        <v>0</v>
      </c>
      <c r="K41" s="2">
        <f t="shared" si="17"/>
        <v>853</v>
      </c>
      <c r="L41" s="3">
        <f t="shared" si="18"/>
        <v>1280</v>
      </c>
      <c r="N41" t="str">
        <f t="shared" si="11"/>
        <v>[{"1":190},{"2":155},{"4":126},{"5":126},{"12":2580}]</v>
      </c>
      <c r="W41" t="str">
        <f>$N$1&amp;$P$1&amp;$T$1&amp;$C$2&amp;$T$1&amp;$R$1&amp;C42&amp;$Q$1&amp;$S$1&amp;$P$1&amp;$T$1&amp;$D$2&amp;$T$1&amp;$R$1&amp;D42&amp;$Q$1&amp;$S$1&amp;$P$1&amp;$T$1&amp;$E$2&amp;$T$1&amp;$R$1&amp;E42&amp;$Q$1&amp;$S$1&amp;$P$1&amp;$T$1&amp;$F$2&amp;$T$1&amp;$R$1&amp;K42&amp;$Q$1&amp;$S$1&amp;$P$1&amp;$T$1&amp;$G$2&amp;$T$1&amp;$R$1&amp;G42&amp;$Q$1&amp;$S$1&amp;$P$1&amp;$T$1&amp;$H$2&amp;$T$1&amp;$R$1&amp;H42&amp;$Q$1&amp;$S$1&amp;$P$1&amp;$T$1&amp;$I$2&amp;$T$1&amp;$R$1&amp;I42&amp;$Q$1&amp;$S$1&amp;$P$1&amp;$T$1&amp;$J$2&amp;$T$1&amp;$R$1&amp;J42&amp;$Q$1&amp;$O$1</f>
        <v>[{"2":155},{"4":126},{"5":126},{"12":860},{"7":8},{"6":0},{"8":10},{"9":0}]</v>
      </c>
      <c r="AE41" t="str">
        <f>$N$1&amp;$P$1&amp;$T$1&amp;$C$2&amp;$T$1&amp;$R$1&amp;C42&amp;$Q$1&amp;$S$1&amp;$P$1&amp;$T$1&amp;$D$2&amp;$T$1&amp;$R$1&amp;D42&amp;$Q$1&amp;$S$1&amp;$P$1&amp;$T$1&amp;$E$2&amp;$T$1&amp;$R$1&amp;E42&amp;$Q$1&amp;$S$1&amp;$P$1&amp;$T$1&amp;$F$2&amp;$T$1&amp;$R$1&amp;L42&amp;$Q$1&amp;$S$1&amp;$P$1&amp;$T$1&amp;$G$2&amp;$T$1&amp;$R$1&amp;G42&amp;$Q$1&amp;$S$1&amp;$P$1&amp;$T$1&amp;$H$2&amp;$T$1&amp;$R$1&amp;H42&amp;$Q$1&amp;$S$1&amp;$P$1&amp;$T$1&amp;$I$2&amp;$T$1&amp;$R$1&amp;I42&amp;$Q$1&amp;$S$1&amp;$P$1&amp;$T$1&amp;$J$2&amp;$T$1&amp;$R$1&amp;J42&amp;$Q$1&amp;$O$1</f>
        <v>[{"2":155},{"4":126},{"5":126},{"12":1290},{"7":8},{"6":0},{"8":10},{"9":0}]</v>
      </c>
      <c r="AG41">
        <v>176</v>
      </c>
      <c r="AH41">
        <f t="shared" si="19"/>
        <v>117</v>
      </c>
      <c r="AI41">
        <f t="shared" si="20"/>
        <v>117</v>
      </c>
      <c r="AJ41">
        <f t="shared" si="21"/>
        <v>2340</v>
      </c>
      <c r="AK41">
        <v>4</v>
      </c>
      <c r="AL41">
        <v>8</v>
      </c>
      <c r="AM41">
        <v>0</v>
      </c>
      <c r="AN41">
        <v>10</v>
      </c>
    </row>
    <row r="42" customFormat="1" ht="16.5" spans="1:40">
      <c r="A42">
        <v>40</v>
      </c>
      <c r="B42">
        <f t="shared" si="12"/>
        <v>190</v>
      </c>
      <c r="C42">
        <f t="shared" si="13"/>
        <v>155</v>
      </c>
      <c r="D42">
        <f t="shared" si="14"/>
        <v>126</v>
      </c>
      <c r="E42">
        <f t="shared" si="15"/>
        <v>126</v>
      </c>
      <c r="F42" s="2">
        <f t="shared" si="16"/>
        <v>2580</v>
      </c>
      <c r="G42">
        <v>8</v>
      </c>
      <c r="H42">
        <v>0</v>
      </c>
      <c r="I42">
        <v>10</v>
      </c>
      <c r="J42">
        <v>0</v>
      </c>
      <c r="K42" s="2">
        <f t="shared" si="17"/>
        <v>860</v>
      </c>
      <c r="L42" s="3">
        <f t="shared" si="18"/>
        <v>1290</v>
      </c>
      <c r="N42" t="str">
        <f t="shared" si="11"/>
        <v>[{"1":192},{"2":157},{"4":128},{"5":128},{"12":2620}]</v>
      </c>
      <c r="W42" t="str">
        <f>$N$1&amp;$P$1&amp;$T$1&amp;$C$2&amp;$T$1&amp;$R$1&amp;C43&amp;$Q$1&amp;$S$1&amp;$P$1&amp;$T$1&amp;$D$2&amp;$T$1&amp;$R$1&amp;D43&amp;$Q$1&amp;$S$1&amp;$P$1&amp;$T$1&amp;$E$2&amp;$T$1&amp;$R$1&amp;E43&amp;$Q$1&amp;$S$1&amp;$P$1&amp;$T$1&amp;$F$2&amp;$T$1&amp;$R$1&amp;K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[{"2":157},{"4":128},{"5":128},{"12":873},{"7":8},{"6":0},{"8":10},{"9":0}]</v>
      </c>
      <c r="AE42" t="str">
        <f>$N$1&amp;$P$1&amp;$T$1&amp;$C$2&amp;$T$1&amp;$R$1&amp;C43&amp;$Q$1&amp;$S$1&amp;$P$1&amp;$T$1&amp;$D$2&amp;$T$1&amp;$R$1&amp;D43&amp;$Q$1&amp;$S$1&amp;$P$1&amp;$T$1&amp;$E$2&amp;$T$1&amp;$R$1&amp;E43&amp;$Q$1&amp;$S$1&amp;$P$1&amp;$T$1&amp;$F$2&amp;$T$1&amp;$R$1&amp;L43&amp;$Q$1&amp;$S$1&amp;$P$1&amp;$T$1&amp;$G$2&amp;$T$1&amp;$R$1&amp;G43&amp;$Q$1&amp;$S$1&amp;$P$1&amp;$T$1&amp;$H$2&amp;$T$1&amp;$R$1&amp;H43&amp;$Q$1&amp;$S$1&amp;$P$1&amp;$T$1&amp;$I$2&amp;$T$1&amp;$R$1&amp;I43&amp;$Q$1&amp;$S$1&amp;$P$1&amp;$T$1&amp;$J$2&amp;$T$1&amp;$R$1&amp;J43&amp;$Q$1&amp;$O$1</f>
        <v>[{"2":157},{"4":128},{"5":128},{"12":1310},{"7":8},{"6":0},{"8":10},{"9":0}]</v>
      </c>
      <c r="AG42">
        <v>178</v>
      </c>
      <c r="AH42">
        <f t="shared" si="19"/>
        <v>118</v>
      </c>
      <c r="AI42">
        <f t="shared" si="20"/>
        <v>118</v>
      </c>
      <c r="AJ42">
        <f t="shared" si="21"/>
        <v>2360</v>
      </c>
      <c r="AK42">
        <v>4</v>
      </c>
      <c r="AL42">
        <v>8</v>
      </c>
      <c r="AM42">
        <v>0</v>
      </c>
      <c r="AN42">
        <v>10</v>
      </c>
    </row>
    <row r="43" customFormat="1" ht="16.5" spans="1:40">
      <c r="A43">
        <v>41</v>
      </c>
      <c r="B43">
        <f t="shared" si="12"/>
        <v>192</v>
      </c>
      <c r="C43">
        <f t="shared" si="13"/>
        <v>157</v>
      </c>
      <c r="D43">
        <f t="shared" si="14"/>
        <v>128</v>
      </c>
      <c r="E43">
        <f t="shared" si="15"/>
        <v>128</v>
      </c>
      <c r="F43" s="2">
        <f t="shared" si="16"/>
        <v>2620</v>
      </c>
      <c r="G43">
        <v>8</v>
      </c>
      <c r="H43">
        <v>0</v>
      </c>
      <c r="I43">
        <v>10</v>
      </c>
      <c r="J43">
        <v>0</v>
      </c>
      <c r="K43" s="2">
        <f t="shared" si="17"/>
        <v>873</v>
      </c>
      <c r="L43" s="3">
        <f t="shared" si="18"/>
        <v>1310</v>
      </c>
      <c r="N43" t="str">
        <f t="shared" si="11"/>
        <v>[{"1":194},{"2":159},{"4":129},{"5":129},{"12":2640}]</v>
      </c>
      <c r="W43" t="str">
        <f>$N$1&amp;$P$1&amp;$T$1&amp;$C$2&amp;$T$1&amp;$R$1&amp;C44&amp;$Q$1&amp;$S$1&amp;$P$1&amp;$T$1&amp;$D$2&amp;$T$1&amp;$R$1&amp;D44&amp;$Q$1&amp;$S$1&amp;$P$1&amp;$T$1&amp;$E$2&amp;$T$1&amp;$R$1&amp;E44&amp;$Q$1&amp;$S$1&amp;$P$1&amp;$T$1&amp;$F$2&amp;$T$1&amp;$R$1&amp;K44&amp;$Q$1&amp;$S$1&amp;$P$1&amp;$T$1&amp;$G$2&amp;$T$1&amp;$R$1&amp;G44&amp;$Q$1&amp;$S$1&amp;$P$1&amp;$T$1&amp;$H$2&amp;$T$1&amp;$R$1&amp;H44&amp;$Q$1&amp;$S$1&amp;$P$1&amp;$T$1&amp;$I$2&amp;$T$1&amp;$R$1&amp;I44&amp;$Q$1&amp;$S$1&amp;$P$1&amp;$T$1&amp;$J$2&amp;$T$1&amp;$R$1&amp;J44&amp;$Q$1&amp;$O$1</f>
        <v>[{"2":159},{"4":129},{"5":129},{"12":880},{"7":8},{"6":0},{"8":10},{"9":0}]</v>
      </c>
      <c r="AE43" t="str">
        <f>$N$1&amp;$P$1&amp;$T$1&amp;$C$2&amp;$T$1&amp;$R$1&amp;C44&amp;$Q$1&amp;$S$1&amp;$P$1&amp;$T$1&amp;$D$2&amp;$T$1&amp;$R$1&amp;D44&amp;$Q$1&amp;$S$1&amp;$P$1&amp;$T$1&amp;$E$2&amp;$T$1&amp;$R$1&amp;E44&amp;$Q$1&amp;$S$1&amp;$P$1&amp;$T$1&amp;$F$2&amp;$T$1&amp;$R$1&amp;L44&amp;$Q$1&amp;$S$1&amp;$P$1&amp;$T$1&amp;$G$2&amp;$T$1&amp;$R$1&amp;G44&amp;$Q$1&amp;$S$1&amp;$P$1&amp;$T$1&amp;$H$2&amp;$T$1&amp;$R$1&amp;H44&amp;$Q$1&amp;$S$1&amp;$P$1&amp;$T$1&amp;$I$2&amp;$T$1&amp;$R$1&amp;I44&amp;$Q$1&amp;$S$1&amp;$P$1&amp;$T$1&amp;$J$2&amp;$T$1&amp;$R$1&amp;J44&amp;$Q$1&amp;$O$1</f>
        <v>[{"2":159},{"4":129},{"5":129},{"12":1320},{"7":8},{"6":0},{"8":10},{"9":0}]</v>
      </c>
      <c r="AG43">
        <v>180</v>
      </c>
      <c r="AH43">
        <f t="shared" si="19"/>
        <v>120</v>
      </c>
      <c r="AI43">
        <f t="shared" si="20"/>
        <v>120</v>
      </c>
      <c r="AJ43">
        <f t="shared" si="21"/>
        <v>2400</v>
      </c>
      <c r="AK43">
        <v>4</v>
      </c>
      <c r="AL43">
        <v>8</v>
      </c>
      <c r="AM43">
        <v>0</v>
      </c>
      <c r="AN43">
        <v>10</v>
      </c>
    </row>
    <row r="44" customFormat="1" ht="16.5" spans="1:40">
      <c r="A44">
        <v>42</v>
      </c>
      <c r="B44">
        <f t="shared" si="12"/>
        <v>194</v>
      </c>
      <c r="C44">
        <f t="shared" si="13"/>
        <v>159</v>
      </c>
      <c r="D44">
        <f t="shared" si="14"/>
        <v>129</v>
      </c>
      <c r="E44">
        <f t="shared" si="15"/>
        <v>129</v>
      </c>
      <c r="F44" s="2">
        <f t="shared" si="16"/>
        <v>2640</v>
      </c>
      <c r="G44">
        <v>8</v>
      </c>
      <c r="H44">
        <v>0</v>
      </c>
      <c r="I44">
        <v>10</v>
      </c>
      <c r="J44">
        <v>0</v>
      </c>
      <c r="K44" s="2">
        <f t="shared" si="17"/>
        <v>880</v>
      </c>
      <c r="L44" s="3">
        <f t="shared" si="18"/>
        <v>1320</v>
      </c>
      <c r="N44" t="str">
        <f t="shared" si="11"/>
        <v>[{"1":196},{"2":160},{"4":130},{"5":130},{"12":2660}]</v>
      </c>
      <c r="W44" t="str">
        <f>$N$1&amp;$P$1&amp;$T$1&amp;$C$2&amp;$T$1&amp;$R$1&amp;C45&amp;$Q$1&amp;$S$1&amp;$P$1&amp;$T$1&amp;$D$2&amp;$T$1&amp;$R$1&amp;D45&amp;$Q$1&amp;$S$1&amp;$P$1&amp;$T$1&amp;$E$2&amp;$T$1&amp;$R$1&amp;E45&amp;$Q$1&amp;$S$1&amp;$P$1&amp;$T$1&amp;$F$2&amp;$T$1&amp;$R$1&amp;K45&amp;$Q$1&amp;$S$1&amp;$P$1&amp;$T$1&amp;$G$2&amp;$T$1&amp;$R$1&amp;G45&amp;$Q$1&amp;$S$1&amp;$P$1&amp;$T$1&amp;$H$2&amp;$T$1&amp;$R$1&amp;H45&amp;$Q$1&amp;$S$1&amp;$P$1&amp;$T$1&amp;$I$2&amp;$T$1&amp;$R$1&amp;I45&amp;$Q$1&amp;$S$1&amp;$P$1&amp;$T$1&amp;$J$2&amp;$T$1&amp;$R$1&amp;J45&amp;$Q$1&amp;$O$1</f>
        <v>[{"2":160},{"4":130},{"5":130},{"12":886},{"7":8},{"6":0},{"8":10},{"9":0}]</v>
      </c>
      <c r="AE44" t="str">
        <f>$N$1&amp;$P$1&amp;$T$1&amp;$C$2&amp;$T$1&amp;$R$1&amp;C45&amp;$Q$1&amp;$S$1&amp;$P$1&amp;$T$1&amp;$D$2&amp;$T$1&amp;$R$1&amp;D45&amp;$Q$1&amp;$S$1&amp;$P$1&amp;$T$1&amp;$E$2&amp;$T$1&amp;$R$1&amp;E45&amp;$Q$1&amp;$S$1&amp;$P$1&amp;$T$1&amp;$F$2&amp;$T$1&amp;$R$1&amp;L45&amp;$Q$1&amp;$S$1&amp;$P$1&amp;$T$1&amp;$G$2&amp;$T$1&amp;$R$1&amp;G45&amp;$Q$1&amp;$S$1&amp;$P$1&amp;$T$1&amp;$H$2&amp;$T$1&amp;$R$1&amp;H45&amp;$Q$1&amp;$S$1&amp;$P$1&amp;$T$1&amp;$I$2&amp;$T$1&amp;$R$1&amp;I45&amp;$Q$1&amp;$S$1&amp;$P$1&amp;$T$1&amp;$J$2&amp;$T$1&amp;$R$1&amp;J45&amp;$Q$1&amp;$O$1</f>
        <v>[{"2":160},{"4":130},{"5":130},{"12":1330},{"7":8},{"6":0},{"8":10},{"9":0}]</v>
      </c>
      <c r="AG44">
        <v>182</v>
      </c>
      <c r="AH44">
        <f t="shared" si="19"/>
        <v>121</v>
      </c>
      <c r="AI44">
        <f t="shared" si="20"/>
        <v>121</v>
      </c>
      <c r="AJ44">
        <f t="shared" si="21"/>
        <v>2420</v>
      </c>
      <c r="AK44">
        <v>4</v>
      </c>
      <c r="AL44">
        <v>8</v>
      </c>
      <c r="AM44">
        <v>0</v>
      </c>
      <c r="AN44">
        <v>10</v>
      </c>
    </row>
    <row r="45" customFormat="1" ht="16.5" spans="1:40">
      <c r="A45">
        <v>43</v>
      </c>
      <c r="B45">
        <f t="shared" si="12"/>
        <v>196</v>
      </c>
      <c r="C45">
        <f t="shared" si="13"/>
        <v>160</v>
      </c>
      <c r="D45">
        <f t="shared" si="14"/>
        <v>130</v>
      </c>
      <c r="E45">
        <f t="shared" si="15"/>
        <v>130</v>
      </c>
      <c r="F45" s="2">
        <f t="shared" si="16"/>
        <v>2660</v>
      </c>
      <c r="G45">
        <v>8</v>
      </c>
      <c r="H45">
        <v>0</v>
      </c>
      <c r="I45">
        <v>10</v>
      </c>
      <c r="J45">
        <v>0</v>
      </c>
      <c r="K45" s="2">
        <f t="shared" si="17"/>
        <v>886</v>
      </c>
      <c r="L45" s="3">
        <f t="shared" si="18"/>
        <v>1330</v>
      </c>
      <c r="N45" t="str">
        <f t="shared" si="11"/>
        <v>[{"1":198},{"2":162},{"4":132},{"5":132},{"12":2700}]</v>
      </c>
      <c r="W45" t="str">
        <f>$N$1&amp;$P$1&amp;$T$1&amp;$C$2&amp;$T$1&amp;$R$1&amp;C46&amp;$Q$1&amp;$S$1&amp;$P$1&amp;$T$1&amp;$D$2&amp;$T$1&amp;$R$1&amp;D46&amp;$Q$1&amp;$S$1&amp;$P$1&amp;$T$1&amp;$E$2&amp;$T$1&amp;$R$1&amp;E46&amp;$Q$1&amp;$S$1&amp;$P$1&amp;$T$1&amp;$F$2&amp;$T$1&amp;$R$1&amp;K46&amp;$Q$1&amp;$S$1&amp;$P$1&amp;$T$1&amp;$G$2&amp;$T$1&amp;$R$1&amp;G46&amp;$Q$1&amp;$S$1&amp;$P$1&amp;$T$1&amp;$H$2&amp;$T$1&amp;$R$1&amp;H46&amp;$Q$1&amp;$S$1&amp;$P$1&amp;$T$1&amp;$I$2&amp;$T$1&amp;$R$1&amp;I46&amp;$Q$1&amp;$S$1&amp;$P$1&amp;$T$1&amp;$J$2&amp;$T$1&amp;$R$1&amp;J46&amp;$Q$1&amp;$O$1</f>
        <v>[{"2":162},{"4":132},{"5":132},{"12":900},{"7":8},{"6":0},{"8":10},{"9":0}]</v>
      </c>
      <c r="AE45" t="str">
        <f>$N$1&amp;$P$1&amp;$T$1&amp;$C$2&amp;$T$1&amp;$R$1&amp;C46&amp;$Q$1&amp;$S$1&amp;$P$1&amp;$T$1&amp;$D$2&amp;$T$1&amp;$R$1&amp;D46&amp;$Q$1&amp;$S$1&amp;$P$1&amp;$T$1&amp;$E$2&amp;$T$1&amp;$R$1&amp;E46&amp;$Q$1&amp;$S$1&amp;$P$1&amp;$T$1&amp;$F$2&amp;$T$1&amp;$R$1&amp;L46&amp;$Q$1&amp;$S$1&amp;$P$1&amp;$T$1&amp;$G$2&amp;$T$1&amp;$R$1&amp;G46&amp;$Q$1&amp;$S$1&amp;$P$1&amp;$T$1&amp;$H$2&amp;$T$1&amp;$R$1&amp;H46&amp;$Q$1&amp;$S$1&amp;$P$1&amp;$T$1&amp;$I$2&amp;$T$1&amp;$R$1&amp;I46&amp;$Q$1&amp;$S$1&amp;$P$1&amp;$T$1&amp;$J$2&amp;$T$1&amp;$R$1&amp;J46&amp;$Q$1&amp;$O$1</f>
        <v>[{"2":162},{"4":132},{"5":132},{"12":1350},{"7":8},{"6":0},{"8":10},{"9":0}]</v>
      </c>
      <c r="AG45">
        <v>184</v>
      </c>
      <c r="AH45">
        <f t="shared" si="19"/>
        <v>122</v>
      </c>
      <c r="AI45">
        <f t="shared" si="20"/>
        <v>122</v>
      </c>
      <c r="AJ45">
        <f t="shared" si="21"/>
        <v>2440</v>
      </c>
      <c r="AK45">
        <v>4</v>
      </c>
      <c r="AL45">
        <v>8</v>
      </c>
      <c r="AM45">
        <v>0</v>
      </c>
      <c r="AN45">
        <v>10</v>
      </c>
    </row>
    <row r="46" customFormat="1" ht="16.5" spans="1:40">
      <c r="A46">
        <v>44</v>
      </c>
      <c r="B46">
        <f t="shared" si="12"/>
        <v>198</v>
      </c>
      <c r="C46">
        <f t="shared" si="13"/>
        <v>162</v>
      </c>
      <c r="D46">
        <f t="shared" si="14"/>
        <v>132</v>
      </c>
      <c r="E46">
        <f t="shared" si="15"/>
        <v>132</v>
      </c>
      <c r="F46" s="2">
        <f t="shared" si="16"/>
        <v>2700</v>
      </c>
      <c r="G46">
        <v>8</v>
      </c>
      <c r="H46">
        <v>0</v>
      </c>
      <c r="I46">
        <v>10</v>
      </c>
      <c r="J46">
        <v>0</v>
      </c>
      <c r="K46" s="2">
        <f t="shared" si="17"/>
        <v>900</v>
      </c>
      <c r="L46" s="3">
        <f t="shared" si="18"/>
        <v>1350</v>
      </c>
      <c r="N46" t="str">
        <f t="shared" si="11"/>
        <v>[{"1":200},{"2":164},{"4":133},{"5":133},{"12":2720}]</v>
      </c>
      <c r="W46" t="str">
        <f>$N$1&amp;$P$1&amp;$T$1&amp;$C$2&amp;$T$1&amp;$R$1&amp;C47&amp;$Q$1&amp;$S$1&amp;$P$1&amp;$T$1&amp;$D$2&amp;$T$1&amp;$R$1&amp;D47&amp;$Q$1&amp;$S$1&amp;$P$1&amp;$T$1&amp;$E$2&amp;$T$1&amp;$R$1&amp;E47&amp;$Q$1&amp;$S$1&amp;$P$1&amp;$T$1&amp;$F$2&amp;$T$1&amp;$R$1&amp;K47&amp;$Q$1&amp;$S$1&amp;$P$1&amp;$T$1&amp;$G$2&amp;$T$1&amp;$R$1&amp;G47&amp;$Q$1&amp;$S$1&amp;$P$1&amp;$T$1&amp;$H$2&amp;$T$1&amp;$R$1&amp;H47&amp;$Q$1&amp;$S$1&amp;$P$1&amp;$T$1&amp;$I$2&amp;$T$1&amp;$R$1&amp;I47&amp;$Q$1&amp;$S$1&amp;$P$1&amp;$T$1&amp;$J$2&amp;$T$1&amp;$R$1&amp;J47&amp;$Q$1&amp;$O$1</f>
        <v>[{"2":164},{"4":133},{"5":133},{"12":906},{"7":8},{"6":0},{"8":10},{"9":0}]</v>
      </c>
      <c r="AE46" t="str">
        <f>$N$1&amp;$P$1&amp;$T$1&amp;$C$2&amp;$T$1&amp;$R$1&amp;C47&amp;$Q$1&amp;$S$1&amp;$P$1&amp;$T$1&amp;$D$2&amp;$T$1&amp;$R$1&amp;D47&amp;$Q$1&amp;$S$1&amp;$P$1&amp;$T$1&amp;$E$2&amp;$T$1&amp;$R$1&amp;E47&amp;$Q$1&amp;$S$1&amp;$P$1&amp;$T$1&amp;$F$2&amp;$T$1&amp;$R$1&amp;L47&amp;$Q$1&amp;$S$1&amp;$P$1&amp;$T$1&amp;$G$2&amp;$T$1&amp;$R$1&amp;G47&amp;$Q$1&amp;$S$1&amp;$P$1&amp;$T$1&amp;$H$2&amp;$T$1&amp;$R$1&amp;H47&amp;$Q$1&amp;$S$1&amp;$P$1&amp;$T$1&amp;$I$2&amp;$T$1&amp;$R$1&amp;I47&amp;$Q$1&amp;$S$1&amp;$P$1&amp;$T$1&amp;$J$2&amp;$T$1&amp;$R$1&amp;J47&amp;$Q$1&amp;$O$1</f>
        <v>[{"2":164},{"4":133},{"5":133},{"12":1360},{"7":8},{"6":0},{"8":10},{"9":0}]</v>
      </c>
      <c r="AG46">
        <v>186</v>
      </c>
      <c r="AH46">
        <f t="shared" si="19"/>
        <v>124</v>
      </c>
      <c r="AI46">
        <f t="shared" si="20"/>
        <v>124</v>
      </c>
      <c r="AJ46">
        <f t="shared" si="21"/>
        <v>2480</v>
      </c>
      <c r="AK46">
        <v>4</v>
      </c>
      <c r="AL46">
        <v>8</v>
      </c>
      <c r="AM46">
        <v>0</v>
      </c>
      <c r="AN46">
        <v>10</v>
      </c>
    </row>
    <row r="47" customFormat="1" ht="16.5" spans="1:40">
      <c r="A47">
        <v>45</v>
      </c>
      <c r="B47">
        <f t="shared" si="12"/>
        <v>200</v>
      </c>
      <c r="C47">
        <f t="shared" si="13"/>
        <v>164</v>
      </c>
      <c r="D47">
        <f t="shared" si="14"/>
        <v>133</v>
      </c>
      <c r="E47">
        <f t="shared" si="15"/>
        <v>133</v>
      </c>
      <c r="F47" s="2">
        <f t="shared" si="16"/>
        <v>2720</v>
      </c>
      <c r="G47">
        <v>8</v>
      </c>
      <c r="H47">
        <v>0</v>
      </c>
      <c r="I47">
        <v>10</v>
      </c>
      <c r="J47">
        <v>0</v>
      </c>
      <c r="K47" s="2">
        <f t="shared" si="17"/>
        <v>906</v>
      </c>
      <c r="L47" s="3">
        <f t="shared" si="18"/>
        <v>1360</v>
      </c>
      <c r="N47" t="str">
        <f t="shared" si="11"/>
        <v>[{"1":202},{"2":165},{"4":134},{"5":134},{"12":2740}]</v>
      </c>
      <c r="W47" t="str">
        <f>$N$1&amp;$P$1&amp;$T$1&amp;$C$2&amp;$T$1&amp;$R$1&amp;C48&amp;$Q$1&amp;$S$1&amp;$P$1&amp;$T$1&amp;$D$2&amp;$T$1&amp;$R$1&amp;D48&amp;$Q$1&amp;$S$1&amp;$P$1&amp;$T$1&amp;$E$2&amp;$T$1&amp;$R$1&amp;E48&amp;$Q$1&amp;$S$1&amp;$P$1&amp;$T$1&amp;$F$2&amp;$T$1&amp;$R$1&amp;K48&amp;$Q$1&amp;$S$1&amp;$P$1&amp;$T$1&amp;$G$2&amp;$T$1&amp;$R$1&amp;G48&amp;$Q$1&amp;$S$1&amp;$P$1&amp;$T$1&amp;$H$2&amp;$T$1&amp;$R$1&amp;H48&amp;$Q$1&amp;$S$1&amp;$P$1&amp;$T$1&amp;$I$2&amp;$T$1&amp;$R$1&amp;I48&amp;$Q$1&amp;$S$1&amp;$P$1&amp;$T$1&amp;$J$2&amp;$T$1&amp;$R$1&amp;J48&amp;$Q$1&amp;$O$1</f>
        <v>[{"2":165},{"4":134},{"5":134},{"12":913},{"7":8},{"6":0},{"8":10},{"9":0}]</v>
      </c>
      <c r="AE47" t="str">
        <f>$N$1&amp;$P$1&amp;$T$1&amp;$C$2&amp;$T$1&amp;$R$1&amp;C48&amp;$Q$1&amp;$S$1&amp;$P$1&amp;$T$1&amp;$D$2&amp;$T$1&amp;$R$1&amp;D48&amp;$Q$1&amp;$S$1&amp;$P$1&amp;$T$1&amp;$E$2&amp;$T$1&amp;$R$1&amp;E48&amp;$Q$1&amp;$S$1&amp;$P$1&amp;$T$1&amp;$F$2&amp;$T$1&amp;$R$1&amp;L48&amp;$Q$1&amp;$S$1&amp;$P$1&amp;$T$1&amp;$G$2&amp;$T$1&amp;$R$1&amp;G48&amp;$Q$1&amp;$S$1&amp;$P$1&amp;$T$1&amp;$H$2&amp;$T$1&amp;$R$1&amp;H48&amp;$Q$1&amp;$S$1&amp;$P$1&amp;$T$1&amp;$I$2&amp;$T$1&amp;$R$1&amp;I48&amp;$Q$1&amp;$S$1&amp;$P$1&amp;$T$1&amp;$J$2&amp;$T$1&amp;$R$1&amp;J48&amp;$Q$1&amp;$O$1</f>
        <v>[{"2":165},{"4":134},{"5":134},{"12":1370},{"7":8},{"6":0},{"8":10},{"9":0}]</v>
      </c>
      <c r="AG47">
        <v>188</v>
      </c>
      <c r="AH47">
        <f t="shared" si="19"/>
        <v>125</v>
      </c>
      <c r="AI47">
        <f t="shared" si="20"/>
        <v>125</v>
      </c>
      <c r="AJ47">
        <f t="shared" si="21"/>
        <v>2500</v>
      </c>
      <c r="AK47">
        <v>4</v>
      </c>
      <c r="AL47">
        <v>8</v>
      </c>
      <c r="AM47">
        <v>0</v>
      </c>
      <c r="AN47">
        <v>10</v>
      </c>
    </row>
    <row r="48" customFormat="1" ht="16.5" spans="1:40">
      <c r="A48">
        <v>46</v>
      </c>
      <c r="B48">
        <f t="shared" si="12"/>
        <v>202</v>
      </c>
      <c r="C48">
        <f t="shared" si="13"/>
        <v>165</v>
      </c>
      <c r="D48">
        <f t="shared" si="14"/>
        <v>134</v>
      </c>
      <c r="E48">
        <f t="shared" si="15"/>
        <v>134</v>
      </c>
      <c r="F48" s="2">
        <f t="shared" si="16"/>
        <v>2740</v>
      </c>
      <c r="G48">
        <v>8</v>
      </c>
      <c r="H48">
        <v>0</v>
      </c>
      <c r="I48">
        <v>10</v>
      </c>
      <c r="J48">
        <v>0</v>
      </c>
      <c r="K48" s="2">
        <f t="shared" si="17"/>
        <v>913</v>
      </c>
      <c r="L48" s="3">
        <f t="shared" si="18"/>
        <v>1370</v>
      </c>
      <c r="N48" t="str">
        <f t="shared" si="11"/>
        <v>[{"1":204},{"2":167},{"4":136},{"5":136},{"12":2780}]</v>
      </c>
      <c r="W48" t="str">
        <f>$N$1&amp;$P$1&amp;$T$1&amp;$C$2&amp;$T$1&amp;$R$1&amp;C49&amp;$Q$1&amp;$S$1&amp;$P$1&amp;$T$1&amp;$D$2&amp;$T$1&amp;$R$1&amp;D49&amp;$Q$1&amp;$S$1&amp;$P$1&amp;$T$1&amp;$E$2&amp;$T$1&amp;$R$1&amp;E49&amp;$Q$1&amp;$S$1&amp;$P$1&amp;$T$1&amp;$F$2&amp;$T$1&amp;$R$1&amp;K49&amp;$Q$1&amp;$S$1&amp;$P$1&amp;$T$1&amp;$G$2&amp;$T$1&amp;$R$1&amp;G49&amp;$Q$1&amp;$S$1&amp;$P$1&amp;$T$1&amp;$H$2&amp;$T$1&amp;$R$1&amp;H49&amp;$Q$1&amp;$S$1&amp;$P$1&amp;$T$1&amp;$I$2&amp;$T$1&amp;$R$1&amp;I49&amp;$Q$1&amp;$S$1&amp;$P$1&amp;$T$1&amp;$J$2&amp;$T$1&amp;$R$1&amp;J49&amp;$Q$1&amp;$O$1</f>
        <v>[{"2":167},{"4":136},{"5":136},{"12":926},{"7":8},{"6":0},{"8":10},{"9":0}]</v>
      </c>
      <c r="AE48" t="str">
        <f>$N$1&amp;$P$1&amp;$T$1&amp;$C$2&amp;$T$1&amp;$R$1&amp;C49&amp;$Q$1&amp;$S$1&amp;$P$1&amp;$T$1&amp;$D$2&amp;$T$1&amp;$R$1&amp;D49&amp;$Q$1&amp;$S$1&amp;$P$1&amp;$T$1&amp;$E$2&amp;$T$1&amp;$R$1&amp;E49&amp;$Q$1&amp;$S$1&amp;$P$1&amp;$T$1&amp;$F$2&amp;$T$1&amp;$R$1&amp;L49&amp;$Q$1&amp;$S$1&amp;$P$1&amp;$T$1&amp;$G$2&amp;$T$1&amp;$R$1&amp;G49&amp;$Q$1&amp;$S$1&amp;$P$1&amp;$T$1&amp;$H$2&amp;$T$1&amp;$R$1&amp;H49&amp;$Q$1&amp;$S$1&amp;$P$1&amp;$T$1&amp;$I$2&amp;$T$1&amp;$R$1&amp;I49&amp;$Q$1&amp;$S$1&amp;$P$1&amp;$T$1&amp;$J$2&amp;$T$1&amp;$R$1&amp;J49&amp;$Q$1&amp;$O$1</f>
        <v>[{"2":167},{"4":136},{"5":136},{"12":1390},{"7":8},{"6":0},{"8":10},{"9":0}]</v>
      </c>
      <c r="AG48">
        <v>190</v>
      </c>
      <c r="AH48">
        <f t="shared" si="19"/>
        <v>126</v>
      </c>
      <c r="AI48">
        <f t="shared" si="20"/>
        <v>126</v>
      </c>
      <c r="AJ48">
        <f t="shared" si="21"/>
        <v>2520</v>
      </c>
      <c r="AK48">
        <v>4</v>
      </c>
      <c r="AL48">
        <v>8</v>
      </c>
      <c r="AM48">
        <v>0</v>
      </c>
      <c r="AN48">
        <v>10</v>
      </c>
    </row>
    <row r="49" customFormat="1" ht="16.5" spans="1:40">
      <c r="A49">
        <v>47</v>
      </c>
      <c r="B49">
        <f t="shared" si="12"/>
        <v>204</v>
      </c>
      <c r="C49">
        <f t="shared" si="13"/>
        <v>167</v>
      </c>
      <c r="D49">
        <f t="shared" si="14"/>
        <v>136</v>
      </c>
      <c r="E49">
        <f t="shared" si="15"/>
        <v>136</v>
      </c>
      <c r="F49" s="2">
        <f t="shared" si="16"/>
        <v>2780</v>
      </c>
      <c r="G49">
        <v>8</v>
      </c>
      <c r="H49">
        <v>0</v>
      </c>
      <c r="I49">
        <v>10</v>
      </c>
      <c r="J49">
        <v>0</v>
      </c>
      <c r="K49" s="2">
        <f t="shared" si="17"/>
        <v>926</v>
      </c>
      <c r="L49" s="3">
        <f t="shared" si="18"/>
        <v>1390</v>
      </c>
      <c r="N49" t="str">
        <f t="shared" si="11"/>
        <v>[{"1":206},{"2":168},{"4":137},{"5":137},{"12":2800}]</v>
      </c>
      <c r="W49" t="str">
        <f>$N$1&amp;$P$1&amp;$T$1&amp;$C$2&amp;$T$1&amp;$R$1&amp;C50&amp;$Q$1&amp;$S$1&amp;$P$1&amp;$T$1&amp;$D$2&amp;$T$1&amp;$R$1&amp;D50&amp;$Q$1&amp;$S$1&amp;$P$1&amp;$T$1&amp;$E$2&amp;$T$1&amp;$R$1&amp;E50&amp;$Q$1&amp;$S$1&amp;$P$1&amp;$T$1&amp;$F$2&amp;$T$1&amp;$R$1&amp;K50&amp;$Q$1&amp;$S$1&amp;$P$1&amp;$T$1&amp;$G$2&amp;$T$1&amp;$R$1&amp;G50&amp;$Q$1&amp;$S$1&amp;$P$1&amp;$T$1&amp;$H$2&amp;$T$1&amp;$R$1&amp;H50&amp;$Q$1&amp;$S$1&amp;$P$1&amp;$T$1&amp;$I$2&amp;$T$1&amp;$R$1&amp;I50&amp;$Q$1&amp;$S$1&amp;$P$1&amp;$T$1&amp;$J$2&amp;$T$1&amp;$R$1&amp;J50&amp;$Q$1&amp;$O$1</f>
        <v>[{"2":168},{"4":137},{"5":137},{"12":933},{"7":8},{"6":0},{"8":10},{"9":0}]</v>
      </c>
      <c r="AE49" t="str">
        <f>$N$1&amp;$P$1&amp;$T$1&amp;$C$2&amp;$T$1&amp;$R$1&amp;C50&amp;$Q$1&amp;$S$1&amp;$P$1&amp;$T$1&amp;$D$2&amp;$T$1&amp;$R$1&amp;D50&amp;$Q$1&amp;$S$1&amp;$P$1&amp;$T$1&amp;$E$2&amp;$T$1&amp;$R$1&amp;E50&amp;$Q$1&amp;$S$1&amp;$P$1&amp;$T$1&amp;$F$2&amp;$T$1&amp;$R$1&amp;L50&amp;$Q$1&amp;$S$1&amp;$P$1&amp;$T$1&amp;$G$2&amp;$T$1&amp;$R$1&amp;G50&amp;$Q$1&amp;$S$1&amp;$P$1&amp;$T$1&amp;$H$2&amp;$T$1&amp;$R$1&amp;H50&amp;$Q$1&amp;$S$1&amp;$P$1&amp;$T$1&amp;$I$2&amp;$T$1&amp;$R$1&amp;I50&amp;$Q$1&amp;$S$1&amp;$P$1&amp;$T$1&amp;$J$2&amp;$T$1&amp;$R$1&amp;J50&amp;$Q$1&amp;$O$1</f>
        <v>[{"2":168},{"4":137},{"5":137},{"12":1400},{"7":8},{"6":0},{"8":10},{"9":0}]</v>
      </c>
      <c r="AG49">
        <v>192</v>
      </c>
      <c r="AH49">
        <f t="shared" si="19"/>
        <v>128</v>
      </c>
      <c r="AI49">
        <f t="shared" si="20"/>
        <v>128</v>
      </c>
      <c r="AJ49">
        <f t="shared" si="21"/>
        <v>2560</v>
      </c>
      <c r="AK49">
        <v>4</v>
      </c>
      <c r="AL49">
        <v>8</v>
      </c>
      <c r="AM49">
        <v>0</v>
      </c>
      <c r="AN49">
        <v>10</v>
      </c>
    </row>
    <row r="50" customFormat="1" ht="16.5" spans="1:40">
      <c r="A50">
        <v>48</v>
      </c>
      <c r="B50">
        <f t="shared" si="12"/>
        <v>206</v>
      </c>
      <c r="C50">
        <f t="shared" si="13"/>
        <v>168</v>
      </c>
      <c r="D50">
        <f t="shared" si="14"/>
        <v>137</v>
      </c>
      <c r="E50">
        <f t="shared" si="15"/>
        <v>137</v>
      </c>
      <c r="F50" s="2">
        <f t="shared" si="16"/>
        <v>2800</v>
      </c>
      <c r="G50">
        <v>8</v>
      </c>
      <c r="H50">
        <v>0</v>
      </c>
      <c r="I50">
        <v>10</v>
      </c>
      <c r="J50">
        <v>0</v>
      </c>
      <c r="K50" s="2">
        <f t="shared" si="17"/>
        <v>933</v>
      </c>
      <c r="L50" s="3">
        <f t="shared" si="18"/>
        <v>1400</v>
      </c>
      <c r="N50" t="str">
        <f t="shared" si="11"/>
        <v>[{"1":208},{"2":170},{"4":138},{"5":138},{"12":2820}]</v>
      </c>
      <c r="W50" t="str">
        <f>$N$1&amp;$P$1&amp;$T$1&amp;$C$2&amp;$T$1&amp;$R$1&amp;C51&amp;$Q$1&amp;$S$1&amp;$P$1&amp;$T$1&amp;$D$2&amp;$T$1&amp;$R$1&amp;D51&amp;$Q$1&amp;$S$1&amp;$P$1&amp;$T$1&amp;$E$2&amp;$T$1&amp;$R$1&amp;E51&amp;$Q$1&amp;$S$1&amp;$P$1&amp;$T$1&amp;$F$2&amp;$T$1&amp;$R$1&amp;K51&amp;$Q$1&amp;$S$1&amp;$P$1&amp;$T$1&amp;$G$2&amp;$T$1&amp;$R$1&amp;G51&amp;$Q$1&amp;$S$1&amp;$P$1&amp;$T$1&amp;$H$2&amp;$T$1&amp;$R$1&amp;H51&amp;$Q$1&amp;$S$1&amp;$P$1&amp;$T$1&amp;$I$2&amp;$T$1&amp;$R$1&amp;I51&amp;$Q$1&amp;$S$1&amp;$P$1&amp;$T$1&amp;$J$2&amp;$T$1&amp;$R$1&amp;J51&amp;$Q$1&amp;$O$1</f>
        <v>[{"2":170},{"4":138},{"5":138},{"12":940},{"7":8},{"6":0},{"8":10},{"9":0}]</v>
      </c>
      <c r="AE50" t="str">
        <f>$N$1&amp;$P$1&amp;$T$1&amp;$C$2&amp;$T$1&amp;$R$1&amp;C51&amp;$Q$1&amp;$S$1&amp;$P$1&amp;$T$1&amp;$D$2&amp;$T$1&amp;$R$1&amp;D51&amp;$Q$1&amp;$S$1&amp;$P$1&amp;$T$1&amp;$E$2&amp;$T$1&amp;$R$1&amp;E51&amp;$Q$1&amp;$S$1&amp;$P$1&amp;$T$1&amp;$F$2&amp;$T$1&amp;$R$1&amp;L51&amp;$Q$1&amp;$S$1&amp;$P$1&amp;$T$1&amp;$G$2&amp;$T$1&amp;$R$1&amp;G51&amp;$Q$1&amp;$S$1&amp;$P$1&amp;$T$1&amp;$H$2&amp;$T$1&amp;$R$1&amp;H51&amp;$Q$1&amp;$S$1&amp;$P$1&amp;$T$1&amp;$I$2&amp;$T$1&amp;$R$1&amp;I51&amp;$Q$1&amp;$S$1&amp;$P$1&amp;$T$1&amp;$J$2&amp;$T$1&amp;$R$1&amp;J51&amp;$Q$1&amp;$O$1</f>
        <v>[{"2":170},{"4":138},{"5":138},{"12":1410},{"7":8},{"6":0},{"8":10},{"9":0}]</v>
      </c>
      <c r="AG50">
        <v>194</v>
      </c>
      <c r="AH50">
        <f t="shared" si="19"/>
        <v>129</v>
      </c>
      <c r="AI50">
        <f t="shared" si="20"/>
        <v>129</v>
      </c>
      <c r="AJ50">
        <f t="shared" si="21"/>
        <v>2580</v>
      </c>
      <c r="AK50">
        <v>4</v>
      </c>
      <c r="AL50">
        <v>8</v>
      </c>
      <c r="AM50">
        <v>0</v>
      </c>
      <c r="AN50">
        <v>10</v>
      </c>
    </row>
    <row r="51" customFormat="1" ht="16.5" spans="1:40">
      <c r="A51">
        <v>49</v>
      </c>
      <c r="B51">
        <f t="shared" si="12"/>
        <v>208</v>
      </c>
      <c r="C51">
        <f t="shared" si="13"/>
        <v>170</v>
      </c>
      <c r="D51">
        <f t="shared" si="14"/>
        <v>138</v>
      </c>
      <c r="E51">
        <f t="shared" si="15"/>
        <v>138</v>
      </c>
      <c r="F51" s="2">
        <f t="shared" si="16"/>
        <v>2820</v>
      </c>
      <c r="G51">
        <v>8</v>
      </c>
      <c r="H51">
        <v>0</v>
      </c>
      <c r="I51">
        <v>10</v>
      </c>
      <c r="J51">
        <v>0</v>
      </c>
      <c r="K51" s="2">
        <f t="shared" si="17"/>
        <v>940</v>
      </c>
      <c r="L51" s="3">
        <f t="shared" si="18"/>
        <v>1410</v>
      </c>
      <c r="N51" t="str">
        <f t="shared" si="11"/>
        <v>[{"1":210},{"2":172},{"4":140},{"5":140},{"12":2860}]</v>
      </c>
      <c r="W51" t="str">
        <f>$N$1&amp;$P$1&amp;$T$1&amp;$C$2&amp;$T$1&amp;$R$1&amp;C52&amp;$Q$1&amp;$S$1&amp;$P$1&amp;$T$1&amp;$D$2&amp;$T$1&amp;$R$1&amp;D52&amp;$Q$1&amp;$S$1&amp;$P$1&amp;$T$1&amp;$E$2&amp;$T$1&amp;$R$1&amp;E52&amp;$Q$1&amp;$S$1&amp;$P$1&amp;$T$1&amp;$F$2&amp;$T$1&amp;$R$1&amp;K52&amp;$Q$1&amp;$S$1&amp;$P$1&amp;$T$1&amp;$G$2&amp;$T$1&amp;$R$1&amp;G52&amp;$Q$1&amp;$S$1&amp;$P$1&amp;$T$1&amp;$H$2&amp;$T$1&amp;$R$1&amp;H52&amp;$Q$1&amp;$S$1&amp;$P$1&amp;$T$1&amp;$I$2&amp;$T$1&amp;$R$1&amp;I52&amp;$Q$1&amp;$S$1&amp;$P$1&amp;$T$1&amp;$J$2&amp;$T$1&amp;$R$1&amp;J52&amp;$Q$1&amp;$O$1</f>
        <v>[{"2":172},{"4":140},{"5":140},{"12":953},{"7":8},{"6":0},{"8":10},{"9":0}]</v>
      </c>
      <c r="AE51" t="str">
        <f>$N$1&amp;$P$1&amp;$T$1&amp;$C$2&amp;$T$1&amp;$R$1&amp;C52&amp;$Q$1&amp;$S$1&amp;$P$1&amp;$T$1&amp;$D$2&amp;$T$1&amp;$R$1&amp;D52&amp;$Q$1&amp;$S$1&amp;$P$1&amp;$T$1&amp;$E$2&amp;$T$1&amp;$R$1&amp;E52&amp;$Q$1&amp;$S$1&amp;$P$1&amp;$T$1&amp;$F$2&amp;$T$1&amp;$R$1&amp;L52&amp;$Q$1&amp;$S$1&amp;$P$1&amp;$T$1&amp;$G$2&amp;$T$1&amp;$R$1&amp;G52&amp;$Q$1&amp;$S$1&amp;$P$1&amp;$T$1&amp;$H$2&amp;$T$1&amp;$R$1&amp;H52&amp;$Q$1&amp;$S$1&amp;$P$1&amp;$T$1&amp;$I$2&amp;$T$1&amp;$R$1&amp;I52&amp;$Q$1&amp;$S$1&amp;$P$1&amp;$T$1&amp;$J$2&amp;$T$1&amp;$R$1&amp;J52&amp;$Q$1&amp;$O$1</f>
        <v>[{"2":172},{"4":140},{"5":140},{"12":1430},{"7":8},{"6":0},{"8":10},{"9":0}]</v>
      </c>
      <c r="AG51">
        <v>196</v>
      </c>
      <c r="AH51">
        <f t="shared" si="19"/>
        <v>130</v>
      </c>
      <c r="AI51">
        <f t="shared" si="20"/>
        <v>130</v>
      </c>
      <c r="AJ51">
        <f t="shared" si="21"/>
        <v>2600</v>
      </c>
      <c r="AK51">
        <v>4</v>
      </c>
      <c r="AL51">
        <v>8</v>
      </c>
      <c r="AM51">
        <v>0</v>
      </c>
      <c r="AN51">
        <v>10</v>
      </c>
    </row>
    <row r="52" customFormat="1" ht="16.5" spans="1:40">
      <c r="A52">
        <v>50</v>
      </c>
      <c r="B52">
        <f t="shared" si="12"/>
        <v>210</v>
      </c>
      <c r="C52">
        <f t="shared" si="13"/>
        <v>172</v>
      </c>
      <c r="D52">
        <f t="shared" si="14"/>
        <v>140</v>
      </c>
      <c r="E52">
        <f t="shared" si="15"/>
        <v>140</v>
      </c>
      <c r="F52" s="2">
        <f t="shared" si="16"/>
        <v>2860</v>
      </c>
      <c r="G52">
        <v>8</v>
      </c>
      <c r="H52">
        <v>0</v>
      </c>
      <c r="I52">
        <v>10</v>
      </c>
      <c r="J52">
        <v>0</v>
      </c>
      <c r="K52" s="2">
        <f t="shared" si="17"/>
        <v>953</v>
      </c>
      <c r="L52" s="3">
        <f t="shared" si="18"/>
        <v>1430</v>
      </c>
      <c r="N52" t="str">
        <f t="shared" si="11"/>
        <v>[{"1":212},{"2":173},{"4":141},{"5":141},{"12":2880}]</v>
      </c>
      <c r="W52" t="str">
        <f>$N$1&amp;$P$1&amp;$T$1&amp;$C$2&amp;$T$1&amp;$R$1&amp;C53&amp;$Q$1&amp;$S$1&amp;$P$1&amp;$T$1&amp;$D$2&amp;$T$1&amp;$R$1&amp;D53&amp;$Q$1&amp;$S$1&amp;$P$1&amp;$T$1&amp;$E$2&amp;$T$1&amp;$R$1&amp;E53&amp;$Q$1&amp;$S$1&amp;$P$1&amp;$T$1&amp;$F$2&amp;$T$1&amp;$R$1&amp;K53&amp;$Q$1&amp;$S$1&amp;$P$1&amp;$T$1&amp;$G$2&amp;$T$1&amp;$R$1&amp;G53&amp;$Q$1&amp;$S$1&amp;$P$1&amp;$T$1&amp;$H$2&amp;$T$1&amp;$R$1&amp;H53&amp;$Q$1&amp;$S$1&amp;$P$1&amp;$T$1&amp;$I$2&amp;$T$1&amp;$R$1&amp;I53&amp;$Q$1&amp;$S$1&amp;$P$1&amp;$T$1&amp;$J$2&amp;$T$1&amp;$R$1&amp;J53&amp;$Q$1&amp;$O$1</f>
        <v>[{"2":173},{"4":141},{"5":141},{"12":960},{"7":8},{"6":0},{"8":10},{"9":0}]</v>
      </c>
      <c r="AE52" t="str">
        <f>$N$1&amp;$P$1&amp;$T$1&amp;$C$2&amp;$T$1&amp;$R$1&amp;C53&amp;$Q$1&amp;$S$1&amp;$P$1&amp;$T$1&amp;$D$2&amp;$T$1&amp;$R$1&amp;D53&amp;$Q$1&amp;$S$1&amp;$P$1&amp;$T$1&amp;$E$2&amp;$T$1&amp;$R$1&amp;E53&amp;$Q$1&amp;$S$1&amp;$P$1&amp;$T$1&amp;$F$2&amp;$T$1&amp;$R$1&amp;L53&amp;$Q$1&amp;$S$1&amp;$P$1&amp;$T$1&amp;$G$2&amp;$T$1&amp;$R$1&amp;G53&amp;$Q$1&amp;$S$1&amp;$P$1&amp;$T$1&amp;$H$2&amp;$T$1&amp;$R$1&amp;H53&amp;$Q$1&amp;$S$1&amp;$P$1&amp;$T$1&amp;$I$2&amp;$T$1&amp;$R$1&amp;I53&amp;$Q$1&amp;$S$1&amp;$P$1&amp;$T$1&amp;$J$2&amp;$T$1&amp;$R$1&amp;J53&amp;$Q$1&amp;$O$1</f>
        <v>[{"2":173},{"4":141},{"5":141},{"12":1440},{"7":8},{"6":0},{"8":10},{"9":0}]</v>
      </c>
      <c r="AG52">
        <v>198</v>
      </c>
      <c r="AH52">
        <f t="shared" si="19"/>
        <v>132</v>
      </c>
      <c r="AI52">
        <f t="shared" si="20"/>
        <v>132</v>
      </c>
      <c r="AJ52">
        <f t="shared" si="21"/>
        <v>2640</v>
      </c>
      <c r="AK52">
        <v>4</v>
      </c>
      <c r="AL52">
        <v>8</v>
      </c>
      <c r="AM52">
        <v>0</v>
      </c>
      <c r="AN52">
        <v>10</v>
      </c>
    </row>
    <row r="53" customFormat="1" ht="16.5" spans="1:40">
      <c r="A53">
        <v>51</v>
      </c>
      <c r="B53">
        <f t="shared" si="12"/>
        <v>212</v>
      </c>
      <c r="C53">
        <f t="shared" si="13"/>
        <v>173</v>
      </c>
      <c r="D53">
        <f t="shared" si="14"/>
        <v>141</v>
      </c>
      <c r="E53">
        <f t="shared" si="15"/>
        <v>141</v>
      </c>
      <c r="F53" s="2">
        <f t="shared" si="16"/>
        <v>2880</v>
      </c>
      <c r="G53">
        <v>8</v>
      </c>
      <c r="H53">
        <v>0</v>
      </c>
      <c r="I53">
        <v>10</v>
      </c>
      <c r="J53">
        <v>0</v>
      </c>
      <c r="K53" s="2">
        <f t="shared" si="17"/>
        <v>960</v>
      </c>
      <c r="L53" s="3">
        <f t="shared" si="18"/>
        <v>1440</v>
      </c>
      <c r="N53" t="str">
        <f t="shared" si="11"/>
        <v>[{"1":214},{"2":175},{"4":142},{"5":142},{"12":2900}]</v>
      </c>
      <c r="W53" t="str">
        <f>$N$1&amp;$P$1&amp;$T$1&amp;$C$2&amp;$T$1&amp;$R$1&amp;C54&amp;$Q$1&amp;$S$1&amp;$P$1&amp;$T$1&amp;$D$2&amp;$T$1&amp;$R$1&amp;D54&amp;$Q$1&amp;$S$1&amp;$P$1&amp;$T$1&amp;$E$2&amp;$T$1&amp;$R$1&amp;E54&amp;$Q$1&amp;$S$1&amp;$P$1&amp;$T$1&amp;$F$2&amp;$T$1&amp;$R$1&amp;K54&amp;$Q$1&amp;$S$1&amp;$P$1&amp;$T$1&amp;$G$2&amp;$T$1&amp;$R$1&amp;G54&amp;$Q$1&amp;$S$1&amp;$P$1&amp;$T$1&amp;$H$2&amp;$T$1&amp;$R$1&amp;H54&amp;$Q$1&amp;$S$1&amp;$P$1&amp;$T$1&amp;$I$2&amp;$T$1&amp;$R$1&amp;I54&amp;$Q$1&amp;$S$1&amp;$P$1&amp;$T$1&amp;$J$2&amp;$T$1&amp;$R$1&amp;J54&amp;$Q$1&amp;$O$1</f>
        <v>[{"2":175},{"4":142},{"5":142},{"12":966},{"7":8},{"6":0},{"8":10},{"9":0}]</v>
      </c>
      <c r="AE53" t="str">
        <f>$N$1&amp;$P$1&amp;$T$1&amp;$C$2&amp;$T$1&amp;$R$1&amp;C54&amp;$Q$1&amp;$S$1&amp;$P$1&amp;$T$1&amp;$D$2&amp;$T$1&amp;$R$1&amp;D54&amp;$Q$1&amp;$S$1&amp;$P$1&amp;$T$1&amp;$E$2&amp;$T$1&amp;$R$1&amp;E54&amp;$Q$1&amp;$S$1&amp;$P$1&amp;$T$1&amp;$F$2&amp;$T$1&amp;$R$1&amp;L54&amp;$Q$1&amp;$S$1&amp;$P$1&amp;$T$1&amp;$G$2&amp;$T$1&amp;$R$1&amp;G54&amp;$Q$1&amp;$S$1&amp;$P$1&amp;$T$1&amp;$H$2&amp;$T$1&amp;$R$1&amp;H54&amp;$Q$1&amp;$S$1&amp;$P$1&amp;$T$1&amp;$I$2&amp;$T$1&amp;$R$1&amp;I54&amp;$Q$1&amp;$S$1&amp;$P$1&amp;$T$1&amp;$J$2&amp;$T$1&amp;$R$1&amp;J54&amp;$Q$1&amp;$O$1</f>
        <v>[{"2":175},{"4":142},{"5":142},{"12":1450},{"7":8},{"6":0},{"8":10},{"9":0}]</v>
      </c>
      <c r="AG53">
        <v>200</v>
      </c>
      <c r="AH53">
        <f t="shared" si="19"/>
        <v>133</v>
      </c>
      <c r="AI53">
        <f t="shared" si="20"/>
        <v>133</v>
      </c>
      <c r="AJ53">
        <f t="shared" si="21"/>
        <v>2660</v>
      </c>
      <c r="AK53">
        <v>4</v>
      </c>
      <c r="AL53">
        <v>8</v>
      </c>
      <c r="AM53">
        <v>0</v>
      </c>
      <c r="AN53">
        <v>10</v>
      </c>
    </row>
    <row r="54" customFormat="1" ht="16.5" spans="1:40">
      <c r="A54">
        <v>52</v>
      </c>
      <c r="B54">
        <f t="shared" si="12"/>
        <v>214</v>
      </c>
      <c r="C54">
        <f t="shared" si="13"/>
        <v>175</v>
      </c>
      <c r="D54">
        <f t="shared" si="14"/>
        <v>142</v>
      </c>
      <c r="E54">
        <f t="shared" si="15"/>
        <v>142</v>
      </c>
      <c r="F54" s="2">
        <f t="shared" si="16"/>
        <v>2900</v>
      </c>
      <c r="G54">
        <v>8</v>
      </c>
      <c r="H54">
        <v>0</v>
      </c>
      <c r="I54">
        <v>10</v>
      </c>
      <c r="J54">
        <v>0</v>
      </c>
      <c r="K54" s="2">
        <f t="shared" si="17"/>
        <v>966</v>
      </c>
      <c r="L54" s="3">
        <f t="shared" si="18"/>
        <v>1450</v>
      </c>
      <c r="N54" t="str">
        <f t="shared" si="11"/>
        <v>[{"1":216},{"2":177},{"4":144},{"5":144},{"12":2940}]</v>
      </c>
      <c r="W54" t="str">
        <f>$N$1&amp;$P$1&amp;$T$1&amp;$C$2&amp;$T$1&amp;$R$1&amp;C55&amp;$Q$1&amp;$S$1&amp;$P$1&amp;$T$1&amp;$D$2&amp;$T$1&amp;$R$1&amp;D55&amp;$Q$1&amp;$S$1&amp;$P$1&amp;$T$1&amp;$E$2&amp;$T$1&amp;$R$1&amp;E55&amp;$Q$1&amp;$S$1&amp;$P$1&amp;$T$1&amp;$F$2&amp;$T$1&amp;$R$1&amp;K55&amp;$Q$1&amp;$S$1&amp;$P$1&amp;$T$1&amp;$G$2&amp;$T$1&amp;$R$1&amp;G55&amp;$Q$1&amp;$S$1&amp;$P$1&amp;$T$1&amp;$H$2&amp;$T$1&amp;$R$1&amp;H55&amp;$Q$1&amp;$S$1&amp;$P$1&amp;$T$1&amp;$I$2&amp;$T$1&amp;$R$1&amp;I55&amp;$Q$1&amp;$S$1&amp;$P$1&amp;$T$1&amp;$J$2&amp;$T$1&amp;$R$1&amp;J55&amp;$Q$1&amp;$O$1</f>
        <v>[{"2":177},{"4":144},{"5":144},{"12":980},{"7":8},{"6":0},{"8":10},{"9":0}]</v>
      </c>
      <c r="AE54" t="str">
        <f>$N$1&amp;$P$1&amp;$T$1&amp;$C$2&amp;$T$1&amp;$R$1&amp;C55&amp;$Q$1&amp;$S$1&amp;$P$1&amp;$T$1&amp;$D$2&amp;$T$1&amp;$R$1&amp;D55&amp;$Q$1&amp;$S$1&amp;$P$1&amp;$T$1&amp;$E$2&amp;$T$1&amp;$R$1&amp;E55&amp;$Q$1&amp;$S$1&amp;$P$1&amp;$T$1&amp;$F$2&amp;$T$1&amp;$R$1&amp;L55&amp;$Q$1&amp;$S$1&amp;$P$1&amp;$T$1&amp;$G$2&amp;$T$1&amp;$R$1&amp;G55&amp;$Q$1&amp;$S$1&amp;$P$1&amp;$T$1&amp;$H$2&amp;$T$1&amp;$R$1&amp;H55&amp;$Q$1&amp;$S$1&amp;$P$1&amp;$T$1&amp;$I$2&amp;$T$1&amp;$R$1&amp;I55&amp;$Q$1&amp;$S$1&amp;$P$1&amp;$T$1&amp;$J$2&amp;$T$1&amp;$R$1&amp;J55&amp;$Q$1&amp;$O$1</f>
        <v>[{"2":177},{"4":144},{"5":144},{"12":1470},{"7":8},{"6":0},{"8":10},{"9":0}]</v>
      </c>
      <c r="AG54">
        <v>202</v>
      </c>
      <c r="AH54">
        <f t="shared" si="19"/>
        <v>134</v>
      </c>
      <c r="AI54">
        <f t="shared" si="20"/>
        <v>134</v>
      </c>
      <c r="AJ54">
        <f t="shared" si="21"/>
        <v>2680</v>
      </c>
      <c r="AK54">
        <v>4</v>
      </c>
      <c r="AL54">
        <v>8</v>
      </c>
      <c r="AM54">
        <v>0</v>
      </c>
      <c r="AN54">
        <v>10</v>
      </c>
    </row>
    <row r="55" customFormat="1" ht="16.5" spans="1:40">
      <c r="A55">
        <v>53</v>
      </c>
      <c r="B55">
        <f t="shared" si="12"/>
        <v>216</v>
      </c>
      <c r="C55">
        <f t="shared" si="13"/>
        <v>177</v>
      </c>
      <c r="D55">
        <f t="shared" si="14"/>
        <v>144</v>
      </c>
      <c r="E55">
        <f t="shared" si="15"/>
        <v>144</v>
      </c>
      <c r="F55" s="2">
        <f t="shared" si="16"/>
        <v>2940</v>
      </c>
      <c r="G55">
        <v>8</v>
      </c>
      <c r="H55">
        <v>0</v>
      </c>
      <c r="I55">
        <v>10</v>
      </c>
      <c r="J55">
        <v>0</v>
      </c>
      <c r="K55" s="2">
        <f t="shared" si="17"/>
        <v>980</v>
      </c>
      <c r="L55" s="3">
        <f t="shared" si="18"/>
        <v>1470</v>
      </c>
      <c r="N55" t="str">
        <f t="shared" si="11"/>
        <v>[{"1":218},{"2":178},{"4":145},{"5":145},{"12":2960}]</v>
      </c>
      <c r="W55" t="str">
        <f>$N$1&amp;$P$1&amp;$T$1&amp;$C$2&amp;$T$1&amp;$R$1&amp;C56&amp;$Q$1&amp;$S$1&amp;$P$1&amp;$T$1&amp;$D$2&amp;$T$1&amp;$R$1&amp;D56&amp;$Q$1&amp;$S$1&amp;$P$1&amp;$T$1&amp;$E$2&amp;$T$1&amp;$R$1&amp;E56&amp;$Q$1&amp;$S$1&amp;$P$1&amp;$T$1&amp;$F$2&amp;$T$1&amp;$R$1&amp;K56&amp;$Q$1&amp;$S$1&amp;$P$1&amp;$T$1&amp;$G$2&amp;$T$1&amp;$R$1&amp;G56&amp;$Q$1&amp;$S$1&amp;$P$1&amp;$T$1&amp;$H$2&amp;$T$1&amp;$R$1&amp;H56&amp;$Q$1&amp;$S$1&amp;$P$1&amp;$T$1&amp;$I$2&amp;$T$1&amp;$R$1&amp;I56&amp;$Q$1&amp;$S$1&amp;$P$1&amp;$T$1&amp;$J$2&amp;$T$1&amp;$R$1&amp;J56&amp;$Q$1&amp;$O$1</f>
        <v>[{"2":178},{"4":145},{"5":145},{"12":986},{"7":8},{"6":0},{"8":10},{"9":0}]</v>
      </c>
      <c r="AE55" t="str">
        <f>$N$1&amp;$P$1&amp;$T$1&amp;$C$2&amp;$T$1&amp;$R$1&amp;C56&amp;$Q$1&amp;$S$1&amp;$P$1&amp;$T$1&amp;$D$2&amp;$T$1&amp;$R$1&amp;D56&amp;$Q$1&amp;$S$1&amp;$P$1&amp;$T$1&amp;$E$2&amp;$T$1&amp;$R$1&amp;E56&amp;$Q$1&amp;$S$1&amp;$P$1&amp;$T$1&amp;$F$2&amp;$T$1&amp;$R$1&amp;L56&amp;$Q$1&amp;$S$1&amp;$P$1&amp;$T$1&amp;$G$2&amp;$T$1&amp;$R$1&amp;G56&amp;$Q$1&amp;$S$1&amp;$P$1&amp;$T$1&amp;$H$2&amp;$T$1&amp;$R$1&amp;H56&amp;$Q$1&amp;$S$1&amp;$P$1&amp;$T$1&amp;$I$2&amp;$T$1&amp;$R$1&amp;I56&amp;$Q$1&amp;$S$1&amp;$P$1&amp;$T$1&amp;$J$2&amp;$T$1&amp;$R$1&amp;J56&amp;$Q$1&amp;$O$1</f>
        <v>[{"2":178},{"4":145},{"5":145},{"12":1480},{"7":8},{"6":0},{"8":10},{"9":0}]</v>
      </c>
      <c r="AG55">
        <v>204</v>
      </c>
      <c r="AH55">
        <f t="shared" si="19"/>
        <v>136</v>
      </c>
      <c r="AI55">
        <f t="shared" si="20"/>
        <v>136</v>
      </c>
      <c r="AJ55">
        <f t="shared" si="21"/>
        <v>2720</v>
      </c>
      <c r="AK55">
        <v>4</v>
      </c>
      <c r="AL55">
        <v>8</v>
      </c>
      <c r="AM55">
        <v>0</v>
      </c>
      <c r="AN55">
        <v>10</v>
      </c>
    </row>
    <row r="56" customFormat="1" ht="16.5" spans="1:40">
      <c r="A56">
        <v>54</v>
      </c>
      <c r="B56">
        <f t="shared" si="12"/>
        <v>218</v>
      </c>
      <c r="C56">
        <f t="shared" si="13"/>
        <v>178</v>
      </c>
      <c r="D56">
        <f t="shared" si="14"/>
        <v>145</v>
      </c>
      <c r="E56">
        <f t="shared" si="15"/>
        <v>145</v>
      </c>
      <c r="F56" s="2">
        <f t="shared" si="16"/>
        <v>2960</v>
      </c>
      <c r="G56">
        <v>8</v>
      </c>
      <c r="H56">
        <v>0</v>
      </c>
      <c r="I56">
        <v>10</v>
      </c>
      <c r="J56">
        <v>0</v>
      </c>
      <c r="K56" s="2">
        <f t="shared" si="17"/>
        <v>986</v>
      </c>
      <c r="L56" s="3">
        <f t="shared" si="18"/>
        <v>1480</v>
      </c>
      <c r="N56" t="str">
        <f t="shared" si="11"/>
        <v>[{"1":220},{"2":180},{"4":146},{"5":146},{"12":2980}]</v>
      </c>
      <c r="W56" t="str">
        <f>$N$1&amp;$P$1&amp;$T$1&amp;$C$2&amp;$T$1&amp;$R$1&amp;C57&amp;$Q$1&amp;$S$1&amp;$P$1&amp;$T$1&amp;$D$2&amp;$T$1&amp;$R$1&amp;D57&amp;$Q$1&amp;$S$1&amp;$P$1&amp;$T$1&amp;$E$2&amp;$T$1&amp;$R$1&amp;E57&amp;$Q$1&amp;$S$1&amp;$P$1&amp;$T$1&amp;$F$2&amp;$T$1&amp;$R$1&amp;K57&amp;$Q$1&amp;$S$1&amp;$P$1&amp;$T$1&amp;$G$2&amp;$T$1&amp;$R$1&amp;G57&amp;$Q$1&amp;$S$1&amp;$P$1&amp;$T$1&amp;$H$2&amp;$T$1&amp;$R$1&amp;H57&amp;$Q$1&amp;$S$1&amp;$P$1&amp;$T$1&amp;$I$2&amp;$T$1&amp;$R$1&amp;I57&amp;$Q$1&amp;$S$1&amp;$P$1&amp;$T$1&amp;$J$2&amp;$T$1&amp;$R$1&amp;J57&amp;$Q$1&amp;$O$1</f>
        <v>[{"2":180},{"4":146},{"5":146},{"12":993},{"7":8},{"6":0},{"8":10},{"9":0}]</v>
      </c>
      <c r="AE56" t="str">
        <f>$N$1&amp;$P$1&amp;$T$1&amp;$C$2&amp;$T$1&amp;$R$1&amp;C57&amp;$Q$1&amp;$S$1&amp;$P$1&amp;$T$1&amp;$D$2&amp;$T$1&amp;$R$1&amp;D57&amp;$Q$1&amp;$S$1&amp;$P$1&amp;$T$1&amp;$E$2&amp;$T$1&amp;$R$1&amp;E57&amp;$Q$1&amp;$S$1&amp;$P$1&amp;$T$1&amp;$F$2&amp;$T$1&amp;$R$1&amp;L57&amp;$Q$1&amp;$S$1&amp;$P$1&amp;$T$1&amp;$G$2&amp;$T$1&amp;$R$1&amp;G57&amp;$Q$1&amp;$S$1&amp;$P$1&amp;$T$1&amp;$H$2&amp;$T$1&amp;$R$1&amp;H57&amp;$Q$1&amp;$S$1&amp;$P$1&amp;$T$1&amp;$I$2&amp;$T$1&amp;$R$1&amp;I57&amp;$Q$1&amp;$S$1&amp;$P$1&amp;$T$1&amp;$J$2&amp;$T$1&amp;$R$1&amp;J57&amp;$Q$1&amp;$O$1</f>
        <v>[{"2":180},{"4":146},{"5":146},{"12":1490},{"7":8},{"6":0},{"8":10},{"9":0}]</v>
      </c>
      <c r="AG56">
        <v>206</v>
      </c>
      <c r="AH56">
        <f t="shared" si="19"/>
        <v>137</v>
      </c>
      <c r="AI56">
        <f t="shared" si="20"/>
        <v>137</v>
      </c>
      <c r="AJ56">
        <f t="shared" si="21"/>
        <v>2740</v>
      </c>
      <c r="AK56">
        <v>4</v>
      </c>
      <c r="AL56">
        <v>8</v>
      </c>
      <c r="AM56">
        <v>0</v>
      </c>
      <c r="AN56">
        <v>10</v>
      </c>
    </row>
    <row r="57" customFormat="1" ht="16.5" spans="1:40">
      <c r="A57">
        <v>55</v>
      </c>
      <c r="B57">
        <f t="shared" si="12"/>
        <v>220</v>
      </c>
      <c r="C57">
        <f t="shared" si="13"/>
        <v>180</v>
      </c>
      <c r="D57">
        <f t="shared" si="14"/>
        <v>146</v>
      </c>
      <c r="E57">
        <f t="shared" si="15"/>
        <v>146</v>
      </c>
      <c r="F57" s="2">
        <f t="shared" si="16"/>
        <v>2980</v>
      </c>
      <c r="G57">
        <v>8</v>
      </c>
      <c r="H57">
        <v>0</v>
      </c>
      <c r="I57">
        <v>10</v>
      </c>
      <c r="J57">
        <v>0</v>
      </c>
      <c r="K57" s="2">
        <f t="shared" si="17"/>
        <v>993</v>
      </c>
      <c r="L57" s="3">
        <f t="shared" si="18"/>
        <v>1490</v>
      </c>
      <c r="N57" t="str">
        <f t="shared" si="11"/>
        <v>[{"1":222},{"2":182},{"4":148},{"5":148},{"12":3020}]</v>
      </c>
      <c r="W57" t="str">
        <f>$N$1&amp;$P$1&amp;$T$1&amp;$C$2&amp;$T$1&amp;$R$1&amp;C58&amp;$Q$1&amp;$S$1&amp;$P$1&amp;$T$1&amp;$D$2&amp;$T$1&amp;$R$1&amp;D58&amp;$Q$1&amp;$S$1&amp;$P$1&amp;$T$1&amp;$E$2&amp;$T$1&amp;$R$1&amp;E58&amp;$Q$1&amp;$S$1&amp;$P$1&amp;$T$1&amp;$F$2&amp;$T$1&amp;$R$1&amp;K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[{"2":182},{"4":148},{"5":148},{"12":1006},{"7":8},{"6":0},{"8":10},{"9":0}]</v>
      </c>
      <c r="AE57" t="str">
        <f>$N$1&amp;$P$1&amp;$T$1&amp;$C$2&amp;$T$1&amp;$R$1&amp;C58&amp;$Q$1&amp;$S$1&amp;$P$1&amp;$T$1&amp;$D$2&amp;$T$1&amp;$R$1&amp;D58&amp;$Q$1&amp;$S$1&amp;$P$1&amp;$T$1&amp;$E$2&amp;$T$1&amp;$R$1&amp;E58&amp;$Q$1&amp;$S$1&amp;$P$1&amp;$T$1&amp;$F$2&amp;$T$1&amp;$R$1&amp;L58&amp;$Q$1&amp;$S$1&amp;$P$1&amp;$T$1&amp;$G$2&amp;$T$1&amp;$R$1&amp;G58&amp;$Q$1&amp;$S$1&amp;$P$1&amp;$T$1&amp;$H$2&amp;$T$1&amp;$R$1&amp;H58&amp;$Q$1&amp;$S$1&amp;$P$1&amp;$T$1&amp;$I$2&amp;$T$1&amp;$R$1&amp;I58&amp;$Q$1&amp;$S$1&amp;$P$1&amp;$T$1&amp;$J$2&amp;$T$1&amp;$R$1&amp;J58&amp;$Q$1&amp;$O$1</f>
        <v>[{"2":182},{"4":148},{"5":148},{"12":1510},{"7":8},{"6":0},{"8":10},{"9":0}]</v>
      </c>
      <c r="AG57">
        <v>208</v>
      </c>
      <c r="AH57">
        <f t="shared" si="19"/>
        <v>138</v>
      </c>
      <c r="AI57">
        <f t="shared" si="20"/>
        <v>138</v>
      </c>
      <c r="AJ57">
        <f t="shared" si="21"/>
        <v>2760</v>
      </c>
      <c r="AK57">
        <v>4</v>
      </c>
      <c r="AL57">
        <v>8</v>
      </c>
      <c r="AM57">
        <v>0</v>
      </c>
      <c r="AN57">
        <v>10</v>
      </c>
    </row>
    <row r="58" customFormat="1" ht="16.5" spans="1:40">
      <c r="A58">
        <v>56</v>
      </c>
      <c r="B58">
        <f t="shared" si="12"/>
        <v>222</v>
      </c>
      <c r="C58">
        <f t="shared" si="13"/>
        <v>182</v>
      </c>
      <c r="D58">
        <f t="shared" si="14"/>
        <v>148</v>
      </c>
      <c r="E58">
        <f t="shared" si="15"/>
        <v>148</v>
      </c>
      <c r="F58" s="2">
        <f t="shared" si="16"/>
        <v>3020</v>
      </c>
      <c r="G58">
        <v>8</v>
      </c>
      <c r="H58">
        <v>0</v>
      </c>
      <c r="I58">
        <v>10</v>
      </c>
      <c r="J58">
        <v>0</v>
      </c>
      <c r="K58" s="2">
        <f t="shared" si="17"/>
        <v>1006</v>
      </c>
      <c r="L58" s="3">
        <f t="shared" si="18"/>
        <v>1510</v>
      </c>
      <c r="N58" t="str">
        <f t="shared" si="11"/>
        <v>[{"1":224},{"2":183},{"4":149},{"5":149},{"12":3040}]</v>
      </c>
      <c r="W58" t="str">
        <f>$N$1&amp;$P$1&amp;$T$1&amp;$C$2&amp;$T$1&amp;$R$1&amp;C59&amp;$Q$1&amp;$S$1&amp;$P$1&amp;$T$1&amp;$D$2&amp;$T$1&amp;$R$1&amp;D59&amp;$Q$1&amp;$S$1&amp;$P$1&amp;$T$1&amp;$E$2&amp;$T$1&amp;$R$1&amp;E59&amp;$Q$1&amp;$S$1&amp;$P$1&amp;$T$1&amp;$F$2&amp;$T$1&amp;$R$1&amp;K59&amp;$Q$1&amp;$S$1&amp;$P$1&amp;$T$1&amp;$G$2&amp;$T$1&amp;$R$1&amp;G59&amp;$Q$1&amp;$S$1&amp;$P$1&amp;$T$1&amp;$H$2&amp;$T$1&amp;$R$1&amp;H59&amp;$Q$1&amp;$S$1&amp;$P$1&amp;$T$1&amp;$I$2&amp;$T$1&amp;$R$1&amp;I59&amp;$Q$1&amp;$S$1&amp;$P$1&amp;$T$1&amp;$J$2&amp;$T$1&amp;$R$1&amp;J59&amp;$Q$1&amp;$O$1</f>
        <v>[{"2":183},{"4":149},{"5":149},{"12":1013},{"7":8},{"6":0},{"8":10},{"9":0}]</v>
      </c>
      <c r="AE58" t="str">
        <f>$N$1&amp;$P$1&amp;$T$1&amp;$C$2&amp;$T$1&amp;$R$1&amp;C59&amp;$Q$1&amp;$S$1&amp;$P$1&amp;$T$1&amp;$D$2&amp;$T$1&amp;$R$1&amp;D59&amp;$Q$1&amp;$S$1&amp;$P$1&amp;$T$1&amp;$E$2&amp;$T$1&amp;$R$1&amp;E59&amp;$Q$1&amp;$S$1&amp;$P$1&amp;$T$1&amp;$F$2&amp;$T$1&amp;$R$1&amp;L59&amp;$Q$1&amp;$S$1&amp;$P$1&amp;$T$1&amp;$G$2&amp;$T$1&amp;$R$1&amp;G59&amp;$Q$1&amp;$S$1&amp;$P$1&amp;$T$1&amp;$H$2&amp;$T$1&amp;$R$1&amp;H59&amp;$Q$1&amp;$S$1&amp;$P$1&amp;$T$1&amp;$I$2&amp;$T$1&amp;$R$1&amp;I59&amp;$Q$1&amp;$S$1&amp;$P$1&amp;$T$1&amp;$J$2&amp;$T$1&amp;$R$1&amp;J59&amp;$Q$1&amp;$O$1</f>
        <v>[{"2":183},{"4":149},{"5":149},{"12":1520},{"7":8},{"6":0},{"8":10},{"9":0}]</v>
      </c>
      <c r="AG58">
        <v>210</v>
      </c>
      <c r="AH58">
        <f t="shared" si="19"/>
        <v>140</v>
      </c>
      <c r="AI58">
        <f t="shared" si="20"/>
        <v>140</v>
      </c>
      <c r="AJ58">
        <f t="shared" si="21"/>
        <v>2800</v>
      </c>
      <c r="AK58">
        <v>4</v>
      </c>
      <c r="AL58">
        <v>8</v>
      </c>
      <c r="AM58">
        <v>0</v>
      </c>
      <c r="AN58">
        <v>10</v>
      </c>
    </row>
    <row r="59" customFormat="1" ht="16.5" spans="1:40">
      <c r="A59">
        <v>57</v>
      </c>
      <c r="B59">
        <f t="shared" si="12"/>
        <v>224</v>
      </c>
      <c r="C59">
        <f t="shared" si="13"/>
        <v>183</v>
      </c>
      <c r="D59">
        <f t="shared" si="14"/>
        <v>149</v>
      </c>
      <c r="E59">
        <f t="shared" si="15"/>
        <v>149</v>
      </c>
      <c r="F59" s="2">
        <f t="shared" si="16"/>
        <v>3040</v>
      </c>
      <c r="G59">
        <v>8</v>
      </c>
      <c r="H59">
        <v>0</v>
      </c>
      <c r="I59">
        <v>10</v>
      </c>
      <c r="J59">
        <v>0</v>
      </c>
      <c r="K59" s="2">
        <f t="shared" si="17"/>
        <v>1013</v>
      </c>
      <c r="L59" s="3">
        <f t="shared" si="18"/>
        <v>1520</v>
      </c>
      <c r="N59" t="str">
        <f t="shared" si="11"/>
        <v>[{"1":226},{"2":185},{"4":150},{"5":150},{"12":3060}]</v>
      </c>
      <c r="W59" t="str">
        <f>$N$1&amp;$P$1&amp;$T$1&amp;$C$2&amp;$T$1&amp;$R$1&amp;C60&amp;$Q$1&amp;$S$1&amp;$P$1&amp;$T$1&amp;$D$2&amp;$T$1&amp;$R$1&amp;D60&amp;$Q$1&amp;$S$1&amp;$P$1&amp;$T$1&amp;$E$2&amp;$T$1&amp;$R$1&amp;E60&amp;$Q$1&amp;$S$1&amp;$P$1&amp;$T$1&amp;$F$2&amp;$T$1&amp;$R$1&amp;K60&amp;$Q$1&amp;$S$1&amp;$P$1&amp;$T$1&amp;$G$2&amp;$T$1&amp;$R$1&amp;G60&amp;$Q$1&amp;$S$1&amp;$P$1&amp;$T$1&amp;$H$2&amp;$T$1&amp;$R$1&amp;H60&amp;$Q$1&amp;$S$1&amp;$P$1&amp;$T$1&amp;$I$2&amp;$T$1&amp;$R$1&amp;I60&amp;$Q$1&amp;$S$1&amp;$P$1&amp;$T$1&amp;$J$2&amp;$T$1&amp;$R$1&amp;J60&amp;$Q$1&amp;$O$1</f>
        <v>[{"2":185},{"4":150},{"5":150},{"12":1020},{"7":8},{"6":0},{"8":10},{"9":0}]</v>
      </c>
      <c r="AE59" t="str">
        <f>$N$1&amp;$P$1&amp;$T$1&amp;$C$2&amp;$T$1&amp;$R$1&amp;C60&amp;$Q$1&amp;$S$1&amp;$P$1&amp;$T$1&amp;$D$2&amp;$T$1&amp;$R$1&amp;D60&amp;$Q$1&amp;$S$1&amp;$P$1&amp;$T$1&amp;$E$2&amp;$T$1&amp;$R$1&amp;E60&amp;$Q$1&amp;$S$1&amp;$P$1&amp;$T$1&amp;$F$2&amp;$T$1&amp;$R$1&amp;L60&amp;$Q$1&amp;$S$1&amp;$P$1&amp;$T$1&amp;$G$2&amp;$T$1&amp;$R$1&amp;G60&amp;$Q$1&amp;$S$1&amp;$P$1&amp;$T$1&amp;$H$2&amp;$T$1&amp;$R$1&amp;H60&amp;$Q$1&amp;$S$1&amp;$P$1&amp;$T$1&amp;$I$2&amp;$T$1&amp;$R$1&amp;I60&amp;$Q$1&amp;$S$1&amp;$P$1&amp;$T$1&amp;$J$2&amp;$T$1&amp;$R$1&amp;J60&amp;$Q$1&amp;$O$1</f>
        <v>[{"2":185},{"4":150},{"5":150},{"12":1530},{"7":8},{"6":0},{"8":10},{"9":0}]</v>
      </c>
      <c r="AG59">
        <v>212</v>
      </c>
      <c r="AH59">
        <f t="shared" si="19"/>
        <v>141</v>
      </c>
      <c r="AI59">
        <f t="shared" si="20"/>
        <v>141</v>
      </c>
      <c r="AJ59">
        <f t="shared" si="21"/>
        <v>2820</v>
      </c>
      <c r="AK59">
        <v>4</v>
      </c>
      <c r="AL59">
        <v>8</v>
      </c>
      <c r="AM59">
        <v>0</v>
      </c>
      <c r="AN59">
        <v>10</v>
      </c>
    </row>
    <row r="60" customFormat="1" ht="16.5" spans="1:40">
      <c r="A60">
        <v>58</v>
      </c>
      <c r="B60">
        <f t="shared" si="12"/>
        <v>226</v>
      </c>
      <c r="C60">
        <f t="shared" si="13"/>
        <v>185</v>
      </c>
      <c r="D60">
        <f t="shared" si="14"/>
        <v>150</v>
      </c>
      <c r="E60">
        <f t="shared" si="15"/>
        <v>150</v>
      </c>
      <c r="F60" s="2">
        <f t="shared" si="16"/>
        <v>3060</v>
      </c>
      <c r="G60">
        <v>8</v>
      </c>
      <c r="H60">
        <v>0</v>
      </c>
      <c r="I60">
        <v>10</v>
      </c>
      <c r="J60">
        <v>0</v>
      </c>
      <c r="K60" s="2">
        <f t="shared" si="17"/>
        <v>1020</v>
      </c>
      <c r="L60" s="3">
        <f t="shared" si="18"/>
        <v>1530</v>
      </c>
      <c r="N60" t="str">
        <f t="shared" si="11"/>
        <v>[{"1":228},{"2":186},{"4":152},{"5":152},{"12":3100}]</v>
      </c>
      <c r="W60" t="str">
        <f>$N$1&amp;$P$1&amp;$T$1&amp;$C$2&amp;$T$1&amp;$R$1&amp;C61&amp;$Q$1&amp;$S$1&amp;$P$1&amp;$T$1&amp;$D$2&amp;$T$1&amp;$R$1&amp;D61&amp;$Q$1&amp;$S$1&amp;$P$1&amp;$T$1&amp;$E$2&amp;$T$1&amp;$R$1&amp;E61&amp;$Q$1&amp;$S$1&amp;$P$1&amp;$T$1&amp;$F$2&amp;$T$1&amp;$R$1&amp;K61&amp;$Q$1&amp;$S$1&amp;$P$1&amp;$T$1&amp;$G$2&amp;$T$1&amp;$R$1&amp;G61&amp;$Q$1&amp;$S$1&amp;$P$1&amp;$T$1&amp;$H$2&amp;$T$1&amp;$R$1&amp;H61&amp;$Q$1&amp;$S$1&amp;$P$1&amp;$T$1&amp;$I$2&amp;$T$1&amp;$R$1&amp;I61&amp;$Q$1&amp;$S$1&amp;$P$1&amp;$T$1&amp;$J$2&amp;$T$1&amp;$R$1&amp;J61&amp;$Q$1&amp;$O$1</f>
        <v>[{"2":186},{"4":152},{"5":152},{"12":1033},{"7":8},{"6":0},{"8":10},{"9":0}]</v>
      </c>
      <c r="AE60" t="str">
        <f>$N$1&amp;$P$1&amp;$T$1&amp;$C$2&amp;$T$1&amp;$R$1&amp;C61&amp;$Q$1&amp;$S$1&amp;$P$1&amp;$T$1&amp;$D$2&amp;$T$1&amp;$R$1&amp;D61&amp;$Q$1&amp;$S$1&amp;$P$1&amp;$T$1&amp;$E$2&amp;$T$1&amp;$R$1&amp;E61&amp;$Q$1&amp;$S$1&amp;$P$1&amp;$T$1&amp;$F$2&amp;$T$1&amp;$R$1&amp;L61&amp;$Q$1&amp;$S$1&amp;$P$1&amp;$T$1&amp;$G$2&amp;$T$1&amp;$R$1&amp;G61&amp;$Q$1&amp;$S$1&amp;$P$1&amp;$T$1&amp;$H$2&amp;$T$1&amp;$R$1&amp;H61&amp;$Q$1&amp;$S$1&amp;$P$1&amp;$T$1&amp;$I$2&amp;$T$1&amp;$R$1&amp;I61&amp;$Q$1&amp;$S$1&amp;$P$1&amp;$T$1&amp;$J$2&amp;$T$1&amp;$R$1&amp;J61&amp;$Q$1&amp;$O$1</f>
        <v>[{"2":186},{"4":152},{"5":152},{"12":1550},{"7":8},{"6":0},{"8":10},{"9":0}]</v>
      </c>
      <c r="AG60">
        <v>214</v>
      </c>
      <c r="AH60">
        <f t="shared" si="19"/>
        <v>142</v>
      </c>
      <c r="AI60">
        <f t="shared" si="20"/>
        <v>142</v>
      </c>
      <c r="AJ60">
        <f t="shared" si="21"/>
        <v>2840</v>
      </c>
      <c r="AK60">
        <v>4</v>
      </c>
      <c r="AL60">
        <v>8</v>
      </c>
      <c r="AM60">
        <v>0</v>
      </c>
      <c r="AN60">
        <v>10</v>
      </c>
    </row>
    <row r="61" customFormat="1" ht="16.5" spans="1:40">
      <c r="A61">
        <v>59</v>
      </c>
      <c r="B61">
        <f t="shared" si="12"/>
        <v>228</v>
      </c>
      <c r="C61">
        <f t="shared" si="13"/>
        <v>186</v>
      </c>
      <c r="D61">
        <f t="shared" si="14"/>
        <v>152</v>
      </c>
      <c r="E61">
        <f t="shared" si="15"/>
        <v>152</v>
      </c>
      <c r="F61" s="2">
        <f t="shared" si="16"/>
        <v>3100</v>
      </c>
      <c r="G61">
        <v>8</v>
      </c>
      <c r="H61">
        <v>0</v>
      </c>
      <c r="I61">
        <v>10</v>
      </c>
      <c r="J61">
        <v>0</v>
      </c>
      <c r="K61" s="2">
        <f t="shared" si="17"/>
        <v>1033</v>
      </c>
      <c r="L61" s="3">
        <f t="shared" si="18"/>
        <v>1550</v>
      </c>
      <c r="N61" t="str">
        <f t="shared" si="11"/>
        <v>[{"1":230},{"2":188},{"4":153},{"5":153},{"12":3120}]</v>
      </c>
      <c r="W61" t="str">
        <f>$N$1&amp;$P$1&amp;$T$1&amp;$C$2&amp;$T$1&amp;$R$1&amp;C62&amp;$Q$1&amp;$S$1&amp;$P$1&amp;$T$1&amp;$D$2&amp;$T$1&amp;$R$1&amp;D62&amp;$Q$1&amp;$S$1&amp;$P$1&amp;$T$1&amp;$E$2&amp;$T$1&amp;$R$1&amp;E62&amp;$Q$1&amp;$S$1&amp;$P$1&amp;$T$1&amp;$F$2&amp;$T$1&amp;$R$1&amp;K62&amp;$Q$1&amp;$S$1&amp;$P$1&amp;$T$1&amp;$G$2&amp;$T$1&amp;$R$1&amp;G62&amp;$Q$1&amp;$S$1&amp;$P$1&amp;$T$1&amp;$H$2&amp;$T$1&amp;$R$1&amp;H62&amp;$Q$1&amp;$S$1&amp;$P$1&amp;$T$1&amp;$I$2&amp;$T$1&amp;$R$1&amp;I62&amp;$Q$1&amp;$S$1&amp;$P$1&amp;$T$1&amp;$J$2&amp;$T$1&amp;$R$1&amp;J62&amp;$Q$1&amp;$O$1</f>
        <v>[{"2":188},{"4":153},{"5":153},{"12":1040},{"7":8},{"6":0},{"8":10},{"9":0}]</v>
      </c>
      <c r="AE61" t="str">
        <f>$N$1&amp;$P$1&amp;$T$1&amp;$C$2&amp;$T$1&amp;$R$1&amp;C62&amp;$Q$1&amp;$S$1&amp;$P$1&amp;$T$1&amp;$D$2&amp;$T$1&amp;$R$1&amp;D62&amp;$Q$1&amp;$S$1&amp;$P$1&amp;$T$1&amp;$E$2&amp;$T$1&amp;$R$1&amp;E62&amp;$Q$1&amp;$S$1&amp;$P$1&amp;$T$1&amp;$F$2&amp;$T$1&amp;$R$1&amp;L62&amp;$Q$1&amp;$S$1&amp;$P$1&amp;$T$1&amp;$G$2&amp;$T$1&amp;$R$1&amp;G62&amp;$Q$1&amp;$S$1&amp;$P$1&amp;$T$1&amp;$H$2&amp;$T$1&amp;$R$1&amp;H62&amp;$Q$1&amp;$S$1&amp;$P$1&amp;$T$1&amp;$I$2&amp;$T$1&amp;$R$1&amp;I62&amp;$Q$1&amp;$S$1&amp;$P$1&amp;$T$1&amp;$J$2&amp;$T$1&amp;$R$1&amp;J62&amp;$Q$1&amp;$O$1</f>
        <v>[{"2":188},{"4":153},{"5":153},{"12":1560},{"7":8},{"6":0},{"8":10},{"9":0}]</v>
      </c>
      <c r="AG61">
        <v>216</v>
      </c>
      <c r="AH61">
        <f t="shared" si="19"/>
        <v>144</v>
      </c>
      <c r="AI61">
        <f t="shared" si="20"/>
        <v>144</v>
      </c>
      <c r="AJ61">
        <f t="shared" si="21"/>
        <v>2880</v>
      </c>
      <c r="AK61">
        <v>4</v>
      </c>
      <c r="AL61">
        <v>8</v>
      </c>
      <c r="AM61">
        <v>0</v>
      </c>
      <c r="AN61">
        <v>10</v>
      </c>
    </row>
    <row r="62" customFormat="1" ht="16.5" spans="1:40">
      <c r="A62">
        <v>60</v>
      </c>
      <c r="B62">
        <f t="shared" si="12"/>
        <v>230</v>
      </c>
      <c r="C62">
        <f t="shared" si="13"/>
        <v>188</v>
      </c>
      <c r="D62">
        <f t="shared" si="14"/>
        <v>153</v>
      </c>
      <c r="E62">
        <f t="shared" si="15"/>
        <v>153</v>
      </c>
      <c r="F62" s="2">
        <f t="shared" si="16"/>
        <v>3120</v>
      </c>
      <c r="G62">
        <v>8</v>
      </c>
      <c r="H62">
        <v>0</v>
      </c>
      <c r="I62">
        <v>10</v>
      </c>
      <c r="J62">
        <v>0</v>
      </c>
      <c r="K62" s="2">
        <f t="shared" si="17"/>
        <v>1040</v>
      </c>
      <c r="L62" s="3">
        <f t="shared" si="18"/>
        <v>1560</v>
      </c>
      <c r="N62" t="str">
        <f t="shared" si="11"/>
        <v>[{"1":232},{"2":190},{"4":154},{"5":154},{"12":3140}]</v>
      </c>
      <c r="W62" t="str">
        <f>$N$1&amp;$P$1&amp;$T$1&amp;$C$2&amp;$T$1&amp;$R$1&amp;C63&amp;$Q$1&amp;$S$1&amp;$P$1&amp;$T$1&amp;$D$2&amp;$T$1&amp;$R$1&amp;D63&amp;$Q$1&amp;$S$1&amp;$P$1&amp;$T$1&amp;$E$2&amp;$T$1&amp;$R$1&amp;E63&amp;$Q$1&amp;$S$1&amp;$P$1&amp;$T$1&amp;$F$2&amp;$T$1&amp;$R$1&amp;K63&amp;$Q$1&amp;$S$1&amp;$P$1&amp;$T$1&amp;$G$2&amp;$T$1&amp;$R$1&amp;G63&amp;$Q$1&amp;$S$1&amp;$P$1&amp;$T$1&amp;$H$2&amp;$T$1&amp;$R$1&amp;H63&amp;$Q$1&amp;$S$1&amp;$P$1&amp;$T$1&amp;$I$2&amp;$T$1&amp;$R$1&amp;I63&amp;$Q$1&amp;$S$1&amp;$P$1&amp;$T$1&amp;$J$2&amp;$T$1&amp;$R$1&amp;J63&amp;$Q$1&amp;$O$1</f>
        <v>[{"2":190},{"4":154},{"5":154},{"12":1046},{"7":8},{"6":0},{"8":10},{"9":0}]</v>
      </c>
      <c r="AE62" t="str">
        <f>$N$1&amp;$P$1&amp;$T$1&amp;$C$2&amp;$T$1&amp;$R$1&amp;C63&amp;$Q$1&amp;$S$1&amp;$P$1&amp;$T$1&amp;$D$2&amp;$T$1&amp;$R$1&amp;D63&amp;$Q$1&amp;$S$1&amp;$P$1&amp;$T$1&amp;$E$2&amp;$T$1&amp;$R$1&amp;E63&amp;$Q$1&amp;$S$1&amp;$P$1&amp;$T$1&amp;$F$2&amp;$T$1&amp;$R$1&amp;L63&amp;$Q$1&amp;$S$1&amp;$P$1&amp;$T$1&amp;$G$2&amp;$T$1&amp;$R$1&amp;G63&amp;$Q$1&amp;$S$1&amp;$P$1&amp;$T$1&amp;$H$2&amp;$T$1&amp;$R$1&amp;H63&amp;$Q$1&amp;$S$1&amp;$P$1&amp;$T$1&amp;$I$2&amp;$T$1&amp;$R$1&amp;I63&amp;$Q$1&amp;$S$1&amp;$P$1&amp;$T$1&amp;$J$2&amp;$T$1&amp;$R$1&amp;J63&amp;$Q$1&amp;$O$1</f>
        <v>[{"2":190},{"4":154},{"5":154},{"12":1570},{"7":8},{"6":0},{"8":10},{"9":0}]</v>
      </c>
      <c r="AG62">
        <v>218</v>
      </c>
      <c r="AH62">
        <f t="shared" si="19"/>
        <v>145</v>
      </c>
      <c r="AI62">
        <f t="shared" si="20"/>
        <v>145</v>
      </c>
      <c r="AJ62">
        <f t="shared" si="21"/>
        <v>2900</v>
      </c>
      <c r="AK62">
        <v>4</v>
      </c>
      <c r="AL62">
        <v>8</v>
      </c>
      <c r="AM62">
        <v>0</v>
      </c>
      <c r="AN62">
        <v>10</v>
      </c>
    </row>
    <row r="63" customFormat="1" ht="16.5" spans="1:40">
      <c r="A63">
        <v>61</v>
      </c>
      <c r="B63">
        <f t="shared" si="12"/>
        <v>232</v>
      </c>
      <c r="C63">
        <f t="shared" si="13"/>
        <v>190</v>
      </c>
      <c r="D63">
        <f t="shared" si="14"/>
        <v>154</v>
      </c>
      <c r="E63">
        <f t="shared" si="15"/>
        <v>154</v>
      </c>
      <c r="F63" s="2">
        <f t="shared" si="16"/>
        <v>3140</v>
      </c>
      <c r="G63">
        <v>8</v>
      </c>
      <c r="H63">
        <v>0</v>
      </c>
      <c r="I63">
        <v>10</v>
      </c>
      <c r="J63">
        <v>0</v>
      </c>
      <c r="K63" s="2">
        <f t="shared" si="17"/>
        <v>1046</v>
      </c>
      <c r="L63" s="3">
        <f t="shared" si="18"/>
        <v>1570</v>
      </c>
      <c r="N63" t="str">
        <f t="shared" si="11"/>
        <v>[{"1":234},{"2":191},{"4":156},{"5":156},{"12":3180}]</v>
      </c>
      <c r="W63" t="str">
        <f>$N$1&amp;$P$1&amp;$T$1&amp;$C$2&amp;$T$1&amp;$R$1&amp;C64&amp;$Q$1&amp;$S$1&amp;$P$1&amp;$T$1&amp;$D$2&amp;$T$1&amp;$R$1&amp;D64&amp;$Q$1&amp;$S$1&amp;$P$1&amp;$T$1&amp;$E$2&amp;$T$1&amp;$R$1&amp;E64&amp;$Q$1&amp;$S$1&amp;$P$1&amp;$T$1&amp;$F$2&amp;$T$1&amp;$R$1&amp;K64&amp;$Q$1&amp;$S$1&amp;$P$1&amp;$T$1&amp;$G$2&amp;$T$1&amp;$R$1&amp;G64&amp;$Q$1&amp;$S$1&amp;$P$1&amp;$T$1&amp;$H$2&amp;$T$1&amp;$R$1&amp;H64&amp;$Q$1&amp;$S$1&amp;$P$1&amp;$T$1&amp;$I$2&amp;$T$1&amp;$R$1&amp;I64&amp;$Q$1&amp;$S$1&amp;$P$1&amp;$T$1&amp;$J$2&amp;$T$1&amp;$R$1&amp;J64&amp;$Q$1&amp;$O$1</f>
        <v>[{"2":191},{"4":156},{"5":156},{"12":1060},{"7":8},{"6":0},{"8":10},{"9":0}]</v>
      </c>
      <c r="AE63" t="str">
        <f>$N$1&amp;$P$1&amp;$T$1&amp;$C$2&amp;$T$1&amp;$R$1&amp;C64&amp;$Q$1&amp;$S$1&amp;$P$1&amp;$T$1&amp;$D$2&amp;$T$1&amp;$R$1&amp;D64&amp;$Q$1&amp;$S$1&amp;$P$1&amp;$T$1&amp;$E$2&amp;$T$1&amp;$R$1&amp;E64&amp;$Q$1&amp;$S$1&amp;$P$1&amp;$T$1&amp;$F$2&amp;$T$1&amp;$R$1&amp;L64&amp;$Q$1&amp;$S$1&amp;$P$1&amp;$T$1&amp;$G$2&amp;$T$1&amp;$R$1&amp;G64&amp;$Q$1&amp;$S$1&amp;$P$1&amp;$T$1&amp;$H$2&amp;$T$1&amp;$R$1&amp;H64&amp;$Q$1&amp;$S$1&amp;$P$1&amp;$T$1&amp;$I$2&amp;$T$1&amp;$R$1&amp;I64&amp;$Q$1&amp;$S$1&amp;$P$1&amp;$T$1&amp;$J$2&amp;$T$1&amp;$R$1&amp;J64&amp;$Q$1&amp;$O$1</f>
        <v>[{"2":191},{"4":156},{"5":156},{"12":1590},{"7":8},{"6":0},{"8":10},{"9":0}]</v>
      </c>
      <c r="AG63">
        <v>220</v>
      </c>
      <c r="AH63">
        <f t="shared" si="19"/>
        <v>146</v>
      </c>
      <c r="AI63">
        <f t="shared" si="20"/>
        <v>146</v>
      </c>
      <c r="AJ63">
        <f t="shared" si="21"/>
        <v>2920</v>
      </c>
      <c r="AK63">
        <v>4</v>
      </c>
      <c r="AL63">
        <v>8</v>
      </c>
      <c r="AM63">
        <v>0</v>
      </c>
      <c r="AN63">
        <v>10</v>
      </c>
    </row>
    <row r="64" customFormat="1" ht="16.5" spans="1:40">
      <c r="A64">
        <v>62</v>
      </c>
      <c r="B64">
        <f t="shared" si="12"/>
        <v>234</v>
      </c>
      <c r="C64">
        <f t="shared" si="13"/>
        <v>191</v>
      </c>
      <c r="D64">
        <f t="shared" si="14"/>
        <v>156</v>
      </c>
      <c r="E64">
        <f t="shared" si="15"/>
        <v>156</v>
      </c>
      <c r="F64" s="2">
        <f t="shared" si="16"/>
        <v>3180</v>
      </c>
      <c r="G64">
        <v>8</v>
      </c>
      <c r="H64">
        <v>0</v>
      </c>
      <c r="I64">
        <v>10</v>
      </c>
      <c r="J64">
        <v>0</v>
      </c>
      <c r="K64" s="2">
        <f t="shared" si="17"/>
        <v>1060</v>
      </c>
      <c r="L64" s="3">
        <f t="shared" si="18"/>
        <v>1590</v>
      </c>
      <c r="N64" t="str">
        <f t="shared" si="11"/>
        <v>[{"1":236},{"2":193},{"4":157},{"5":157},{"12":3200}]</v>
      </c>
      <c r="W64" t="str">
        <f>$N$1&amp;$P$1&amp;$T$1&amp;$C$2&amp;$T$1&amp;$R$1&amp;C65&amp;$Q$1&amp;$S$1&amp;$P$1&amp;$T$1&amp;$D$2&amp;$T$1&amp;$R$1&amp;D65&amp;$Q$1&amp;$S$1&amp;$P$1&amp;$T$1&amp;$E$2&amp;$T$1&amp;$R$1&amp;E65&amp;$Q$1&amp;$S$1&amp;$P$1&amp;$T$1&amp;$F$2&amp;$T$1&amp;$R$1&amp;K65&amp;$Q$1&amp;$S$1&amp;$P$1&amp;$T$1&amp;$G$2&amp;$T$1&amp;$R$1&amp;G65&amp;$Q$1&amp;$S$1&amp;$P$1&amp;$T$1&amp;$H$2&amp;$T$1&amp;$R$1&amp;H65&amp;$Q$1&amp;$S$1&amp;$P$1&amp;$T$1&amp;$I$2&amp;$T$1&amp;$R$1&amp;I65&amp;$Q$1&amp;$S$1&amp;$P$1&amp;$T$1&amp;$J$2&amp;$T$1&amp;$R$1&amp;J65&amp;$Q$1&amp;$O$1</f>
        <v>[{"2":193},{"4":157},{"5":157},{"12":1066},{"7":8},{"6":0},{"8":10},{"9":0}]</v>
      </c>
      <c r="AE64" t="str">
        <f>$N$1&amp;$P$1&amp;$T$1&amp;$C$2&amp;$T$1&amp;$R$1&amp;C65&amp;$Q$1&amp;$S$1&amp;$P$1&amp;$T$1&amp;$D$2&amp;$T$1&amp;$R$1&amp;D65&amp;$Q$1&amp;$S$1&amp;$P$1&amp;$T$1&amp;$E$2&amp;$T$1&amp;$R$1&amp;E65&amp;$Q$1&amp;$S$1&amp;$P$1&amp;$T$1&amp;$F$2&amp;$T$1&amp;$R$1&amp;L65&amp;$Q$1&amp;$S$1&amp;$P$1&amp;$T$1&amp;$G$2&amp;$T$1&amp;$R$1&amp;G65&amp;$Q$1&amp;$S$1&amp;$P$1&amp;$T$1&amp;$H$2&amp;$T$1&amp;$R$1&amp;H65&amp;$Q$1&amp;$S$1&amp;$P$1&amp;$T$1&amp;$I$2&amp;$T$1&amp;$R$1&amp;I65&amp;$Q$1&amp;$S$1&amp;$P$1&amp;$T$1&amp;$J$2&amp;$T$1&amp;$R$1&amp;J65&amp;$Q$1&amp;$O$1</f>
        <v>[{"2":193},{"4":157},{"5":157},{"12":1600},{"7":8},{"6":0},{"8":10},{"9":0}]</v>
      </c>
      <c r="AG64">
        <v>222</v>
      </c>
      <c r="AH64">
        <f t="shared" si="19"/>
        <v>148</v>
      </c>
      <c r="AI64">
        <f t="shared" si="20"/>
        <v>148</v>
      </c>
      <c r="AJ64">
        <f t="shared" si="21"/>
        <v>2960</v>
      </c>
      <c r="AK64">
        <v>4</v>
      </c>
      <c r="AL64">
        <v>8</v>
      </c>
      <c r="AM64">
        <v>0</v>
      </c>
      <c r="AN64">
        <v>10</v>
      </c>
    </row>
    <row r="65" customFormat="1" ht="16.5" spans="1:40">
      <c r="A65">
        <v>63</v>
      </c>
      <c r="B65">
        <f t="shared" si="12"/>
        <v>236</v>
      </c>
      <c r="C65">
        <f t="shared" si="13"/>
        <v>193</v>
      </c>
      <c r="D65">
        <f t="shared" si="14"/>
        <v>157</v>
      </c>
      <c r="E65">
        <f t="shared" si="15"/>
        <v>157</v>
      </c>
      <c r="F65" s="2">
        <f t="shared" si="16"/>
        <v>3200</v>
      </c>
      <c r="G65">
        <v>8</v>
      </c>
      <c r="H65">
        <v>0</v>
      </c>
      <c r="I65">
        <v>10</v>
      </c>
      <c r="J65">
        <v>0</v>
      </c>
      <c r="K65" s="2">
        <f t="shared" si="17"/>
        <v>1066</v>
      </c>
      <c r="L65" s="3">
        <f t="shared" si="18"/>
        <v>1600</v>
      </c>
      <c r="N65" t="str">
        <f t="shared" si="11"/>
        <v>[{"1":238},{"2":195},{"4":158},{"5":158},{"12":3220}]</v>
      </c>
      <c r="W65" t="str">
        <f>$N$1&amp;$P$1&amp;$T$1&amp;$C$2&amp;$T$1&amp;$R$1&amp;C66&amp;$Q$1&amp;$S$1&amp;$P$1&amp;$T$1&amp;$D$2&amp;$T$1&amp;$R$1&amp;D66&amp;$Q$1&amp;$S$1&amp;$P$1&amp;$T$1&amp;$E$2&amp;$T$1&amp;$R$1&amp;E66&amp;$Q$1&amp;$S$1&amp;$P$1&amp;$T$1&amp;$F$2&amp;$T$1&amp;$R$1&amp;K66&amp;$Q$1&amp;$S$1&amp;$P$1&amp;$T$1&amp;$G$2&amp;$T$1&amp;$R$1&amp;G66&amp;$Q$1&amp;$S$1&amp;$P$1&amp;$T$1&amp;$H$2&amp;$T$1&amp;$R$1&amp;H66&amp;$Q$1&amp;$S$1&amp;$P$1&amp;$T$1&amp;$I$2&amp;$T$1&amp;$R$1&amp;I66&amp;$Q$1&amp;$S$1&amp;$P$1&amp;$T$1&amp;$J$2&amp;$T$1&amp;$R$1&amp;J66&amp;$Q$1&amp;$O$1</f>
        <v>[{"2":195},{"4":158},{"5":158},{"12":1073},{"7":8},{"6":0},{"8":10},{"9":0}]</v>
      </c>
      <c r="AE65" t="str">
        <f>$N$1&amp;$P$1&amp;$T$1&amp;$C$2&amp;$T$1&amp;$R$1&amp;C66&amp;$Q$1&amp;$S$1&amp;$P$1&amp;$T$1&amp;$D$2&amp;$T$1&amp;$R$1&amp;D66&amp;$Q$1&amp;$S$1&amp;$P$1&amp;$T$1&amp;$E$2&amp;$T$1&amp;$R$1&amp;E66&amp;$Q$1&amp;$S$1&amp;$P$1&amp;$T$1&amp;$F$2&amp;$T$1&amp;$R$1&amp;L66&amp;$Q$1&amp;$S$1&amp;$P$1&amp;$T$1&amp;$G$2&amp;$T$1&amp;$R$1&amp;G66&amp;$Q$1&amp;$S$1&amp;$P$1&amp;$T$1&amp;$H$2&amp;$T$1&amp;$R$1&amp;H66&amp;$Q$1&amp;$S$1&amp;$P$1&amp;$T$1&amp;$I$2&amp;$T$1&amp;$R$1&amp;I66&amp;$Q$1&amp;$S$1&amp;$P$1&amp;$T$1&amp;$J$2&amp;$T$1&amp;$R$1&amp;J66&amp;$Q$1&amp;$O$1</f>
        <v>[{"2":195},{"4":158},{"5":158},{"12":1610},{"7":8},{"6":0},{"8":10},{"9":0}]</v>
      </c>
      <c r="AG65">
        <v>224</v>
      </c>
      <c r="AH65">
        <f t="shared" si="19"/>
        <v>149</v>
      </c>
      <c r="AI65">
        <f t="shared" si="20"/>
        <v>149</v>
      </c>
      <c r="AJ65">
        <f t="shared" si="21"/>
        <v>2980</v>
      </c>
      <c r="AK65">
        <v>4</v>
      </c>
      <c r="AL65">
        <v>8</v>
      </c>
      <c r="AM65">
        <v>0</v>
      </c>
      <c r="AN65">
        <v>10</v>
      </c>
    </row>
    <row r="66" customFormat="1" ht="16.5" spans="1:40">
      <c r="A66">
        <v>64</v>
      </c>
      <c r="B66">
        <f t="shared" si="12"/>
        <v>238</v>
      </c>
      <c r="C66">
        <f t="shared" si="13"/>
        <v>195</v>
      </c>
      <c r="D66">
        <f t="shared" si="14"/>
        <v>158</v>
      </c>
      <c r="E66">
        <f t="shared" si="15"/>
        <v>158</v>
      </c>
      <c r="F66" s="2">
        <f t="shared" si="16"/>
        <v>3220</v>
      </c>
      <c r="G66">
        <v>8</v>
      </c>
      <c r="H66">
        <v>0</v>
      </c>
      <c r="I66">
        <v>10</v>
      </c>
      <c r="J66">
        <v>0</v>
      </c>
      <c r="K66" s="2">
        <f t="shared" si="17"/>
        <v>1073</v>
      </c>
      <c r="L66" s="3">
        <f t="shared" si="18"/>
        <v>1610</v>
      </c>
      <c r="N66" t="str">
        <f t="shared" si="11"/>
        <v>[{"1":240},{"2":196},{"4":160},{"5":160},{"12":3260}]</v>
      </c>
      <c r="W66" t="str">
        <f>$N$1&amp;$P$1&amp;$T$1&amp;$C$2&amp;$T$1&amp;$R$1&amp;C67&amp;$Q$1&amp;$S$1&amp;$P$1&amp;$T$1&amp;$D$2&amp;$T$1&amp;$R$1&amp;D67&amp;$Q$1&amp;$S$1&amp;$P$1&amp;$T$1&amp;$E$2&amp;$T$1&amp;$R$1&amp;E67&amp;$Q$1&amp;$S$1&amp;$P$1&amp;$T$1&amp;$F$2&amp;$T$1&amp;$R$1&amp;K67&amp;$Q$1&amp;$S$1&amp;$P$1&amp;$T$1&amp;$G$2&amp;$T$1&amp;$R$1&amp;G67&amp;$Q$1&amp;$S$1&amp;$P$1&amp;$T$1&amp;$H$2&amp;$T$1&amp;$R$1&amp;H67&amp;$Q$1&amp;$S$1&amp;$P$1&amp;$T$1&amp;$I$2&amp;$T$1&amp;$R$1&amp;I67&amp;$Q$1&amp;$S$1&amp;$P$1&amp;$T$1&amp;$J$2&amp;$T$1&amp;$R$1&amp;J67&amp;$Q$1&amp;$O$1</f>
        <v>[{"2":196},{"4":160},{"5":160},{"12":1086},{"7":8},{"6":0},{"8":10},{"9":0}]</v>
      </c>
      <c r="AE66" t="str">
        <f>$N$1&amp;$P$1&amp;$T$1&amp;$C$2&amp;$T$1&amp;$R$1&amp;C67&amp;$Q$1&amp;$S$1&amp;$P$1&amp;$T$1&amp;$D$2&amp;$T$1&amp;$R$1&amp;D67&amp;$Q$1&amp;$S$1&amp;$P$1&amp;$T$1&amp;$E$2&amp;$T$1&amp;$R$1&amp;E67&amp;$Q$1&amp;$S$1&amp;$P$1&amp;$T$1&amp;$F$2&amp;$T$1&amp;$R$1&amp;L67&amp;$Q$1&amp;$S$1&amp;$P$1&amp;$T$1&amp;$G$2&amp;$T$1&amp;$R$1&amp;G67&amp;$Q$1&amp;$S$1&amp;$P$1&amp;$T$1&amp;$H$2&amp;$T$1&amp;$R$1&amp;H67&amp;$Q$1&amp;$S$1&amp;$P$1&amp;$T$1&amp;$I$2&amp;$T$1&amp;$R$1&amp;I67&amp;$Q$1&amp;$S$1&amp;$P$1&amp;$T$1&amp;$J$2&amp;$T$1&amp;$R$1&amp;J67&amp;$Q$1&amp;$O$1</f>
        <v>[{"2":196},{"4":160},{"5":160},{"12":1630},{"7":8},{"6":0},{"8":10},{"9":0}]</v>
      </c>
      <c r="AG66">
        <v>226</v>
      </c>
      <c r="AH66">
        <f t="shared" si="19"/>
        <v>150</v>
      </c>
      <c r="AI66">
        <f t="shared" si="20"/>
        <v>150</v>
      </c>
      <c r="AJ66">
        <f t="shared" si="21"/>
        <v>3000</v>
      </c>
      <c r="AK66">
        <v>4</v>
      </c>
      <c r="AL66">
        <v>8</v>
      </c>
      <c r="AM66">
        <v>0</v>
      </c>
      <c r="AN66">
        <v>10</v>
      </c>
    </row>
    <row r="67" customFormat="1" ht="16.5" spans="1:40">
      <c r="A67">
        <v>65</v>
      </c>
      <c r="B67">
        <f t="shared" si="12"/>
        <v>240</v>
      </c>
      <c r="C67">
        <f t="shared" si="13"/>
        <v>196</v>
      </c>
      <c r="D67">
        <f t="shared" si="14"/>
        <v>160</v>
      </c>
      <c r="E67">
        <f t="shared" si="15"/>
        <v>160</v>
      </c>
      <c r="F67" s="2">
        <f t="shared" si="16"/>
        <v>3260</v>
      </c>
      <c r="G67">
        <v>8</v>
      </c>
      <c r="H67">
        <v>0</v>
      </c>
      <c r="I67">
        <v>10</v>
      </c>
      <c r="J67">
        <v>0</v>
      </c>
      <c r="K67" s="2">
        <f t="shared" si="17"/>
        <v>1086</v>
      </c>
      <c r="L67" s="3">
        <f t="shared" si="18"/>
        <v>1630</v>
      </c>
      <c r="N67" t="str">
        <f t="shared" ref="N67:N98" si="22">$N$1&amp;$P$1&amp;$T$1&amp;$B$2&amp;$T$1&amp;$R$1&amp;B68&amp;$Q$1&amp;$S$1&amp;$P$1&amp;$T$1&amp;$C$2&amp;$T$1&amp;$R$1&amp;C68&amp;$Q$1&amp;$S$1&amp;$P$1&amp;$T$1&amp;$D$2&amp;$T$1&amp;$R$1&amp;D68&amp;$Q$1&amp;$S$1&amp;$P$1&amp;$T$1&amp;$E$2&amp;$T$1&amp;$R$1&amp;E68&amp;$Q$1&amp;$S$1&amp;$P$1&amp;$T$1&amp;$F$2&amp;$T$1&amp;$R$1&amp;F68&amp;$Q$1&amp;$O$1</f>
        <v>[{"1":242},{"2":198},{"4":161},{"5":161},{"12":3280}]</v>
      </c>
      <c r="W67" t="str">
        <f>$N$1&amp;$P$1&amp;$T$1&amp;$C$2&amp;$T$1&amp;$R$1&amp;C68&amp;$Q$1&amp;$S$1&amp;$P$1&amp;$T$1&amp;$D$2&amp;$T$1&amp;$R$1&amp;D68&amp;$Q$1&amp;$S$1&amp;$P$1&amp;$T$1&amp;$E$2&amp;$T$1&amp;$R$1&amp;E68&amp;$Q$1&amp;$S$1&amp;$P$1&amp;$T$1&amp;$F$2&amp;$T$1&amp;$R$1&amp;K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[{"2":198},{"4":161},{"5":161},{"12":1093},{"7":8},{"6":0},{"8":10},{"9":0}]</v>
      </c>
      <c r="AE67" t="str">
        <f>$N$1&amp;$P$1&amp;$T$1&amp;$C$2&amp;$T$1&amp;$R$1&amp;C68&amp;$Q$1&amp;$S$1&amp;$P$1&amp;$T$1&amp;$D$2&amp;$T$1&amp;$R$1&amp;D68&amp;$Q$1&amp;$S$1&amp;$P$1&amp;$T$1&amp;$E$2&amp;$T$1&amp;$R$1&amp;E68&amp;$Q$1&amp;$S$1&amp;$P$1&amp;$T$1&amp;$F$2&amp;$T$1&amp;$R$1&amp;L68&amp;$Q$1&amp;$S$1&amp;$P$1&amp;$T$1&amp;$G$2&amp;$T$1&amp;$R$1&amp;G68&amp;$Q$1&amp;$S$1&amp;$P$1&amp;$T$1&amp;$H$2&amp;$T$1&amp;$R$1&amp;H68&amp;$Q$1&amp;$S$1&amp;$P$1&amp;$T$1&amp;$I$2&amp;$T$1&amp;$R$1&amp;I68&amp;$Q$1&amp;$S$1&amp;$P$1&amp;$T$1&amp;$J$2&amp;$T$1&amp;$R$1&amp;J68&amp;$Q$1&amp;$O$1</f>
        <v>[{"2":198},{"4":161},{"5":161},{"12":1640},{"7":8},{"6":0},{"8":10},{"9":0}]</v>
      </c>
      <c r="AG67">
        <v>228</v>
      </c>
      <c r="AH67">
        <f t="shared" si="19"/>
        <v>152</v>
      </c>
      <c r="AI67">
        <f t="shared" si="20"/>
        <v>152</v>
      </c>
      <c r="AJ67">
        <f t="shared" si="21"/>
        <v>3040</v>
      </c>
      <c r="AK67">
        <v>4</v>
      </c>
      <c r="AL67">
        <v>8</v>
      </c>
      <c r="AM67">
        <v>0</v>
      </c>
      <c r="AN67">
        <v>10</v>
      </c>
    </row>
    <row r="68" customFormat="1" ht="16.5" spans="1:40">
      <c r="A68">
        <v>66</v>
      </c>
      <c r="B68">
        <f t="shared" ref="B68:B99" si="23">$AO$2+AG68</f>
        <v>242</v>
      </c>
      <c r="C68">
        <f t="shared" ref="C68:C99" si="24">INT(B68*0.82)</f>
        <v>198</v>
      </c>
      <c r="D68">
        <f t="shared" ref="D68:D99" si="25">INT(B68/1.5)</f>
        <v>161</v>
      </c>
      <c r="E68">
        <f t="shared" ref="E68:E99" si="26">D68</f>
        <v>161</v>
      </c>
      <c r="F68" s="2">
        <f t="shared" ref="F68:F99" si="27">$AR$2+AJ68</f>
        <v>3280</v>
      </c>
      <c r="G68">
        <v>8</v>
      </c>
      <c r="H68">
        <v>0</v>
      </c>
      <c r="I68">
        <v>10</v>
      </c>
      <c r="J68">
        <v>0</v>
      </c>
      <c r="K68" s="2">
        <f t="shared" ref="K68:K99" si="28">INT(F68/3)</f>
        <v>1093</v>
      </c>
      <c r="L68" s="3">
        <f t="shared" ref="L68:L99" si="29">INT(F68/2)</f>
        <v>1640</v>
      </c>
      <c r="N68" t="str">
        <f t="shared" si="22"/>
        <v>[{"1":244},{"2":200},{"4":162},{"5":162},{"12":3300}]</v>
      </c>
      <c r="W68" t="str">
        <f>$N$1&amp;$P$1&amp;$T$1&amp;$C$2&amp;$T$1&amp;$R$1&amp;C69&amp;$Q$1&amp;$S$1&amp;$P$1&amp;$T$1&amp;$D$2&amp;$T$1&amp;$R$1&amp;D69&amp;$Q$1&amp;$S$1&amp;$P$1&amp;$T$1&amp;$E$2&amp;$T$1&amp;$R$1&amp;E69&amp;$Q$1&amp;$S$1&amp;$P$1&amp;$T$1&amp;$F$2&amp;$T$1&amp;$R$1&amp;K69&amp;$Q$1&amp;$S$1&amp;$P$1&amp;$T$1&amp;$G$2&amp;$T$1&amp;$R$1&amp;G69&amp;$Q$1&amp;$S$1&amp;$P$1&amp;$T$1&amp;$H$2&amp;$T$1&amp;$R$1&amp;H69&amp;$Q$1&amp;$S$1&amp;$P$1&amp;$T$1&amp;$I$2&amp;$T$1&amp;$R$1&amp;I69&amp;$Q$1&amp;$S$1&amp;$P$1&amp;$T$1&amp;$J$2&amp;$T$1&amp;$R$1&amp;J69&amp;$Q$1&amp;$O$1</f>
        <v>[{"2":200},{"4":162},{"5":162},{"12":1100},{"7":8},{"6":0},{"8":10},{"9":0}]</v>
      </c>
      <c r="AE68" t="str">
        <f>$N$1&amp;$P$1&amp;$T$1&amp;$C$2&amp;$T$1&amp;$R$1&amp;C69&amp;$Q$1&amp;$S$1&amp;$P$1&amp;$T$1&amp;$D$2&amp;$T$1&amp;$R$1&amp;D69&amp;$Q$1&amp;$S$1&amp;$P$1&amp;$T$1&amp;$E$2&amp;$T$1&amp;$R$1&amp;E69&amp;$Q$1&amp;$S$1&amp;$P$1&amp;$T$1&amp;$F$2&amp;$T$1&amp;$R$1&amp;L69&amp;$Q$1&amp;$S$1&amp;$P$1&amp;$T$1&amp;$G$2&amp;$T$1&amp;$R$1&amp;G69&amp;$Q$1&amp;$S$1&amp;$P$1&amp;$T$1&amp;$H$2&amp;$T$1&amp;$R$1&amp;H69&amp;$Q$1&amp;$S$1&amp;$P$1&amp;$T$1&amp;$I$2&amp;$T$1&amp;$R$1&amp;I69&amp;$Q$1&amp;$S$1&amp;$P$1&amp;$T$1&amp;$J$2&amp;$T$1&amp;$R$1&amp;J69&amp;$Q$1&amp;$O$1</f>
        <v>[{"2":200},{"4":162},{"5":162},{"12":1650},{"7":8},{"6":0},{"8":10},{"9":0}]</v>
      </c>
      <c r="AG68">
        <v>230</v>
      </c>
      <c r="AH68">
        <f t="shared" ref="AH68:AH99" si="30">INT(AG68/1.5)</f>
        <v>153</v>
      </c>
      <c r="AI68">
        <f t="shared" ref="AI68:AI99" si="31">AH68</f>
        <v>153</v>
      </c>
      <c r="AJ68">
        <f t="shared" ref="AJ68:AJ99" si="32">AI68*20</f>
        <v>3060</v>
      </c>
      <c r="AK68">
        <v>4</v>
      </c>
      <c r="AL68">
        <v>8</v>
      </c>
      <c r="AM68">
        <v>0</v>
      </c>
      <c r="AN68">
        <v>10</v>
      </c>
    </row>
    <row r="69" customFormat="1" ht="16.5" spans="1:40">
      <c r="A69">
        <v>67</v>
      </c>
      <c r="B69">
        <f t="shared" si="23"/>
        <v>244</v>
      </c>
      <c r="C69">
        <f t="shared" si="24"/>
        <v>200</v>
      </c>
      <c r="D69">
        <f t="shared" si="25"/>
        <v>162</v>
      </c>
      <c r="E69">
        <f t="shared" si="26"/>
        <v>162</v>
      </c>
      <c r="F69" s="2">
        <f t="shared" si="27"/>
        <v>3300</v>
      </c>
      <c r="G69">
        <v>8</v>
      </c>
      <c r="H69">
        <v>0</v>
      </c>
      <c r="I69">
        <v>10</v>
      </c>
      <c r="J69">
        <v>0</v>
      </c>
      <c r="K69" s="2">
        <f t="shared" si="28"/>
        <v>1100</v>
      </c>
      <c r="L69" s="3">
        <f t="shared" si="29"/>
        <v>1650</v>
      </c>
      <c r="N69" t="str">
        <f t="shared" si="22"/>
        <v>[{"1":246},{"2":201},{"4":164},{"5":164},{"12":3340}]</v>
      </c>
      <c r="W69" t="str">
        <f>$N$1&amp;$P$1&amp;$T$1&amp;$C$2&amp;$T$1&amp;$R$1&amp;C70&amp;$Q$1&amp;$S$1&amp;$P$1&amp;$T$1&amp;$D$2&amp;$T$1&amp;$R$1&amp;D70&amp;$Q$1&amp;$S$1&amp;$P$1&amp;$T$1&amp;$E$2&amp;$T$1&amp;$R$1&amp;E70&amp;$Q$1&amp;$S$1&amp;$P$1&amp;$T$1&amp;$F$2&amp;$T$1&amp;$R$1&amp;K70&amp;$Q$1&amp;$S$1&amp;$P$1&amp;$T$1&amp;$G$2&amp;$T$1&amp;$R$1&amp;G70&amp;$Q$1&amp;$S$1&amp;$P$1&amp;$T$1&amp;$H$2&amp;$T$1&amp;$R$1&amp;H70&amp;$Q$1&amp;$S$1&amp;$P$1&amp;$T$1&amp;$I$2&amp;$T$1&amp;$R$1&amp;I70&amp;$Q$1&amp;$S$1&amp;$P$1&amp;$T$1&amp;$J$2&amp;$T$1&amp;$R$1&amp;J70&amp;$Q$1&amp;$O$1</f>
        <v>[{"2":201},{"4":164},{"5":164},{"12":1113},{"7":8},{"6":0},{"8":10},{"9":0}]</v>
      </c>
      <c r="AE69" t="str">
        <f>$N$1&amp;$P$1&amp;$T$1&amp;$C$2&amp;$T$1&amp;$R$1&amp;C70&amp;$Q$1&amp;$S$1&amp;$P$1&amp;$T$1&amp;$D$2&amp;$T$1&amp;$R$1&amp;D70&amp;$Q$1&amp;$S$1&amp;$P$1&amp;$T$1&amp;$E$2&amp;$T$1&amp;$R$1&amp;E70&amp;$Q$1&amp;$S$1&amp;$P$1&amp;$T$1&amp;$F$2&amp;$T$1&amp;$R$1&amp;L70&amp;$Q$1&amp;$S$1&amp;$P$1&amp;$T$1&amp;$G$2&amp;$T$1&amp;$R$1&amp;G70&amp;$Q$1&amp;$S$1&amp;$P$1&amp;$T$1&amp;$H$2&amp;$T$1&amp;$R$1&amp;H70&amp;$Q$1&amp;$S$1&amp;$P$1&amp;$T$1&amp;$I$2&amp;$T$1&amp;$R$1&amp;I70&amp;$Q$1&amp;$S$1&amp;$P$1&amp;$T$1&amp;$J$2&amp;$T$1&amp;$R$1&amp;J70&amp;$Q$1&amp;$O$1</f>
        <v>[{"2":201},{"4":164},{"5":164},{"12":1670},{"7":8},{"6":0},{"8":10},{"9":0}]</v>
      </c>
      <c r="AG69">
        <v>232</v>
      </c>
      <c r="AH69">
        <f t="shared" si="30"/>
        <v>154</v>
      </c>
      <c r="AI69">
        <f t="shared" si="31"/>
        <v>154</v>
      </c>
      <c r="AJ69">
        <f t="shared" si="32"/>
        <v>3080</v>
      </c>
      <c r="AK69">
        <v>4</v>
      </c>
      <c r="AL69">
        <v>8</v>
      </c>
      <c r="AM69">
        <v>0</v>
      </c>
      <c r="AN69">
        <v>10</v>
      </c>
    </row>
    <row r="70" customFormat="1" ht="16.5" spans="1:40">
      <c r="A70">
        <v>68</v>
      </c>
      <c r="B70">
        <f t="shared" si="23"/>
        <v>246</v>
      </c>
      <c r="C70">
        <f t="shared" si="24"/>
        <v>201</v>
      </c>
      <c r="D70">
        <f t="shared" si="25"/>
        <v>164</v>
      </c>
      <c r="E70">
        <f t="shared" si="26"/>
        <v>164</v>
      </c>
      <c r="F70" s="2">
        <f t="shared" si="27"/>
        <v>3340</v>
      </c>
      <c r="G70">
        <v>8</v>
      </c>
      <c r="H70">
        <v>0</v>
      </c>
      <c r="I70">
        <v>10</v>
      </c>
      <c r="J70">
        <v>0</v>
      </c>
      <c r="K70" s="2">
        <f t="shared" si="28"/>
        <v>1113</v>
      </c>
      <c r="L70" s="3">
        <f t="shared" si="29"/>
        <v>1670</v>
      </c>
      <c r="N70" t="str">
        <f t="shared" si="22"/>
        <v>[{"1":248},{"2":203},{"4":165},{"5":165},{"12":3360}]</v>
      </c>
      <c r="W70" t="str">
        <f>$N$1&amp;$P$1&amp;$T$1&amp;$C$2&amp;$T$1&amp;$R$1&amp;C71&amp;$Q$1&amp;$S$1&amp;$P$1&amp;$T$1&amp;$D$2&amp;$T$1&amp;$R$1&amp;D71&amp;$Q$1&amp;$S$1&amp;$P$1&amp;$T$1&amp;$E$2&amp;$T$1&amp;$R$1&amp;E71&amp;$Q$1&amp;$S$1&amp;$P$1&amp;$T$1&amp;$F$2&amp;$T$1&amp;$R$1&amp;K71&amp;$Q$1&amp;$S$1&amp;$P$1&amp;$T$1&amp;$G$2&amp;$T$1&amp;$R$1&amp;G71&amp;$Q$1&amp;$S$1&amp;$P$1&amp;$T$1&amp;$H$2&amp;$T$1&amp;$R$1&amp;H71&amp;$Q$1&amp;$S$1&amp;$P$1&amp;$T$1&amp;$I$2&amp;$T$1&amp;$R$1&amp;I71&amp;$Q$1&amp;$S$1&amp;$P$1&amp;$T$1&amp;$J$2&amp;$T$1&amp;$R$1&amp;J71&amp;$Q$1&amp;$O$1</f>
        <v>[{"2":203},{"4":165},{"5":165},{"12":1120},{"7":8},{"6":0},{"8":10},{"9":0}]</v>
      </c>
      <c r="AE70" t="str">
        <f>$N$1&amp;$P$1&amp;$T$1&amp;$C$2&amp;$T$1&amp;$R$1&amp;C71&amp;$Q$1&amp;$S$1&amp;$P$1&amp;$T$1&amp;$D$2&amp;$T$1&amp;$R$1&amp;D71&amp;$Q$1&amp;$S$1&amp;$P$1&amp;$T$1&amp;$E$2&amp;$T$1&amp;$R$1&amp;E71&amp;$Q$1&amp;$S$1&amp;$P$1&amp;$T$1&amp;$F$2&amp;$T$1&amp;$R$1&amp;L71&amp;$Q$1&amp;$S$1&amp;$P$1&amp;$T$1&amp;$G$2&amp;$T$1&amp;$R$1&amp;G71&amp;$Q$1&amp;$S$1&amp;$P$1&amp;$T$1&amp;$H$2&amp;$T$1&amp;$R$1&amp;H71&amp;$Q$1&amp;$S$1&amp;$P$1&amp;$T$1&amp;$I$2&amp;$T$1&amp;$R$1&amp;I71&amp;$Q$1&amp;$S$1&amp;$P$1&amp;$T$1&amp;$J$2&amp;$T$1&amp;$R$1&amp;J71&amp;$Q$1&amp;$O$1</f>
        <v>[{"2":203},{"4":165},{"5":165},{"12":1680},{"7":8},{"6":0},{"8":10},{"9":0}]</v>
      </c>
      <c r="AG70">
        <v>234</v>
      </c>
      <c r="AH70">
        <f t="shared" si="30"/>
        <v>156</v>
      </c>
      <c r="AI70">
        <f t="shared" si="31"/>
        <v>156</v>
      </c>
      <c r="AJ70">
        <f t="shared" si="32"/>
        <v>3120</v>
      </c>
      <c r="AK70">
        <v>4</v>
      </c>
      <c r="AL70">
        <v>8</v>
      </c>
      <c r="AM70">
        <v>0</v>
      </c>
      <c r="AN70">
        <v>10</v>
      </c>
    </row>
    <row r="71" customFormat="1" ht="16.5" spans="1:40">
      <c r="A71">
        <v>69</v>
      </c>
      <c r="B71">
        <f t="shared" si="23"/>
        <v>248</v>
      </c>
      <c r="C71">
        <f t="shared" si="24"/>
        <v>203</v>
      </c>
      <c r="D71">
        <f t="shared" si="25"/>
        <v>165</v>
      </c>
      <c r="E71">
        <f t="shared" si="26"/>
        <v>165</v>
      </c>
      <c r="F71" s="2">
        <f t="shared" si="27"/>
        <v>3360</v>
      </c>
      <c r="G71">
        <v>8</v>
      </c>
      <c r="H71">
        <v>0</v>
      </c>
      <c r="I71">
        <v>10</v>
      </c>
      <c r="J71">
        <v>0</v>
      </c>
      <c r="K71" s="2">
        <f t="shared" si="28"/>
        <v>1120</v>
      </c>
      <c r="L71" s="3">
        <f t="shared" si="29"/>
        <v>1680</v>
      </c>
      <c r="N71" t="str">
        <f t="shared" si="22"/>
        <v>[{"1":250},{"2":205},{"4":166},{"5":166},{"12":3380}]</v>
      </c>
      <c r="W71" t="str">
        <f>$N$1&amp;$P$1&amp;$T$1&amp;$C$2&amp;$T$1&amp;$R$1&amp;C72&amp;$Q$1&amp;$S$1&amp;$P$1&amp;$T$1&amp;$D$2&amp;$T$1&amp;$R$1&amp;D72&amp;$Q$1&amp;$S$1&amp;$P$1&amp;$T$1&amp;$E$2&amp;$T$1&amp;$R$1&amp;E72&amp;$Q$1&amp;$S$1&amp;$P$1&amp;$T$1&amp;$F$2&amp;$T$1&amp;$R$1&amp;K72&amp;$Q$1&amp;$S$1&amp;$P$1&amp;$T$1&amp;$G$2&amp;$T$1&amp;$R$1&amp;G72&amp;$Q$1&amp;$S$1&amp;$P$1&amp;$T$1&amp;$H$2&amp;$T$1&amp;$R$1&amp;H72&amp;$Q$1&amp;$S$1&amp;$P$1&amp;$T$1&amp;$I$2&amp;$T$1&amp;$R$1&amp;I72&amp;$Q$1&amp;$S$1&amp;$P$1&amp;$T$1&amp;$J$2&amp;$T$1&amp;$R$1&amp;J72&amp;$Q$1&amp;$O$1</f>
        <v>[{"2":205},{"4":166},{"5":166},{"12":1126},{"7":8},{"6":0},{"8":10},{"9":0}]</v>
      </c>
      <c r="AE71" t="str">
        <f>$N$1&amp;$P$1&amp;$T$1&amp;$C$2&amp;$T$1&amp;$R$1&amp;C72&amp;$Q$1&amp;$S$1&amp;$P$1&amp;$T$1&amp;$D$2&amp;$T$1&amp;$R$1&amp;D72&amp;$Q$1&amp;$S$1&amp;$P$1&amp;$T$1&amp;$E$2&amp;$T$1&amp;$R$1&amp;E72&amp;$Q$1&amp;$S$1&amp;$P$1&amp;$T$1&amp;$F$2&amp;$T$1&amp;$R$1&amp;L72&amp;$Q$1&amp;$S$1&amp;$P$1&amp;$T$1&amp;$G$2&amp;$T$1&amp;$R$1&amp;G72&amp;$Q$1&amp;$S$1&amp;$P$1&amp;$T$1&amp;$H$2&amp;$T$1&amp;$R$1&amp;H72&amp;$Q$1&amp;$S$1&amp;$P$1&amp;$T$1&amp;$I$2&amp;$T$1&amp;$R$1&amp;I72&amp;$Q$1&amp;$S$1&amp;$P$1&amp;$T$1&amp;$J$2&amp;$T$1&amp;$R$1&amp;J72&amp;$Q$1&amp;$O$1</f>
        <v>[{"2":205},{"4":166},{"5":166},{"12":1690},{"7":8},{"6":0},{"8":10},{"9":0}]</v>
      </c>
      <c r="AG71">
        <v>236</v>
      </c>
      <c r="AH71">
        <f t="shared" si="30"/>
        <v>157</v>
      </c>
      <c r="AI71">
        <f t="shared" si="31"/>
        <v>157</v>
      </c>
      <c r="AJ71">
        <f t="shared" si="32"/>
        <v>3140</v>
      </c>
      <c r="AK71">
        <v>4</v>
      </c>
      <c r="AL71">
        <v>8</v>
      </c>
      <c r="AM71">
        <v>0</v>
      </c>
      <c r="AN71">
        <v>10</v>
      </c>
    </row>
    <row r="72" customFormat="1" ht="16.5" spans="1:40">
      <c r="A72">
        <v>70</v>
      </c>
      <c r="B72">
        <f t="shared" si="23"/>
        <v>250</v>
      </c>
      <c r="C72">
        <f t="shared" si="24"/>
        <v>205</v>
      </c>
      <c r="D72">
        <f t="shared" si="25"/>
        <v>166</v>
      </c>
      <c r="E72">
        <f t="shared" si="26"/>
        <v>166</v>
      </c>
      <c r="F72" s="2">
        <f t="shared" si="27"/>
        <v>3380</v>
      </c>
      <c r="G72">
        <v>8</v>
      </c>
      <c r="H72">
        <v>0</v>
      </c>
      <c r="I72">
        <v>10</v>
      </c>
      <c r="J72">
        <v>0</v>
      </c>
      <c r="K72" s="2">
        <f t="shared" si="28"/>
        <v>1126</v>
      </c>
      <c r="L72" s="3">
        <f t="shared" si="29"/>
        <v>1690</v>
      </c>
      <c r="N72" t="str">
        <f t="shared" si="22"/>
        <v>[{"1":252},{"2":206},{"4":168},{"5":168},{"12":3420}]</v>
      </c>
      <c r="W72" t="str">
        <f>$N$1&amp;$P$1&amp;$T$1&amp;$C$2&amp;$T$1&amp;$R$1&amp;C73&amp;$Q$1&amp;$S$1&amp;$P$1&amp;$T$1&amp;$D$2&amp;$T$1&amp;$R$1&amp;D73&amp;$Q$1&amp;$S$1&amp;$P$1&amp;$T$1&amp;$E$2&amp;$T$1&amp;$R$1&amp;E73&amp;$Q$1&amp;$S$1&amp;$P$1&amp;$T$1&amp;$F$2&amp;$T$1&amp;$R$1&amp;K73&amp;$Q$1&amp;$S$1&amp;$P$1&amp;$T$1&amp;$G$2&amp;$T$1&amp;$R$1&amp;G73&amp;$Q$1&amp;$S$1&amp;$P$1&amp;$T$1&amp;$H$2&amp;$T$1&amp;$R$1&amp;H73&amp;$Q$1&amp;$S$1&amp;$P$1&amp;$T$1&amp;$I$2&amp;$T$1&amp;$R$1&amp;I73&amp;$Q$1&amp;$S$1&amp;$P$1&amp;$T$1&amp;$J$2&amp;$T$1&amp;$R$1&amp;J73&amp;$Q$1&amp;$O$1</f>
        <v>[{"2":206},{"4":168},{"5":168},{"12":1140},{"7":8},{"6":0},{"8":10},{"9":0}]</v>
      </c>
      <c r="AE72" t="str">
        <f>$N$1&amp;$P$1&amp;$T$1&amp;$C$2&amp;$T$1&amp;$R$1&amp;C73&amp;$Q$1&amp;$S$1&amp;$P$1&amp;$T$1&amp;$D$2&amp;$T$1&amp;$R$1&amp;D73&amp;$Q$1&amp;$S$1&amp;$P$1&amp;$T$1&amp;$E$2&amp;$T$1&amp;$R$1&amp;E73&amp;$Q$1&amp;$S$1&amp;$P$1&amp;$T$1&amp;$F$2&amp;$T$1&amp;$R$1&amp;L73&amp;$Q$1&amp;$S$1&amp;$P$1&amp;$T$1&amp;$G$2&amp;$T$1&amp;$R$1&amp;G73&amp;$Q$1&amp;$S$1&amp;$P$1&amp;$T$1&amp;$H$2&amp;$T$1&amp;$R$1&amp;H73&amp;$Q$1&amp;$S$1&amp;$P$1&amp;$T$1&amp;$I$2&amp;$T$1&amp;$R$1&amp;I73&amp;$Q$1&amp;$S$1&amp;$P$1&amp;$T$1&amp;$J$2&amp;$T$1&amp;$R$1&amp;J73&amp;$Q$1&amp;$O$1</f>
        <v>[{"2":206},{"4":168},{"5":168},{"12":1710},{"7":8},{"6":0},{"8":10},{"9":0}]</v>
      </c>
      <c r="AG72">
        <v>238</v>
      </c>
      <c r="AH72">
        <f t="shared" si="30"/>
        <v>158</v>
      </c>
      <c r="AI72">
        <f t="shared" si="31"/>
        <v>158</v>
      </c>
      <c r="AJ72">
        <f t="shared" si="32"/>
        <v>3160</v>
      </c>
      <c r="AK72">
        <v>4</v>
      </c>
      <c r="AL72">
        <v>8</v>
      </c>
      <c r="AM72">
        <v>0</v>
      </c>
      <c r="AN72">
        <v>10</v>
      </c>
    </row>
    <row r="73" customFormat="1" ht="16.5" spans="1:40">
      <c r="A73">
        <v>71</v>
      </c>
      <c r="B73">
        <f t="shared" si="23"/>
        <v>252</v>
      </c>
      <c r="C73">
        <f t="shared" si="24"/>
        <v>206</v>
      </c>
      <c r="D73">
        <f t="shared" si="25"/>
        <v>168</v>
      </c>
      <c r="E73">
        <f t="shared" si="26"/>
        <v>168</v>
      </c>
      <c r="F73" s="2">
        <f t="shared" si="27"/>
        <v>3420</v>
      </c>
      <c r="G73">
        <v>8</v>
      </c>
      <c r="H73">
        <v>0</v>
      </c>
      <c r="I73">
        <v>10</v>
      </c>
      <c r="J73">
        <v>0</v>
      </c>
      <c r="K73" s="2">
        <f t="shared" si="28"/>
        <v>1140</v>
      </c>
      <c r="L73" s="3">
        <f t="shared" si="29"/>
        <v>1710</v>
      </c>
      <c r="N73" t="str">
        <f t="shared" si="22"/>
        <v>[{"1":254},{"2":208},{"4":169},{"5":169},{"12":3440}]</v>
      </c>
      <c r="W73" t="str">
        <f>$N$1&amp;$P$1&amp;$T$1&amp;$C$2&amp;$T$1&amp;$R$1&amp;C74&amp;$Q$1&amp;$S$1&amp;$P$1&amp;$T$1&amp;$D$2&amp;$T$1&amp;$R$1&amp;D74&amp;$Q$1&amp;$S$1&amp;$P$1&amp;$T$1&amp;$E$2&amp;$T$1&amp;$R$1&amp;E74&amp;$Q$1&amp;$S$1&amp;$P$1&amp;$T$1&amp;$F$2&amp;$T$1&amp;$R$1&amp;K74&amp;$Q$1&amp;$S$1&amp;$P$1&amp;$T$1&amp;$G$2&amp;$T$1&amp;$R$1&amp;G74&amp;$Q$1&amp;$S$1&amp;$P$1&amp;$T$1&amp;$H$2&amp;$T$1&amp;$R$1&amp;H74&amp;$Q$1&amp;$S$1&amp;$P$1&amp;$T$1&amp;$I$2&amp;$T$1&amp;$R$1&amp;I74&amp;$Q$1&amp;$S$1&amp;$P$1&amp;$T$1&amp;$J$2&amp;$T$1&amp;$R$1&amp;J74&amp;$Q$1&amp;$O$1</f>
        <v>[{"2":208},{"4":169},{"5":169},{"12":1146},{"7":8},{"6":0},{"8":10},{"9":0}]</v>
      </c>
      <c r="AE73" t="str">
        <f>$N$1&amp;$P$1&amp;$T$1&amp;$C$2&amp;$T$1&amp;$R$1&amp;C74&amp;$Q$1&amp;$S$1&amp;$P$1&amp;$T$1&amp;$D$2&amp;$T$1&amp;$R$1&amp;D74&amp;$Q$1&amp;$S$1&amp;$P$1&amp;$T$1&amp;$E$2&amp;$T$1&amp;$R$1&amp;E74&amp;$Q$1&amp;$S$1&amp;$P$1&amp;$T$1&amp;$F$2&amp;$T$1&amp;$R$1&amp;L74&amp;$Q$1&amp;$S$1&amp;$P$1&amp;$T$1&amp;$G$2&amp;$T$1&amp;$R$1&amp;G74&amp;$Q$1&amp;$S$1&amp;$P$1&amp;$T$1&amp;$H$2&amp;$T$1&amp;$R$1&amp;H74&amp;$Q$1&amp;$S$1&amp;$P$1&amp;$T$1&amp;$I$2&amp;$T$1&amp;$R$1&amp;I74&amp;$Q$1&amp;$S$1&amp;$P$1&amp;$T$1&amp;$J$2&amp;$T$1&amp;$R$1&amp;J74&amp;$Q$1&amp;$O$1</f>
        <v>[{"2":208},{"4":169},{"5":169},{"12":1720},{"7":8},{"6":0},{"8":10},{"9":0}]</v>
      </c>
      <c r="AG73">
        <v>240</v>
      </c>
      <c r="AH73">
        <f t="shared" si="30"/>
        <v>160</v>
      </c>
      <c r="AI73">
        <f t="shared" si="31"/>
        <v>160</v>
      </c>
      <c r="AJ73">
        <f t="shared" si="32"/>
        <v>3200</v>
      </c>
      <c r="AK73">
        <v>4</v>
      </c>
      <c r="AL73">
        <v>8</v>
      </c>
      <c r="AM73">
        <v>0</v>
      </c>
      <c r="AN73">
        <v>10</v>
      </c>
    </row>
    <row r="74" customFormat="1" ht="16.5" spans="1:40">
      <c r="A74">
        <v>72</v>
      </c>
      <c r="B74">
        <f t="shared" si="23"/>
        <v>254</v>
      </c>
      <c r="C74">
        <f t="shared" si="24"/>
        <v>208</v>
      </c>
      <c r="D74">
        <f t="shared" si="25"/>
        <v>169</v>
      </c>
      <c r="E74">
        <f t="shared" si="26"/>
        <v>169</v>
      </c>
      <c r="F74" s="2">
        <f t="shared" si="27"/>
        <v>3440</v>
      </c>
      <c r="G74">
        <v>8</v>
      </c>
      <c r="H74">
        <v>0</v>
      </c>
      <c r="I74">
        <v>10</v>
      </c>
      <c r="J74">
        <v>0</v>
      </c>
      <c r="K74" s="2">
        <f t="shared" si="28"/>
        <v>1146</v>
      </c>
      <c r="L74" s="3">
        <f t="shared" si="29"/>
        <v>1720</v>
      </c>
      <c r="N74" t="str">
        <f t="shared" si="22"/>
        <v>[{"1":256},{"2":209},{"4":170},{"5":170},{"12":3460}]</v>
      </c>
      <c r="W74" t="str">
        <f>$N$1&amp;$P$1&amp;$T$1&amp;$C$2&amp;$T$1&amp;$R$1&amp;C75&amp;$Q$1&amp;$S$1&amp;$P$1&amp;$T$1&amp;$D$2&amp;$T$1&amp;$R$1&amp;D75&amp;$Q$1&amp;$S$1&amp;$P$1&amp;$T$1&amp;$E$2&amp;$T$1&amp;$R$1&amp;E75&amp;$Q$1&amp;$S$1&amp;$P$1&amp;$T$1&amp;$F$2&amp;$T$1&amp;$R$1&amp;K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[{"2":209},{"4":170},{"5":170},{"12":1153},{"7":8},{"6":0},{"8":10},{"9":0}]</v>
      </c>
      <c r="AE74" t="str">
        <f>$N$1&amp;$P$1&amp;$T$1&amp;$C$2&amp;$T$1&amp;$R$1&amp;C75&amp;$Q$1&amp;$S$1&amp;$P$1&amp;$T$1&amp;$D$2&amp;$T$1&amp;$R$1&amp;D75&amp;$Q$1&amp;$S$1&amp;$P$1&amp;$T$1&amp;$E$2&amp;$T$1&amp;$R$1&amp;E75&amp;$Q$1&amp;$S$1&amp;$P$1&amp;$T$1&amp;$F$2&amp;$T$1&amp;$R$1&amp;L75&amp;$Q$1&amp;$S$1&amp;$P$1&amp;$T$1&amp;$G$2&amp;$T$1&amp;$R$1&amp;G75&amp;$Q$1&amp;$S$1&amp;$P$1&amp;$T$1&amp;$H$2&amp;$T$1&amp;$R$1&amp;H75&amp;$Q$1&amp;$S$1&amp;$P$1&amp;$T$1&amp;$I$2&amp;$T$1&amp;$R$1&amp;I75&amp;$Q$1&amp;$S$1&amp;$P$1&amp;$T$1&amp;$J$2&amp;$T$1&amp;$R$1&amp;J75&amp;$Q$1&amp;$O$1</f>
        <v>[{"2":209},{"4":170},{"5":170},{"12":1730},{"7":8},{"6":0},{"8":10},{"9":0}]</v>
      </c>
      <c r="AG74">
        <v>242</v>
      </c>
      <c r="AH74">
        <f t="shared" si="30"/>
        <v>161</v>
      </c>
      <c r="AI74">
        <f t="shared" si="31"/>
        <v>161</v>
      </c>
      <c r="AJ74">
        <f t="shared" si="32"/>
        <v>3220</v>
      </c>
      <c r="AK74">
        <v>4</v>
      </c>
      <c r="AL74">
        <v>8</v>
      </c>
      <c r="AM74">
        <v>0</v>
      </c>
      <c r="AN74">
        <v>10</v>
      </c>
    </row>
    <row r="75" customFormat="1" ht="16.5" spans="1:40">
      <c r="A75">
        <v>73</v>
      </c>
      <c r="B75">
        <f t="shared" si="23"/>
        <v>256</v>
      </c>
      <c r="C75">
        <f t="shared" si="24"/>
        <v>209</v>
      </c>
      <c r="D75">
        <f t="shared" si="25"/>
        <v>170</v>
      </c>
      <c r="E75">
        <f t="shared" si="26"/>
        <v>170</v>
      </c>
      <c r="F75" s="2">
        <f t="shared" si="27"/>
        <v>3460</v>
      </c>
      <c r="G75">
        <v>8</v>
      </c>
      <c r="H75">
        <v>0</v>
      </c>
      <c r="I75">
        <v>10</v>
      </c>
      <c r="J75">
        <v>0</v>
      </c>
      <c r="K75" s="2">
        <f t="shared" si="28"/>
        <v>1153</v>
      </c>
      <c r="L75" s="3">
        <f t="shared" si="29"/>
        <v>1730</v>
      </c>
      <c r="N75" t="str">
        <f t="shared" si="22"/>
        <v>[{"1":258},{"2":211},{"4":172},{"5":172},{"12":3500}]</v>
      </c>
      <c r="W75" t="str">
        <f>$N$1&amp;$P$1&amp;$T$1&amp;$C$2&amp;$T$1&amp;$R$1&amp;C76&amp;$Q$1&amp;$S$1&amp;$P$1&amp;$T$1&amp;$D$2&amp;$T$1&amp;$R$1&amp;D76&amp;$Q$1&amp;$S$1&amp;$P$1&amp;$T$1&amp;$E$2&amp;$T$1&amp;$R$1&amp;E76&amp;$Q$1&amp;$S$1&amp;$P$1&amp;$T$1&amp;$F$2&amp;$T$1&amp;$R$1&amp;K76&amp;$Q$1&amp;$S$1&amp;$P$1&amp;$T$1&amp;$G$2&amp;$T$1&amp;$R$1&amp;G76&amp;$Q$1&amp;$S$1&amp;$P$1&amp;$T$1&amp;$H$2&amp;$T$1&amp;$R$1&amp;H76&amp;$Q$1&amp;$S$1&amp;$P$1&amp;$T$1&amp;$I$2&amp;$T$1&amp;$R$1&amp;I76&amp;$Q$1&amp;$S$1&amp;$P$1&amp;$T$1&amp;$J$2&amp;$T$1&amp;$R$1&amp;J76&amp;$Q$1&amp;$O$1</f>
        <v>[{"2":211},{"4":172},{"5":172},{"12":1166},{"7":8},{"6":0},{"8":10},{"9":0}]</v>
      </c>
      <c r="AE75" t="str">
        <f>$N$1&amp;$P$1&amp;$T$1&amp;$C$2&amp;$T$1&amp;$R$1&amp;C76&amp;$Q$1&amp;$S$1&amp;$P$1&amp;$T$1&amp;$D$2&amp;$T$1&amp;$R$1&amp;D76&amp;$Q$1&amp;$S$1&amp;$P$1&amp;$T$1&amp;$E$2&amp;$T$1&amp;$R$1&amp;E76&amp;$Q$1&amp;$S$1&amp;$P$1&amp;$T$1&amp;$F$2&amp;$T$1&amp;$R$1&amp;L76&amp;$Q$1&amp;$S$1&amp;$P$1&amp;$T$1&amp;$G$2&amp;$T$1&amp;$R$1&amp;G76&amp;$Q$1&amp;$S$1&amp;$P$1&amp;$T$1&amp;$H$2&amp;$T$1&amp;$R$1&amp;H76&amp;$Q$1&amp;$S$1&amp;$P$1&amp;$T$1&amp;$I$2&amp;$T$1&amp;$R$1&amp;I76&amp;$Q$1&amp;$S$1&amp;$P$1&amp;$T$1&amp;$J$2&amp;$T$1&amp;$R$1&amp;J76&amp;$Q$1&amp;$O$1</f>
        <v>[{"2":211},{"4":172},{"5":172},{"12":1750},{"7":8},{"6":0},{"8":10},{"9":0}]</v>
      </c>
      <c r="AG75">
        <v>244</v>
      </c>
      <c r="AH75">
        <f t="shared" si="30"/>
        <v>162</v>
      </c>
      <c r="AI75">
        <f t="shared" si="31"/>
        <v>162</v>
      </c>
      <c r="AJ75">
        <f t="shared" si="32"/>
        <v>3240</v>
      </c>
      <c r="AK75">
        <v>4</v>
      </c>
      <c r="AL75">
        <v>8</v>
      </c>
      <c r="AM75">
        <v>0</v>
      </c>
      <c r="AN75">
        <v>10</v>
      </c>
    </row>
    <row r="76" customFormat="1" ht="16.5" spans="1:40">
      <c r="A76">
        <v>74</v>
      </c>
      <c r="B76">
        <f t="shared" si="23"/>
        <v>258</v>
      </c>
      <c r="C76">
        <f t="shared" si="24"/>
        <v>211</v>
      </c>
      <c r="D76">
        <f t="shared" si="25"/>
        <v>172</v>
      </c>
      <c r="E76">
        <f t="shared" si="26"/>
        <v>172</v>
      </c>
      <c r="F76" s="2">
        <f t="shared" si="27"/>
        <v>3500</v>
      </c>
      <c r="G76">
        <v>8</v>
      </c>
      <c r="H76">
        <v>0</v>
      </c>
      <c r="I76">
        <v>10</v>
      </c>
      <c r="J76">
        <v>0</v>
      </c>
      <c r="K76" s="2">
        <f t="shared" si="28"/>
        <v>1166</v>
      </c>
      <c r="L76" s="3">
        <f t="shared" si="29"/>
        <v>1750</v>
      </c>
      <c r="N76" t="str">
        <f t="shared" si="22"/>
        <v>[{"1":260},{"2":213},{"4":173},{"5":173},{"12":3520}]</v>
      </c>
      <c r="W76" t="str">
        <f>$N$1&amp;$P$1&amp;$T$1&amp;$C$2&amp;$T$1&amp;$R$1&amp;C77&amp;$Q$1&amp;$S$1&amp;$P$1&amp;$T$1&amp;$D$2&amp;$T$1&amp;$R$1&amp;D77&amp;$Q$1&amp;$S$1&amp;$P$1&amp;$T$1&amp;$E$2&amp;$T$1&amp;$R$1&amp;E77&amp;$Q$1&amp;$S$1&amp;$P$1&amp;$T$1&amp;$F$2&amp;$T$1&amp;$R$1&amp;K77&amp;$Q$1&amp;$S$1&amp;$P$1&amp;$T$1&amp;$G$2&amp;$T$1&amp;$R$1&amp;G77&amp;$Q$1&amp;$S$1&amp;$P$1&amp;$T$1&amp;$H$2&amp;$T$1&amp;$R$1&amp;H77&amp;$Q$1&amp;$S$1&amp;$P$1&amp;$T$1&amp;$I$2&amp;$T$1&amp;$R$1&amp;I77&amp;$Q$1&amp;$S$1&amp;$P$1&amp;$T$1&amp;$J$2&amp;$T$1&amp;$R$1&amp;J77&amp;$Q$1&amp;$O$1</f>
        <v>[{"2":213},{"4":173},{"5":173},{"12":1173},{"7":8},{"6":0},{"8":10},{"9":0}]</v>
      </c>
      <c r="AE76" t="str">
        <f>$N$1&amp;$P$1&amp;$T$1&amp;$C$2&amp;$T$1&amp;$R$1&amp;C77&amp;$Q$1&amp;$S$1&amp;$P$1&amp;$T$1&amp;$D$2&amp;$T$1&amp;$R$1&amp;D77&amp;$Q$1&amp;$S$1&amp;$P$1&amp;$T$1&amp;$E$2&amp;$T$1&amp;$R$1&amp;E77&amp;$Q$1&amp;$S$1&amp;$P$1&amp;$T$1&amp;$F$2&amp;$T$1&amp;$R$1&amp;L77&amp;$Q$1&amp;$S$1&amp;$P$1&amp;$T$1&amp;$G$2&amp;$T$1&amp;$R$1&amp;G77&amp;$Q$1&amp;$S$1&amp;$P$1&amp;$T$1&amp;$H$2&amp;$T$1&amp;$R$1&amp;H77&amp;$Q$1&amp;$S$1&amp;$P$1&amp;$T$1&amp;$I$2&amp;$T$1&amp;$R$1&amp;I77&amp;$Q$1&amp;$S$1&amp;$P$1&amp;$T$1&amp;$J$2&amp;$T$1&amp;$R$1&amp;J77&amp;$Q$1&amp;$O$1</f>
        <v>[{"2":213},{"4":173},{"5":173},{"12":1760},{"7":8},{"6":0},{"8":10},{"9":0}]</v>
      </c>
      <c r="AG76">
        <v>246</v>
      </c>
      <c r="AH76">
        <f t="shared" si="30"/>
        <v>164</v>
      </c>
      <c r="AI76">
        <f t="shared" si="31"/>
        <v>164</v>
      </c>
      <c r="AJ76">
        <f t="shared" si="32"/>
        <v>3280</v>
      </c>
      <c r="AK76">
        <v>4</v>
      </c>
      <c r="AL76">
        <v>8</v>
      </c>
      <c r="AM76">
        <v>0</v>
      </c>
      <c r="AN76">
        <v>10</v>
      </c>
    </row>
    <row r="77" customFormat="1" ht="16.5" spans="1:40">
      <c r="A77">
        <v>75</v>
      </c>
      <c r="B77">
        <f t="shared" si="23"/>
        <v>260</v>
      </c>
      <c r="C77">
        <f t="shared" si="24"/>
        <v>213</v>
      </c>
      <c r="D77">
        <f t="shared" si="25"/>
        <v>173</v>
      </c>
      <c r="E77">
        <f t="shared" si="26"/>
        <v>173</v>
      </c>
      <c r="F77" s="2">
        <f t="shared" si="27"/>
        <v>3520</v>
      </c>
      <c r="G77">
        <v>8</v>
      </c>
      <c r="H77">
        <v>0</v>
      </c>
      <c r="I77">
        <v>10</v>
      </c>
      <c r="J77">
        <v>0</v>
      </c>
      <c r="K77" s="2">
        <f t="shared" si="28"/>
        <v>1173</v>
      </c>
      <c r="L77" s="3">
        <f t="shared" si="29"/>
        <v>1760</v>
      </c>
      <c r="N77" t="str">
        <f t="shared" si="22"/>
        <v>[{"1":262},{"2":214},{"4":174},{"5":174},{"12":3540}]</v>
      </c>
      <c r="W77" t="str">
        <f>$N$1&amp;$P$1&amp;$T$1&amp;$C$2&amp;$T$1&amp;$R$1&amp;C78&amp;$Q$1&amp;$S$1&amp;$P$1&amp;$T$1&amp;$D$2&amp;$T$1&amp;$R$1&amp;D78&amp;$Q$1&amp;$S$1&amp;$P$1&amp;$T$1&amp;$E$2&amp;$T$1&amp;$R$1&amp;E78&amp;$Q$1&amp;$S$1&amp;$P$1&amp;$T$1&amp;$F$2&amp;$T$1&amp;$R$1&amp;K78&amp;$Q$1&amp;$S$1&amp;$P$1&amp;$T$1&amp;$G$2&amp;$T$1&amp;$R$1&amp;G78&amp;$Q$1&amp;$S$1&amp;$P$1&amp;$T$1&amp;$H$2&amp;$T$1&amp;$R$1&amp;H78&amp;$Q$1&amp;$S$1&amp;$P$1&amp;$T$1&amp;$I$2&amp;$T$1&amp;$R$1&amp;I78&amp;$Q$1&amp;$S$1&amp;$P$1&amp;$T$1&amp;$J$2&amp;$T$1&amp;$R$1&amp;J78&amp;$Q$1&amp;$O$1</f>
        <v>[{"2":214},{"4":174},{"5":174},{"12":1180},{"7":8},{"6":0},{"8":10},{"9":0}]</v>
      </c>
      <c r="AE77" t="str">
        <f>$N$1&amp;$P$1&amp;$T$1&amp;$C$2&amp;$T$1&amp;$R$1&amp;C78&amp;$Q$1&amp;$S$1&amp;$P$1&amp;$T$1&amp;$D$2&amp;$T$1&amp;$R$1&amp;D78&amp;$Q$1&amp;$S$1&amp;$P$1&amp;$T$1&amp;$E$2&amp;$T$1&amp;$R$1&amp;E78&amp;$Q$1&amp;$S$1&amp;$P$1&amp;$T$1&amp;$F$2&amp;$T$1&amp;$R$1&amp;L78&amp;$Q$1&amp;$S$1&amp;$P$1&amp;$T$1&amp;$G$2&amp;$T$1&amp;$R$1&amp;G78&amp;$Q$1&amp;$S$1&amp;$P$1&amp;$T$1&amp;$H$2&amp;$T$1&amp;$R$1&amp;H78&amp;$Q$1&amp;$S$1&amp;$P$1&amp;$T$1&amp;$I$2&amp;$T$1&amp;$R$1&amp;I78&amp;$Q$1&amp;$S$1&amp;$P$1&amp;$T$1&amp;$J$2&amp;$T$1&amp;$R$1&amp;J78&amp;$Q$1&amp;$O$1</f>
        <v>[{"2":214},{"4":174},{"5":174},{"12":1770},{"7":8},{"6":0},{"8":10},{"9":0}]</v>
      </c>
      <c r="AG77">
        <v>248</v>
      </c>
      <c r="AH77">
        <f t="shared" si="30"/>
        <v>165</v>
      </c>
      <c r="AI77">
        <f t="shared" si="31"/>
        <v>165</v>
      </c>
      <c r="AJ77">
        <f t="shared" si="32"/>
        <v>3300</v>
      </c>
      <c r="AK77">
        <v>4</v>
      </c>
      <c r="AL77">
        <v>8</v>
      </c>
      <c r="AM77">
        <v>0</v>
      </c>
      <c r="AN77">
        <v>10</v>
      </c>
    </row>
    <row r="78" customFormat="1" ht="16.5" spans="1:40">
      <c r="A78">
        <v>76</v>
      </c>
      <c r="B78">
        <f t="shared" si="23"/>
        <v>262</v>
      </c>
      <c r="C78">
        <f t="shared" si="24"/>
        <v>214</v>
      </c>
      <c r="D78">
        <f t="shared" si="25"/>
        <v>174</v>
      </c>
      <c r="E78">
        <f t="shared" si="26"/>
        <v>174</v>
      </c>
      <c r="F78" s="2">
        <f t="shared" si="27"/>
        <v>3540</v>
      </c>
      <c r="G78">
        <v>8</v>
      </c>
      <c r="H78">
        <v>0</v>
      </c>
      <c r="I78">
        <v>10</v>
      </c>
      <c r="J78">
        <v>0</v>
      </c>
      <c r="K78" s="2">
        <f t="shared" si="28"/>
        <v>1180</v>
      </c>
      <c r="L78" s="3">
        <f t="shared" si="29"/>
        <v>1770</v>
      </c>
      <c r="N78" t="str">
        <f t="shared" si="22"/>
        <v>[{"1":264},{"2":216},{"4":176},{"5":176},{"12":3580}]</v>
      </c>
      <c r="W78" t="str">
        <f>$N$1&amp;$P$1&amp;$T$1&amp;$C$2&amp;$T$1&amp;$R$1&amp;C79&amp;$Q$1&amp;$S$1&amp;$P$1&amp;$T$1&amp;$D$2&amp;$T$1&amp;$R$1&amp;D79&amp;$Q$1&amp;$S$1&amp;$P$1&amp;$T$1&amp;$E$2&amp;$T$1&amp;$R$1&amp;E79&amp;$Q$1&amp;$S$1&amp;$P$1&amp;$T$1&amp;$F$2&amp;$T$1&amp;$R$1&amp;K79&amp;$Q$1&amp;$S$1&amp;$P$1&amp;$T$1&amp;$G$2&amp;$T$1&amp;$R$1&amp;G79&amp;$Q$1&amp;$S$1&amp;$P$1&amp;$T$1&amp;$H$2&amp;$T$1&amp;$R$1&amp;H79&amp;$Q$1&amp;$S$1&amp;$P$1&amp;$T$1&amp;$I$2&amp;$T$1&amp;$R$1&amp;I79&amp;$Q$1&amp;$S$1&amp;$P$1&amp;$T$1&amp;$J$2&amp;$T$1&amp;$R$1&amp;J79&amp;$Q$1&amp;$O$1</f>
        <v>[{"2":216},{"4":176},{"5":176},{"12":1193},{"7":8},{"6":0},{"8":10},{"9":0}]</v>
      </c>
      <c r="AE78" t="str">
        <f>$N$1&amp;$P$1&amp;$T$1&amp;$C$2&amp;$T$1&amp;$R$1&amp;C79&amp;$Q$1&amp;$S$1&amp;$P$1&amp;$T$1&amp;$D$2&amp;$T$1&amp;$R$1&amp;D79&amp;$Q$1&amp;$S$1&amp;$P$1&amp;$T$1&amp;$E$2&amp;$T$1&amp;$R$1&amp;E79&amp;$Q$1&amp;$S$1&amp;$P$1&amp;$T$1&amp;$F$2&amp;$T$1&amp;$R$1&amp;L79&amp;$Q$1&amp;$S$1&amp;$P$1&amp;$T$1&amp;$G$2&amp;$T$1&amp;$R$1&amp;G79&amp;$Q$1&amp;$S$1&amp;$P$1&amp;$T$1&amp;$H$2&amp;$T$1&amp;$R$1&amp;H79&amp;$Q$1&amp;$S$1&amp;$P$1&amp;$T$1&amp;$I$2&amp;$T$1&amp;$R$1&amp;I79&amp;$Q$1&amp;$S$1&amp;$P$1&amp;$T$1&amp;$J$2&amp;$T$1&amp;$R$1&amp;J79&amp;$Q$1&amp;$O$1</f>
        <v>[{"2":216},{"4":176},{"5":176},{"12":1790},{"7":8},{"6":0},{"8":10},{"9":0}]</v>
      </c>
      <c r="AG78">
        <v>250</v>
      </c>
      <c r="AH78">
        <f t="shared" si="30"/>
        <v>166</v>
      </c>
      <c r="AI78">
        <f t="shared" si="31"/>
        <v>166</v>
      </c>
      <c r="AJ78">
        <f t="shared" si="32"/>
        <v>3320</v>
      </c>
      <c r="AK78">
        <v>4</v>
      </c>
      <c r="AL78">
        <v>8</v>
      </c>
      <c r="AM78">
        <v>0</v>
      </c>
      <c r="AN78">
        <v>10</v>
      </c>
    </row>
    <row r="79" customFormat="1" ht="16.5" spans="1:40">
      <c r="A79">
        <v>77</v>
      </c>
      <c r="B79">
        <f t="shared" si="23"/>
        <v>264</v>
      </c>
      <c r="C79">
        <f t="shared" si="24"/>
        <v>216</v>
      </c>
      <c r="D79">
        <f t="shared" si="25"/>
        <v>176</v>
      </c>
      <c r="E79">
        <f t="shared" si="26"/>
        <v>176</v>
      </c>
      <c r="F79" s="2">
        <f t="shared" si="27"/>
        <v>3580</v>
      </c>
      <c r="G79">
        <v>8</v>
      </c>
      <c r="H79">
        <v>0</v>
      </c>
      <c r="I79">
        <v>10</v>
      </c>
      <c r="J79">
        <v>0</v>
      </c>
      <c r="K79" s="2">
        <f t="shared" si="28"/>
        <v>1193</v>
      </c>
      <c r="L79" s="3">
        <f t="shared" si="29"/>
        <v>1790</v>
      </c>
      <c r="N79" t="str">
        <f t="shared" si="22"/>
        <v>[{"1":266},{"2":218},{"4":177},{"5":177},{"12":3600}]</v>
      </c>
      <c r="W79" t="str">
        <f>$N$1&amp;$P$1&amp;$T$1&amp;$C$2&amp;$T$1&amp;$R$1&amp;C80&amp;$Q$1&amp;$S$1&amp;$P$1&amp;$T$1&amp;$D$2&amp;$T$1&amp;$R$1&amp;D80&amp;$Q$1&amp;$S$1&amp;$P$1&amp;$T$1&amp;$E$2&amp;$T$1&amp;$R$1&amp;E80&amp;$Q$1&amp;$S$1&amp;$P$1&amp;$T$1&amp;$F$2&amp;$T$1&amp;$R$1&amp;K80&amp;$Q$1&amp;$S$1&amp;$P$1&amp;$T$1&amp;$G$2&amp;$T$1&amp;$R$1&amp;G80&amp;$Q$1&amp;$S$1&amp;$P$1&amp;$T$1&amp;$H$2&amp;$T$1&amp;$R$1&amp;H80&amp;$Q$1&amp;$S$1&amp;$P$1&amp;$T$1&amp;$I$2&amp;$T$1&amp;$R$1&amp;I80&amp;$Q$1&amp;$S$1&amp;$P$1&amp;$T$1&amp;$J$2&amp;$T$1&amp;$R$1&amp;J80&amp;$Q$1&amp;$O$1</f>
        <v>[{"2":218},{"4":177},{"5":177},{"12":1200},{"7":8},{"6":0},{"8":10},{"9":0}]</v>
      </c>
      <c r="AE79" t="str">
        <f>$N$1&amp;$P$1&amp;$T$1&amp;$C$2&amp;$T$1&amp;$R$1&amp;C80&amp;$Q$1&amp;$S$1&amp;$P$1&amp;$T$1&amp;$D$2&amp;$T$1&amp;$R$1&amp;D80&amp;$Q$1&amp;$S$1&amp;$P$1&amp;$T$1&amp;$E$2&amp;$T$1&amp;$R$1&amp;E80&amp;$Q$1&amp;$S$1&amp;$P$1&amp;$T$1&amp;$F$2&amp;$T$1&amp;$R$1&amp;L80&amp;$Q$1&amp;$S$1&amp;$P$1&amp;$T$1&amp;$G$2&amp;$T$1&amp;$R$1&amp;G80&amp;$Q$1&amp;$S$1&amp;$P$1&amp;$T$1&amp;$H$2&amp;$T$1&amp;$R$1&amp;H80&amp;$Q$1&amp;$S$1&amp;$P$1&amp;$T$1&amp;$I$2&amp;$T$1&amp;$R$1&amp;I80&amp;$Q$1&amp;$S$1&amp;$P$1&amp;$T$1&amp;$J$2&amp;$T$1&amp;$R$1&amp;J80&amp;$Q$1&amp;$O$1</f>
        <v>[{"2":218},{"4":177},{"5":177},{"12":1800},{"7":8},{"6":0},{"8":10},{"9":0}]</v>
      </c>
      <c r="AG79">
        <v>252</v>
      </c>
      <c r="AH79">
        <f t="shared" si="30"/>
        <v>168</v>
      </c>
      <c r="AI79">
        <f t="shared" si="31"/>
        <v>168</v>
      </c>
      <c r="AJ79">
        <f t="shared" si="32"/>
        <v>3360</v>
      </c>
      <c r="AK79">
        <v>4</v>
      </c>
      <c r="AL79">
        <v>8</v>
      </c>
      <c r="AM79">
        <v>0</v>
      </c>
      <c r="AN79">
        <v>10</v>
      </c>
    </row>
    <row r="80" customFormat="1" ht="16.5" spans="1:40">
      <c r="A80">
        <v>78</v>
      </c>
      <c r="B80">
        <f t="shared" si="23"/>
        <v>266</v>
      </c>
      <c r="C80">
        <f t="shared" si="24"/>
        <v>218</v>
      </c>
      <c r="D80">
        <f t="shared" si="25"/>
        <v>177</v>
      </c>
      <c r="E80">
        <f t="shared" si="26"/>
        <v>177</v>
      </c>
      <c r="F80" s="2">
        <f t="shared" si="27"/>
        <v>3600</v>
      </c>
      <c r="G80">
        <v>8</v>
      </c>
      <c r="H80">
        <v>0</v>
      </c>
      <c r="I80">
        <v>10</v>
      </c>
      <c r="J80">
        <v>0</v>
      </c>
      <c r="K80" s="2">
        <f t="shared" si="28"/>
        <v>1200</v>
      </c>
      <c r="L80" s="3">
        <f t="shared" si="29"/>
        <v>1800</v>
      </c>
      <c r="N80" t="str">
        <f t="shared" si="22"/>
        <v>[{"1":268},{"2":219},{"4":178},{"5":178},{"12":3620}]</v>
      </c>
      <c r="W80" t="str">
        <f>$N$1&amp;$P$1&amp;$T$1&amp;$C$2&amp;$T$1&amp;$R$1&amp;C81&amp;$Q$1&amp;$S$1&amp;$P$1&amp;$T$1&amp;$D$2&amp;$T$1&amp;$R$1&amp;D81&amp;$Q$1&amp;$S$1&amp;$P$1&amp;$T$1&amp;$E$2&amp;$T$1&amp;$R$1&amp;E81&amp;$Q$1&amp;$S$1&amp;$P$1&amp;$T$1&amp;$F$2&amp;$T$1&amp;$R$1&amp;K81&amp;$Q$1&amp;$S$1&amp;$P$1&amp;$T$1&amp;$G$2&amp;$T$1&amp;$R$1&amp;G81&amp;$Q$1&amp;$S$1&amp;$P$1&amp;$T$1&amp;$H$2&amp;$T$1&amp;$R$1&amp;H81&amp;$Q$1&amp;$S$1&amp;$P$1&amp;$T$1&amp;$I$2&amp;$T$1&amp;$R$1&amp;I81&amp;$Q$1&amp;$S$1&amp;$P$1&amp;$T$1&amp;$J$2&amp;$T$1&amp;$R$1&amp;J81&amp;$Q$1&amp;$O$1</f>
        <v>[{"2":219},{"4":178},{"5":178},{"12":1206},{"7":8},{"6":0},{"8":10},{"9":0}]</v>
      </c>
      <c r="AE80" t="str">
        <f>$N$1&amp;$P$1&amp;$T$1&amp;$C$2&amp;$T$1&amp;$R$1&amp;C81&amp;$Q$1&amp;$S$1&amp;$P$1&amp;$T$1&amp;$D$2&amp;$T$1&amp;$R$1&amp;D81&amp;$Q$1&amp;$S$1&amp;$P$1&amp;$T$1&amp;$E$2&amp;$T$1&amp;$R$1&amp;E81&amp;$Q$1&amp;$S$1&amp;$P$1&amp;$T$1&amp;$F$2&amp;$T$1&amp;$R$1&amp;L81&amp;$Q$1&amp;$S$1&amp;$P$1&amp;$T$1&amp;$G$2&amp;$T$1&amp;$R$1&amp;G81&amp;$Q$1&amp;$S$1&amp;$P$1&amp;$T$1&amp;$H$2&amp;$T$1&amp;$R$1&amp;H81&amp;$Q$1&amp;$S$1&amp;$P$1&amp;$T$1&amp;$I$2&amp;$T$1&amp;$R$1&amp;I81&amp;$Q$1&amp;$S$1&amp;$P$1&amp;$T$1&amp;$J$2&amp;$T$1&amp;$R$1&amp;J81&amp;$Q$1&amp;$O$1</f>
        <v>[{"2":219},{"4":178},{"5":178},{"12":1810},{"7":8},{"6":0},{"8":10},{"9":0}]</v>
      </c>
      <c r="AG80">
        <v>254</v>
      </c>
      <c r="AH80">
        <f t="shared" si="30"/>
        <v>169</v>
      </c>
      <c r="AI80">
        <f t="shared" si="31"/>
        <v>169</v>
      </c>
      <c r="AJ80">
        <f t="shared" si="32"/>
        <v>3380</v>
      </c>
      <c r="AK80">
        <v>4</v>
      </c>
      <c r="AL80">
        <v>8</v>
      </c>
      <c r="AM80">
        <v>0</v>
      </c>
      <c r="AN80">
        <v>10</v>
      </c>
    </row>
    <row r="81" customFormat="1" ht="16.5" spans="1:40">
      <c r="A81">
        <v>79</v>
      </c>
      <c r="B81">
        <f t="shared" si="23"/>
        <v>268</v>
      </c>
      <c r="C81">
        <f t="shared" si="24"/>
        <v>219</v>
      </c>
      <c r="D81">
        <f t="shared" si="25"/>
        <v>178</v>
      </c>
      <c r="E81">
        <f t="shared" si="26"/>
        <v>178</v>
      </c>
      <c r="F81" s="2">
        <f t="shared" si="27"/>
        <v>3620</v>
      </c>
      <c r="G81">
        <v>8</v>
      </c>
      <c r="H81">
        <v>0</v>
      </c>
      <c r="I81">
        <v>10</v>
      </c>
      <c r="J81">
        <v>0</v>
      </c>
      <c r="K81" s="2">
        <f t="shared" si="28"/>
        <v>1206</v>
      </c>
      <c r="L81" s="3">
        <f t="shared" si="29"/>
        <v>1810</v>
      </c>
      <c r="N81" t="str">
        <f t="shared" si="22"/>
        <v>[{"1":270},{"2":221},{"4":180},{"5":180},{"12":3660}]</v>
      </c>
      <c r="W81" t="str">
        <f>$N$1&amp;$P$1&amp;$T$1&amp;$C$2&amp;$T$1&amp;$R$1&amp;C82&amp;$Q$1&amp;$S$1&amp;$P$1&amp;$T$1&amp;$D$2&amp;$T$1&amp;$R$1&amp;D82&amp;$Q$1&amp;$S$1&amp;$P$1&amp;$T$1&amp;$E$2&amp;$T$1&amp;$R$1&amp;E82&amp;$Q$1&amp;$S$1&amp;$P$1&amp;$T$1&amp;$F$2&amp;$T$1&amp;$R$1&amp;K82&amp;$Q$1&amp;$S$1&amp;$P$1&amp;$T$1&amp;$G$2&amp;$T$1&amp;$R$1&amp;G82&amp;$Q$1&amp;$S$1&amp;$P$1&amp;$T$1&amp;$H$2&amp;$T$1&amp;$R$1&amp;H82&amp;$Q$1&amp;$S$1&amp;$P$1&amp;$T$1&amp;$I$2&amp;$T$1&amp;$R$1&amp;I82&amp;$Q$1&amp;$S$1&amp;$P$1&amp;$T$1&amp;$J$2&amp;$T$1&amp;$R$1&amp;J82&amp;$Q$1&amp;$O$1</f>
        <v>[{"2":221},{"4":180},{"5":180},{"12":1220},{"7":8},{"6":0},{"8":10},{"9":0}]</v>
      </c>
      <c r="AE81" t="str">
        <f>$N$1&amp;$P$1&amp;$T$1&amp;$C$2&amp;$T$1&amp;$R$1&amp;C82&amp;$Q$1&amp;$S$1&amp;$P$1&amp;$T$1&amp;$D$2&amp;$T$1&amp;$R$1&amp;D82&amp;$Q$1&amp;$S$1&amp;$P$1&amp;$T$1&amp;$E$2&amp;$T$1&amp;$R$1&amp;E82&amp;$Q$1&amp;$S$1&amp;$P$1&amp;$T$1&amp;$F$2&amp;$T$1&amp;$R$1&amp;L82&amp;$Q$1&amp;$S$1&amp;$P$1&amp;$T$1&amp;$G$2&amp;$T$1&amp;$R$1&amp;G82&amp;$Q$1&amp;$S$1&amp;$P$1&amp;$T$1&amp;$H$2&amp;$T$1&amp;$R$1&amp;H82&amp;$Q$1&amp;$S$1&amp;$P$1&amp;$T$1&amp;$I$2&amp;$T$1&amp;$R$1&amp;I82&amp;$Q$1&amp;$S$1&amp;$P$1&amp;$T$1&amp;$J$2&amp;$T$1&amp;$R$1&amp;J82&amp;$Q$1&amp;$O$1</f>
        <v>[{"2":221},{"4":180},{"5":180},{"12":1830},{"7":8},{"6":0},{"8":10},{"9":0}]</v>
      </c>
      <c r="AG81">
        <v>256</v>
      </c>
      <c r="AH81">
        <f t="shared" si="30"/>
        <v>170</v>
      </c>
      <c r="AI81">
        <f t="shared" si="31"/>
        <v>170</v>
      </c>
      <c r="AJ81">
        <f t="shared" si="32"/>
        <v>3400</v>
      </c>
      <c r="AK81">
        <v>4</v>
      </c>
      <c r="AL81">
        <v>8</v>
      </c>
      <c r="AM81">
        <v>0</v>
      </c>
      <c r="AN81">
        <v>10</v>
      </c>
    </row>
    <row r="82" customFormat="1" ht="16.5" spans="1:40">
      <c r="A82">
        <v>80</v>
      </c>
      <c r="B82">
        <f t="shared" si="23"/>
        <v>270</v>
      </c>
      <c r="C82">
        <f t="shared" si="24"/>
        <v>221</v>
      </c>
      <c r="D82">
        <f t="shared" si="25"/>
        <v>180</v>
      </c>
      <c r="E82">
        <f t="shared" si="26"/>
        <v>180</v>
      </c>
      <c r="F82" s="2">
        <f t="shared" si="27"/>
        <v>3660</v>
      </c>
      <c r="G82">
        <v>8</v>
      </c>
      <c r="H82">
        <v>0</v>
      </c>
      <c r="I82">
        <v>10</v>
      </c>
      <c r="J82">
        <v>0</v>
      </c>
      <c r="K82" s="2">
        <f t="shared" si="28"/>
        <v>1220</v>
      </c>
      <c r="L82" s="3">
        <f t="shared" si="29"/>
        <v>1830</v>
      </c>
      <c r="N82" t="str">
        <f t="shared" si="22"/>
        <v>[{"1":272},{"2":223},{"4":181},{"5":181},{"12":3680}]</v>
      </c>
      <c r="W82" t="str">
        <f>$N$1&amp;$P$1&amp;$T$1&amp;$C$2&amp;$T$1&amp;$R$1&amp;C83&amp;$Q$1&amp;$S$1&amp;$P$1&amp;$T$1&amp;$D$2&amp;$T$1&amp;$R$1&amp;D83&amp;$Q$1&amp;$S$1&amp;$P$1&amp;$T$1&amp;$E$2&amp;$T$1&amp;$R$1&amp;E83&amp;$Q$1&amp;$S$1&amp;$P$1&amp;$T$1&amp;$F$2&amp;$T$1&amp;$R$1&amp;K83&amp;$Q$1&amp;$S$1&amp;$P$1&amp;$T$1&amp;$G$2&amp;$T$1&amp;$R$1&amp;G83&amp;$Q$1&amp;$S$1&amp;$P$1&amp;$T$1&amp;$H$2&amp;$T$1&amp;$R$1&amp;H83&amp;$Q$1&amp;$S$1&amp;$P$1&amp;$T$1&amp;$I$2&amp;$T$1&amp;$R$1&amp;I83&amp;$Q$1&amp;$S$1&amp;$P$1&amp;$T$1&amp;$J$2&amp;$T$1&amp;$R$1&amp;J83&amp;$Q$1&amp;$O$1</f>
        <v>[{"2":223},{"4":181},{"5":181},{"12":1226},{"7":8},{"6":0},{"8":10},{"9":0}]</v>
      </c>
      <c r="AE82" t="str">
        <f>$N$1&amp;$P$1&amp;$T$1&amp;$C$2&amp;$T$1&amp;$R$1&amp;C83&amp;$Q$1&amp;$S$1&amp;$P$1&amp;$T$1&amp;$D$2&amp;$T$1&amp;$R$1&amp;D83&amp;$Q$1&amp;$S$1&amp;$P$1&amp;$T$1&amp;$E$2&amp;$T$1&amp;$R$1&amp;E83&amp;$Q$1&amp;$S$1&amp;$P$1&amp;$T$1&amp;$F$2&amp;$T$1&amp;$R$1&amp;L83&amp;$Q$1&amp;$S$1&amp;$P$1&amp;$T$1&amp;$G$2&amp;$T$1&amp;$R$1&amp;G83&amp;$Q$1&amp;$S$1&amp;$P$1&amp;$T$1&amp;$H$2&amp;$T$1&amp;$R$1&amp;H83&amp;$Q$1&amp;$S$1&amp;$P$1&amp;$T$1&amp;$I$2&amp;$T$1&amp;$R$1&amp;I83&amp;$Q$1&amp;$S$1&amp;$P$1&amp;$T$1&amp;$J$2&amp;$T$1&amp;$R$1&amp;J83&amp;$Q$1&amp;$O$1</f>
        <v>[{"2":223},{"4":181},{"5":181},{"12":1840},{"7":8},{"6":0},{"8":10},{"9":0}]</v>
      </c>
      <c r="AG82">
        <v>258</v>
      </c>
      <c r="AH82">
        <f t="shared" si="30"/>
        <v>172</v>
      </c>
      <c r="AI82">
        <f t="shared" si="31"/>
        <v>172</v>
      </c>
      <c r="AJ82">
        <f t="shared" si="32"/>
        <v>3440</v>
      </c>
      <c r="AK82">
        <v>4</v>
      </c>
      <c r="AL82">
        <v>8</v>
      </c>
      <c r="AM82">
        <v>0</v>
      </c>
      <c r="AN82">
        <v>10</v>
      </c>
    </row>
    <row r="83" customFormat="1" ht="16.5" spans="1:40">
      <c r="A83">
        <v>81</v>
      </c>
      <c r="B83">
        <f t="shared" si="23"/>
        <v>272</v>
      </c>
      <c r="C83">
        <f t="shared" si="24"/>
        <v>223</v>
      </c>
      <c r="D83">
        <f t="shared" si="25"/>
        <v>181</v>
      </c>
      <c r="E83">
        <f t="shared" si="26"/>
        <v>181</v>
      </c>
      <c r="F83" s="2">
        <f t="shared" si="27"/>
        <v>3680</v>
      </c>
      <c r="G83">
        <v>8</v>
      </c>
      <c r="H83">
        <v>0</v>
      </c>
      <c r="I83">
        <v>10</v>
      </c>
      <c r="J83">
        <v>0</v>
      </c>
      <c r="K83" s="2">
        <f t="shared" si="28"/>
        <v>1226</v>
      </c>
      <c r="L83" s="3">
        <f t="shared" si="29"/>
        <v>1840</v>
      </c>
      <c r="N83" t="str">
        <f t="shared" si="22"/>
        <v>[{"1":274},{"2":224},{"4":182},{"5":182},{"12":3700}]</v>
      </c>
      <c r="W83" t="str">
        <f>$N$1&amp;$P$1&amp;$T$1&amp;$C$2&amp;$T$1&amp;$R$1&amp;C84&amp;$Q$1&amp;$S$1&amp;$P$1&amp;$T$1&amp;$D$2&amp;$T$1&amp;$R$1&amp;D84&amp;$Q$1&amp;$S$1&amp;$P$1&amp;$T$1&amp;$E$2&amp;$T$1&amp;$R$1&amp;E84&amp;$Q$1&amp;$S$1&amp;$P$1&amp;$T$1&amp;$F$2&amp;$T$1&amp;$R$1&amp;K84&amp;$Q$1&amp;$S$1&amp;$P$1&amp;$T$1&amp;$G$2&amp;$T$1&amp;$R$1&amp;G84&amp;$Q$1&amp;$S$1&amp;$P$1&amp;$T$1&amp;$H$2&amp;$T$1&amp;$R$1&amp;H84&amp;$Q$1&amp;$S$1&amp;$P$1&amp;$T$1&amp;$I$2&amp;$T$1&amp;$R$1&amp;I84&amp;$Q$1&amp;$S$1&amp;$P$1&amp;$T$1&amp;$J$2&amp;$T$1&amp;$R$1&amp;J84&amp;$Q$1&amp;$O$1</f>
        <v>[{"2":224},{"4":182},{"5":182},{"12":1233},{"7":8},{"6":0},{"8":10},{"9":0}]</v>
      </c>
      <c r="AE83" t="str">
        <f>$N$1&amp;$P$1&amp;$T$1&amp;$C$2&amp;$T$1&amp;$R$1&amp;C84&amp;$Q$1&amp;$S$1&amp;$P$1&amp;$T$1&amp;$D$2&amp;$T$1&amp;$R$1&amp;D84&amp;$Q$1&amp;$S$1&amp;$P$1&amp;$T$1&amp;$E$2&amp;$T$1&amp;$R$1&amp;E84&amp;$Q$1&amp;$S$1&amp;$P$1&amp;$T$1&amp;$F$2&amp;$T$1&amp;$R$1&amp;L84&amp;$Q$1&amp;$S$1&amp;$P$1&amp;$T$1&amp;$G$2&amp;$T$1&amp;$R$1&amp;G84&amp;$Q$1&amp;$S$1&amp;$P$1&amp;$T$1&amp;$H$2&amp;$T$1&amp;$R$1&amp;H84&amp;$Q$1&amp;$S$1&amp;$P$1&amp;$T$1&amp;$I$2&amp;$T$1&amp;$R$1&amp;I84&amp;$Q$1&amp;$S$1&amp;$P$1&amp;$T$1&amp;$J$2&amp;$T$1&amp;$R$1&amp;J84&amp;$Q$1&amp;$O$1</f>
        <v>[{"2":224},{"4":182},{"5":182},{"12":1850},{"7":8},{"6":0},{"8":10},{"9":0}]</v>
      </c>
      <c r="AG83">
        <v>260</v>
      </c>
      <c r="AH83">
        <f t="shared" si="30"/>
        <v>173</v>
      </c>
      <c r="AI83">
        <f t="shared" si="31"/>
        <v>173</v>
      </c>
      <c r="AJ83">
        <f t="shared" si="32"/>
        <v>3460</v>
      </c>
      <c r="AK83">
        <v>4</v>
      </c>
      <c r="AL83">
        <v>8</v>
      </c>
      <c r="AM83">
        <v>0</v>
      </c>
      <c r="AN83">
        <v>10</v>
      </c>
    </row>
    <row r="84" customFormat="1" ht="16.5" spans="1:40">
      <c r="A84">
        <v>82</v>
      </c>
      <c r="B84">
        <f t="shared" si="23"/>
        <v>274</v>
      </c>
      <c r="C84">
        <f t="shared" si="24"/>
        <v>224</v>
      </c>
      <c r="D84">
        <f t="shared" si="25"/>
        <v>182</v>
      </c>
      <c r="E84">
        <f t="shared" si="26"/>
        <v>182</v>
      </c>
      <c r="F84" s="2">
        <f t="shared" si="27"/>
        <v>3700</v>
      </c>
      <c r="G84">
        <v>8</v>
      </c>
      <c r="H84">
        <v>0</v>
      </c>
      <c r="I84">
        <v>10</v>
      </c>
      <c r="J84">
        <v>0</v>
      </c>
      <c r="K84" s="2">
        <f t="shared" si="28"/>
        <v>1233</v>
      </c>
      <c r="L84" s="3">
        <f t="shared" si="29"/>
        <v>1850</v>
      </c>
      <c r="N84" t="str">
        <f t="shared" si="22"/>
        <v>[{"1":276},{"2":226},{"4":184},{"5":184},{"12":3740}]</v>
      </c>
      <c r="W84" t="str">
        <f>$N$1&amp;$P$1&amp;$T$1&amp;$C$2&amp;$T$1&amp;$R$1&amp;C85&amp;$Q$1&amp;$S$1&amp;$P$1&amp;$T$1&amp;$D$2&amp;$T$1&amp;$R$1&amp;D85&amp;$Q$1&amp;$S$1&amp;$P$1&amp;$T$1&amp;$E$2&amp;$T$1&amp;$R$1&amp;E85&amp;$Q$1&amp;$S$1&amp;$P$1&amp;$T$1&amp;$F$2&amp;$T$1&amp;$R$1&amp;K85&amp;$Q$1&amp;$S$1&amp;$P$1&amp;$T$1&amp;$G$2&amp;$T$1&amp;$R$1&amp;G85&amp;$Q$1&amp;$S$1&amp;$P$1&amp;$T$1&amp;$H$2&amp;$T$1&amp;$R$1&amp;H85&amp;$Q$1&amp;$S$1&amp;$P$1&amp;$T$1&amp;$I$2&amp;$T$1&amp;$R$1&amp;I85&amp;$Q$1&amp;$S$1&amp;$P$1&amp;$T$1&amp;$J$2&amp;$T$1&amp;$R$1&amp;J85&amp;$Q$1&amp;$O$1</f>
        <v>[{"2":226},{"4":184},{"5":184},{"12":1246},{"7":8},{"6":0},{"8":10},{"9":0}]</v>
      </c>
      <c r="AE84" t="str">
        <f>$N$1&amp;$P$1&amp;$T$1&amp;$C$2&amp;$T$1&amp;$R$1&amp;C85&amp;$Q$1&amp;$S$1&amp;$P$1&amp;$T$1&amp;$D$2&amp;$T$1&amp;$R$1&amp;D85&amp;$Q$1&amp;$S$1&amp;$P$1&amp;$T$1&amp;$E$2&amp;$T$1&amp;$R$1&amp;E85&amp;$Q$1&amp;$S$1&amp;$P$1&amp;$T$1&amp;$F$2&amp;$T$1&amp;$R$1&amp;L85&amp;$Q$1&amp;$S$1&amp;$P$1&amp;$T$1&amp;$G$2&amp;$T$1&amp;$R$1&amp;G85&amp;$Q$1&amp;$S$1&amp;$P$1&amp;$T$1&amp;$H$2&amp;$T$1&amp;$R$1&amp;H85&amp;$Q$1&amp;$S$1&amp;$P$1&amp;$T$1&amp;$I$2&amp;$T$1&amp;$R$1&amp;I85&amp;$Q$1&amp;$S$1&amp;$P$1&amp;$T$1&amp;$J$2&amp;$T$1&amp;$R$1&amp;J85&amp;$Q$1&amp;$O$1</f>
        <v>[{"2":226},{"4":184},{"5":184},{"12":1870},{"7":8},{"6":0},{"8":10},{"9":0}]</v>
      </c>
      <c r="AG84">
        <v>262</v>
      </c>
      <c r="AH84">
        <f t="shared" si="30"/>
        <v>174</v>
      </c>
      <c r="AI84">
        <f t="shared" si="31"/>
        <v>174</v>
      </c>
      <c r="AJ84">
        <f t="shared" si="32"/>
        <v>3480</v>
      </c>
      <c r="AK84">
        <v>4</v>
      </c>
      <c r="AL84">
        <v>8</v>
      </c>
      <c r="AM84">
        <v>0</v>
      </c>
      <c r="AN84">
        <v>10</v>
      </c>
    </row>
    <row r="85" customFormat="1" ht="16.5" spans="1:40">
      <c r="A85">
        <v>83</v>
      </c>
      <c r="B85">
        <f t="shared" si="23"/>
        <v>276</v>
      </c>
      <c r="C85">
        <f t="shared" si="24"/>
        <v>226</v>
      </c>
      <c r="D85">
        <f t="shared" si="25"/>
        <v>184</v>
      </c>
      <c r="E85">
        <f t="shared" si="26"/>
        <v>184</v>
      </c>
      <c r="F85" s="2">
        <f t="shared" si="27"/>
        <v>3740</v>
      </c>
      <c r="G85">
        <v>8</v>
      </c>
      <c r="H85">
        <v>0</v>
      </c>
      <c r="I85">
        <v>10</v>
      </c>
      <c r="J85">
        <v>0</v>
      </c>
      <c r="K85" s="2">
        <f t="shared" si="28"/>
        <v>1246</v>
      </c>
      <c r="L85" s="3">
        <f t="shared" si="29"/>
        <v>1870</v>
      </c>
      <c r="N85" t="str">
        <f t="shared" si="22"/>
        <v>[{"1":278},{"2":227},{"4":185},{"5":185},{"12":3760}]</v>
      </c>
      <c r="W85" t="str">
        <f>$N$1&amp;$P$1&amp;$T$1&amp;$C$2&amp;$T$1&amp;$R$1&amp;C86&amp;$Q$1&amp;$S$1&amp;$P$1&amp;$T$1&amp;$D$2&amp;$T$1&amp;$R$1&amp;D86&amp;$Q$1&amp;$S$1&amp;$P$1&amp;$T$1&amp;$E$2&amp;$T$1&amp;$R$1&amp;E86&amp;$Q$1&amp;$S$1&amp;$P$1&amp;$T$1&amp;$F$2&amp;$T$1&amp;$R$1&amp;K86&amp;$Q$1&amp;$S$1&amp;$P$1&amp;$T$1&amp;$G$2&amp;$T$1&amp;$R$1&amp;G86&amp;$Q$1&amp;$S$1&amp;$P$1&amp;$T$1&amp;$H$2&amp;$T$1&amp;$R$1&amp;H86&amp;$Q$1&amp;$S$1&amp;$P$1&amp;$T$1&amp;$I$2&amp;$T$1&amp;$R$1&amp;I86&amp;$Q$1&amp;$S$1&amp;$P$1&amp;$T$1&amp;$J$2&amp;$T$1&amp;$R$1&amp;J86&amp;$Q$1&amp;$O$1</f>
        <v>[{"2":227},{"4":185},{"5":185},{"12":1253},{"7":8},{"6":0},{"8":10},{"9":0}]</v>
      </c>
      <c r="AE85" t="str">
        <f>$N$1&amp;$P$1&amp;$T$1&amp;$C$2&amp;$T$1&amp;$R$1&amp;C86&amp;$Q$1&amp;$S$1&amp;$P$1&amp;$T$1&amp;$D$2&amp;$T$1&amp;$R$1&amp;D86&amp;$Q$1&amp;$S$1&amp;$P$1&amp;$T$1&amp;$E$2&amp;$T$1&amp;$R$1&amp;E86&amp;$Q$1&amp;$S$1&amp;$P$1&amp;$T$1&amp;$F$2&amp;$T$1&amp;$R$1&amp;L86&amp;$Q$1&amp;$S$1&amp;$P$1&amp;$T$1&amp;$G$2&amp;$T$1&amp;$R$1&amp;G86&amp;$Q$1&amp;$S$1&amp;$P$1&amp;$T$1&amp;$H$2&amp;$T$1&amp;$R$1&amp;H86&amp;$Q$1&amp;$S$1&amp;$P$1&amp;$T$1&amp;$I$2&amp;$T$1&amp;$R$1&amp;I86&amp;$Q$1&amp;$S$1&amp;$P$1&amp;$T$1&amp;$J$2&amp;$T$1&amp;$R$1&amp;J86&amp;$Q$1&amp;$O$1</f>
        <v>[{"2":227},{"4":185},{"5":185},{"12":1880},{"7":8},{"6":0},{"8":10},{"9":0}]</v>
      </c>
      <c r="AG85">
        <v>264</v>
      </c>
      <c r="AH85">
        <f t="shared" si="30"/>
        <v>176</v>
      </c>
      <c r="AI85">
        <f t="shared" si="31"/>
        <v>176</v>
      </c>
      <c r="AJ85">
        <f t="shared" si="32"/>
        <v>3520</v>
      </c>
      <c r="AK85">
        <v>4</v>
      </c>
      <c r="AL85">
        <v>8</v>
      </c>
      <c r="AM85">
        <v>0</v>
      </c>
      <c r="AN85">
        <v>10</v>
      </c>
    </row>
    <row r="86" customFormat="1" ht="16.5" spans="1:40">
      <c r="A86">
        <v>84</v>
      </c>
      <c r="B86">
        <f t="shared" si="23"/>
        <v>278</v>
      </c>
      <c r="C86">
        <f t="shared" si="24"/>
        <v>227</v>
      </c>
      <c r="D86">
        <f t="shared" si="25"/>
        <v>185</v>
      </c>
      <c r="E86">
        <f t="shared" si="26"/>
        <v>185</v>
      </c>
      <c r="F86" s="2">
        <f t="shared" si="27"/>
        <v>3760</v>
      </c>
      <c r="G86">
        <v>8</v>
      </c>
      <c r="H86">
        <v>0</v>
      </c>
      <c r="I86">
        <v>10</v>
      </c>
      <c r="J86">
        <v>0</v>
      </c>
      <c r="K86" s="2">
        <f t="shared" si="28"/>
        <v>1253</v>
      </c>
      <c r="L86" s="3">
        <f t="shared" si="29"/>
        <v>1880</v>
      </c>
      <c r="N86" t="str">
        <f t="shared" si="22"/>
        <v>[{"1":280},{"2":229},{"4":186},{"5":186},{"12":3780}]</v>
      </c>
      <c r="W86" t="str">
        <f>$N$1&amp;$P$1&amp;$T$1&amp;$C$2&amp;$T$1&amp;$R$1&amp;C87&amp;$Q$1&amp;$S$1&amp;$P$1&amp;$T$1&amp;$D$2&amp;$T$1&amp;$R$1&amp;D87&amp;$Q$1&amp;$S$1&amp;$P$1&amp;$T$1&amp;$E$2&amp;$T$1&amp;$R$1&amp;E87&amp;$Q$1&amp;$S$1&amp;$P$1&amp;$T$1&amp;$F$2&amp;$T$1&amp;$R$1&amp;K87&amp;$Q$1&amp;$S$1&amp;$P$1&amp;$T$1&amp;$G$2&amp;$T$1&amp;$R$1&amp;G87&amp;$Q$1&amp;$S$1&amp;$P$1&amp;$T$1&amp;$H$2&amp;$T$1&amp;$R$1&amp;H87&amp;$Q$1&amp;$S$1&amp;$P$1&amp;$T$1&amp;$I$2&amp;$T$1&amp;$R$1&amp;I87&amp;$Q$1&amp;$S$1&amp;$P$1&amp;$T$1&amp;$J$2&amp;$T$1&amp;$R$1&amp;J87&amp;$Q$1&amp;$O$1</f>
        <v>[{"2":229},{"4":186},{"5":186},{"12":1260},{"7":8},{"6":0},{"8":10},{"9":0}]</v>
      </c>
      <c r="AE86" t="str">
        <f>$N$1&amp;$P$1&amp;$T$1&amp;$C$2&amp;$T$1&amp;$R$1&amp;C87&amp;$Q$1&amp;$S$1&amp;$P$1&amp;$T$1&amp;$D$2&amp;$T$1&amp;$R$1&amp;D87&amp;$Q$1&amp;$S$1&amp;$P$1&amp;$T$1&amp;$E$2&amp;$T$1&amp;$R$1&amp;E87&amp;$Q$1&amp;$S$1&amp;$P$1&amp;$T$1&amp;$F$2&amp;$T$1&amp;$R$1&amp;L87&amp;$Q$1&amp;$S$1&amp;$P$1&amp;$T$1&amp;$G$2&amp;$T$1&amp;$R$1&amp;G87&amp;$Q$1&amp;$S$1&amp;$P$1&amp;$T$1&amp;$H$2&amp;$T$1&amp;$R$1&amp;H87&amp;$Q$1&amp;$S$1&amp;$P$1&amp;$T$1&amp;$I$2&amp;$T$1&amp;$R$1&amp;I87&amp;$Q$1&amp;$S$1&amp;$P$1&amp;$T$1&amp;$J$2&amp;$T$1&amp;$R$1&amp;J87&amp;$Q$1&amp;$O$1</f>
        <v>[{"2":229},{"4":186},{"5":186},{"12":1890},{"7":8},{"6":0},{"8":10},{"9":0}]</v>
      </c>
      <c r="AG86">
        <v>266</v>
      </c>
      <c r="AH86">
        <f t="shared" si="30"/>
        <v>177</v>
      </c>
      <c r="AI86">
        <f t="shared" si="31"/>
        <v>177</v>
      </c>
      <c r="AJ86">
        <f t="shared" si="32"/>
        <v>3540</v>
      </c>
      <c r="AK86">
        <v>4</v>
      </c>
      <c r="AL86">
        <v>8</v>
      </c>
      <c r="AM86">
        <v>0</v>
      </c>
      <c r="AN86">
        <v>10</v>
      </c>
    </row>
    <row r="87" customFormat="1" ht="16.5" spans="1:40">
      <c r="A87">
        <v>85</v>
      </c>
      <c r="B87">
        <f t="shared" si="23"/>
        <v>280</v>
      </c>
      <c r="C87">
        <f t="shared" si="24"/>
        <v>229</v>
      </c>
      <c r="D87">
        <f t="shared" si="25"/>
        <v>186</v>
      </c>
      <c r="E87">
        <f t="shared" si="26"/>
        <v>186</v>
      </c>
      <c r="F87" s="2">
        <f t="shared" si="27"/>
        <v>3780</v>
      </c>
      <c r="G87">
        <v>8</v>
      </c>
      <c r="H87">
        <v>0</v>
      </c>
      <c r="I87">
        <v>10</v>
      </c>
      <c r="J87">
        <v>0</v>
      </c>
      <c r="K87" s="2">
        <f t="shared" si="28"/>
        <v>1260</v>
      </c>
      <c r="L87" s="3">
        <f t="shared" si="29"/>
        <v>1890</v>
      </c>
      <c r="N87" t="str">
        <f t="shared" si="22"/>
        <v>[{"1":282},{"2":231},{"4":188},{"5":188},{"12":3820}]</v>
      </c>
      <c r="W87" t="str">
        <f>$N$1&amp;$P$1&amp;$T$1&amp;$C$2&amp;$T$1&amp;$R$1&amp;C88&amp;$Q$1&amp;$S$1&amp;$P$1&amp;$T$1&amp;$D$2&amp;$T$1&amp;$R$1&amp;D88&amp;$Q$1&amp;$S$1&amp;$P$1&amp;$T$1&amp;$E$2&amp;$T$1&amp;$R$1&amp;E88&amp;$Q$1&amp;$S$1&amp;$P$1&amp;$T$1&amp;$F$2&amp;$T$1&amp;$R$1&amp;K88&amp;$Q$1&amp;$S$1&amp;$P$1&amp;$T$1&amp;$G$2&amp;$T$1&amp;$R$1&amp;G88&amp;$Q$1&amp;$S$1&amp;$P$1&amp;$T$1&amp;$H$2&amp;$T$1&amp;$R$1&amp;H88&amp;$Q$1&amp;$S$1&amp;$P$1&amp;$T$1&amp;$I$2&amp;$T$1&amp;$R$1&amp;I88&amp;$Q$1&amp;$S$1&amp;$P$1&amp;$T$1&amp;$J$2&amp;$T$1&amp;$R$1&amp;J88&amp;$Q$1&amp;$O$1</f>
        <v>[{"2":231},{"4":188},{"5":188},{"12":1273},{"7":8},{"6":0},{"8":10},{"9":0}]</v>
      </c>
      <c r="AE87" t="str">
        <f>$N$1&amp;$P$1&amp;$T$1&amp;$C$2&amp;$T$1&amp;$R$1&amp;C88&amp;$Q$1&amp;$S$1&amp;$P$1&amp;$T$1&amp;$D$2&amp;$T$1&amp;$R$1&amp;D88&amp;$Q$1&amp;$S$1&amp;$P$1&amp;$T$1&amp;$E$2&amp;$T$1&amp;$R$1&amp;E88&amp;$Q$1&amp;$S$1&amp;$P$1&amp;$T$1&amp;$F$2&amp;$T$1&amp;$R$1&amp;L88&amp;$Q$1&amp;$S$1&amp;$P$1&amp;$T$1&amp;$G$2&amp;$T$1&amp;$R$1&amp;G88&amp;$Q$1&amp;$S$1&amp;$P$1&amp;$T$1&amp;$H$2&amp;$T$1&amp;$R$1&amp;H88&amp;$Q$1&amp;$S$1&amp;$P$1&amp;$T$1&amp;$I$2&amp;$T$1&amp;$R$1&amp;I88&amp;$Q$1&amp;$S$1&amp;$P$1&amp;$T$1&amp;$J$2&amp;$T$1&amp;$R$1&amp;J88&amp;$Q$1&amp;$O$1</f>
        <v>[{"2":231},{"4":188},{"5":188},{"12":1910},{"7":8},{"6":0},{"8":10},{"9":0}]</v>
      </c>
      <c r="AG87">
        <v>268</v>
      </c>
      <c r="AH87">
        <f t="shared" si="30"/>
        <v>178</v>
      </c>
      <c r="AI87">
        <f t="shared" si="31"/>
        <v>178</v>
      </c>
      <c r="AJ87">
        <f t="shared" si="32"/>
        <v>3560</v>
      </c>
      <c r="AK87">
        <v>4</v>
      </c>
      <c r="AL87">
        <v>8</v>
      </c>
      <c r="AM87">
        <v>0</v>
      </c>
      <c r="AN87">
        <v>10</v>
      </c>
    </row>
    <row r="88" customFormat="1" ht="16.5" spans="1:40">
      <c r="A88">
        <v>86</v>
      </c>
      <c r="B88">
        <f t="shared" si="23"/>
        <v>282</v>
      </c>
      <c r="C88">
        <f t="shared" si="24"/>
        <v>231</v>
      </c>
      <c r="D88">
        <f t="shared" si="25"/>
        <v>188</v>
      </c>
      <c r="E88">
        <f t="shared" si="26"/>
        <v>188</v>
      </c>
      <c r="F88" s="2">
        <f t="shared" si="27"/>
        <v>3820</v>
      </c>
      <c r="G88">
        <v>8</v>
      </c>
      <c r="H88">
        <v>0</v>
      </c>
      <c r="I88">
        <v>10</v>
      </c>
      <c r="J88">
        <v>0</v>
      </c>
      <c r="K88" s="2">
        <f t="shared" si="28"/>
        <v>1273</v>
      </c>
      <c r="L88" s="3">
        <f t="shared" si="29"/>
        <v>1910</v>
      </c>
      <c r="N88" t="str">
        <f t="shared" si="22"/>
        <v>[{"1":284},{"2":232},{"4":189},{"5":189},{"12":3840}]</v>
      </c>
      <c r="W88" t="str">
        <f>$N$1&amp;$P$1&amp;$T$1&amp;$C$2&amp;$T$1&amp;$R$1&amp;C89&amp;$Q$1&amp;$S$1&amp;$P$1&amp;$T$1&amp;$D$2&amp;$T$1&amp;$R$1&amp;D89&amp;$Q$1&amp;$S$1&amp;$P$1&amp;$T$1&amp;$E$2&amp;$T$1&amp;$R$1&amp;E89&amp;$Q$1&amp;$S$1&amp;$P$1&amp;$T$1&amp;$F$2&amp;$T$1&amp;$R$1&amp;K89&amp;$Q$1&amp;$S$1&amp;$P$1&amp;$T$1&amp;$G$2&amp;$T$1&amp;$R$1&amp;G89&amp;$Q$1&amp;$S$1&amp;$P$1&amp;$T$1&amp;$H$2&amp;$T$1&amp;$R$1&amp;H89&amp;$Q$1&amp;$S$1&amp;$P$1&amp;$T$1&amp;$I$2&amp;$T$1&amp;$R$1&amp;I89&amp;$Q$1&amp;$S$1&amp;$P$1&amp;$T$1&amp;$J$2&amp;$T$1&amp;$R$1&amp;J89&amp;$Q$1&amp;$O$1</f>
        <v>[{"2":232},{"4":189},{"5":189},{"12":1280},{"7":8},{"6":0},{"8":10},{"9":0}]</v>
      </c>
      <c r="AE88" t="str">
        <f>$N$1&amp;$P$1&amp;$T$1&amp;$C$2&amp;$T$1&amp;$R$1&amp;C89&amp;$Q$1&amp;$S$1&amp;$P$1&amp;$T$1&amp;$D$2&amp;$T$1&amp;$R$1&amp;D89&amp;$Q$1&amp;$S$1&amp;$P$1&amp;$T$1&amp;$E$2&amp;$T$1&amp;$R$1&amp;E89&amp;$Q$1&amp;$S$1&amp;$P$1&amp;$T$1&amp;$F$2&amp;$T$1&amp;$R$1&amp;L89&amp;$Q$1&amp;$S$1&amp;$P$1&amp;$T$1&amp;$G$2&amp;$T$1&amp;$R$1&amp;G89&amp;$Q$1&amp;$S$1&amp;$P$1&amp;$T$1&amp;$H$2&amp;$T$1&amp;$R$1&amp;H89&amp;$Q$1&amp;$S$1&amp;$P$1&amp;$T$1&amp;$I$2&amp;$T$1&amp;$R$1&amp;I89&amp;$Q$1&amp;$S$1&amp;$P$1&amp;$T$1&amp;$J$2&amp;$T$1&amp;$R$1&amp;J89&amp;$Q$1&amp;$O$1</f>
        <v>[{"2":232},{"4":189},{"5":189},{"12":1920},{"7":8},{"6":0},{"8":10},{"9":0}]</v>
      </c>
      <c r="AG88">
        <v>270</v>
      </c>
      <c r="AH88">
        <f t="shared" si="30"/>
        <v>180</v>
      </c>
      <c r="AI88">
        <f t="shared" si="31"/>
        <v>180</v>
      </c>
      <c r="AJ88">
        <f t="shared" si="32"/>
        <v>3600</v>
      </c>
      <c r="AK88">
        <v>4</v>
      </c>
      <c r="AL88">
        <v>8</v>
      </c>
      <c r="AM88">
        <v>0</v>
      </c>
      <c r="AN88">
        <v>10</v>
      </c>
    </row>
    <row r="89" customFormat="1" ht="16.5" spans="1:40">
      <c r="A89">
        <v>87</v>
      </c>
      <c r="B89">
        <f t="shared" si="23"/>
        <v>284</v>
      </c>
      <c r="C89">
        <f t="shared" si="24"/>
        <v>232</v>
      </c>
      <c r="D89">
        <f t="shared" si="25"/>
        <v>189</v>
      </c>
      <c r="E89">
        <f t="shared" si="26"/>
        <v>189</v>
      </c>
      <c r="F89" s="2">
        <f t="shared" si="27"/>
        <v>3840</v>
      </c>
      <c r="G89">
        <v>8</v>
      </c>
      <c r="H89">
        <v>0</v>
      </c>
      <c r="I89">
        <v>10</v>
      </c>
      <c r="J89">
        <v>0</v>
      </c>
      <c r="K89" s="2">
        <f t="shared" si="28"/>
        <v>1280</v>
      </c>
      <c r="L89" s="3">
        <f t="shared" si="29"/>
        <v>1920</v>
      </c>
      <c r="N89" t="str">
        <f t="shared" si="22"/>
        <v>[{"1":286},{"2":234},{"4":190},{"5":190},{"12":3860}]</v>
      </c>
      <c r="W89" t="str">
        <f>$N$1&amp;$P$1&amp;$T$1&amp;$C$2&amp;$T$1&amp;$R$1&amp;C90&amp;$Q$1&amp;$S$1&amp;$P$1&amp;$T$1&amp;$D$2&amp;$T$1&amp;$R$1&amp;D90&amp;$Q$1&amp;$S$1&amp;$P$1&amp;$T$1&amp;$E$2&amp;$T$1&amp;$R$1&amp;E90&amp;$Q$1&amp;$S$1&amp;$P$1&amp;$T$1&amp;$F$2&amp;$T$1&amp;$R$1&amp;K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[{"2":234},{"4":190},{"5":190},{"12":1286},{"7":8},{"6":0},{"8":10},{"9":0}]</v>
      </c>
      <c r="AE89" t="str">
        <f>$N$1&amp;$P$1&amp;$T$1&amp;$C$2&amp;$T$1&amp;$R$1&amp;C90&amp;$Q$1&amp;$S$1&amp;$P$1&amp;$T$1&amp;$D$2&amp;$T$1&amp;$R$1&amp;D90&amp;$Q$1&amp;$S$1&amp;$P$1&amp;$T$1&amp;$E$2&amp;$T$1&amp;$R$1&amp;E90&amp;$Q$1&amp;$S$1&amp;$P$1&amp;$T$1&amp;$F$2&amp;$T$1&amp;$R$1&amp;L90&amp;$Q$1&amp;$S$1&amp;$P$1&amp;$T$1&amp;$G$2&amp;$T$1&amp;$R$1&amp;G90&amp;$Q$1&amp;$S$1&amp;$P$1&amp;$T$1&amp;$H$2&amp;$T$1&amp;$R$1&amp;H90&amp;$Q$1&amp;$S$1&amp;$P$1&amp;$T$1&amp;$I$2&amp;$T$1&amp;$R$1&amp;I90&amp;$Q$1&amp;$S$1&amp;$P$1&amp;$T$1&amp;$J$2&amp;$T$1&amp;$R$1&amp;J90&amp;$Q$1&amp;$O$1</f>
        <v>[{"2":234},{"4":190},{"5":190},{"12":1930},{"7":8},{"6":0},{"8":10},{"9":0}]</v>
      </c>
      <c r="AG89">
        <v>272</v>
      </c>
      <c r="AH89">
        <f t="shared" si="30"/>
        <v>181</v>
      </c>
      <c r="AI89">
        <f t="shared" si="31"/>
        <v>181</v>
      </c>
      <c r="AJ89">
        <f t="shared" si="32"/>
        <v>3620</v>
      </c>
      <c r="AK89">
        <v>4</v>
      </c>
      <c r="AL89">
        <v>8</v>
      </c>
      <c r="AM89">
        <v>0</v>
      </c>
      <c r="AN89">
        <v>10</v>
      </c>
    </row>
    <row r="90" customFormat="1" ht="16.5" spans="1:40">
      <c r="A90">
        <v>88</v>
      </c>
      <c r="B90">
        <f t="shared" si="23"/>
        <v>286</v>
      </c>
      <c r="C90">
        <f t="shared" si="24"/>
        <v>234</v>
      </c>
      <c r="D90">
        <f t="shared" si="25"/>
        <v>190</v>
      </c>
      <c r="E90">
        <f t="shared" si="26"/>
        <v>190</v>
      </c>
      <c r="F90" s="2">
        <f t="shared" si="27"/>
        <v>3860</v>
      </c>
      <c r="G90">
        <v>8</v>
      </c>
      <c r="H90">
        <v>0</v>
      </c>
      <c r="I90">
        <v>10</v>
      </c>
      <c r="J90">
        <v>0</v>
      </c>
      <c r="K90" s="2">
        <f t="shared" si="28"/>
        <v>1286</v>
      </c>
      <c r="L90" s="3">
        <f t="shared" si="29"/>
        <v>1930</v>
      </c>
      <c r="N90" t="str">
        <f t="shared" si="22"/>
        <v>[{"1":288},{"2":236},{"4":192},{"5":192},{"12":3900}]</v>
      </c>
      <c r="W90" t="str">
        <f>$N$1&amp;$P$1&amp;$T$1&amp;$C$2&amp;$T$1&amp;$R$1&amp;C91&amp;$Q$1&amp;$S$1&amp;$P$1&amp;$T$1&amp;$D$2&amp;$T$1&amp;$R$1&amp;D91&amp;$Q$1&amp;$S$1&amp;$P$1&amp;$T$1&amp;$E$2&amp;$T$1&amp;$R$1&amp;E91&amp;$Q$1&amp;$S$1&amp;$P$1&amp;$T$1&amp;$F$2&amp;$T$1&amp;$R$1&amp;K91&amp;$Q$1&amp;$S$1&amp;$P$1&amp;$T$1&amp;$G$2&amp;$T$1&amp;$R$1&amp;G91&amp;$Q$1&amp;$S$1&amp;$P$1&amp;$T$1&amp;$H$2&amp;$T$1&amp;$R$1&amp;H91&amp;$Q$1&amp;$S$1&amp;$P$1&amp;$T$1&amp;$I$2&amp;$T$1&amp;$R$1&amp;I91&amp;$Q$1&amp;$S$1&amp;$P$1&amp;$T$1&amp;$J$2&amp;$T$1&amp;$R$1&amp;J91&amp;$Q$1&amp;$O$1</f>
        <v>[{"2":236},{"4":192},{"5":192},{"12":1300},{"7":8},{"6":0},{"8":10},{"9":0}]</v>
      </c>
      <c r="AE90" t="str">
        <f>$N$1&amp;$P$1&amp;$T$1&amp;$C$2&amp;$T$1&amp;$R$1&amp;C91&amp;$Q$1&amp;$S$1&amp;$P$1&amp;$T$1&amp;$D$2&amp;$T$1&amp;$R$1&amp;D91&amp;$Q$1&amp;$S$1&amp;$P$1&amp;$T$1&amp;$E$2&amp;$T$1&amp;$R$1&amp;E91&amp;$Q$1&amp;$S$1&amp;$P$1&amp;$T$1&amp;$F$2&amp;$T$1&amp;$R$1&amp;L91&amp;$Q$1&amp;$S$1&amp;$P$1&amp;$T$1&amp;$G$2&amp;$T$1&amp;$R$1&amp;G91&amp;$Q$1&amp;$S$1&amp;$P$1&amp;$T$1&amp;$H$2&amp;$T$1&amp;$R$1&amp;H91&amp;$Q$1&amp;$S$1&amp;$P$1&amp;$T$1&amp;$I$2&amp;$T$1&amp;$R$1&amp;I91&amp;$Q$1&amp;$S$1&amp;$P$1&amp;$T$1&amp;$J$2&amp;$T$1&amp;$R$1&amp;J91&amp;$Q$1&amp;$O$1</f>
        <v>[{"2":236},{"4":192},{"5":192},{"12":1950},{"7":8},{"6":0},{"8":10},{"9":0}]</v>
      </c>
      <c r="AG90">
        <v>274</v>
      </c>
      <c r="AH90">
        <f t="shared" si="30"/>
        <v>182</v>
      </c>
      <c r="AI90">
        <f t="shared" si="31"/>
        <v>182</v>
      </c>
      <c r="AJ90">
        <f t="shared" si="32"/>
        <v>3640</v>
      </c>
      <c r="AK90">
        <v>4</v>
      </c>
      <c r="AL90">
        <v>8</v>
      </c>
      <c r="AM90">
        <v>0</v>
      </c>
      <c r="AN90">
        <v>10</v>
      </c>
    </row>
    <row r="91" customFormat="1" ht="16.5" spans="1:40">
      <c r="A91">
        <v>89</v>
      </c>
      <c r="B91">
        <f t="shared" si="23"/>
        <v>288</v>
      </c>
      <c r="C91">
        <f t="shared" si="24"/>
        <v>236</v>
      </c>
      <c r="D91">
        <f t="shared" si="25"/>
        <v>192</v>
      </c>
      <c r="E91">
        <f t="shared" si="26"/>
        <v>192</v>
      </c>
      <c r="F91" s="2">
        <f t="shared" si="27"/>
        <v>3900</v>
      </c>
      <c r="G91">
        <v>8</v>
      </c>
      <c r="H91">
        <v>0</v>
      </c>
      <c r="I91">
        <v>10</v>
      </c>
      <c r="J91">
        <v>0</v>
      </c>
      <c r="K91" s="2">
        <f t="shared" si="28"/>
        <v>1300</v>
      </c>
      <c r="L91" s="3">
        <f t="shared" si="29"/>
        <v>1950</v>
      </c>
      <c r="N91" t="str">
        <f t="shared" si="22"/>
        <v>[{"1":290},{"2":237},{"4":193},{"5":193},{"12":3920}]</v>
      </c>
      <c r="W91" t="str">
        <f>$N$1&amp;$P$1&amp;$T$1&amp;$C$2&amp;$T$1&amp;$R$1&amp;C92&amp;$Q$1&amp;$S$1&amp;$P$1&amp;$T$1&amp;$D$2&amp;$T$1&amp;$R$1&amp;D92&amp;$Q$1&amp;$S$1&amp;$P$1&amp;$T$1&amp;$E$2&amp;$T$1&amp;$R$1&amp;E92&amp;$Q$1&amp;$S$1&amp;$P$1&amp;$T$1&amp;$F$2&amp;$T$1&amp;$R$1&amp;K92&amp;$Q$1&amp;$S$1&amp;$P$1&amp;$T$1&amp;$G$2&amp;$T$1&amp;$R$1&amp;G92&amp;$Q$1&amp;$S$1&amp;$P$1&amp;$T$1&amp;$H$2&amp;$T$1&amp;$R$1&amp;H92&amp;$Q$1&amp;$S$1&amp;$P$1&amp;$T$1&amp;$I$2&amp;$T$1&amp;$R$1&amp;I92&amp;$Q$1&amp;$S$1&amp;$P$1&amp;$T$1&amp;$J$2&amp;$T$1&amp;$R$1&amp;J92&amp;$Q$1&amp;$O$1</f>
        <v>[{"2":237},{"4":193},{"5":193},{"12":1306},{"7":8},{"6":0},{"8":10},{"9":0}]</v>
      </c>
      <c r="AE91" t="str">
        <f>$N$1&amp;$P$1&amp;$T$1&amp;$C$2&amp;$T$1&amp;$R$1&amp;C92&amp;$Q$1&amp;$S$1&amp;$P$1&amp;$T$1&amp;$D$2&amp;$T$1&amp;$R$1&amp;D92&amp;$Q$1&amp;$S$1&amp;$P$1&amp;$T$1&amp;$E$2&amp;$T$1&amp;$R$1&amp;E92&amp;$Q$1&amp;$S$1&amp;$P$1&amp;$T$1&amp;$F$2&amp;$T$1&amp;$R$1&amp;L92&amp;$Q$1&amp;$S$1&amp;$P$1&amp;$T$1&amp;$G$2&amp;$T$1&amp;$R$1&amp;G92&amp;$Q$1&amp;$S$1&amp;$P$1&amp;$T$1&amp;$H$2&amp;$T$1&amp;$R$1&amp;H92&amp;$Q$1&amp;$S$1&amp;$P$1&amp;$T$1&amp;$I$2&amp;$T$1&amp;$R$1&amp;I92&amp;$Q$1&amp;$S$1&amp;$P$1&amp;$T$1&amp;$J$2&amp;$T$1&amp;$R$1&amp;J92&amp;$Q$1&amp;$O$1</f>
        <v>[{"2":237},{"4":193},{"5":193},{"12":1960},{"7":8},{"6":0},{"8":10},{"9":0}]</v>
      </c>
      <c r="AG91">
        <v>276</v>
      </c>
      <c r="AH91">
        <f t="shared" si="30"/>
        <v>184</v>
      </c>
      <c r="AI91">
        <f t="shared" si="31"/>
        <v>184</v>
      </c>
      <c r="AJ91">
        <f t="shared" si="32"/>
        <v>3680</v>
      </c>
      <c r="AK91">
        <v>4</v>
      </c>
      <c r="AL91">
        <v>8</v>
      </c>
      <c r="AM91">
        <v>0</v>
      </c>
      <c r="AN91">
        <v>10</v>
      </c>
    </row>
    <row r="92" customFormat="1" ht="16.5" spans="1:40">
      <c r="A92">
        <v>90</v>
      </c>
      <c r="B92">
        <f t="shared" si="23"/>
        <v>290</v>
      </c>
      <c r="C92">
        <f t="shared" si="24"/>
        <v>237</v>
      </c>
      <c r="D92">
        <f t="shared" si="25"/>
        <v>193</v>
      </c>
      <c r="E92">
        <f t="shared" si="26"/>
        <v>193</v>
      </c>
      <c r="F92" s="2">
        <f t="shared" si="27"/>
        <v>3920</v>
      </c>
      <c r="G92">
        <v>8</v>
      </c>
      <c r="H92">
        <v>0</v>
      </c>
      <c r="I92">
        <v>10</v>
      </c>
      <c r="J92">
        <v>0</v>
      </c>
      <c r="K92" s="2">
        <f t="shared" si="28"/>
        <v>1306</v>
      </c>
      <c r="L92" s="3">
        <f t="shared" si="29"/>
        <v>1960</v>
      </c>
      <c r="N92" t="str">
        <f t="shared" si="22"/>
        <v>[{"1":292},{"2":239},{"4":194},{"5":194},{"12":3940}]</v>
      </c>
      <c r="W92" t="str">
        <f>$N$1&amp;$P$1&amp;$T$1&amp;$C$2&amp;$T$1&amp;$R$1&amp;C93&amp;$Q$1&amp;$S$1&amp;$P$1&amp;$T$1&amp;$D$2&amp;$T$1&amp;$R$1&amp;D93&amp;$Q$1&amp;$S$1&amp;$P$1&amp;$T$1&amp;$E$2&amp;$T$1&amp;$R$1&amp;E93&amp;$Q$1&amp;$S$1&amp;$P$1&amp;$T$1&amp;$F$2&amp;$T$1&amp;$R$1&amp;K93&amp;$Q$1&amp;$S$1&amp;$P$1&amp;$T$1&amp;$G$2&amp;$T$1&amp;$R$1&amp;G93&amp;$Q$1&amp;$S$1&amp;$P$1&amp;$T$1&amp;$H$2&amp;$T$1&amp;$R$1&amp;H93&amp;$Q$1&amp;$S$1&amp;$P$1&amp;$T$1&amp;$I$2&amp;$T$1&amp;$R$1&amp;I93&amp;$Q$1&amp;$S$1&amp;$P$1&amp;$T$1&amp;$J$2&amp;$T$1&amp;$R$1&amp;J93&amp;$Q$1&amp;$O$1</f>
        <v>[{"2":239},{"4":194},{"5":194},{"12":1313},{"7":8},{"6":0},{"8":10},{"9":0}]</v>
      </c>
      <c r="AE92" t="str">
        <f>$N$1&amp;$P$1&amp;$T$1&amp;$C$2&amp;$T$1&amp;$R$1&amp;C93&amp;$Q$1&amp;$S$1&amp;$P$1&amp;$T$1&amp;$D$2&amp;$T$1&amp;$R$1&amp;D93&amp;$Q$1&amp;$S$1&amp;$P$1&amp;$T$1&amp;$E$2&amp;$T$1&amp;$R$1&amp;E93&amp;$Q$1&amp;$S$1&amp;$P$1&amp;$T$1&amp;$F$2&amp;$T$1&amp;$R$1&amp;L93&amp;$Q$1&amp;$S$1&amp;$P$1&amp;$T$1&amp;$G$2&amp;$T$1&amp;$R$1&amp;G93&amp;$Q$1&amp;$S$1&amp;$P$1&amp;$T$1&amp;$H$2&amp;$T$1&amp;$R$1&amp;H93&amp;$Q$1&amp;$S$1&amp;$P$1&amp;$T$1&amp;$I$2&amp;$T$1&amp;$R$1&amp;I93&amp;$Q$1&amp;$S$1&amp;$P$1&amp;$T$1&amp;$J$2&amp;$T$1&amp;$R$1&amp;J93&amp;$Q$1&amp;$O$1</f>
        <v>[{"2":239},{"4":194},{"5":194},{"12":1970},{"7":8},{"6":0},{"8":10},{"9":0}]</v>
      </c>
      <c r="AG92">
        <v>278</v>
      </c>
      <c r="AH92">
        <f t="shared" si="30"/>
        <v>185</v>
      </c>
      <c r="AI92">
        <f t="shared" si="31"/>
        <v>185</v>
      </c>
      <c r="AJ92">
        <f t="shared" si="32"/>
        <v>3700</v>
      </c>
      <c r="AK92">
        <v>4</v>
      </c>
      <c r="AL92">
        <v>8</v>
      </c>
      <c r="AM92">
        <v>0</v>
      </c>
      <c r="AN92">
        <v>10</v>
      </c>
    </row>
    <row r="93" customFormat="1" ht="16.5" spans="1:40">
      <c r="A93">
        <v>91</v>
      </c>
      <c r="B93">
        <f t="shared" si="23"/>
        <v>292</v>
      </c>
      <c r="C93">
        <f t="shared" si="24"/>
        <v>239</v>
      </c>
      <c r="D93">
        <f t="shared" si="25"/>
        <v>194</v>
      </c>
      <c r="E93">
        <f t="shared" si="26"/>
        <v>194</v>
      </c>
      <c r="F93" s="2">
        <f t="shared" si="27"/>
        <v>3940</v>
      </c>
      <c r="G93">
        <v>8</v>
      </c>
      <c r="H93">
        <v>0</v>
      </c>
      <c r="I93">
        <v>10</v>
      </c>
      <c r="J93">
        <v>0</v>
      </c>
      <c r="K93" s="2">
        <f t="shared" si="28"/>
        <v>1313</v>
      </c>
      <c r="L93" s="3">
        <f t="shared" si="29"/>
        <v>1970</v>
      </c>
      <c r="N93" t="str">
        <f t="shared" si="22"/>
        <v>[{"1":294},{"2":241},{"4":196},{"5":196},{"12":3980}]</v>
      </c>
      <c r="W93" t="str">
        <f>$N$1&amp;$P$1&amp;$T$1&amp;$C$2&amp;$T$1&amp;$R$1&amp;C94&amp;$Q$1&amp;$S$1&amp;$P$1&amp;$T$1&amp;$D$2&amp;$T$1&amp;$R$1&amp;D94&amp;$Q$1&amp;$S$1&amp;$P$1&amp;$T$1&amp;$E$2&amp;$T$1&amp;$R$1&amp;E94&amp;$Q$1&amp;$S$1&amp;$P$1&amp;$T$1&amp;$F$2&amp;$T$1&amp;$R$1&amp;K94&amp;$Q$1&amp;$S$1&amp;$P$1&amp;$T$1&amp;$G$2&amp;$T$1&amp;$R$1&amp;G94&amp;$Q$1&amp;$S$1&amp;$P$1&amp;$T$1&amp;$H$2&amp;$T$1&amp;$R$1&amp;H94&amp;$Q$1&amp;$S$1&amp;$P$1&amp;$T$1&amp;$I$2&amp;$T$1&amp;$R$1&amp;I94&amp;$Q$1&amp;$S$1&amp;$P$1&amp;$T$1&amp;$J$2&amp;$T$1&amp;$R$1&amp;J94&amp;$Q$1&amp;$O$1</f>
        <v>[{"2":241},{"4":196},{"5":196},{"12":1326},{"7":8},{"6":0},{"8":10},{"9":0}]</v>
      </c>
      <c r="AE93" t="str">
        <f>$N$1&amp;$P$1&amp;$T$1&amp;$C$2&amp;$T$1&amp;$R$1&amp;C94&amp;$Q$1&amp;$S$1&amp;$P$1&amp;$T$1&amp;$D$2&amp;$T$1&amp;$R$1&amp;D94&amp;$Q$1&amp;$S$1&amp;$P$1&amp;$T$1&amp;$E$2&amp;$T$1&amp;$R$1&amp;E94&amp;$Q$1&amp;$S$1&amp;$P$1&amp;$T$1&amp;$F$2&amp;$T$1&amp;$R$1&amp;L94&amp;$Q$1&amp;$S$1&amp;$P$1&amp;$T$1&amp;$G$2&amp;$T$1&amp;$R$1&amp;G94&amp;$Q$1&amp;$S$1&amp;$P$1&amp;$T$1&amp;$H$2&amp;$T$1&amp;$R$1&amp;H94&amp;$Q$1&amp;$S$1&amp;$P$1&amp;$T$1&amp;$I$2&amp;$T$1&amp;$R$1&amp;I94&amp;$Q$1&amp;$S$1&amp;$P$1&amp;$T$1&amp;$J$2&amp;$T$1&amp;$R$1&amp;J94&amp;$Q$1&amp;$O$1</f>
        <v>[{"2":241},{"4":196},{"5":196},{"12":1990},{"7":8},{"6":0},{"8":10},{"9":0}]</v>
      </c>
      <c r="AG93">
        <v>280</v>
      </c>
      <c r="AH93">
        <f t="shared" si="30"/>
        <v>186</v>
      </c>
      <c r="AI93">
        <f t="shared" si="31"/>
        <v>186</v>
      </c>
      <c r="AJ93">
        <f t="shared" si="32"/>
        <v>3720</v>
      </c>
      <c r="AK93">
        <v>4</v>
      </c>
      <c r="AL93">
        <v>8</v>
      </c>
      <c r="AM93">
        <v>0</v>
      </c>
      <c r="AN93">
        <v>10</v>
      </c>
    </row>
    <row r="94" customFormat="1" ht="16.5" spans="1:40">
      <c r="A94">
        <v>92</v>
      </c>
      <c r="B94">
        <f t="shared" si="23"/>
        <v>294</v>
      </c>
      <c r="C94">
        <f t="shared" si="24"/>
        <v>241</v>
      </c>
      <c r="D94">
        <f t="shared" si="25"/>
        <v>196</v>
      </c>
      <c r="E94">
        <f t="shared" si="26"/>
        <v>196</v>
      </c>
      <c r="F94" s="2">
        <f t="shared" si="27"/>
        <v>3980</v>
      </c>
      <c r="G94">
        <v>8</v>
      </c>
      <c r="H94">
        <v>0</v>
      </c>
      <c r="I94">
        <v>10</v>
      </c>
      <c r="J94">
        <v>0</v>
      </c>
      <c r="K94" s="2">
        <f t="shared" si="28"/>
        <v>1326</v>
      </c>
      <c r="L94" s="3">
        <f t="shared" si="29"/>
        <v>1990</v>
      </c>
      <c r="N94" t="str">
        <f t="shared" si="22"/>
        <v>[{"1":296},{"2":242},{"4":197},{"5":197},{"12":4000}]</v>
      </c>
      <c r="W94" t="str">
        <f>$N$1&amp;$P$1&amp;$T$1&amp;$C$2&amp;$T$1&amp;$R$1&amp;C95&amp;$Q$1&amp;$S$1&amp;$P$1&amp;$T$1&amp;$D$2&amp;$T$1&amp;$R$1&amp;D95&amp;$Q$1&amp;$S$1&amp;$P$1&amp;$T$1&amp;$E$2&amp;$T$1&amp;$R$1&amp;E95&amp;$Q$1&amp;$S$1&amp;$P$1&amp;$T$1&amp;$F$2&amp;$T$1&amp;$R$1&amp;K95&amp;$Q$1&amp;$S$1&amp;$P$1&amp;$T$1&amp;$G$2&amp;$T$1&amp;$R$1&amp;G95&amp;$Q$1&amp;$S$1&amp;$P$1&amp;$T$1&amp;$H$2&amp;$T$1&amp;$R$1&amp;H95&amp;$Q$1&amp;$S$1&amp;$P$1&amp;$T$1&amp;$I$2&amp;$T$1&amp;$R$1&amp;I95&amp;$Q$1&amp;$S$1&amp;$P$1&amp;$T$1&amp;$J$2&amp;$T$1&amp;$R$1&amp;J95&amp;$Q$1&amp;$O$1</f>
        <v>[{"2":242},{"4":197},{"5":197},{"12":1333},{"7":8},{"6":0},{"8":10},{"9":0}]</v>
      </c>
      <c r="AE94" t="str">
        <f>$N$1&amp;$P$1&amp;$T$1&amp;$C$2&amp;$T$1&amp;$R$1&amp;C95&amp;$Q$1&amp;$S$1&amp;$P$1&amp;$T$1&amp;$D$2&amp;$T$1&amp;$R$1&amp;D95&amp;$Q$1&amp;$S$1&amp;$P$1&amp;$T$1&amp;$E$2&amp;$T$1&amp;$R$1&amp;E95&amp;$Q$1&amp;$S$1&amp;$P$1&amp;$T$1&amp;$F$2&amp;$T$1&amp;$R$1&amp;L95&amp;$Q$1&amp;$S$1&amp;$P$1&amp;$T$1&amp;$G$2&amp;$T$1&amp;$R$1&amp;G95&amp;$Q$1&amp;$S$1&amp;$P$1&amp;$T$1&amp;$H$2&amp;$T$1&amp;$R$1&amp;H95&amp;$Q$1&amp;$S$1&amp;$P$1&amp;$T$1&amp;$I$2&amp;$T$1&amp;$R$1&amp;I95&amp;$Q$1&amp;$S$1&amp;$P$1&amp;$T$1&amp;$J$2&amp;$T$1&amp;$R$1&amp;J95&amp;$Q$1&amp;$O$1</f>
        <v>[{"2":242},{"4":197},{"5":197},{"12":2000},{"7":8},{"6":0},{"8":10},{"9":0}]</v>
      </c>
      <c r="AG94">
        <v>282</v>
      </c>
      <c r="AH94">
        <f t="shared" si="30"/>
        <v>188</v>
      </c>
      <c r="AI94">
        <f t="shared" si="31"/>
        <v>188</v>
      </c>
      <c r="AJ94">
        <f t="shared" si="32"/>
        <v>3760</v>
      </c>
      <c r="AK94">
        <v>4</v>
      </c>
      <c r="AL94">
        <v>8</v>
      </c>
      <c r="AM94">
        <v>0</v>
      </c>
      <c r="AN94">
        <v>10</v>
      </c>
    </row>
    <row r="95" customFormat="1" ht="16.5" spans="1:40">
      <c r="A95">
        <v>93</v>
      </c>
      <c r="B95">
        <f t="shared" si="23"/>
        <v>296</v>
      </c>
      <c r="C95">
        <f t="shared" si="24"/>
        <v>242</v>
      </c>
      <c r="D95">
        <f t="shared" si="25"/>
        <v>197</v>
      </c>
      <c r="E95">
        <f t="shared" si="26"/>
        <v>197</v>
      </c>
      <c r="F95" s="2">
        <f t="shared" si="27"/>
        <v>4000</v>
      </c>
      <c r="G95">
        <v>8</v>
      </c>
      <c r="H95">
        <v>0</v>
      </c>
      <c r="I95">
        <v>10</v>
      </c>
      <c r="J95">
        <v>0</v>
      </c>
      <c r="K95" s="2">
        <f t="shared" si="28"/>
        <v>1333</v>
      </c>
      <c r="L95" s="3">
        <f t="shared" si="29"/>
        <v>2000</v>
      </c>
      <c r="N95" t="str">
        <f t="shared" si="22"/>
        <v>[{"1":298},{"2":244},{"4":198},{"5":198},{"12":4020}]</v>
      </c>
      <c r="W95" t="str">
        <f>$N$1&amp;$P$1&amp;$T$1&amp;$C$2&amp;$T$1&amp;$R$1&amp;C96&amp;$Q$1&amp;$S$1&amp;$P$1&amp;$T$1&amp;$D$2&amp;$T$1&amp;$R$1&amp;D96&amp;$Q$1&amp;$S$1&amp;$P$1&amp;$T$1&amp;$E$2&amp;$T$1&amp;$R$1&amp;E96&amp;$Q$1&amp;$S$1&amp;$P$1&amp;$T$1&amp;$F$2&amp;$T$1&amp;$R$1&amp;K96&amp;$Q$1&amp;$S$1&amp;$P$1&amp;$T$1&amp;$G$2&amp;$T$1&amp;$R$1&amp;G96&amp;$Q$1&amp;$S$1&amp;$P$1&amp;$T$1&amp;$H$2&amp;$T$1&amp;$R$1&amp;H96&amp;$Q$1&amp;$S$1&amp;$P$1&amp;$T$1&amp;$I$2&amp;$T$1&amp;$R$1&amp;I96&amp;$Q$1&amp;$S$1&amp;$P$1&amp;$T$1&amp;$J$2&amp;$T$1&amp;$R$1&amp;J96&amp;$Q$1&amp;$O$1</f>
        <v>[{"2":244},{"4":198},{"5":198},{"12":1340},{"7":8},{"6":0},{"8":10},{"9":0}]</v>
      </c>
      <c r="AE95" t="str">
        <f>$N$1&amp;$P$1&amp;$T$1&amp;$C$2&amp;$T$1&amp;$R$1&amp;C96&amp;$Q$1&amp;$S$1&amp;$P$1&amp;$T$1&amp;$D$2&amp;$T$1&amp;$R$1&amp;D96&amp;$Q$1&amp;$S$1&amp;$P$1&amp;$T$1&amp;$E$2&amp;$T$1&amp;$R$1&amp;E96&amp;$Q$1&amp;$S$1&amp;$P$1&amp;$T$1&amp;$F$2&amp;$T$1&amp;$R$1&amp;L96&amp;$Q$1&amp;$S$1&amp;$P$1&amp;$T$1&amp;$G$2&amp;$T$1&amp;$R$1&amp;G96&amp;$Q$1&amp;$S$1&amp;$P$1&amp;$T$1&amp;$H$2&amp;$T$1&amp;$R$1&amp;H96&amp;$Q$1&amp;$S$1&amp;$P$1&amp;$T$1&amp;$I$2&amp;$T$1&amp;$R$1&amp;I96&amp;$Q$1&amp;$S$1&amp;$P$1&amp;$T$1&amp;$J$2&amp;$T$1&amp;$R$1&amp;J96&amp;$Q$1&amp;$O$1</f>
        <v>[{"2":244},{"4":198},{"5":198},{"12":2010},{"7":8},{"6":0},{"8":10},{"9":0}]</v>
      </c>
      <c r="AG95">
        <v>284</v>
      </c>
      <c r="AH95">
        <f t="shared" si="30"/>
        <v>189</v>
      </c>
      <c r="AI95">
        <f t="shared" si="31"/>
        <v>189</v>
      </c>
      <c r="AJ95">
        <f t="shared" si="32"/>
        <v>3780</v>
      </c>
      <c r="AK95">
        <v>4</v>
      </c>
      <c r="AL95">
        <v>8</v>
      </c>
      <c r="AM95">
        <v>0</v>
      </c>
      <c r="AN95">
        <v>10</v>
      </c>
    </row>
    <row r="96" customFormat="1" ht="16.5" spans="1:40">
      <c r="A96">
        <v>94</v>
      </c>
      <c r="B96">
        <f t="shared" si="23"/>
        <v>298</v>
      </c>
      <c r="C96">
        <f t="shared" si="24"/>
        <v>244</v>
      </c>
      <c r="D96">
        <f t="shared" si="25"/>
        <v>198</v>
      </c>
      <c r="E96">
        <f t="shared" si="26"/>
        <v>198</v>
      </c>
      <c r="F96" s="2">
        <f t="shared" si="27"/>
        <v>4020</v>
      </c>
      <c r="G96">
        <v>8</v>
      </c>
      <c r="H96">
        <v>0</v>
      </c>
      <c r="I96">
        <v>10</v>
      </c>
      <c r="J96">
        <v>0</v>
      </c>
      <c r="K96" s="2">
        <f t="shared" si="28"/>
        <v>1340</v>
      </c>
      <c r="L96" s="3">
        <f t="shared" si="29"/>
        <v>2010</v>
      </c>
      <c r="N96" t="str">
        <f t="shared" si="22"/>
        <v>[{"1":300},{"2":246},{"4":200},{"5":200},{"12":4060}]</v>
      </c>
      <c r="W96" t="str">
        <f>$N$1&amp;$P$1&amp;$T$1&amp;$C$2&amp;$T$1&amp;$R$1&amp;C97&amp;$Q$1&amp;$S$1&amp;$P$1&amp;$T$1&amp;$D$2&amp;$T$1&amp;$R$1&amp;D97&amp;$Q$1&amp;$S$1&amp;$P$1&amp;$T$1&amp;$E$2&amp;$T$1&amp;$R$1&amp;E97&amp;$Q$1&amp;$S$1&amp;$P$1&amp;$T$1&amp;$F$2&amp;$T$1&amp;$R$1&amp;K97&amp;$Q$1&amp;$S$1&amp;$P$1&amp;$T$1&amp;$G$2&amp;$T$1&amp;$R$1&amp;G97&amp;$Q$1&amp;$S$1&amp;$P$1&amp;$T$1&amp;$H$2&amp;$T$1&amp;$R$1&amp;H97&amp;$Q$1&amp;$S$1&amp;$P$1&amp;$T$1&amp;$I$2&amp;$T$1&amp;$R$1&amp;I97&amp;$Q$1&amp;$S$1&amp;$P$1&amp;$T$1&amp;$J$2&amp;$T$1&amp;$R$1&amp;J97&amp;$Q$1&amp;$O$1</f>
        <v>[{"2":246},{"4":200},{"5":200},{"12":1353},{"7":8},{"6":0},{"8":10},{"9":0}]</v>
      </c>
      <c r="AE96" t="str">
        <f>$N$1&amp;$P$1&amp;$T$1&amp;$C$2&amp;$T$1&amp;$R$1&amp;C97&amp;$Q$1&amp;$S$1&amp;$P$1&amp;$T$1&amp;$D$2&amp;$T$1&amp;$R$1&amp;D97&amp;$Q$1&amp;$S$1&amp;$P$1&amp;$T$1&amp;$E$2&amp;$T$1&amp;$R$1&amp;E97&amp;$Q$1&amp;$S$1&amp;$P$1&amp;$T$1&amp;$F$2&amp;$T$1&amp;$R$1&amp;L97&amp;$Q$1&amp;$S$1&amp;$P$1&amp;$T$1&amp;$G$2&amp;$T$1&amp;$R$1&amp;G97&amp;$Q$1&amp;$S$1&amp;$P$1&amp;$T$1&amp;$H$2&amp;$T$1&amp;$R$1&amp;H97&amp;$Q$1&amp;$S$1&amp;$P$1&amp;$T$1&amp;$I$2&amp;$T$1&amp;$R$1&amp;I97&amp;$Q$1&amp;$S$1&amp;$P$1&amp;$T$1&amp;$J$2&amp;$T$1&amp;$R$1&amp;J97&amp;$Q$1&amp;$O$1</f>
        <v>[{"2":246},{"4":200},{"5":200},{"12":2030},{"7":8},{"6":0},{"8":10},{"9":0}]</v>
      </c>
      <c r="AG96">
        <v>286</v>
      </c>
      <c r="AH96">
        <f t="shared" si="30"/>
        <v>190</v>
      </c>
      <c r="AI96">
        <f t="shared" si="31"/>
        <v>190</v>
      </c>
      <c r="AJ96">
        <f t="shared" si="32"/>
        <v>3800</v>
      </c>
      <c r="AK96">
        <v>4</v>
      </c>
      <c r="AL96">
        <v>8</v>
      </c>
      <c r="AM96">
        <v>0</v>
      </c>
      <c r="AN96">
        <v>10</v>
      </c>
    </row>
    <row r="97" customFormat="1" ht="16.5" spans="1:40">
      <c r="A97">
        <v>95</v>
      </c>
      <c r="B97">
        <f t="shared" si="23"/>
        <v>300</v>
      </c>
      <c r="C97">
        <f t="shared" si="24"/>
        <v>246</v>
      </c>
      <c r="D97">
        <f t="shared" si="25"/>
        <v>200</v>
      </c>
      <c r="E97">
        <f t="shared" si="26"/>
        <v>200</v>
      </c>
      <c r="F97" s="2">
        <f t="shared" si="27"/>
        <v>4060</v>
      </c>
      <c r="G97">
        <v>8</v>
      </c>
      <c r="H97">
        <v>0</v>
      </c>
      <c r="I97">
        <v>10</v>
      </c>
      <c r="J97">
        <v>0</v>
      </c>
      <c r="K97" s="2">
        <f t="shared" si="28"/>
        <v>1353</v>
      </c>
      <c r="L97" s="3">
        <f t="shared" si="29"/>
        <v>2030</v>
      </c>
      <c r="N97" t="str">
        <f t="shared" si="22"/>
        <v>[{"1":302},{"2":247},{"4":201},{"5":201},{"12":4080}]</v>
      </c>
      <c r="W97" t="str">
        <f>$N$1&amp;$P$1&amp;$T$1&amp;$C$2&amp;$T$1&amp;$R$1&amp;C98&amp;$Q$1&amp;$S$1&amp;$P$1&amp;$T$1&amp;$D$2&amp;$T$1&amp;$R$1&amp;D98&amp;$Q$1&amp;$S$1&amp;$P$1&amp;$T$1&amp;$E$2&amp;$T$1&amp;$R$1&amp;E98&amp;$Q$1&amp;$S$1&amp;$P$1&amp;$T$1&amp;$F$2&amp;$T$1&amp;$R$1&amp;K98&amp;$Q$1&amp;$S$1&amp;$P$1&amp;$T$1&amp;$G$2&amp;$T$1&amp;$R$1&amp;G98&amp;$Q$1&amp;$S$1&amp;$P$1&amp;$T$1&amp;$H$2&amp;$T$1&amp;$R$1&amp;H98&amp;$Q$1&amp;$S$1&amp;$P$1&amp;$T$1&amp;$I$2&amp;$T$1&amp;$R$1&amp;I98&amp;$Q$1&amp;$S$1&amp;$P$1&amp;$T$1&amp;$J$2&amp;$T$1&amp;$R$1&amp;J98&amp;$Q$1&amp;$O$1</f>
        <v>[{"2":247},{"4":201},{"5":201},{"12":1360},{"7":8},{"6":0},{"8":10},{"9":0}]</v>
      </c>
      <c r="AE97" t="str">
        <f>$N$1&amp;$P$1&amp;$T$1&amp;$C$2&amp;$T$1&amp;$R$1&amp;C98&amp;$Q$1&amp;$S$1&amp;$P$1&amp;$T$1&amp;$D$2&amp;$T$1&amp;$R$1&amp;D98&amp;$Q$1&amp;$S$1&amp;$P$1&amp;$T$1&amp;$E$2&amp;$T$1&amp;$R$1&amp;E98&amp;$Q$1&amp;$S$1&amp;$P$1&amp;$T$1&amp;$F$2&amp;$T$1&amp;$R$1&amp;L98&amp;$Q$1&amp;$S$1&amp;$P$1&amp;$T$1&amp;$G$2&amp;$T$1&amp;$R$1&amp;G98&amp;$Q$1&amp;$S$1&amp;$P$1&amp;$T$1&amp;$H$2&amp;$T$1&amp;$R$1&amp;H98&amp;$Q$1&amp;$S$1&amp;$P$1&amp;$T$1&amp;$I$2&amp;$T$1&amp;$R$1&amp;I98&amp;$Q$1&amp;$S$1&amp;$P$1&amp;$T$1&amp;$J$2&amp;$T$1&amp;$R$1&amp;J98&amp;$Q$1&amp;$O$1</f>
        <v>[{"2":247},{"4":201},{"5":201},{"12":2040},{"7":8},{"6":0},{"8":10},{"9":0}]</v>
      </c>
      <c r="AG97">
        <v>288</v>
      </c>
      <c r="AH97">
        <f t="shared" si="30"/>
        <v>192</v>
      </c>
      <c r="AI97">
        <f t="shared" si="31"/>
        <v>192</v>
      </c>
      <c r="AJ97">
        <f t="shared" si="32"/>
        <v>3840</v>
      </c>
      <c r="AK97">
        <v>4</v>
      </c>
      <c r="AL97">
        <v>8</v>
      </c>
      <c r="AM97">
        <v>0</v>
      </c>
      <c r="AN97">
        <v>10</v>
      </c>
    </row>
    <row r="98" customFormat="1" ht="16.5" spans="1:40">
      <c r="A98">
        <v>96</v>
      </c>
      <c r="B98">
        <f t="shared" si="23"/>
        <v>302</v>
      </c>
      <c r="C98">
        <f t="shared" si="24"/>
        <v>247</v>
      </c>
      <c r="D98">
        <f t="shared" si="25"/>
        <v>201</v>
      </c>
      <c r="E98">
        <f t="shared" si="26"/>
        <v>201</v>
      </c>
      <c r="F98" s="2">
        <f t="shared" si="27"/>
        <v>4080</v>
      </c>
      <c r="G98">
        <v>8</v>
      </c>
      <c r="H98">
        <v>0</v>
      </c>
      <c r="I98">
        <v>10</v>
      </c>
      <c r="J98">
        <v>0</v>
      </c>
      <c r="K98" s="2">
        <f t="shared" si="28"/>
        <v>1360</v>
      </c>
      <c r="L98" s="3">
        <f t="shared" si="29"/>
        <v>2040</v>
      </c>
      <c r="N98" t="str">
        <f t="shared" si="22"/>
        <v>[{"1":304},{"2":249},{"4":202},{"5":202},{"12":4100}]</v>
      </c>
      <c r="W98" t="str">
        <f>$N$1&amp;$P$1&amp;$T$1&amp;$C$2&amp;$T$1&amp;$R$1&amp;C99&amp;$Q$1&amp;$S$1&amp;$P$1&amp;$T$1&amp;$D$2&amp;$T$1&amp;$R$1&amp;D99&amp;$Q$1&amp;$S$1&amp;$P$1&amp;$T$1&amp;$E$2&amp;$T$1&amp;$R$1&amp;E99&amp;$Q$1&amp;$S$1&amp;$P$1&amp;$T$1&amp;$F$2&amp;$T$1&amp;$R$1&amp;K99&amp;$Q$1&amp;$S$1&amp;$P$1&amp;$T$1&amp;$G$2&amp;$T$1&amp;$R$1&amp;G99&amp;$Q$1&amp;$S$1&amp;$P$1&amp;$T$1&amp;$H$2&amp;$T$1&amp;$R$1&amp;H99&amp;$Q$1&amp;$S$1&amp;$P$1&amp;$T$1&amp;$I$2&amp;$T$1&amp;$R$1&amp;I99&amp;$Q$1&amp;$S$1&amp;$P$1&amp;$T$1&amp;$J$2&amp;$T$1&amp;$R$1&amp;J99&amp;$Q$1&amp;$O$1</f>
        <v>[{"2":249},{"4":202},{"5":202},{"12":1366},{"7":8},{"6":0},{"8":10},{"9":0}]</v>
      </c>
      <c r="AE98" t="str">
        <f>$N$1&amp;$P$1&amp;$T$1&amp;$C$2&amp;$T$1&amp;$R$1&amp;C99&amp;$Q$1&amp;$S$1&amp;$P$1&amp;$T$1&amp;$D$2&amp;$T$1&amp;$R$1&amp;D99&amp;$Q$1&amp;$S$1&amp;$P$1&amp;$T$1&amp;$E$2&amp;$T$1&amp;$R$1&amp;E99&amp;$Q$1&amp;$S$1&amp;$P$1&amp;$T$1&amp;$F$2&amp;$T$1&amp;$R$1&amp;L99&amp;$Q$1&amp;$S$1&amp;$P$1&amp;$T$1&amp;$G$2&amp;$T$1&amp;$R$1&amp;G99&amp;$Q$1&amp;$S$1&amp;$P$1&amp;$T$1&amp;$H$2&amp;$T$1&amp;$R$1&amp;H99&amp;$Q$1&amp;$S$1&amp;$P$1&amp;$T$1&amp;$I$2&amp;$T$1&amp;$R$1&amp;I99&amp;$Q$1&amp;$S$1&amp;$P$1&amp;$T$1&amp;$J$2&amp;$T$1&amp;$R$1&amp;J99&amp;$Q$1&amp;$O$1</f>
        <v>[{"2":249},{"4":202},{"5":202},{"12":2050},{"7":8},{"6":0},{"8":10},{"9":0}]</v>
      </c>
      <c r="AG98">
        <v>290</v>
      </c>
      <c r="AH98">
        <f t="shared" si="30"/>
        <v>193</v>
      </c>
      <c r="AI98">
        <f t="shared" si="31"/>
        <v>193</v>
      </c>
      <c r="AJ98">
        <f t="shared" si="32"/>
        <v>3860</v>
      </c>
      <c r="AK98">
        <v>4</v>
      </c>
      <c r="AL98">
        <v>8</v>
      </c>
      <c r="AM98">
        <v>0</v>
      </c>
      <c r="AN98">
        <v>10</v>
      </c>
    </row>
    <row r="99" customFormat="1" ht="16.5" spans="1:40">
      <c r="A99">
        <v>97</v>
      </c>
      <c r="B99">
        <f t="shared" si="23"/>
        <v>304</v>
      </c>
      <c r="C99">
        <f t="shared" si="24"/>
        <v>249</v>
      </c>
      <c r="D99">
        <f t="shared" si="25"/>
        <v>202</v>
      </c>
      <c r="E99">
        <f t="shared" si="26"/>
        <v>202</v>
      </c>
      <c r="F99" s="2">
        <f t="shared" si="27"/>
        <v>4100</v>
      </c>
      <c r="G99">
        <v>8</v>
      </c>
      <c r="H99">
        <v>0</v>
      </c>
      <c r="I99">
        <v>10</v>
      </c>
      <c r="J99">
        <v>0</v>
      </c>
      <c r="K99" s="2">
        <f t="shared" si="28"/>
        <v>1366</v>
      </c>
      <c r="L99" s="3">
        <f t="shared" si="29"/>
        <v>2050</v>
      </c>
      <c r="N99" t="str">
        <f t="shared" ref="N99:N130" si="33">$N$1&amp;$P$1&amp;$T$1&amp;$B$2&amp;$T$1&amp;$R$1&amp;B100&amp;$Q$1&amp;$S$1&amp;$P$1&amp;$T$1&amp;$C$2&amp;$T$1&amp;$R$1&amp;C100&amp;$Q$1&amp;$S$1&amp;$P$1&amp;$T$1&amp;$D$2&amp;$T$1&amp;$R$1&amp;D100&amp;$Q$1&amp;$S$1&amp;$P$1&amp;$T$1&amp;$E$2&amp;$T$1&amp;$R$1&amp;E100&amp;$Q$1&amp;$S$1&amp;$P$1&amp;$T$1&amp;$F$2&amp;$T$1&amp;$R$1&amp;F100&amp;$Q$1&amp;$O$1</f>
        <v>[{"1":306},{"2":250},{"4":204},{"5":204},{"12":4140}]</v>
      </c>
      <c r="W99" t="str">
        <f>$N$1&amp;$P$1&amp;$T$1&amp;$C$2&amp;$T$1&amp;$R$1&amp;C100&amp;$Q$1&amp;$S$1&amp;$P$1&amp;$T$1&amp;$D$2&amp;$T$1&amp;$R$1&amp;D100&amp;$Q$1&amp;$S$1&amp;$P$1&amp;$T$1&amp;$E$2&amp;$T$1&amp;$R$1&amp;E100&amp;$Q$1&amp;$S$1&amp;$P$1&amp;$T$1&amp;$F$2&amp;$T$1&amp;$R$1&amp;K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[{"2":250},{"4":204},{"5":204},{"12":1380},{"7":8},{"6":0},{"8":10},{"9":0}]</v>
      </c>
      <c r="AE99" t="str">
        <f>$N$1&amp;$P$1&amp;$T$1&amp;$C$2&amp;$T$1&amp;$R$1&amp;C100&amp;$Q$1&amp;$S$1&amp;$P$1&amp;$T$1&amp;$D$2&amp;$T$1&amp;$R$1&amp;D100&amp;$Q$1&amp;$S$1&amp;$P$1&amp;$T$1&amp;$E$2&amp;$T$1&amp;$R$1&amp;E100&amp;$Q$1&amp;$S$1&amp;$P$1&amp;$T$1&amp;$F$2&amp;$T$1&amp;$R$1&amp;L100&amp;$Q$1&amp;$S$1&amp;$P$1&amp;$T$1&amp;$G$2&amp;$T$1&amp;$R$1&amp;G100&amp;$Q$1&amp;$S$1&amp;$P$1&amp;$T$1&amp;$H$2&amp;$T$1&amp;$R$1&amp;H100&amp;$Q$1&amp;$S$1&amp;$P$1&amp;$T$1&amp;$I$2&amp;$T$1&amp;$R$1&amp;I100&amp;$Q$1&amp;$S$1&amp;$P$1&amp;$T$1&amp;$J$2&amp;$T$1&amp;$R$1&amp;J100&amp;$Q$1&amp;$O$1</f>
        <v>[{"2":250},{"4":204},{"5":204},{"12":2070},{"7":8},{"6":0},{"8":10},{"9":0}]</v>
      </c>
      <c r="AG99">
        <v>292</v>
      </c>
      <c r="AH99">
        <f t="shared" si="30"/>
        <v>194</v>
      </c>
      <c r="AI99">
        <f t="shared" si="31"/>
        <v>194</v>
      </c>
      <c r="AJ99">
        <f t="shared" si="32"/>
        <v>3880</v>
      </c>
      <c r="AK99">
        <v>4</v>
      </c>
      <c r="AL99">
        <v>8</v>
      </c>
      <c r="AM99">
        <v>0</v>
      </c>
      <c r="AN99">
        <v>10</v>
      </c>
    </row>
    <row r="100" customFormat="1" ht="16.5" spans="1:40">
      <c r="A100">
        <v>98</v>
      </c>
      <c r="B100">
        <f t="shared" ref="B100:B131" si="34">$AO$2+AG100</f>
        <v>306</v>
      </c>
      <c r="C100">
        <f t="shared" ref="C100:C131" si="35">INT(B100*0.82)</f>
        <v>250</v>
      </c>
      <c r="D100">
        <f t="shared" ref="D100:D131" si="36">INT(B100/1.5)</f>
        <v>204</v>
      </c>
      <c r="E100">
        <f t="shared" ref="E100:E131" si="37">D100</f>
        <v>204</v>
      </c>
      <c r="F100" s="2">
        <f t="shared" ref="F100:F131" si="38">$AR$2+AJ100</f>
        <v>4140</v>
      </c>
      <c r="G100">
        <v>8</v>
      </c>
      <c r="H100">
        <v>0</v>
      </c>
      <c r="I100">
        <v>10</v>
      </c>
      <c r="J100">
        <v>0</v>
      </c>
      <c r="K100" s="2">
        <f t="shared" ref="K100:K131" si="39">INT(F100/3)</f>
        <v>1380</v>
      </c>
      <c r="L100" s="3">
        <f t="shared" ref="L100:L131" si="40">INT(F100/2)</f>
        <v>2070</v>
      </c>
      <c r="N100" t="str">
        <f t="shared" si="33"/>
        <v>[{"1":308},{"2":252},{"4":205},{"5":205},{"12":4160}]</v>
      </c>
      <c r="W100" t="str">
        <f>$N$1&amp;$P$1&amp;$T$1&amp;$C$2&amp;$T$1&amp;$R$1&amp;C101&amp;$Q$1&amp;$S$1&amp;$P$1&amp;$T$1&amp;$D$2&amp;$T$1&amp;$R$1&amp;D101&amp;$Q$1&amp;$S$1&amp;$P$1&amp;$T$1&amp;$E$2&amp;$T$1&amp;$R$1&amp;E101&amp;$Q$1&amp;$S$1&amp;$P$1&amp;$T$1&amp;$F$2&amp;$T$1&amp;$R$1&amp;K101&amp;$Q$1&amp;$S$1&amp;$P$1&amp;$T$1&amp;$G$2&amp;$T$1&amp;$R$1&amp;G101&amp;$Q$1&amp;$S$1&amp;$P$1&amp;$T$1&amp;$H$2&amp;$T$1&amp;$R$1&amp;H101&amp;$Q$1&amp;$S$1&amp;$P$1&amp;$T$1&amp;$I$2&amp;$T$1&amp;$R$1&amp;I101&amp;$Q$1&amp;$S$1&amp;$P$1&amp;$T$1&amp;$J$2&amp;$T$1&amp;$R$1&amp;J101&amp;$Q$1&amp;$O$1</f>
        <v>[{"2":252},{"4":205},{"5":205},{"12":1386},{"7":8},{"6":0},{"8":10},{"9":0}]</v>
      </c>
      <c r="AE100" t="str">
        <f>$N$1&amp;$P$1&amp;$T$1&amp;$C$2&amp;$T$1&amp;$R$1&amp;C101&amp;$Q$1&amp;$S$1&amp;$P$1&amp;$T$1&amp;$D$2&amp;$T$1&amp;$R$1&amp;D101&amp;$Q$1&amp;$S$1&amp;$P$1&amp;$T$1&amp;$E$2&amp;$T$1&amp;$R$1&amp;E101&amp;$Q$1&amp;$S$1&amp;$P$1&amp;$T$1&amp;$F$2&amp;$T$1&amp;$R$1&amp;L101&amp;$Q$1&amp;$S$1&amp;$P$1&amp;$T$1&amp;$G$2&amp;$T$1&amp;$R$1&amp;G101&amp;$Q$1&amp;$S$1&amp;$P$1&amp;$T$1&amp;$H$2&amp;$T$1&amp;$R$1&amp;H101&amp;$Q$1&amp;$S$1&amp;$P$1&amp;$T$1&amp;$I$2&amp;$T$1&amp;$R$1&amp;I101&amp;$Q$1&amp;$S$1&amp;$P$1&amp;$T$1&amp;$J$2&amp;$T$1&amp;$R$1&amp;J101&amp;$Q$1&amp;$O$1</f>
        <v>[{"2":252},{"4":205},{"5":205},{"12":2080},{"7":8},{"6":0},{"8":10},{"9":0}]</v>
      </c>
      <c r="AG100">
        <v>294</v>
      </c>
      <c r="AH100">
        <f t="shared" ref="AH100:AH131" si="41">INT(AG100/1.5)</f>
        <v>196</v>
      </c>
      <c r="AI100">
        <f t="shared" ref="AI100:AI131" si="42">AH100</f>
        <v>196</v>
      </c>
      <c r="AJ100">
        <f t="shared" ref="AJ100:AJ131" si="43">AI100*20</f>
        <v>3920</v>
      </c>
      <c r="AK100">
        <v>4</v>
      </c>
      <c r="AL100">
        <v>8</v>
      </c>
      <c r="AM100">
        <v>0</v>
      </c>
      <c r="AN100">
        <v>10</v>
      </c>
    </row>
    <row r="101" customFormat="1" ht="16.5" spans="1:40">
      <c r="A101">
        <v>99</v>
      </c>
      <c r="B101">
        <f t="shared" si="34"/>
        <v>308</v>
      </c>
      <c r="C101">
        <f t="shared" si="35"/>
        <v>252</v>
      </c>
      <c r="D101">
        <f t="shared" si="36"/>
        <v>205</v>
      </c>
      <c r="E101">
        <f t="shared" si="37"/>
        <v>205</v>
      </c>
      <c r="F101" s="2">
        <f t="shared" si="38"/>
        <v>4160</v>
      </c>
      <c r="G101">
        <v>8</v>
      </c>
      <c r="H101">
        <v>0</v>
      </c>
      <c r="I101">
        <v>10</v>
      </c>
      <c r="J101">
        <v>0</v>
      </c>
      <c r="K101" s="2">
        <f t="shared" si="39"/>
        <v>1386</v>
      </c>
      <c r="L101" s="3">
        <f t="shared" si="40"/>
        <v>2080</v>
      </c>
      <c r="N101" t="str">
        <f t="shared" si="33"/>
        <v>[{"1":310},{"2":254},{"4":206},{"5":206},{"12":4180}]</v>
      </c>
      <c r="W101" t="str">
        <f>$N$1&amp;$P$1&amp;$T$1&amp;$C$2&amp;$T$1&amp;$R$1&amp;C102&amp;$Q$1&amp;$S$1&amp;$P$1&amp;$T$1&amp;$D$2&amp;$T$1&amp;$R$1&amp;D102&amp;$Q$1&amp;$S$1&amp;$P$1&amp;$T$1&amp;$E$2&amp;$T$1&amp;$R$1&amp;E102&amp;$Q$1&amp;$S$1&amp;$P$1&amp;$T$1&amp;$F$2&amp;$T$1&amp;$R$1&amp;K102&amp;$Q$1&amp;$S$1&amp;$P$1&amp;$T$1&amp;$G$2&amp;$T$1&amp;$R$1&amp;G102&amp;$Q$1&amp;$S$1&amp;$P$1&amp;$T$1&amp;$H$2&amp;$T$1&amp;$R$1&amp;H102&amp;$Q$1&amp;$S$1&amp;$P$1&amp;$T$1&amp;$I$2&amp;$T$1&amp;$R$1&amp;I102&amp;$Q$1&amp;$S$1&amp;$P$1&amp;$T$1&amp;$J$2&amp;$T$1&amp;$R$1&amp;J102&amp;$Q$1&amp;$O$1</f>
        <v>[{"2":254},{"4":206},{"5":206},{"12":1393},{"7":8},{"6":0},{"8":10},{"9":0}]</v>
      </c>
      <c r="AE101" t="str">
        <f>$N$1&amp;$P$1&amp;$T$1&amp;$C$2&amp;$T$1&amp;$R$1&amp;C102&amp;$Q$1&amp;$S$1&amp;$P$1&amp;$T$1&amp;$D$2&amp;$T$1&amp;$R$1&amp;D102&amp;$Q$1&amp;$S$1&amp;$P$1&amp;$T$1&amp;$E$2&amp;$T$1&amp;$R$1&amp;E102&amp;$Q$1&amp;$S$1&amp;$P$1&amp;$T$1&amp;$F$2&amp;$T$1&amp;$R$1&amp;L102&amp;$Q$1&amp;$S$1&amp;$P$1&amp;$T$1&amp;$G$2&amp;$T$1&amp;$R$1&amp;G102&amp;$Q$1&amp;$S$1&amp;$P$1&amp;$T$1&amp;$H$2&amp;$T$1&amp;$R$1&amp;H102&amp;$Q$1&amp;$S$1&amp;$P$1&amp;$T$1&amp;$I$2&amp;$T$1&amp;$R$1&amp;I102&amp;$Q$1&amp;$S$1&amp;$P$1&amp;$T$1&amp;$J$2&amp;$T$1&amp;$R$1&amp;J102&amp;$Q$1&amp;$O$1</f>
        <v>[{"2":254},{"4":206},{"5":206},{"12":2090},{"7":8},{"6":0},{"8":10},{"9":0}]</v>
      </c>
      <c r="AG101">
        <v>296</v>
      </c>
      <c r="AH101">
        <f t="shared" si="41"/>
        <v>197</v>
      </c>
      <c r="AI101">
        <f t="shared" si="42"/>
        <v>197</v>
      </c>
      <c r="AJ101">
        <f t="shared" si="43"/>
        <v>3940</v>
      </c>
      <c r="AK101">
        <v>4</v>
      </c>
      <c r="AL101">
        <v>8</v>
      </c>
      <c r="AM101">
        <v>0</v>
      </c>
      <c r="AN101">
        <v>10</v>
      </c>
    </row>
    <row r="102" customFormat="1" ht="16.5" spans="1:40">
      <c r="A102">
        <v>100</v>
      </c>
      <c r="B102">
        <f t="shared" si="34"/>
        <v>310</v>
      </c>
      <c r="C102">
        <f t="shared" si="35"/>
        <v>254</v>
      </c>
      <c r="D102">
        <f t="shared" si="36"/>
        <v>206</v>
      </c>
      <c r="E102">
        <f t="shared" si="37"/>
        <v>206</v>
      </c>
      <c r="F102" s="2">
        <f t="shared" si="38"/>
        <v>4180</v>
      </c>
      <c r="G102">
        <v>8</v>
      </c>
      <c r="H102">
        <v>0</v>
      </c>
      <c r="I102">
        <v>10</v>
      </c>
      <c r="J102">
        <v>0</v>
      </c>
      <c r="K102" s="2">
        <f t="shared" si="39"/>
        <v>1393</v>
      </c>
      <c r="L102" s="3">
        <f t="shared" si="40"/>
        <v>2090</v>
      </c>
      <c r="N102" t="str">
        <f t="shared" si="33"/>
        <v>[{"1":312},{"2":255},{"4":208},{"5":208},{"12":4220}]</v>
      </c>
      <c r="W102" t="str">
        <f>$N$1&amp;$P$1&amp;$T$1&amp;$C$2&amp;$T$1&amp;$R$1&amp;C103&amp;$Q$1&amp;$S$1&amp;$P$1&amp;$T$1&amp;$D$2&amp;$T$1&amp;$R$1&amp;D103&amp;$Q$1&amp;$S$1&amp;$P$1&amp;$T$1&amp;$E$2&amp;$T$1&amp;$R$1&amp;E103&amp;$Q$1&amp;$S$1&amp;$P$1&amp;$T$1&amp;$F$2&amp;$T$1&amp;$R$1&amp;K103&amp;$Q$1&amp;$S$1&amp;$P$1&amp;$T$1&amp;$G$2&amp;$T$1&amp;$R$1&amp;G103&amp;$Q$1&amp;$S$1&amp;$P$1&amp;$T$1&amp;$H$2&amp;$T$1&amp;$R$1&amp;H103&amp;$Q$1&amp;$S$1&amp;$P$1&amp;$T$1&amp;$I$2&amp;$T$1&amp;$R$1&amp;I103&amp;$Q$1&amp;$S$1&amp;$P$1&amp;$T$1&amp;$J$2&amp;$T$1&amp;$R$1&amp;J103&amp;$Q$1&amp;$O$1</f>
        <v>[{"2":255},{"4":208},{"5":208},{"12":1406},{"7":8},{"6":0},{"8":10},{"9":0}]</v>
      </c>
      <c r="AE102" t="str">
        <f>$N$1&amp;$P$1&amp;$T$1&amp;$C$2&amp;$T$1&amp;$R$1&amp;C103&amp;$Q$1&amp;$S$1&amp;$P$1&amp;$T$1&amp;$D$2&amp;$T$1&amp;$R$1&amp;D103&amp;$Q$1&amp;$S$1&amp;$P$1&amp;$T$1&amp;$E$2&amp;$T$1&amp;$R$1&amp;E103&amp;$Q$1&amp;$S$1&amp;$P$1&amp;$T$1&amp;$F$2&amp;$T$1&amp;$R$1&amp;L103&amp;$Q$1&amp;$S$1&amp;$P$1&amp;$T$1&amp;$G$2&amp;$T$1&amp;$R$1&amp;G103&amp;$Q$1&amp;$S$1&amp;$P$1&amp;$T$1&amp;$H$2&amp;$T$1&amp;$R$1&amp;H103&amp;$Q$1&amp;$S$1&amp;$P$1&amp;$T$1&amp;$I$2&amp;$T$1&amp;$R$1&amp;I103&amp;$Q$1&amp;$S$1&amp;$P$1&amp;$T$1&amp;$J$2&amp;$T$1&amp;$R$1&amp;J103&amp;$Q$1&amp;$O$1</f>
        <v>[{"2":255},{"4":208},{"5":208},{"12":2110},{"7":8},{"6":0},{"8":10},{"9":0}]</v>
      </c>
      <c r="AG102">
        <v>298</v>
      </c>
      <c r="AH102">
        <f t="shared" si="41"/>
        <v>198</v>
      </c>
      <c r="AI102">
        <f t="shared" si="42"/>
        <v>198</v>
      </c>
      <c r="AJ102">
        <f t="shared" si="43"/>
        <v>3960</v>
      </c>
      <c r="AK102">
        <v>4</v>
      </c>
      <c r="AL102">
        <v>8</v>
      </c>
      <c r="AM102">
        <v>0</v>
      </c>
      <c r="AN102">
        <v>10</v>
      </c>
    </row>
    <row r="103" customFormat="1" ht="16.5" spans="1:40">
      <c r="A103">
        <v>101</v>
      </c>
      <c r="B103">
        <f t="shared" si="34"/>
        <v>312</v>
      </c>
      <c r="C103">
        <f t="shared" si="35"/>
        <v>255</v>
      </c>
      <c r="D103">
        <f t="shared" si="36"/>
        <v>208</v>
      </c>
      <c r="E103">
        <f t="shared" si="37"/>
        <v>208</v>
      </c>
      <c r="F103" s="2">
        <f t="shared" si="38"/>
        <v>4220</v>
      </c>
      <c r="G103">
        <v>8</v>
      </c>
      <c r="H103">
        <v>0</v>
      </c>
      <c r="I103">
        <v>10</v>
      </c>
      <c r="J103">
        <v>0</v>
      </c>
      <c r="K103" s="2">
        <f t="shared" si="39"/>
        <v>1406</v>
      </c>
      <c r="L103" s="3">
        <f t="shared" si="40"/>
        <v>2110</v>
      </c>
      <c r="N103" t="str">
        <f t="shared" si="33"/>
        <v>[{"1":314},{"2":257},{"4":209},{"5":209},{"12":4240}]</v>
      </c>
      <c r="W103" t="str">
        <f>$N$1&amp;$P$1&amp;$T$1&amp;$C$2&amp;$T$1&amp;$R$1&amp;C104&amp;$Q$1&amp;$S$1&amp;$P$1&amp;$T$1&amp;$D$2&amp;$T$1&amp;$R$1&amp;D104&amp;$Q$1&amp;$S$1&amp;$P$1&amp;$T$1&amp;$E$2&amp;$T$1&amp;$R$1&amp;E104&amp;$Q$1&amp;$S$1&amp;$P$1&amp;$T$1&amp;$F$2&amp;$T$1&amp;$R$1&amp;K104&amp;$Q$1&amp;$S$1&amp;$P$1&amp;$T$1&amp;$G$2&amp;$T$1&amp;$R$1&amp;G104&amp;$Q$1&amp;$S$1&amp;$P$1&amp;$T$1&amp;$H$2&amp;$T$1&amp;$R$1&amp;H104&amp;$Q$1&amp;$S$1&amp;$P$1&amp;$T$1&amp;$I$2&amp;$T$1&amp;$R$1&amp;I104&amp;$Q$1&amp;$S$1&amp;$P$1&amp;$T$1&amp;$J$2&amp;$T$1&amp;$R$1&amp;J104&amp;$Q$1&amp;$O$1</f>
        <v>[{"2":257},{"4":209},{"5":209},{"12":1413},{"7":8},{"6":0},{"8":10},{"9":0}]</v>
      </c>
      <c r="AE103" t="str">
        <f>$N$1&amp;$P$1&amp;$T$1&amp;$C$2&amp;$T$1&amp;$R$1&amp;C104&amp;$Q$1&amp;$S$1&amp;$P$1&amp;$T$1&amp;$D$2&amp;$T$1&amp;$R$1&amp;D104&amp;$Q$1&amp;$S$1&amp;$P$1&amp;$T$1&amp;$E$2&amp;$T$1&amp;$R$1&amp;E104&amp;$Q$1&amp;$S$1&amp;$P$1&amp;$T$1&amp;$F$2&amp;$T$1&amp;$R$1&amp;L104&amp;$Q$1&amp;$S$1&amp;$P$1&amp;$T$1&amp;$G$2&amp;$T$1&amp;$R$1&amp;G104&amp;$Q$1&amp;$S$1&amp;$P$1&amp;$T$1&amp;$H$2&amp;$T$1&amp;$R$1&amp;H104&amp;$Q$1&amp;$S$1&amp;$P$1&amp;$T$1&amp;$I$2&amp;$T$1&amp;$R$1&amp;I104&amp;$Q$1&amp;$S$1&amp;$P$1&amp;$T$1&amp;$J$2&amp;$T$1&amp;$R$1&amp;J104&amp;$Q$1&amp;$O$1</f>
        <v>[{"2":257},{"4":209},{"5":209},{"12":2120},{"7":8},{"6":0},{"8":10},{"9":0}]</v>
      </c>
      <c r="AG103">
        <v>300</v>
      </c>
      <c r="AH103">
        <f t="shared" si="41"/>
        <v>200</v>
      </c>
      <c r="AI103">
        <f t="shared" si="42"/>
        <v>200</v>
      </c>
      <c r="AJ103">
        <f t="shared" si="43"/>
        <v>4000</v>
      </c>
      <c r="AK103">
        <v>4</v>
      </c>
      <c r="AL103">
        <v>8</v>
      </c>
      <c r="AM103">
        <v>0</v>
      </c>
      <c r="AN103">
        <v>10</v>
      </c>
    </row>
    <row r="104" customFormat="1" ht="16.5" spans="1:40">
      <c r="A104">
        <v>102</v>
      </c>
      <c r="B104">
        <f t="shared" si="34"/>
        <v>314</v>
      </c>
      <c r="C104">
        <f t="shared" si="35"/>
        <v>257</v>
      </c>
      <c r="D104">
        <f t="shared" si="36"/>
        <v>209</v>
      </c>
      <c r="E104">
        <f t="shared" si="37"/>
        <v>209</v>
      </c>
      <c r="F104" s="2">
        <f t="shared" si="38"/>
        <v>4240</v>
      </c>
      <c r="G104">
        <v>8</v>
      </c>
      <c r="H104">
        <v>0</v>
      </c>
      <c r="I104">
        <v>10</v>
      </c>
      <c r="J104">
        <v>0</v>
      </c>
      <c r="K104" s="2">
        <f t="shared" si="39"/>
        <v>1413</v>
      </c>
      <c r="L104" s="3">
        <f t="shared" si="40"/>
        <v>2120</v>
      </c>
      <c r="N104" t="str">
        <f t="shared" si="33"/>
        <v>[{"1":316},{"2":259},{"4":210},{"5":210},{"12":4260}]</v>
      </c>
      <c r="W104" t="str">
        <f>$N$1&amp;$P$1&amp;$T$1&amp;$C$2&amp;$T$1&amp;$R$1&amp;C105&amp;$Q$1&amp;$S$1&amp;$P$1&amp;$T$1&amp;$D$2&amp;$T$1&amp;$R$1&amp;D105&amp;$Q$1&amp;$S$1&amp;$P$1&amp;$T$1&amp;$E$2&amp;$T$1&amp;$R$1&amp;E105&amp;$Q$1&amp;$S$1&amp;$P$1&amp;$T$1&amp;$F$2&amp;$T$1&amp;$R$1&amp;K105&amp;$Q$1&amp;$S$1&amp;$P$1&amp;$T$1&amp;$G$2&amp;$T$1&amp;$R$1&amp;G105&amp;$Q$1&amp;$S$1&amp;$P$1&amp;$T$1&amp;$H$2&amp;$T$1&amp;$R$1&amp;H105&amp;$Q$1&amp;$S$1&amp;$P$1&amp;$T$1&amp;$I$2&amp;$T$1&amp;$R$1&amp;I105&amp;$Q$1&amp;$S$1&amp;$P$1&amp;$T$1&amp;$J$2&amp;$T$1&amp;$R$1&amp;J105&amp;$Q$1&amp;$O$1</f>
        <v>[{"2":259},{"4":210},{"5":210},{"12":1420},{"7":8},{"6":0},{"8":10},{"9":0}]</v>
      </c>
      <c r="AE104" t="str">
        <f>$N$1&amp;$P$1&amp;$T$1&amp;$C$2&amp;$T$1&amp;$R$1&amp;C105&amp;$Q$1&amp;$S$1&amp;$P$1&amp;$T$1&amp;$D$2&amp;$T$1&amp;$R$1&amp;D105&amp;$Q$1&amp;$S$1&amp;$P$1&amp;$T$1&amp;$E$2&amp;$T$1&amp;$R$1&amp;E105&amp;$Q$1&amp;$S$1&amp;$P$1&amp;$T$1&amp;$F$2&amp;$T$1&amp;$R$1&amp;L105&amp;$Q$1&amp;$S$1&amp;$P$1&amp;$T$1&amp;$G$2&amp;$T$1&amp;$R$1&amp;G105&amp;$Q$1&amp;$S$1&amp;$P$1&amp;$T$1&amp;$H$2&amp;$T$1&amp;$R$1&amp;H105&amp;$Q$1&amp;$S$1&amp;$P$1&amp;$T$1&amp;$I$2&amp;$T$1&amp;$R$1&amp;I105&amp;$Q$1&amp;$S$1&amp;$P$1&amp;$T$1&amp;$J$2&amp;$T$1&amp;$R$1&amp;J105&amp;$Q$1&amp;$O$1</f>
        <v>[{"2":259},{"4":210},{"5":210},{"12":2130},{"7":8},{"6":0},{"8":10},{"9":0}]</v>
      </c>
      <c r="AG104">
        <v>302</v>
      </c>
      <c r="AH104">
        <f t="shared" si="41"/>
        <v>201</v>
      </c>
      <c r="AI104">
        <f t="shared" si="42"/>
        <v>201</v>
      </c>
      <c r="AJ104">
        <f t="shared" si="43"/>
        <v>4020</v>
      </c>
      <c r="AK104">
        <v>4</v>
      </c>
      <c r="AL104">
        <v>8</v>
      </c>
      <c r="AM104">
        <v>0</v>
      </c>
      <c r="AN104">
        <v>10</v>
      </c>
    </row>
    <row r="105" customFormat="1" ht="16.5" spans="1:40">
      <c r="A105">
        <v>103</v>
      </c>
      <c r="B105">
        <f t="shared" si="34"/>
        <v>316</v>
      </c>
      <c r="C105">
        <f t="shared" si="35"/>
        <v>259</v>
      </c>
      <c r="D105">
        <f t="shared" si="36"/>
        <v>210</v>
      </c>
      <c r="E105">
        <f t="shared" si="37"/>
        <v>210</v>
      </c>
      <c r="F105" s="2">
        <f t="shared" si="38"/>
        <v>4260</v>
      </c>
      <c r="G105">
        <v>8</v>
      </c>
      <c r="H105">
        <v>0</v>
      </c>
      <c r="I105">
        <v>10</v>
      </c>
      <c r="J105">
        <v>0</v>
      </c>
      <c r="K105" s="2">
        <f t="shared" si="39"/>
        <v>1420</v>
      </c>
      <c r="L105" s="3">
        <f t="shared" si="40"/>
        <v>2130</v>
      </c>
      <c r="N105" t="str">
        <f t="shared" si="33"/>
        <v>[{"1":318},{"2":260},{"4":212},{"5":212},{"12":4300}]</v>
      </c>
      <c r="W105" t="str">
        <f>$N$1&amp;$P$1&amp;$T$1&amp;$C$2&amp;$T$1&amp;$R$1&amp;C106&amp;$Q$1&amp;$S$1&amp;$P$1&amp;$T$1&amp;$D$2&amp;$T$1&amp;$R$1&amp;D106&amp;$Q$1&amp;$S$1&amp;$P$1&amp;$T$1&amp;$E$2&amp;$T$1&amp;$R$1&amp;E106&amp;$Q$1&amp;$S$1&amp;$P$1&amp;$T$1&amp;$F$2&amp;$T$1&amp;$R$1&amp;K106&amp;$Q$1&amp;$S$1&amp;$P$1&amp;$T$1&amp;$G$2&amp;$T$1&amp;$R$1&amp;G106&amp;$Q$1&amp;$S$1&amp;$P$1&amp;$T$1&amp;$H$2&amp;$T$1&amp;$R$1&amp;H106&amp;$Q$1&amp;$S$1&amp;$P$1&amp;$T$1&amp;$I$2&amp;$T$1&amp;$R$1&amp;I106&amp;$Q$1&amp;$S$1&amp;$P$1&amp;$T$1&amp;$J$2&amp;$T$1&amp;$R$1&amp;J106&amp;$Q$1&amp;$O$1</f>
        <v>[{"2":260},{"4":212},{"5":212},{"12":1433},{"7":8},{"6":0},{"8":10},{"9":0}]</v>
      </c>
      <c r="AE105" t="str">
        <f>$N$1&amp;$P$1&amp;$T$1&amp;$C$2&amp;$T$1&amp;$R$1&amp;C106&amp;$Q$1&amp;$S$1&amp;$P$1&amp;$T$1&amp;$D$2&amp;$T$1&amp;$R$1&amp;D106&amp;$Q$1&amp;$S$1&amp;$P$1&amp;$T$1&amp;$E$2&amp;$T$1&amp;$R$1&amp;E106&amp;$Q$1&amp;$S$1&amp;$P$1&amp;$T$1&amp;$F$2&amp;$T$1&amp;$R$1&amp;L106&amp;$Q$1&amp;$S$1&amp;$P$1&amp;$T$1&amp;$G$2&amp;$T$1&amp;$R$1&amp;G106&amp;$Q$1&amp;$S$1&amp;$P$1&amp;$T$1&amp;$H$2&amp;$T$1&amp;$R$1&amp;H106&amp;$Q$1&amp;$S$1&amp;$P$1&amp;$T$1&amp;$I$2&amp;$T$1&amp;$R$1&amp;I106&amp;$Q$1&amp;$S$1&amp;$P$1&amp;$T$1&amp;$J$2&amp;$T$1&amp;$R$1&amp;J106&amp;$Q$1&amp;$O$1</f>
        <v>[{"2":260},{"4":212},{"5":212},{"12":2150},{"7":8},{"6":0},{"8":10},{"9":0}]</v>
      </c>
      <c r="AG105">
        <v>304</v>
      </c>
      <c r="AH105">
        <f t="shared" si="41"/>
        <v>202</v>
      </c>
      <c r="AI105">
        <f t="shared" si="42"/>
        <v>202</v>
      </c>
      <c r="AJ105">
        <f t="shared" si="43"/>
        <v>4040</v>
      </c>
      <c r="AK105">
        <v>4</v>
      </c>
      <c r="AL105">
        <v>8</v>
      </c>
      <c r="AM105">
        <v>0</v>
      </c>
      <c r="AN105">
        <v>10</v>
      </c>
    </row>
    <row r="106" customFormat="1" ht="16.5" spans="1:40">
      <c r="A106">
        <v>104</v>
      </c>
      <c r="B106">
        <f t="shared" si="34"/>
        <v>318</v>
      </c>
      <c r="C106">
        <f t="shared" si="35"/>
        <v>260</v>
      </c>
      <c r="D106">
        <f t="shared" si="36"/>
        <v>212</v>
      </c>
      <c r="E106">
        <f t="shared" si="37"/>
        <v>212</v>
      </c>
      <c r="F106" s="2">
        <f t="shared" si="38"/>
        <v>4300</v>
      </c>
      <c r="G106">
        <v>8</v>
      </c>
      <c r="H106">
        <v>0</v>
      </c>
      <c r="I106">
        <v>10</v>
      </c>
      <c r="J106">
        <v>0</v>
      </c>
      <c r="K106" s="2">
        <f t="shared" si="39"/>
        <v>1433</v>
      </c>
      <c r="L106" s="3">
        <f t="shared" si="40"/>
        <v>2150</v>
      </c>
      <c r="N106" t="str">
        <f t="shared" si="33"/>
        <v>[{"1":320},{"2":262},{"4":213},{"5":213},{"12":4320}]</v>
      </c>
      <c r="W106" t="str">
        <f>$N$1&amp;$P$1&amp;$T$1&amp;$C$2&amp;$T$1&amp;$R$1&amp;C107&amp;$Q$1&amp;$S$1&amp;$P$1&amp;$T$1&amp;$D$2&amp;$T$1&amp;$R$1&amp;D107&amp;$Q$1&amp;$S$1&amp;$P$1&amp;$T$1&amp;$E$2&amp;$T$1&amp;$R$1&amp;E107&amp;$Q$1&amp;$S$1&amp;$P$1&amp;$T$1&amp;$F$2&amp;$T$1&amp;$R$1&amp;K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[{"2":262},{"4":213},{"5":213},{"12":1440},{"7":8},{"6":0},{"8":10},{"9":0}]</v>
      </c>
      <c r="AE106" t="str">
        <f>$N$1&amp;$P$1&amp;$T$1&amp;$C$2&amp;$T$1&amp;$R$1&amp;C107&amp;$Q$1&amp;$S$1&amp;$P$1&amp;$T$1&amp;$D$2&amp;$T$1&amp;$R$1&amp;D107&amp;$Q$1&amp;$S$1&amp;$P$1&amp;$T$1&amp;$E$2&amp;$T$1&amp;$R$1&amp;E107&amp;$Q$1&amp;$S$1&amp;$P$1&amp;$T$1&amp;$F$2&amp;$T$1&amp;$R$1&amp;L107&amp;$Q$1&amp;$S$1&amp;$P$1&amp;$T$1&amp;$G$2&amp;$T$1&amp;$R$1&amp;G107&amp;$Q$1&amp;$S$1&amp;$P$1&amp;$T$1&amp;$H$2&amp;$T$1&amp;$R$1&amp;H107&amp;$Q$1&amp;$S$1&amp;$P$1&amp;$T$1&amp;$I$2&amp;$T$1&amp;$R$1&amp;I107&amp;$Q$1&amp;$S$1&amp;$P$1&amp;$T$1&amp;$J$2&amp;$T$1&amp;$R$1&amp;J107&amp;$Q$1&amp;$O$1</f>
        <v>[{"2":262},{"4":213},{"5":213},{"12":2160},{"7":8},{"6":0},{"8":10},{"9":0}]</v>
      </c>
      <c r="AG106">
        <v>306</v>
      </c>
      <c r="AH106">
        <f t="shared" si="41"/>
        <v>204</v>
      </c>
      <c r="AI106">
        <f t="shared" si="42"/>
        <v>204</v>
      </c>
      <c r="AJ106">
        <f t="shared" si="43"/>
        <v>4080</v>
      </c>
      <c r="AK106">
        <v>4</v>
      </c>
      <c r="AL106">
        <v>8</v>
      </c>
      <c r="AM106">
        <v>0</v>
      </c>
      <c r="AN106">
        <v>10</v>
      </c>
    </row>
    <row r="107" customFormat="1" ht="16.5" spans="1:40">
      <c r="A107">
        <v>105</v>
      </c>
      <c r="B107">
        <f t="shared" si="34"/>
        <v>320</v>
      </c>
      <c r="C107">
        <f t="shared" si="35"/>
        <v>262</v>
      </c>
      <c r="D107">
        <f t="shared" si="36"/>
        <v>213</v>
      </c>
      <c r="E107">
        <f t="shared" si="37"/>
        <v>213</v>
      </c>
      <c r="F107" s="2">
        <f t="shared" si="38"/>
        <v>4320</v>
      </c>
      <c r="G107">
        <v>8</v>
      </c>
      <c r="H107">
        <v>0</v>
      </c>
      <c r="I107">
        <v>10</v>
      </c>
      <c r="J107">
        <v>0</v>
      </c>
      <c r="K107" s="2">
        <f t="shared" si="39"/>
        <v>1440</v>
      </c>
      <c r="L107" s="3">
        <f t="shared" si="40"/>
        <v>2160</v>
      </c>
      <c r="N107" t="str">
        <f t="shared" si="33"/>
        <v>[{"1":322},{"2":264},{"4":214},{"5":214},{"12":4340}]</v>
      </c>
      <c r="W107" t="str">
        <f>$N$1&amp;$P$1&amp;$T$1&amp;$C$2&amp;$T$1&amp;$R$1&amp;C108&amp;$Q$1&amp;$S$1&amp;$P$1&amp;$T$1&amp;$D$2&amp;$T$1&amp;$R$1&amp;D108&amp;$Q$1&amp;$S$1&amp;$P$1&amp;$T$1&amp;$E$2&amp;$T$1&amp;$R$1&amp;E108&amp;$Q$1&amp;$S$1&amp;$P$1&amp;$T$1&amp;$F$2&amp;$T$1&amp;$R$1&amp;K108&amp;$Q$1&amp;$S$1&amp;$P$1&amp;$T$1&amp;$G$2&amp;$T$1&amp;$R$1&amp;G108&amp;$Q$1&amp;$S$1&amp;$P$1&amp;$T$1&amp;$H$2&amp;$T$1&amp;$R$1&amp;H108&amp;$Q$1&amp;$S$1&amp;$P$1&amp;$T$1&amp;$I$2&amp;$T$1&amp;$R$1&amp;I108&amp;$Q$1&amp;$S$1&amp;$P$1&amp;$T$1&amp;$J$2&amp;$T$1&amp;$R$1&amp;J108&amp;$Q$1&amp;$O$1</f>
        <v>[{"2":264},{"4":214},{"5":214},{"12":1446},{"7":8},{"6":0},{"8":10},{"9":0}]</v>
      </c>
      <c r="AE107" t="str">
        <f>$N$1&amp;$P$1&amp;$T$1&amp;$C$2&amp;$T$1&amp;$R$1&amp;C108&amp;$Q$1&amp;$S$1&amp;$P$1&amp;$T$1&amp;$D$2&amp;$T$1&amp;$R$1&amp;D108&amp;$Q$1&amp;$S$1&amp;$P$1&amp;$T$1&amp;$E$2&amp;$T$1&amp;$R$1&amp;E108&amp;$Q$1&amp;$S$1&amp;$P$1&amp;$T$1&amp;$F$2&amp;$T$1&amp;$R$1&amp;L108&amp;$Q$1&amp;$S$1&amp;$P$1&amp;$T$1&amp;$G$2&amp;$T$1&amp;$R$1&amp;G108&amp;$Q$1&amp;$S$1&amp;$P$1&amp;$T$1&amp;$H$2&amp;$T$1&amp;$R$1&amp;H108&amp;$Q$1&amp;$S$1&amp;$P$1&amp;$T$1&amp;$I$2&amp;$T$1&amp;$R$1&amp;I108&amp;$Q$1&amp;$S$1&amp;$P$1&amp;$T$1&amp;$J$2&amp;$T$1&amp;$R$1&amp;J108&amp;$Q$1&amp;$O$1</f>
        <v>[{"2":264},{"4":214},{"5":214},{"12":2170},{"7":8},{"6":0},{"8":10},{"9":0}]</v>
      </c>
      <c r="AG107">
        <v>308</v>
      </c>
      <c r="AH107">
        <f t="shared" si="41"/>
        <v>205</v>
      </c>
      <c r="AI107">
        <f t="shared" si="42"/>
        <v>205</v>
      </c>
      <c r="AJ107">
        <f t="shared" si="43"/>
        <v>4100</v>
      </c>
      <c r="AK107">
        <v>4</v>
      </c>
      <c r="AL107">
        <v>8</v>
      </c>
      <c r="AM107">
        <v>0</v>
      </c>
      <c r="AN107">
        <v>10</v>
      </c>
    </row>
    <row r="108" customFormat="1" ht="16.5" spans="1:40">
      <c r="A108">
        <v>106</v>
      </c>
      <c r="B108">
        <f t="shared" si="34"/>
        <v>322</v>
      </c>
      <c r="C108">
        <f t="shared" si="35"/>
        <v>264</v>
      </c>
      <c r="D108">
        <f t="shared" si="36"/>
        <v>214</v>
      </c>
      <c r="E108">
        <f t="shared" si="37"/>
        <v>214</v>
      </c>
      <c r="F108" s="2">
        <f t="shared" si="38"/>
        <v>4340</v>
      </c>
      <c r="G108">
        <v>8</v>
      </c>
      <c r="H108">
        <v>0</v>
      </c>
      <c r="I108">
        <v>10</v>
      </c>
      <c r="J108">
        <v>0</v>
      </c>
      <c r="K108" s="2">
        <f t="shared" si="39"/>
        <v>1446</v>
      </c>
      <c r="L108" s="3">
        <f t="shared" si="40"/>
        <v>2170</v>
      </c>
      <c r="N108" t="str">
        <f t="shared" si="33"/>
        <v>[{"1":324},{"2":265},{"4":216},{"5":216},{"12":4380}]</v>
      </c>
      <c r="W108" t="str">
        <f>$N$1&amp;$P$1&amp;$T$1&amp;$C$2&amp;$T$1&amp;$R$1&amp;C109&amp;$Q$1&amp;$S$1&amp;$P$1&amp;$T$1&amp;$D$2&amp;$T$1&amp;$R$1&amp;D109&amp;$Q$1&amp;$S$1&amp;$P$1&amp;$T$1&amp;$E$2&amp;$T$1&amp;$R$1&amp;E109&amp;$Q$1&amp;$S$1&amp;$P$1&amp;$T$1&amp;$F$2&amp;$T$1&amp;$R$1&amp;K109&amp;$Q$1&amp;$S$1&amp;$P$1&amp;$T$1&amp;$G$2&amp;$T$1&amp;$R$1&amp;G109&amp;$Q$1&amp;$S$1&amp;$P$1&amp;$T$1&amp;$H$2&amp;$T$1&amp;$R$1&amp;H109&amp;$Q$1&amp;$S$1&amp;$P$1&amp;$T$1&amp;$I$2&amp;$T$1&amp;$R$1&amp;I109&amp;$Q$1&amp;$S$1&amp;$P$1&amp;$T$1&amp;$J$2&amp;$T$1&amp;$R$1&amp;J109&amp;$Q$1&amp;$O$1</f>
        <v>[{"2":265},{"4":216},{"5":216},{"12":1460},{"7":8},{"6":0},{"8":10},{"9":0}]</v>
      </c>
      <c r="AE108" t="str">
        <f>$N$1&amp;$P$1&amp;$T$1&amp;$C$2&amp;$T$1&amp;$R$1&amp;C109&amp;$Q$1&amp;$S$1&amp;$P$1&amp;$T$1&amp;$D$2&amp;$T$1&amp;$R$1&amp;D109&amp;$Q$1&amp;$S$1&amp;$P$1&amp;$T$1&amp;$E$2&amp;$T$1&amp;$R$1&amp;E109&amp;$Q$1&amp;$S$1&amp;$P$1&amp;$T$1&amp;$F$2&amp;$T$1&amp;$R$1&amp;L109&amp;$Q$1&amp;$S$1&amp;$P$1&amp;$T$1&amp;$G$2&amp;$T$1&amp;$R$1&amp;G109&amp;$Q$1&amp;$S$1&amp;$P$1&amp;$T$1&amp;$H$2&amp;$T$1&amp;$R$1&amp;H109&amp;$Q$1&amp;$S$1&amp;$P$1&amp;$T$1&amp;$I$2&amp;$T$1&amp;$R$1&amp;I109&amp;$Q$1&amp;$S$1&amp;$P$1&amp;$T$1&amp;$J$2&amp;$T$1&amp;$R$1&amp;J109&amp;$Q$1&amp;$O$1</f>
        <v>[{"2":265},{"4":216},{"5":216},{"12":2190},{"7":8},{"6":0},{"8":10},{"9":0}]</v>
      </c>
      <c r="AG108">
        <v>310</v>
      </c>
      <c r="AH108">
        <f t="shared" si="41"/>
        <v>206</v>
      </c>
      <c r="AI108">
        <f t="shared" si="42"/>
        <v>206</v>
      </c>
      <c r="AJ108">
        <f t="shared" si="43"/>
        <v>4120</v>
      </c>
      <c r="AK108">
        <v>4</v>
      </c>
      <c r="AL108">
        <v>8</v>
      </c>
      <c r="AM108">
        <v>0</v>
      </c>
      <c r="AN108">
        <v>10</v>
      </c>
    </row>
    <row r="109" customFormat="1" ht="16.5" spans="1:40">
      <c r="A109">
        <v>107</v>
      </c>
      <c r="B109">
        <f t="shared" si="34"/>
        <v>324</v>
      </c>
      <c r="C109">
        <f t="shared" si="35"/>
        <v>265</v>
      </c>
      <c r="D109">
        <f t="shared" si="36"/>
        <v>216</v>
      </c>
      <c r="E109">
        <f t="shared" si="37"/>
        <v>216</v>
      </c>
      <c r="F109" s="2">
        <f t="shared" si="38"/>
        <v>4380</v>
      </c>
      <c r="G109">
        <v>8</v>
      </c>
      <c r="H109">
        <v>0</v>
      </c>
      <c r="I109">
        <v>10</v>
      </c>
      <c r="J109">
        <v>0</v>
      </c>
      <c r="K109" s="2">
        <f t="shared" si="39"/>
        <v>1460</v>
      </c>
      <c r="L109" s="3">
        <f t="shared" si="40"/>
        <v>2190</v>
      </c>
      <c r="N109" t="str">
        <f t="shared" si="33"/>
        <v>[{"1":326},{"2":267},{"4":217},{"5":217},{"12":4400}]</v>
      </c>
      <c r="W109" t="str">
        <f>$N$1&amp;$P$1&amp;$T$1&amp;$C$2&amp;$T$1&amp;$R$1&amp;C110&amp;$Q$1&amp;$S$1&amp;$P$1&amp;$T$1&amp;$D$2&amp;$T$1&amp;$R$1&amp;D110&amp;$Q$1&amp;$S$1&amp;$P$1&amp;$T$1&amp;$E$2&amp;$T$1&amp;$R$1&amp;E110&amp;$Q$1&amp;$S$1&amp;$P$1&amp;$T$1&amp;$F$2&amp;$T$1&amp;$R$1&amp;K110&amp;$Q$1&amp;$S$1&amp;$P$1&amp;$T$1&amp;$G$2&amp;$T$1&amp;$R$1&amp;G110&amp;$Q$1&amp;$S$1&amp;$P$1&amp;$T$1&amp;$H$2&amp;$T$1&amp;$R$1&amp;H110&amp;$Q$1&amp;$S$1&amp;$P$1&amp;$T$1&amp;$I$2&amp;$T$1&amp;$R$1&amp;I110&amp;$Q$1&amp;$S$1&amp;$P$1&amp;$T$1&amp;$J$2&amp;$T$1&amp;$R$1&amp;J110&amp;$Q$1&amp;$O$1</f>
        <v>[{"2":267},{"4":217},{"5":217},{"12":1466},{"7":8},{"6":0},{"8":10},{"9":0}]</v>
      </c>
      <c r="AE109" t="str">
        <f>$N$1&amp;$P$1&amp;$T$1&amp;$C$2&amp;$T$1&amp;$R$1&amp;C110&amp;$Q$1&amp;$S$1&amp;$P$1&amp;$T$1&amp;$D$2&amp;$T$1&amp;$R$1&amp;D110&amp;$Q$1&amp;$S$1&amp;$P$1&amp;$T$1&amp;$E$2&amp;$T$1&amp;$R$1&amp;E110&amp;$Q$1&amp;$S$1&amp;$P$1&amp;$T$1&amp;$F$2&amp;$T$1&amp;$R$1&amp;L110&amp;$Q$1&amp;$S$1&amp;$P$1&amp;$T$1&amp;$G$2&amp;$T$1&amp;$R$1&amp;G110&amp;$Q$1&amp;$S$1&amp;$P$1&amp;$T$1&amp;$H$2&amp;$T$1&amp;$R$1&amp;H110&amp;$Q$1&amp;$S$1&amp;$P$1&amp;$T$1&amp;$I$2&amp;$T$1&amp;$R$1&amp;I110&amp;$Q$1&amp;$S$1&amp;$P$1&amp;$T$1&amp;$J$2&amp;$T$1&amp;$R$1&amp;J110&amp;$Q$1&amp;$O$1</f>
        <v>[{"2":267},{"4":217},{"5":217},{"12":2200},{"7":8},{"6":0},{"8":10},{"9":0}]</v>
      </c>
      <c r="AG109">
        <v>312</v>
      </c>
      <c r="AH109">
        <f t="shared" si="41"/>
        <v>208</v>
      </c>
      <c r="AI109">
        <f t="shared" si="42"/>
        <v>208</v>
      </c>
      <c r="AJ109">
        <f t="shared" si="43"/>
        <v>4160</v>
      </c>
      <c r="AK109">
        <v>4</v>
      </c>
      <c r="AL109">
        <v>8</v>
      </c>
      <c r="AM109">
        <v>0</v>
      </c>
      <c r="AN109">
        <v>10</v>
      </c>
    </row>
    <row r="110" customFormat="1" ht="16.5" spans="1:40">
      <c r="A110">
        <v>108</v>
      </c>
      <c r="B110">
        <f t="shared" si="34"/>
        <v>326</v>
      </c>
      <c r="C110">
        <f t="shared" si="35"/>
        <v>267</v>
      </c>
      <c r="D110">
        <f t="shared" si="36"/>
        <v>217</v>
      </c>
      <c r="E110">
        <f t="shared" si="37"/>
        <v>217</v>
      </c>
      <c r="F110" s="2">
        <f t="shared" si="38"/>
        <v>4400</v>
      </c>
      <c r="G110">
        <v>8</v>
      </c>
      <c r="H110">
        <v>0</v>
      </c>
      <c r="I110">
        <v>10</v>
      </c>
      <c r="J110">
        <v>0</v>
      </c>
      <c r="K110" s="2">
        <f t="shared" si="39"/>
        <v>1466</v>
      </c>
      <c r="L110" s="3">
        <f t="shared" si="40"/>
        <v>2200</v>
      </c>
      <c r="N110" t="str">
        <f t="shared" si="33"/>
        <v>[{"1":328},{"2":268},{"4":218},{"5":218},{"12":4420}]</v>
      </c>
      <c r="W110" t="str">
        <f>$N$1&amp;$P$1&amp;$T$1&amp;$C$2&amp;$T$1&amp;$R$1&amp;C111&amp;$Q$1&amp;$S$1&amp;$P$1&amp;$T$1&amp;$D$2&amp;$T$1&amp;$R$1&amp;D111&amp;$Q$1&amp;$S$1&amp;$P$1&amp;$T$1&amp;$E$2&amp;$T$1&amp;$R$1&amp;E111&amp;$Q$1&amp;$S$1&amp;$P$1&amp;$T$1&amp;$F$2&amp;$T$1&amp;$R$1&amp;K111&amp;$Q$1&amp;$S$1&amp;$P$1&amp;$T$1&amp;$G$2&amp;$T$1&amp;$R$1&amp;G111&amp;$Q$1&amp;$S$1&amp;$P$1&amp;$T$1&amp;$H$2&amp;$T$1&amp;$R$1&amp;H111&amp;$Q$1&amp;$S$1&amp;$P$1&amp;$T$1&amp;$I$2&amp;$T$1&amp;$R$1&amp;I111&amp;$Q$1&amp;$S$1&amp;$P$1&amp;$T$1&amp;$J$2&amp;$T$1&amp;$R$1&amp;J111&amp;$Q$1&amp;$O$1</f>
        <v>[{"2":268},{"4":218},{"5":218},{"12":1473},{"7":8},{"6":0},{"8":10},{"9":0}]</v>
      </c>
      <c r="AE110" t="str">
        <f>$N$1&amp;$P$1&amp;$T$1&amp;$C$2&amp;$T$1&amp;$R$1&amp;C111&amp;$Q$1&amp;$S$1&amp;$P$1&amp;$T$1&amp;$D$2&amp;$T$1&amp;$R$1&amp;D111&amp;$Q$1&amp;$S$1&amp;$P$1&amp;$T$1&amp;$E$2&amp;$T$1&amp;$R$1&amp;E111&amp;$Q$1&amp;$S$1&amp;$P$1&amp;$T$1&amp;$F$2&amp;$T$1&amp;$R$1&amp;L111&amp;$Q$1&amp;$S$1&amp;$P$1&amp;$T$1&amp;$G$2&amp;$T$1&amp;$R$1&amp;G111&amp;$Q$1&amp;$S$1&amp;$P$1&amp;$T$1&amp;$H$2&amp;$T$1&amp;$R$1&amp;H111&amp;$Q$1&amp;$S$1&amp;$P$1&amp;$T$1&amp;$I$2&amp;$T$1&amp;$R$1&amp;I111&amp;$Q$1&amp;$S$1&amp;$P$1&amp;$T$1&amp;$J$2&amp;$T$1&amp;$R$1&amp;J111&amp;$Q$1&amp;$O$1</f>
        <v>[{"2":268},{"4":218},{"5":218},{"12":2210},{"7":8},{"6":0},{"8":10},{"9":0}]</v>
      </c>
      <c r="AG110">
        <v>314</v>
      </c>
      <c r="AH110">
        <f t="shared" si="41"/>
        <v>209</v>
      </c>
      <c r="AI110">
        <f t="shared" si="42"/>
        <v>209</v>
      </c>
      <c r="AJ110">
        <f t="shared" si="43"/>
        <v>4180</v>
      </c>
      <c r="AK110">
        <v>4</v>
      </c>
      <c r="AL110">
        <v>8</v>
      </c>
      <c r="AM110">
        <v>0</v>
      </c>
      <c r="AN110">
        <v>10</v>
      </c>
    </row>
    <row r="111" customFormat="1" ht="16.5" spans="1:40">
      <c r="A111">
        <v>109</v>
      </c>
      <c r="B111">
        <f t="shared" si="34"/>
        <v>328</v>
      </c>
      <c r="C111">
        <f t="shared" si="35"/>
        <v>268</v>
      </c>
      <c r="D111">
        <f t="shared" si="36"/>
        <v>218</v>
      </c>
      <c r="E111">
        <f t="shared" si="37"/>
        <v>218</v>
      </c>
      <c r="F111" s="2">
        <f t="shared" si="38"/>
        <v>4420</v>
      </c>
      <c r="G111">
        <v>8</v>
      </c>
      <c r="H111">
        <v>0</v>
      </c>
      <c r="I111">
        <v>10</v>
      </c>
      <c r="J111">
        <v>0</v>
      </c>
      <c r="K111" s="2">
        <f t="shared" si="39"/>
        <v>1473</v>
      </c>
      <c r="L111" s="3">
        <f t="shared" si="40"/>
        <v>2210</v>
      </c>
      <c r="N111" t="str">
        <f t="shared" si="33"/>
        <v>[{"1":330},{"2":270},{"4":220},{"5":220},{"12":4460}]</v>
      </c>
      <c r="W111" t="str">
        <f>$N$1&amp;$P$1&amp;$T$1&amp;$C$2&amp;$T$1&amp;$R$1&amp;C112&amp;$Q$1&amp;$S$1&amp;$P$1&amp;$T$1&amp;$D$2&amp;$T$1&amp;$R$1&amp;D112&amp;$Q$1&amp;$S$1&amp;$P$1&amp;$T$1&amp;$E$2&amp;$T$1&amp;$R$1&amp;E112&amp;$Q$1&amp;$S$1&amp;$P$1&amp;$T$1&amp;$F$2&amp;$T$1&amp;$R$1&amp;K112&amp;$Q$1&amp;$S$1&amp;$P$1&amp;$T$1&amp;$G$2&amp;$T$1&amp;$R$1&amp;G112&amp;$Q$1&amp;$S$1&amp;$P$1&amp;$T$1&amp;$H$2&amp;$T$1&amp;$R$1&amp;H112&amp;$Q$1&amp;$S$1&amp;$P$1&amp;$T$1&amp;$I$2&amp;$T$1&amp;$R$1&amp;I112&amp;$Q$1&amp;$S$1&amp;$P$1&amp;$T$1&amp;$J$2&amp;$T$1&amp;$R$1&amp;J112&amp;$Q$1&amp;$O$1</f>
        <v>[{"2":270},{"4":220},{"5":220},{"12":1486},{"7":8},{"6":0},{"8":10},{"9":0}]</v>
      </c>
      <c r="AE111" t="str">
        <f>$N$1&amp;$P$1&amp;$T$1&amp;$C$2&amp;$T$1&amp;$R$1&amp;C112&amp;$Q$1&amp;$S$1&amp;$P$1&amp;$T$1&amp;$D$2&amp;$T$1&amp;$R$1&amp;D112&amp;$Q$1&amp;$S$1&amp;$P$1&amp;$T$1&amp;$E$2&amp;$T$1&amp;$R$1&amp;E112&amp;$Q$1&amp;$S$1&amp;$P$1&amp;$T$1&amp;$F$2&amp;$T$1&amp;$R$1&amp;L112&amp;$Q$1&amp;$S$1&amp;$P$1&amp;$T$1&amp;$G$2&amp;$T$1&amp;$R$1&amp;G112&amp;$Q$1&amp;$S$1&amp;$P$1&amp;$T$1&amp;$H$2&amp;$T$1&amp;$R$1&amp;H112&amp;$Q$1&amp;$S$1&amp;$P$1&amp;$T$1&amp;$I$2&amp;$T$1&amp;$R$1&amp;I112&amp;$Q$1&amp;$S$1&amp;$P$1&amp;$T$1&amp;$J$2&amp;$T$1&amp;$R$1&amp;J112&amp;$Q$1&amp;$O$1</f>
        <v>[{"2":270},{"4":220},{"5":220},{"12":2230},{"7":8},{"6":0},{"8":10},{"9":0}]</v>
      </c>
      <c r="AG111">
        <v>316</v>
      </c>
      <c r="AH111">
        <f t="shared" si="41"/>
        <v>210</v>
      </c>
      <c r="AI111">
        <f t="shared" si="42"/>
        <v>210</v>
      </c>
      <c r="AJ111">
        <f t="shared" si="43"/>
        <v>4200</v>
      </c>
      <c r="AK111">
        <v>4</v>
      </c>
      <c r="AL111">
        <v>8</v>
      </c>
      <c r="AM111">
        <v>0</v>
      </c>
      <c r="AN111">
        <v>10</v>
      </c>
    </row>
    <row r="112" customFormat="1" ht="16.5" spans="1:40">
      <c r="A112">
        <v>110</v>
      </c>
      <c r="B112">
        <f t="shared" si="34"/>
        <v>330</v>
      </c>
      <c r="C112">
        <f t="shared" si="35"/>
        <v>270</v>
      </c>
      <c r="D112">
        <f t="shared" si="36"/>
        <v>220</v>
      </c>
      <c r="E112">
        <f t="shared" si="37"/>
        <v>220</v>
      </c>
      <c r="F112" s="2">
        <f t="shared" si="38"/>
        <v>4460</v>
      </c>
      <c r="G112">
        <v>8</v>
      </c>
      <c r="H112">
        <v>0</v>
      </c>
      <c r="I112">
        <v>10</v>
      </c>
      <c r="J112">
        <v>0</v>
      </c>
      <c r="K112" s="2">
        <f t="shared" si="39"/>
        <v>1486</v>
      </c>
      <c r="L112" s="3">
        <f t="shared" si="40"/>
        <v>2230</v>
      </c>
      <c r="N112" t="str">
        <f t="shared" si="33"/>
        <v>[{"1":332},{"2":272},{"4":221},{"5":221},{"12":4480}]</v>
      </c>
      <c r="W112" t="str">
        <f>$N$1&amp;$P$1&amp;$T$1&amp;$C$2&amp;$T$1&amp;$R$1&amp;C113&amp;$Q$1&amp;$S$1&amp;$P$1&amp;$T$1&amp;$D$2&amp;$T$1&amp;$R$1&amp;D113&amp;$Q$1&amp;$S$1&amp;$P$1&amp;$T$1&amp;$E$2&amp;$T$1&amp;$R$1&amp;E113&amp;$Q$1&amp;$S$1&amp;$P$1&amp;$T$1&amp;$F$2&amp;$T$1&amp;$R$1&amp;K113&amp;$Q$1&amp;$S$1&amp;$P$1&amp;$T$1&amp;$G$2&amp;$T$1&amp;$R$1&amp;G113&amp;$Q$1&amp;$S$1&amp;$P$1&amp;$T$1&amp;$H$2&amp;$T$1&amp;$R$1&amp;H113&amp;$Q$1&amp;$S$1&amp;$P$1&amp;$T$1&amp;$I$2&amp;$T$1&amp;$R$1&amp;I113&amp;$Q$1&amp;$S$1&amp;$P$1&amp;$T$1&amp;$J$2&amp;$T$1&amp;$R$1&amp;J113&amp;$Q$1&amp;$O$1</f>
        <v>[{"2":272},{"4":221},{"5":221},{"12":1493},{"7":8},{"6":0},{"8":10},{"9":0}]</v>
      </c>
      <c r="AE112" t="str">
        <f>$N$1&amp;$P$1&amp;$T$1&amp;$C$2&amp;$T$1&amp;$R$1&amp;C113&amp;$Q$1&amp;$S$1&amp;$P$1&amp;$T$1&amp;$D$2&amp;$T$1&amp;$R$1&amp;D113&amp;$Q$1&amp;$S$1&amp;$P$1&amp;$T$1&amp;$E$2&amp;$T$1&amp;$R$1&amp;E113&amp;$Q$1&amp;$S$1&amp;$P$1&amp;$T$1&amp;$F$2&amp;$T$1&amp;$R$1&amp;L113&amp;$Q$1&amp;$S$1&amp;$P$1&amp;$T$1&amp;$G$2&amp;$T$1&amp;$R$1&amp;G113&amp;$Q$1&amp;$S$1&amp;$P$1&amp;$T$1&amp;$H$2&amp;$T$1&amp;$R$1&amp;H113&amp;$Q$1&amp;$S$1&amp;$P$1&amp;$T$1&amp;$I$2&amp;$T$1&amp;$R$1&amp;I113&amp;$Q$1&amp;$S$1&amp;$P$1&amp;$T$1&amp;$J$2&amp;$T$1&amp;$R$1&amp;J113&amp;$Q$1&amp;$O$1</f>
        <v>[{"2":272},{"4":221},{"5":221},{"12":2240},{"7":8},{"6":0},{"8":10},{"9":0}]</v>
      </c>
      <c r="AG112">
        <v>318</v>
      </c>
      <c r="AH112">
        <f t="shared" si="41"/>
        <v>212</v>
      </c>
      <c r="AI112">
        <f t="shared" si="42"/>
        <v>212</v>
      </c>
      <c r="AJ112">
        <f t="shared" si="43"/>
        <v>4240</v>
      </c>
      <c r="AK112">
        <v>4</v>
      </c>
      <c r="AL112">
        <v>8</v>
      </c>
      <c r="AM112">
        <v>0</v>
      </c>
      <c r="AN112">
        <v>10</v>
      </c>
    </row>
    <row r="113" customFormat="1" ht="16.5" spans="1:40">
      <c r="A113">
        <v>111</v>
      </c>
      <c r="B113">
        <f t="shared" si="34"/>
        <v>332</v>
      </c>
      <c r="C113">
        <f t="shared" si="35"/>
        <v>272</v>
      </c>
      <c r="D113">
        <f t="shared" si="36"/>
        <v>221</v>
      </c>
      <c r="E113">
        <f t="shared" si="37"/>
        <v>221</v>
      </c>
      <c r="F113" s="2">
        <f t="shared" si="38"/>
        <v>4480</v>
      </c>
      <c r="G113">
        <v>8</v>
      </c>
      <c r="H113">
        <v>0</v>
      </c>
      <c r="I113">
        <v>10</v>
      </c>
      <c r="J113">
        <v>0</v>
      </c>
      <c r="K113" s="2">
        <f t="shared" si="39"/>
        <v>1493</v>
      </c>
      <c r="L113" s="3">
        <f t="shared" si="40"/>
        <v>2240</v>
      </c>
      <c r="N113" t="str">
        <f t="shared" si="33"/>
        <v>[{"1":334},{"2":273},{"4":222},{"5":222},{"12":4500}]</v>
      </c>
      <c r="W113" t="str">
        <f>$N$1&amp;$P$1&amp;$T$1&amp;$C$2&amp;$T$1&amp;$R$1&amp;C114&amp;$Q$1&amp;$S$1&amp;$P$1&amp;$T$1&amp;$D$2&amp;$T$1&amp;$R$1&amp;D114&amp;$Q$1&amp;$S$1&amp;$P$1&amp;$T$1&amp;$E$2&amp;$T$1&amp;$R$1&amp;E114&amp;$Q$1&amp;$S$1&amp;$P$1&amp;$T$1&amp;$F$2&amp;$T$1&amp;$R$1&amp;K114&amp;$Q$1&amp;$S$1&amp;$P$1&amp;$T$1&amp;$G$2&amp;$T$1&amp;$R$1&amp;G114&amp;$Q$1&amp;$S$1&amp;$P$1&amp;$T$1&amp;$H$2&amp;$T$1&amp;$R$1&amp;H114&amp;$Q$1&amp;$S$1&amp;$P$1&amp;$T$1&amp;$I$2&amp;$T$1&amp;$R$1&amp;I114&amp;$Q$1&amp;$S$1&amp;$P$1&amp;$T$1&amp;$J$2&amp;$T$1&amp;$R$1&amp;J114&amp;$Q$1&amp;$O$1</f>
        <v>[{"2":273},{"4":222},{"5":222},{"12":1500},{"7":8},{"6":0},{"8":10},{"9":0}]</v>
      </c>
      <c r="AE113" t="str">
        <f>$N$1&amp;$P$1&amp;$T$1&amp;$C$2&amp;$T$1&amp;$R$1&amp;C114&amp;$Q$1&amp;$S$1&amp;$P$1&amp;$T$1&amp;$D$2&amp;$T$1&amp;$R$1&amp;D114&amp;$Q$1&amp;$S$1&amp;$P$1&amp;$T$1&amp;$E$2&amp;$T$1&amp;$R$1&amp;E114&amp;$Q$1&amp;$S$1&amp;$P$1&amp;$T$1&amp;$F$2&amp;$T$1&amp;$R$1&amp;L114&amp;$Q$1&amp;$S$1&amp;$P$1&amp;$T$1&amp;$G$2&amp;$T$1&amp;$R$1&amp;G114&amp;$Q$1&amp;$S$1&amp;$P$1&amp;$T$1&amp;$H$2&amp;$T$1&amp;$R$1&amp;H114&amp;$Q$1&amp;$S$1&amp;$P$1&amp;$T$1&amp;$I$2&amp;$T$1&amp;$R$1&amp;I114&amp;$Q$1&amp;$S$1&amp;$P$1&amp;$T$1&amp;$J$2&amp;$T$1&amp;$R$1&amp;J114&amp;$Q$1&amp;$O$1</f>
        <v>[{"2":273},{"4":222},{"5":222},{"12":2250},{"7":8},{"6":0},{"8":10},{"9":0}]</v>
      </c>
      <c r="AG113">
        <v>320</v>
      </c>
      <c r="AH113">
        <f t="shared" si="41"/>
        <v>213</v>
      </c>
      <c r="AI113">
        <f t="shared" si="42"/>
        <v>213</v>
      </c>
      <c r="AJ113">
        <f t="shared" si="43"/>
        <v>4260</v>
      </c>
      <c r="AK113">
        <v>4</v>
      </c>
      <c r="AL113">
        <v>8</v>
      </c>
      <c r="AM113">
        <v>0</v>
      </c>
      <c r="AN113">
        <v>10</v>
      </c>
    </row>
    <row r="114" customFormat="1" ht="16.5" spans="1:40">
      <c r="A114">
        <v>112</v>
      </c>
      <c r="B114">
        <f t="shared" si="34"/>
        <v>334</v>
      </c>
      <c r="C114">
        <f t="shared" si="35"/>
        <v>273</v>
      </c>
      <c r="D114">
        <f t="shared" si="36"/>
        <v>222</v>
      </c>
      <c r="E114">
        <f t="shared" si="37"/>
        <v>222</v>
      </c>
      <c r="F114" s="2">
        <f t="shared" si="38"/>
        <v>4500</v>
      </c>
      <c r="G114">
        <v>8</v>
      </c>
      <c r="H114">
        <v>0</v>
      </c>
      <c r="I114">
        <v>10</v>
      </c>
      <c r="J114">
        <v>0</v>
      </c>
      <c r="K114" s="2">
        <f t="shared" si="39"/>
        <v>1500</v>
      </c>
      <c r="L114" s="3">
        <f t="shared" si="40"/>
        <v>2250</v>
      </c>
      <c r="N114" t="str">
        <f t="shared" si="33"/>
        <v>[{"1":336},{"2":275},{"4":224},{"5":224},{"12":4540}]</v>
      </c>
      <c r="W114" t="str">
        <f>$N$1&amp;$P$1&amp;$T$1&amp;$C$2&amp;$T$1&amp;$R$1&amp;C115&amp;$Q$1&amp;$S$1&amp;$P$1&amp;$T$1&amp;$D$2&amp;$T$1&amp;$R$1&amp;D115&amp;$Q$1&amp;$S$1&amp;$P$1&amp;$T$1&amp;$E$2&amp;$T$1&amp;$R$1&amp;E115&amp;$Q$1&amp;$S$1&amp;$P$1&amp;$T$1&amp;$F$2&amp;$T$1&amp;$R$1&amp;K115&amp;$Q$1&amp;$S$1&amp;$P$1&amp;$T$1&amp;$G$2&amp;$T$1&amp;$R$1&amp;G115&amp;$Q$1&amp;$S$1&amp;$P$1&amp;$T$1&amp;$H$2&amp;$T$1&amp;$R$1&amp;H115&amp;$Q$1&amp;$S$1&amp;$P$1&amp;$T$1&amp;$I$2&amp;$T$1&amp;$R$1&amp;I115&amp;$Q$1&amp;$S$1&amp;$P$1&amp;$T$1&amp;$J$2&amp;$T$1&amp;$R$1&amp;J115&amp;$Q$1&amp;$O$1</f>
        <v>[{"2":275},{"4":224},{"5":224},{"12":1513},{"7":8},{"6":0},{"8":10},{"9":0}]</v>
      </c>
      <c r="AE114" t="str">
        <f>$N$1&amp;$P$1&amp;$T$1&amp;$C$2&amp;$T$1&amp;$R$1&amp;C115&amp;$Q$1&amp;$S$1&amp;$P$1&amp;$T$1&amp;$D$2&amp;$T$1&amp;$R$1&amp;D115&amp;$Q$1&amp;$S$1&amp;$P$1&amp;$T$1&amp;$E$2&amp;$T$1&amp;$R$1&amp;E115&amp;$Q$1&amp;$S$1&amp;$P$1&amp;$T$1&amp;$F$2&amp;$T$1&amp;$R$1&amp;L115&amp;$Q$1&amp;$S$1&amp;$P$1&amp;$T$1&amp;$G$2&amp;$T$1&amp;$R$1&amp;G115&amp;$Q$1&amp;$S$1&amp;$P$1&amp;$T$1&amp;$H$2&amp;$T$1&amp;$R$1&amp;H115&amp;$Q$1&amp;$S$1&amp;$P$1&amp;$T$1&amp;$I$2&amp;$T$1&amp;$R$1&amp;I115&amp;$Q$1&amp;$S$1&amp;$P$1&amp;$T$1&amp;$J$2&amp;$T$1&amp;$R$1&amp;J115&amp;$Q$1&amp;$O$1</f>
        <v>[{"2":275},{"4":224},{"5":224},{"12":2270},{"7":8},{"6":0},{"8":10},{"9":0}]</v>
      </c>
      <c r="AG114">
        <v>322</v>
      </c>
      <c r="AH114">
        <f t="shared" si="41"/>
        <v>214</v>
      </c>
      <c r="AI114">
        <f t="shared" si="42"/>
        <v>214</v>
      </c>
      <c r="AJ114">
        <f t="shared" si="43"/>
        <v>4280</v>
      </c>
      <c r="AK114">
        <v>4</v>
      </c>
      <c r="AL114">
        <v>8</v>
      </c>
      <c r="AM114">
        <v>0</v>
      </c>
      <c r="AN114">
        <v>10</v>
      </c>
    </row>
    <row r="115" customFormat="1" ht="16.5" spans="1:40">
      <c r="A115">
        <v>113</v>
      </c>
      <c r="B115">
        <f t="shared" si="34"/>
        <v>336</v>
      </c>
      <c r="C115">
        <f t="shared" si="35"/>
        <v>275</v>
      </c>
      <c r="D115">
        <f t="shared" si="36"/>
        <v>224</v>
      </c>
      <c r="E115">
        <f t="shared" si="37"/>
        <v>224</v>
      </c>
      <c r="F115" s="2">
        <f t="shared" si="38"/>
        <v>4540</v>
      </c>
      <c r="G115">
        <v>8</v>
      </c>
      <c r="H115">
        <v>0</v>
      </c>
      <c r="I115">
        <v>10</v>
      </c>
      <c r="J115">
        <v>0</v>
      </c>
      <c r="K115" s="2">
        <f t="shared" si="39"/>
        <v>1513</v>
      </c>
      <c r="L115" s="3">
        <f t="shared" si="40"/>
        <v>2270</v>
      </c>
      <c r="N115" t="str">
        <f t="shared" si="33"/>
        <v>[{"1":338},{"2":277},{"4":225},{"5":225},{"12":4560}]</v>
      </c>
      <c r="W115" t="str">
        <f>$N$1&amp;$P$1&amp;$T$1&amp;$C$2&amp;$T$1&amp;$R$1&amp;C116&amp;$Q$1&amp;$S$1&amp;$P$1&amp;$T$1&amp;$D$2&amp;$T$1&amp;$R$1&amp;D116&amp;$Q$1&amp;$S$1&amp;$P$1&amp;$T$1&amp;$E$2&amp;$T$1&amp;$R$1&amp;E116&amp;$Q$1&amp;$S$1&amp;$P$1&amp;$T$1&amp;$F$2&amp;$T$1&amp;$R$1&amp;K116&amp;$Q$1&amp;$S$1&amp;$P$1&amp;$T$1&amp;$G$2&amp;$T$1&amp;$R$1&amp;G116&amp;$Q$1&amp;$S$1&amp;$P$1&amp;$T$1&amp;$H$2&amp;$T$1&amp;$R$1&amp;H116&amp;$Q$1&amp;$S$1&amp;$P$1&amp;$T$1&amp;$I$2&amp;$T$1&amp;$R$1&amp;I116&amp;$Q$1&amp;$S$1&amp;$P$1&amp;$T$1&amp;$J$2&amp;$T$1&amp;$R$1&amp;J116&amp;$Q$1&amp;$O$1</f>
        <v>[{"2":277},{"4":225},{"5":225},{"12":1520},{"7":8},{"6":0},{"8":10},{"9":0}]</v>
      </c>
      <c r="AE115" t="str">
        <f>$N$1&amp;$P$1&amp;$T$1&amp;$C$2&amp;$T$1&amp;$R$1&amp;C116&amp;$Q$1&amp;$S$1&amp;$P$1&amp;$T$1&amp;$D$2&amp;$T$1&amp;$R$1&amp;D116&amp;$Q$1&amp;$S$1&amp;$P$1&amp;$T$1&amp;$E$2&amp;$T$1&amp;$R$1&amp;E116&amp;$Q$1&amp;$S$1&amp;$P$1&amp;$T$1&amp;$F$2&amp;$T$1&amp;$R$1&amp;L116&amp;$Q$1&amp;$S$1&amp;$P$1&amp;$T$1&amp;$G$2&amp;$T$1&amp;$R$1&amp;G116&amp;$Q$1&amp;$S$1&amp;$P$1&amp;$T$1&amp;$H$2&amp;$T$1&amp;$R$1&amp;H116&amp;$Q$1&amp;$S$1&amp;$P$1&amp;$T$1&amp;$I$2&amp;$T$1&amp;$R$1&amp;I116&amp;$Q$1&amp;$S$1&amp;$P$1&amp;$T$1&amp;$J$2&amp;$T$1&amp;$R$1&amp;J116&amp;$Q$1&amp;$O$1</f>
        <v>[{"2":277},{"4":225},{"5":225},{"12":2280},{"7":8},{"6":0},{"8":10},{"9":0}]</v>
      </c>
      <c r="AG115">
        <v>324</v>
      </c>
      <c r="AH115">
        <f t="shared" si="41"/>
        <v>216</v>
      </c>
      <c r="AI115">
        <f t="shared" si="42"/>
        <v>216</v>
      </c>
      <c r="AJ115">
        <f t="shared" si="43"/>
        <v>4320</v>
      </c>
      <c r="AK115">
        <v>4</v>
      </c>
      <c r="AL115">
        <v>8</v>
      </c>
      <c r="AM115">
        <v>0</v>
      </c>
      <c r="AN115">
        <v>10</v>
      </c>
    </row>
    <row r="116" customFormat="1" ht="16.5" spans="1:40">
      <c r="A116">
        <v>114</v>
      </c>
      <c r="B116">
        <f t="shared" si="34"/>
        <v>338</v>
      </c>
      <c r="C116">
        <f t="shared" si="35"/>
        <v>277</v>
      </c>
      <c r="D116">
        <f t="shared" si="36"/>
        <v>225</v>
      </c>
      <c r="E116">
        <f t="shared" si="37"/>
        <v>225</v>
      </c>
      <c r="F116" s="2">
        <f t="shared" si="38"/>
        <v>4560</v>
      </c>
      <c r="G116">
        <v>8</v>
      </c>
      <c r="H116">
        <v>0</v>
      </c>
      <c r="I116">
        <v>10</v>
      </c>
      <c r="J116">
        <v>0</v>
      </c>
      <c r="K116" s="2">
        <f t="shared" si="39"/>
        <v>1520</v>
      </c>
      <c r="L116" s="3">
        <f t="shared" si="40"/>
        <v>2280</v>
      </c>
      <c r="N116" t="str">
        <f t="shared" si="33"/>
        <v>[{"1":340},{"2":278},{"4":226},{"5":226},{"12":4580}]</v>
      </c>
      <c r="W116" t="str">
        <f>$N$1&amp;$P$1&amp;$T$1&amp;$C$2&amp;$T$1&amp;$R$1&amp;C117&amp;$Q$1&amp;$S$1&amp;$P$1&amp;$T$1&amp;$D$2&amp;$T$1&amp;$R$1&amp;D117&amp;$Q$1&amp;$S$1&amp;$P$1&amp;$T$1&amp;$E$2&amp;$T$1&amp;$R$1&amp;E117&amp;$Q$1&amp;$S$1&amp;$P$1&amp;$T$1&amp;$F$2&amp;$T$1&amp;$R$1&amp;K117&amp;$Q$1&amp;$S$1&amp;$P$1&amp;$T$1&amp;$G$2&amp;$T$1&amp;$R$1&amp;G117&amp;$Q$1&amp;$S$1&amp;$P$1&amp;$T$1&amp;$H$2&amp;$T$1&amp;$R$1&amp;H117&amp;$Q$1&amp;$S$1&amp;$P$1&amp;$T$1&amp;$I$2&amp;$T$1&amp;$R$1&amp;I117&amp;$Q$1&amp;$S$1&amp;$P$1&amp;$T$1&amp;$J$2&amp;$T$1&amp;$R$1&amp;J117&amp;$Q$1&amp;$O$1</f>
        <v>[{"2":278},{"4":226},{"5":226},{"12":1526},{"7":8},{"6":0},{"8":10},{"9":0}]</v>
      </c>
      <c r="AE116" t="str">
        <f>$N$1&amp;$P$1&amp;$T$1&amp;$C$2&amp;$T$1&amp;$R$1&amp;C117&amp;$Q$1&amp;$S$1&amp;$P$1&amp;$T$1&amp;$D$2&amp;$T$1&amp;$R$1&amp;D117&amp;$Q$1&amp;$S$1&amp;$P$1&amp;$T$1&amp;$E$2&amp;$T$1&amp;$R$1&amp;E117&amp;$Q$1&amp;$S$1&amp;$P$1&amp;$T$1&amp;$F$2&amp;$T$1&amp;$R$1&amp;L117&amp;$Q$1&amp;$S$1&amp;$P$1&amp;$T$1&amp;$G$2&amp;$T$1&amp;$R$1&amp;G117&amp;$Q$1&amp;$S$1&amp;$P$1&amp;$T$1&amp;$H$2&amp;$T$1&amp;$R$1&amp;H117&amp;$Q$1&amp;$S$1&amp;$P$1&amp;$T$1&amp;$I$2&amp;$T$1&amp;$R$1&amp;I117&amp;$Q$1&amp;$S$1&amp;$P$1&amp;$T$1&amp;$J$2&amp;$T$1&amp;$R$1&amp;J117&amp;$Q$1&amp;$O$1</f>
        <v>[{"2":278},{"4":226},{"5":226},{"12":2290},{"7":8},{"6":0},{"8":10},{"9":0}]</v>
      </c>
      <c r="AG116">
        <v>326</v>
      </c>
      <c r="AH116">
        <f t="shared" si="41"/>
        <v>217</v>
      </c>
      <c r="AI116">
        <f t="shared" si="42"/>
        <v>217</v>
      </c>
      <c r="AJ116">
        <f t="shared" si="43"/>
        <v>4340</v>
      </c>
      <c r="AK116">
        <v>4</v>
      </c>
      <c r="AL116">
        <v>8</v>
      </c>
      <c r="AM116">
        <v>0</v>
      </c>
      <c r="AN116">
        <v>10</v>
      </c>
    </row>
    <row r="117" customFormat="1" ht="16.5" spans="1:40">
      <c r="A117">
        <v>115</v>
      </c>
      <c r="B117">
        <f t="shared" si="34"/>
        <v>340</v>
      </c>
      <c r="C117">
        <f t="shared" si="35"/>
        <v>278</v>
      </c>
      <c r="D117">
        <f t="shared" si="36"/>
        <v>226</v>
      </c>
      <c r="E117">
        <f t="shared" si="37"/>
        <v>226</v>
      </c>
      <c r="F117" s="2">
        <f t="shared" si="38"/>
        <v>4580</v>
      </c>
      <c r="G117">
        <v>8</v>
      </c>
      <c r="H117">
        <v>0</v>
      </c>
      <c r="I117">
        <v>10</v>
      </c>
      <c r="J117">
        <v>0</v>
      </c>
      <c r="K117" s="2">
        <f t="shared" si="39"/>
        <v>1526</v>
      </c>
      <c r="L117" s="3">
        <f t="shared" si="40"/>
        <v>2290</v>
      </c>
      <c r="N117" t="str">
        <f t="shared" si="33"/>
        <v>[{"1":342},{"2":280},{"4":228},{"5":228},{"12":4620}]</v>
      </c>
      <c r="W117" t="str">
        <f>$N$1&amp;$P$1&amp;$T$1&amp;$C$2&amp;$T$1&amp;$R$1&amp;C118&amp;$Q$1&amp;$S$1&amp;$P$1&amp;$T$1&amp;$D$2&amp;$T$1&amp;$R$1&amp;D118&amp;$Q$1&amp;$S$1&amp;$P$1&amp;$T$1&amp;$E$2&amp;$T$1&amp;$R$1&amp;E118&amp;$Q$1&amp;$S$1&amp;$P$1&amp;$T$1&amp;$F$2&amp;$T$1&amp;$R$1&amp;K118&amp;$Q$1&amp;$S$1&amp;$P$1&amp;$T$1&amp;$G$2&amp;$T$1&amp;$R$1&amp;G118&amp;$Q$1&amp;$S$1&amp;$P$1&amp;$T$1&amp;$H$2&amp;$T$1&amp;$R$1&amp;H118&amp;$Q$1&amp;$S$1&amp;$P$1&amp;$T$1&amp;$I$2&amp;$T$1&amp;$R$1&amp;I118&amp;$Q$1&amp;$S$1&amp;$P$1&amp;$T$1&amp;$J$2&amp;$T$1&amp;$R$1&amp;J118&amp;$Q$1&amp;$O$1</f>
        <v>[{"2":280},{"4":228},{"5":228},{"12":1540},{"7":8},{"6":0},{"8":10},{"9":0}]</v>
      </c>
      <c r="AE117" t="str">
        <f>$N$1&amp;$P$1&amp;$T$1&amp;$C$2&amp;$T$1&amp;$R$1&amp;C118&amp;$Q$1&amp;$S$1&amp;$P$1&amp;$T$1&amp;$D$2&amp;$T$1&amp;$R$1&amp;D118&amp;$Q$1&amp;$S$1&amp;$P$1&amp;$T$1&amp;$E$2&amp;$T$1&amp;$R$1&amp;E118&amp;$Q$1&amp;$S$1&amp;$P$1&amp;$T$1&amp;$F$2&amp;$T$1&amp;$R$1&amp;L118&amp;$Q$1&amp;$S$1&amp;$P$1&amp;$T$1&amp;$G$2&amp;$T$1&amp;$R$1&amp;G118&amp;$Q$1&amp;$S$1&amp;$P$1&amp;$T$1&amp;$H$2&amp;$T$1&amp;$R$1&amp;H118&amp;$Q$1&amp;$S$1&amp;$P$1&amp;$T$1&amp;$I$2&amp;$T$1&amp;$R$1&amp;I118&amp;$Q$1&amp;$S$1&amp;$P$1&amp;$T$1&amp;$J$2&amp;$T$1&amp;$R$1&amp;J118&amp;$Q$1&amp;$O$1</f>
        <v>[{"2":280},{"4":228},{"5":228},{"12":2310},{"7":8},{"6":0},{"8":10},{"9":0}]</v>
      </c>
      <c r="AG117">
        <v>328</v>
      </c>
      <c r="AH117">
        <f t="shared" si="41"/>
        <v>218</v>
      </c>
      <c r="AI117">
        <f t="shared" si="42"/>
        <v>218</v>
      </c>
      <c r="AJ117">
        <f t="shared" si="43"/>
        <v>4360</v>
      </c>
      <c r="AK117">
        <v>4</v>
      </c>
      <c r="AL117">
        <v>8</v>
      </c>
      <c r="AM117">
        <v>0</v>
      </c>
      <c r="AN117">
        <v>10</v>
      </c>
    </row>
    <row r="118" customFormat="1" ht="16.5" spans="1:40">
      <c r="A118">
        <v>116</v>
      </c>
      <c r="B118">
        <f t="shared" si="34"/>
        <v>342</v>
      </c>
      <c r="C118">
        <f t="shared" si="35"/>
        <v>280</v>
      </c>
      <c r="D118">
        <f t="shared" si="36"/>
        <v>228</v>
      </c>
      <c r="E118">
        <f t="shared" si="37"/>
        <v>228</v>
      </c>
      <c r="F118" s="2">
        <f t="shared" si="38"/>
        <v>4620</v>
      </c>
      <c r="G118">
        <v>8</v>
      </c>
      <c r="H118">
        <v>0</v>
      </c>
      <c r="I118">
        <v>10</v>
      </c>
      <c r="J118">
        <v>0</v>
      </c>
      <c r="K118" s="2">
        <f t="shared" si="39"/>
        <v>1540</v>
      </c>
      <c r="L118" s="3">
        <f t="shared" si="40"/>
        <v>2310</v>
      </c>
      <c r="N118" t="str">
        <f t="shared" si="33"/>
        <v>[{"1":344},{"2":282},{"4":229},{"5":229},{"12":4640}]</v>
      </c>
      <c r="W118" t="str">
        <f>$N$1&amp;$P$1&amp;$T$1&amp;$C$2&amp;$T$1&amp;$R$1&amp;C119&amp;$Q$1&amp;$S$1&amp;$P$1&amp;$T$1&amp;$D$2&amp;$T$1&amp;$R$1&amp;D119&amp;$Q$1&amp;$S$1&amp;$P$1&amp;$T$1&amp;$E$2&amp;$T$1&amp;$R$1&amp;E119&amp;$Q$1&amp;$S$1&amp;$P$1&amp;$T$1&amp;$F$2&amp;$T$1&amp;$R$1&amp;K119&amp;$Q$1&amp;$S$1&amp;$P$1&amp;$T$1&amp;$G$2&amp;$T$1&amp;$R$1&amp;G119&amp;$Q$1&amp;$S$1&amp;$P$1&amp;$T$1&amp;$H$2&amp;$T$1&amp;$R$1&amp;H119&amp;$Q$1&amp;$S$1&amp;$P$1&amp;$T$1&amp;$I$2&amp;$T$1&amp;$R$1&amp;I119&amp;$Q$1&amp;$S$1&amp;$P$1&amp;$T$1&amp;$J$2&amp;$T$1&amp;$R$1&amp;J119&amp;$Q$1&amp;$O$1</f>
        <v>[{"2":282},{"4":229},{"5":229},{"12":1546},{"7":8},{"6":0},{"8":10},{"9":0}]</v>
      </c>
      <c r="AE118" t="str">
        <f>$N$1&amp;$P$1&amp;$T$1&amp;$C$2&amp;$T$1&amp;$R$1&amp;C119&amp;$Q$1&amp;$S$1&amp;$P$1&amp;$T$1&amp;$D$2&amp;$T$1&amp;$R$1&amp;D119&amp;$Q$1&amp;$S$1&amp;$P$1&amp;$T$1&amp;$E$2&amp;$T$1&amp;$R$1&amp;E119&amp;$Q$1&amp;$S$1&amp;$P$1&amp;$T$1&amp;$F$2&amp;$T$1&amp;$R$1&amp;L119&amp;$Q$1&amp;$S$1&amp;$P$1&amp;$T$1&amp;$G$2&amp;$T$1&amp;$R$1&amp;G119&amp;$Q$1&amp;$S$1&amp;$P$1&amp;$T$1&amp;$H$2&amp;$T$1&amp;$R$1&amp;H119&amp;$Q$1&amp;$S$1&amp;$P$1&amp;$T$1&amp;$I$2&amp;$T$1&amp;$R$1&amp;I119&amp;$Q$1&amp;$S$1&amp;$P$1&amp;$T$1&amp;$J$2&amp;$T$1&amp;$R$1&amp;J119&amp;$Q$1&amp;$O$1</f>
        <v>[{"2":282},{"4":229},{"5":229},{"12":2320},{"7":8},{"6":0},{"8":10},{"9":0}]</v>
      </c>
      <c r="AG118">
        <v>330</v>
      </c>
      <c r="AH118">
        <f t="shared" si="41"/>
        <v>220</v>
      </c>
      <c r="AI118">
        <f t="shared" si="42"/>
        <v>220</v>
      </c>
      <c r="AJ118">
        <f t="shared" si="43"/>
        <v>4400</v>
      </c>
      <c r="AK118">
        <v>4</v>
      </c>
      <c r="AL118">
        <v>8</v>
      </c>
      <c r="AM118">
        <v>0</v>
      </c>
      <c r="AN118">
        <v>10</v>
      </c>
    </row>
    <row r="119" customFormat="1" ht="16.5" spans="1:40">
      <c r="A119">
        <v>117</v>
      </c>
      <c r="B119">
        <f t="shared" si="34"/>
        <v>344</v>
      </c>
      <c r="C119">
        <f t="shared" si="35"/>
        <v>282</v>
      </c>
      <c r="D119">
        <f t="shared" si="36"/>
        <v>229</v>
      </c>
      <c r="E119">
        <f t="shared" si="37"/>
        <v>229</v>
      </c>
      <c r="F119" s="2">
        <f t="shared" si="38"/>
        <v>4640</v>
      </c>
      <c r="G119">
        <v>8</v>
      </c>
      <c r="H119">
        <v>0</v>
      </c>
      <c r="I119">
        <v>10</v>
      </c>
      <c r="J119">
        <v>0</v>
      </c>
      <c r="K119" s="2">
        <f t="shared" si="39"/>
        <v>1546</v>
      </c>
      <c r="L119" s="3">
        <f t="shared" si="40"/>
        <v>2320</v>
      </c>
      <c r="N119" t="str">
        <f t="shared" si="33"/>
        <v>[{"1":346},{"2":283},{"4":230},{"5":230},{"12":4660}]</v>
      </c>
      <c r="W119" t="str">
        <f>$N$1&amp;$P$1&amp;$T$1&amp;$C$2&amp;$T$1&amp;$R$1&amp;C120&amp;$Q$1&amp;$S$1&amp;$P$1&amp;$T$1&amp;$D$2&amp;$T$1&amp;$R$1&amp;D120&amp;$Q$1&amp;$S$1&amp;$P$1&amp;$T$1&amp;$E$2&amp;$T$1&amp;$R$1&amp;E120&amp;$Q$1&amp;$S$1&amp;$P$1&amp;$T$1&amp;$F$2&amp;$T$1&amp;$R$1&amp;K120&amp;$Q$1&amp;$S$1&amp;$P$1&amp;$T$1&amp;$G$2&amp;$T$1&amp;$R$1&amp;G120&amp;$Q$1&amp;$S$1&amp;$P$1&amp;$T$1&amp;$H$2&amp;$T$1&amp;$R$1&amp;H120&amp;$Q$1&amp;$S$1&amp;$P$1&amp;$T$1&amp;$I$2&amp;$T$1&amp;$R$1&amp;I120&amp;$Q$1&amp;$S$1&amp;$P$1&amp;$T$1&amp;$J$2&amp;$T$1&amp;$R$1&amp;J120&amp;$Q$1&amp;$O$1</f>
        <v>[{"2":283},{"4":230},{"5":230},{"12":1553},{"7":8},{"6":0},{"8":10},{"9":0}]</v>
      </c>
      <c r="AE119" t="str">
        <f>$N$1&amp;$P$1&amp;$T$1&amp;$C$2&amp;$T$1&amp;$R$1&amp;C120&amp;$Q$1&amp;$S$1&amp;$P$1&amp;$T$1&amp;$D$2&amp;$T$1&amp;$R$1&amp;D120&amp;$Q$1&amp;$S$1&amp;$P$1&amp;$T$1&amp;$E$2&amp;$T$1&amp;$R$1&amp;E120&amp;$Q$1&amp;$S$1&amp;$P$1&amp;$T$1&amp;$F$2&amp;$T$1&amp;$R$1&amp;L120&amp;$Q$1&amp;$S$1&amp;$P$1&amp;$T$1&amp;$G$2&amp;$T$1&amp;$R$1&amp;G120&amp;$Q$1&amp;$S$1&amp;$P$1&amp;$T$1&amp;$H$2&amp;$T$1&amp;$R$1&amp;H120&amp;$Q$1&amp;$S$1&amp;$P$1&amp;$T$1&amp;$I$2&amp;$T$1&amp;$R$1&amp;I120&amp;$Q$1&amp;$S$1&amp;$P$1&amp;$T$1&amp;$J$2&amp;$T$1&amp;$R$1&amp;J120&amp;$Q$1&amp;$O$1</f>
        <v>[{"2":283},{"4":230},{"5":230},{"12":2330},{"7":8},{"6":0},{"8":10},{"9":0}]</v>
      </c>
      <c r="AG119">
        <v>332</v>
      </c>
      <c r="AH119">
        <f t="shared" si="41"/>
        <v>221</v>
      </c>
      <c r="AI119">
        <f t="shared" si="42"/>
        <v>221</v>
      </c>
      <c r="AJ119">
        <f t="shared" si="43"/>
        <v>4420</v>
      </c>
      <c r="AK119">
        <v>4</v>
      </c>
      <c r="AL119">
        <v>8</v>
      </c>
      <c r="AM119">
        <v>0</v>
      </c>
      <c r="AN119">
        <v>10</v>
      </c>
    </row>
    <row r="120" customFormat="1" ht="16.5" spans="1:40">
      <c r="A120">
        <v>118</v>
      </c>
      <c r="B120">
        <f t="shared" si="34"/>
        <v>346</v>
      </c>
      <c r="C120">
        <f t="shared" si="35"/>
        <v>283</v>
      </c>
      <c r="D120">
        <f t="shared" si="36"/>
        <v>230</v>
      </c>
      <c r="E120">
        <f t="shared" si="37"/>
        <v>230</v>
      </c>
      <c r="F120" s="2">
        <f t="shared" si="38"/>
        <v>4660</v>
      </c>
      <c r="G120">
        <v>8</v>
      </c>
      <c r="H120">
        <v>0</v>
      </c>
      <c r="I120">
        <v>10</v>
      </c>
      <c r="J120">
        <v>0</v>
      </c>
      <c r="K120" s="2">
        <f t="shared" si="39"/>
        <v>1553</v>
      </c>
      <c r="L120" s="3">
        <f t="shared" si="40"/>
        <v>2330</v>
      </c>
      <c r="N120" t="str">
        <f t="shared" si="33"/>
        <v>[{"1":348},{"2":285},{"4":232},{"5":232},{"12":4700}]</v>
      </c>
      <c r="W120" t="str">
        <f>$N$1&amp;$P$1&amp;$T$1&amp;$C$2&amp;$T$1&amp;$R$1&amp;C121&amp;$Q$1&amp;$S$1&amp;$P$1&amp;$T$1&amp;$D$2&amp;$T$1&amp;$R$1&amp;D121&amp;$Q$1&amp;$S$1&amp;$P$1&amp;$T$1&amp;$E$2&amp;$T$1&amp;$R$1&amp;E121&amp;$Q$1&amp;$S$1&amp;$P$1&amp;$T$1&amp;$F$2&amp;$T$1&amp;$R$1&amp;K121&amp;$Q$1&amp;$S$1&amp;$P$1&amp;$T$1&amp;$G$2&amp;$T$1&amp;$R$1&amp;G121&amp;$Q$1&amp;$S$1&amp;$P$1&amp;$T$1&amp;$H$2&amp;$T$1&amp;$R$1&amp;H121&amp;$Q$1&amp;$S$1&amp;$P$1&amp;$T$1&amp;$I$2&amp;$T$1&amp;$R$1&amp;I121&amp;$Q$1&amp;$S$1&amp;$P$1&amp;$T$1&amp;$J$2&amp;$T$1&amp;$R$1&amp;J121&amp;$Q$1&amp;$O$1</f>
        <v>[{"2":285},{"4":232},{"5":232},{"12":1566},{"7":8},{"6":0},{"8":10},{"9":0}]</v>
      </c>
      <c r="AE120" t="str">
        <f>$N$1&amp;$P$1&amp;$T$1&amp;$C$2&amp;$T$1&amp;$R$1&amp;C121&amp;$Q$1&amp;$S$1&amp;$P$1&amp;$T$1&amp;$D$2&amp;$T$1&amp;$R$1&amp;D121&amp;$Q$1&amp;$S$1&amp;$P$1&amp;$T$1&amp;$E$2&amp;$T$1&amp;$R$1&amp;E121&amp;$Q$1&amp;$S$1&amp;$P$1&amp;$T$1&amp;$F$2&amp;$T$1&amp;$R$1&amp;L121&amp;$Q$1&amp;$S$1&amp;$P$1&amp;$T$1&amp;$G$2&amp;$T$1&amp;$R$1&amp;G121&amp;$Q$1&amp;$S$1&amp;$P$1&amp;$T$1&amp;$H$2&amp;$T$1&amp;$R$1&amp;H121&amp;$Q$1&amp;$S$1&amp;$P$1&amp;$T$1&amp;$I$2&amp;$T$1&amp;$R$1&amp;I121&amp;$Q$1&amp;$S$1&amp;$P$1&amp;$T$1&amp;$J$2&amp;$T$1&amp;$R$1&amp;J121&amp;$Q$1&amp;$O$1</f>
        <v>[{"2":285},{"4":232},{"5":232},{"12":2350},{"7":8},{"6":0},{"8":10},{"9":0}]</v>
      </c>
      <c r="AG120">
        <v>334</v>
      </c>
      <c r="AH120">
        <f t="shared" si="41"/>
        <v>222</v>
      </c>
      <c r="AI120">
        <f t="shared" si="42"/>
        <v>222</v>
      </c>
      <c r="AJ120">
        <f t="shared" si="43"/>
        <v>4440</v>
      </c>
      <c r="AK120">
        <v>4</v>
      </c>
      <c r="AL120">
        <v>8</v>
      </c>
      <c r="AM120">
        <v>0</v>
      </c>
      <c r="AN120">
        <v>10</v>
      </c>
    </row>
    <row r="121" customFormat="1" ht="16.5" spans="1:40">
      <c r="A121">
        <v>119</v>
      </c>
      <c r="B121">
        <f t="shared" si="34"/>
        <v>348</v>
      </c>
      <c r="C121">
        <f t="shared" si="35"/>
        <v>285</v>
      </c>
      <c r="D121">
        <f t="shared" si="36"/>
        <v>232</v>
      </c>
      <c r="E121">
        <f t="shared" si="37"/>
        <v>232</v>
      </c>
      <c r="F121" s="2">
        <f t="shared" si="38"/>
        <v>4700</v>
      </c>
      <c r="G121">
        <v>8</v>
      </c>
      <c r="H121">
        <v>0</v>
      </c>
      <c r="I121">
        <v>10</v>
      </c>
      <c r="J121">
        <v>0</v>
      </c>
      <c r="K121" s="2">
        <f t="shared" si="39"/>
        <v>1566</v>
      </c>
      <c r="L121" s="3">
        <f t="shared" si="40"/>
        <v>2350</v>
      </c>
      <c r="N121" t="str">
        <f t="shared" si="33"/>
        <v>[{"1":350},{"2":287},{"4":233},{"5":233},{"12":4720}]</v>
      </c>
      <c r="W121" t="str">
        <f>$N$1&amp;$P$1&amp;$T$1&amp;$C$2&amp;$T$1&amp;$R$1&amp;C122&amp;$Q$1&amp;$S$1&amp;$P$1&amp;$T$1&amp;$D$2&amp;$T$1&amp;$R$1&amp;D122&amp;$Q$1&amp;$S$1&amp;$P$1&amp;$T$1&amp;$E$2&amp;$T$1&amp;$R$1&amp;E122&amp;$Q$1&amp;$S$1&amp;$P$1&amp;$T$1&amp;$F$2&amp;$T$1&amp;$R$1&amp;K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[{"2":287},{"4":233},{"5":233},{"12":1573},{"7":8},{"6":0},{"8":10},{"9":0}]</v>
      </c>
      <c r="AE121" t="str">
        <f>$N$1&amp;$P$1&amp;$T$1&amp;$C$2&amp;$T$1&amp;$R$1&amp;C122&amp;$Q$1&amp;$S$1&amp;$P$1&amp;$T$1&amp;$D$2&amp;$T$1&amp;$R$1&amp;D122&amp;$Q$1&amp;$S$1&amp;$P$1&amp;$T$1&amp;$E$2&amp;$T$1&amp;$R$1&amp;E122&amp;$Q$1&amp;$S$1&amp;$P$1&amp;$T$1&amp;$F$2&amp;$T$1&amp;$R$1&amp;L122&amp;$Q$1&amp;$S$1&amp;$P$1&amp;$T$1&amp;$G$2&amp;$T$1&amp;$R$1&amp;G122&amp;$Q$1&amp;$S$1&amp;$P$1&amp;$T$1&amp;$H$2&amp;$T$1&amp;$R$1&amp;H122&amp;$Q$1&amp;$S$1&amp;$P$1&amp;$T$1&amp;$I$2&amp;$T$1&amp;$R$1&amp;I122&amp;$Q$1&amp;$S$1&amp;$P$1&amp;$T$1&amp;$J$2&amp;$T$1&amp;$R$1&amp;J122&amp;$Q$1&amp;$O$1</f>
        <v>[{"2":287},{"4":233},{"5":233},{"12":2360},{"7":8},{"6":0},{"8":10},{"9":0}]</v>
      </c>
      <c r="AG121">
        <v>336</v>
      </c>
      <c r="AH121">
        <f t="shared" si="41"/>
        <v>224</v>
      </c>
      <c r="AI121">
        <f t="shared" si="42"/>
        <v>224</v>
      </c>
      <c r="AJ121">
        <f t="shared" si="43"/>
        <v>4480</v>
      </c>
      <c r="AK121">
        <v>4</v>
      </c>
      <c r="AL121">
        <v>8</v>
      </c>
      <c r="AM121">
        <v>0</v>
      </c>
      <c r="AN121">
        <v>10</v>
      </c>
    </row>
    <row r="122" customFormat="1" ht="16.5" spans="1:40">
      <c r="A122">
        <v>120</v>
      </c>
      <c r="B122">
        <f t="shared" si="34"/>
        <v>350</v>
      </c>
      <c r="C122">
        <f t="shared" si="35"/>
        <v>287</v>
      </c>
      <c r="D122">
        <f t="shared" si="36"/>
        <v>233</v>
      </c>
      <c r="E122">
        <f t="shared" si="37"/>
        <v>233</v>
      </c>
      <c r="F122" s="2">
        <f t="shared" si="38"/>
        <v>4720</v>
      </c>
      <c r="G122">
        <v>8</v>
      </c>
      <c r="H122">
        <v>0</v>
      </c>
      <c r="I122">
        <v>10</v>
      </c>
      <c r="J122">
        <v>0</v>
      </c>
      <c r="K122" s="2">
        <f t="shared" si="39"/>
        <v>1573</v>
      </c>
      <c r="L122" s="3">
        <f t="shared" si="40"/>
        <v>2360</v>
      </c>
      <c r="N122" t="str">
        <f t="shared" si="33"/>
        <v>[{"1":352},{"2":288},{"4":234},{"5":234},{"12":4740}]</v>
      </c>
      <c r="W122" t="str">
        <f>$N$1&amp;$P$1&amp;$T$1&amp;$C$2&amp;$T$1&amp;$R$1&amp;C123&amp;$Q$1&amp;$S$1&amp;$P$1&amp;$T$1&amp;$D$2&amp;$T$1&amp;$R$1&amp;D123&amp;$Q$1&amp;$S$1&amp;$P$1&amp;$T$1&amp;$E$2&amp;$T$1&amp;$R$1&amp;E123&amp;$Q$1&amp;$S$1&amp;$P$1&amp;$T$1&amp;$F$2&amp;$T$1&amp;$R$1&amp;K123&amp;$Q$1&amp;$S$1&amp;$P$1&amp;$T$1&amp;$G$2&amp;$T$1&amp;$R$1&amp;G123&amp;$Q$1&amp;$S$1&amp;$P$1&amp;$T$1&amp;$H$2&amp;$T$1&amp;$R$1&amp;H123&amp;$Q$1&amp;$S$1&amp;$P$1&amp;$T$1&amp;$I$2&amp;$T$1&amp;$R$1&amp;I123&amp;$Q$1&amp;$S$1&amp;$P$1&amp;$T$1&amp;$J$2&amp;$T$1&amp;$R$1&amp;J123&amp;$Q$1&amp;$O$1</f>
        <v>[{"2":288},{"4":234},{"5":234},{"12":1580},{"7":8},{"6":0},{"8":10},{"9":0}]</v>
      </c>
      <c r="AE122" t="str">
        <f>$N$1&amp;$P$1&amp;$T$1&amp;$C$2&amp;$T$1&amp;$R$1&amp;C123&amp;$Q$1&amp;$S$1&amp;$P$1&amp;$T$1&amp;$D$2&amp;$T$1&amp;$R$1&amp;D123&amp;$Q$1&amp;$S$1&amp;$P$1&amp;$T$1&amp;$E$2&amp;$T$1&amp;$R$1&amp;E123&amp;$Q$1&amp;$S$1&amp;$P$1&amp;$T$1&amp;$F$2&amp;$T$1&amp;$R$1&amp;L123&amp;$Q$1&amp;$S$1&amp;$P$1&amp;$T$1&amp;$G$2&amp;$T$1&amp;$R$1&amp;G123&amp;$Q$1&amp;$S$1&amp;$P$1&amp;$T$1&amp;$H$2&amp;$T$1&amp;$R$1&amp;H123&amp;$Q$1&amp;$S$1&amp;$P$1&amp;$T$1&amp;$I$2&amp;$T$1&amp;$R$1&amp;I123&amp;$Q$1&amp;$S$1&amp;$P$1&amp;$T$1&amp;$J$2&amp;$T$1&amp;$R$1&amp;J123&amp;$Q$1&amp;$O$1</f>
        <v>[{"2":288},{"4":234},{"5":234},{"12":2370},{"7":8},{"6":0},{"8":10},{"9":0}]</v>
      </c>
      <c r="AG122">
        <v>338</v>
      </c>
      <c r="AH122">
        <f t="shared" si="41"/>
        <v>225</v>
      </c>
      <c r="AI122">
        <f t="shared" si="42"/>
        <v>225</v>
      </c>
      <c r="AJ122">
        <f t="shared" si="43"/>
        <v>4500</v>
      </c>
      <c r="AK122">
        <v>4</v>
      </c>
      <c r="AL122">
        <v>8</v>
      </c>
      <c r="AM122">
        <v>0</v>
      </c>
      <c r="AN122">
        <v>10</v>
      </c>
    </row>
    <row r="123" customFormat="1" ht="16.5" spans="1:40">
      <c r="A123">
        <v>121</v>
      </c>
      <c r="B123">
        <f t="shared" si="34"/>
        <v>352</v>
      </c>
      <c r="C123">
        <f t="shared" si="35"/>
        <v>288</v>
      </c>
      <c r="D123">
        <f t="shared" si="36"/>
        <v>234</v>
      </c>
      <c r="E123">
        <f t="shared" si="37"/>
        <v>234</v>
      </c>
      <c r="F123" s="2">
        <f t="shared" si="38"/>
        <v>4740</v>
      </c>
      <c r="G123">
        <v>8</v>
      </c>
      <c r="H123">
        <v>0</v>
      </c>
      <c r="I123">
        <v>10</v>
      </c>
      <c r="J123">
        <v>0</v>
      </c>
      <c r="K123" s="2">
        <f t="shared" si="39"/>
        <v>1580</v>
      </c>
      <c r="L123" s="3">
        <f t="shared" si="40"/>
        <v>2370</v>
      </c>
      <c r="N123" t="str">
        <f t="shared" si="33"/>
        <v>[{"1":354},{"2":290},{"4":236},{"5":236},{"12":4780}]</v>
      </c>
      <c r="W123" t="str">
        <f>$N$1&amp;$P$1&amp;$T$1&amp;$C$2&amp;$T$1&amp;$R$1&amp;C124&amp;$Q$1&amp;$S$1&amp;$P$1&amp;$T$1&amp;$D$2&amp;$T$1&amp;$R$1&amp;D124&amp;$Q$1&amp;$S$1&amp;$P$1&amp;$T$1&amp;$E$2&amp;$T$1&amp;$R$1&amp;E124&amp;$Q$1&amp;$S$1&amp;$P$1&amp;$T$1&amp;$F$2&amp;$T$1&amp;$R$1&amp;K124&amp;$Q$1&amp;$S$1&amp;$P$1&amp;$T$1&amp;$G$2&amp;$T$1&amp;$R$1&amp;G124&amp;$Q$1&amp;$S$1&amp;$P$1&amp;$T$1&amp;$H$2&amp;$T$1&amp;$R$1&amp;H124&amp;$Q$1&amp;$S$1&amp;$P$1&amp;$T$1&amp;$I$2&amp;$T$1&amp;$R$1&amp;I124&amp;$Q$1&amp;$S$1&amp;$P$1&amp;$T$1&amp;$J$2&amp;$T$1&amp;$R$1&amp;J124&amp;$Q$1&amp;$O$1</f>
        <v>[{"2":290},{"4":236},{"5":236},{"12":1593},{"7":8},{"6":0},{"8":10},{"9":0}]</v>
      </c>
      <c r="AE123" t="str">
        <f>$N$1&amp;$P$1&amp;$T$1&amp;$C$2&amp;$T$1&amp;$R$1&amp;C124&amp;$Q$1&amp;$S$1&amp;$P$1&amp;$T$1&amp;$D$2&amp;$T$1&amp;$R$1&amp;D124&amp;$Q$1&amp;$S$1&amp;$P$1&amp;$T$1&amp;$E$2&amp;$T$1&amp;$R$1&amp;E124&amp;$Q$1&amp;$S$1&amp;$P$1&amp;$T$1&amp;$F$2&amp;$T$1&amp;$R$1&amp;L124&amp;$Q$1&amp;$S$1&amp;$P$1&amp;$T$1&amp;$G$2&amp;$T$1&amp;$R$1&amp;G124&amp;$Q$1&amp;$S$1&amp;$P$1&amp;$T$1&amp;$H$2&amp;$T$1&amp;$R$1&amp;H124&amp;$Q$1&amp;$S$1&amp;$P$1&amp;$T$1&amp;$I$2&amp;$T$1&amp;$R$1&amp;I124&amp;$Q$1&amp;$S$1&amp;$P$1&amp;$T$1&amp;$J$2&amp;$T$1&amp;$R$1&amp;J124&amp;$Q$1&amp;$O$1</f>
        <v>[{"2":290},{"4":236},{"5":236},{"12":2390},{"7":8},{"6":0},{"8":10},{"9":0}]</v>
      </c>
      <c r="AG123">
        <v>340</v>
      </c>
      <c r="AH123">
        <f t="shared" si="41"/>
        <v>226</v>
      </c>
      <c r="AI123">
        <f t="shared" si="42"/>
        <v>226</v>
      </c>
      <c r="AJ123">
        <f t="shared" si="43"/>
        <v>4520</v>
      </c>
      <c r="AK123">
        <v>4</v>
      </c>
      <c r="AL123">
        <v>8</v>
      </c>
      <c r="AM123">
        <v>0</v>
      </c>
      <c r="AN123">
        <v>10</v>
      </c>
    </row>
    <row r="124" customFormat="1" ht="16.5" spans="1:40">
      <c r="A124">
        <v>122</v>
      </c>
      <c r="B124">
        <f t="shared" si="34"/>
        <v>354</v>
      </c>
      <c r="C124">
        <f t="shared" si="35"/>
        <v>290</v>
      </c>
      <c r="D124">
        <f t="shared" si="36"/>
        <v>236</v>
      </c>
      <c r="E124">
        <f t="shared" si="37"/>
        <v>236</v>
      </c>
      <c r="F124" s="2">
        <f t="shared" si="38"/>
        <v>4780</v>
      </c>
      <c r="G124">
        <v>8</v>
      </c>
      <c r="H124">
        <v>0</v>
      </c>
      <c r="I124">
        <v>10</v>
      </c>
      <c r="J124">
        <v>0</v>
      </c>
      <c r="K124" s="2">
        <f t="shared" si="39"/>
        <v>1593</v>
      </c>
      <c r="L124" s="3">
        <f t="shared" si="40"/>
        <v>2390</v>
      </c>
      <c r="N124" t="str">
        <f t="shared" si="33"/>
        <v>[{"1":356},{"2":291},{"4":237},{"5":237},{"12":4800}]</v>
      </c>
      <c r="W124" t="str">
        <f>$N$1&amp;$P$1&amp;$T$1&amp;$C$2&amp;$T$1&amp;$R$1&amp;C125&amp;$Q$1&amp;$S$1&amp;$P$1&amp;$T$1&amp;$D$2&amp;$T$1&amp;$R$1&amp;D125&amp;$Q$1&amp;$S$1&amp;$P$1&amp;$T$1&amp;$E$2&amp;$T$1&amp;$R$1&amp;E125&amp;$Q$1&amp;$S$1&amp;$P$1&amp;$T$1&amp;$F$2&amp;$T$1&amp;$R$1&amp;K125&amp;$Q$1&amp;$S$1&amp;$P$1&amp;$T$1&amp;$G$2&amp;$T$1&amp;$R$1&amp;G125&amp;$Q$1&amp;$S$1&amp;$P$1&amp;$T$1&amp;$H$2&amp;$T$1&amp;$R$1&amp;H125&amp;$Q$1&amp;$S$1&amp;$P$1&amp;$T$1&amp;$I$2&amp;$T$1&amp;$R$1&amp;I125&amp;$Q$1&amp;$S$1&amp;$P$1&amp;$T$1&amp;$J$2&amp;$T$1&amp;$R$1&amp;J125&amp;$Q$1&amp;$O$1</f>
        <v>[{"2":291},{"4":237},{"5":237},{"12":1600},{"7":8},{"6":0},{"8":10},{"9":0}]</v>
      </c>
      <c r="AE124" t="str">
        <f>$N$1&amp;$P$1&amp;$T$1&amp;$C$2&amp;$T$1&amp;$R$1&amp;C125&amp;$Q$1&amp;$S$1&amp;$P$1&amp;$T$1&amp;$D$2&amp;$T$1&amp;$R$1&amp;D125&amp;$Q$1&amp;$S$1&amp;$P$1&amp;$T$1&amp;$E$2&amp;$T$1&amp;$R$1&amp;E125&amp;$Q$1&amp;$S$1&amp;$P$1&amp;$T$1&amp;$F$2&amp;$T$1&amp;$R$1&amp;L125&amp;$Q$1&amp;$S$1&amp;$P$1&amp;$T$1&amp;$G$2&amp;$T$1&amp;$R$1&amp;G125&amp;$Q$1&amp;$S$1&amp;$P$1&amp;$T$1&amp;$H$2&amp;$T$1&amp;$R$1&amp;H125&amp;$Q$1&amp;$S$1&amp;$P$1&amp;$T$1&amp;$I$2&amp;$T$1&amp;$R$1&amp;I125&amp;$Q$1&amp;$S$1&amp;$P$1&amp;$T$1&amp;$J$2&amp;$T$1&amp;$R$1&amp;J125&amp;$Q$1&amp;$O$1</f>
        <v>[{"2":291},{"4":237},{"5":237},{"12":2400},{"7":8},{"6":0},{"8":10},{"9":0}]</v>
      </c>
      <c r="AG124">
        <v>342</v>
      </c>
      <c r="AH124">
        <f t="shared" si="41"/>
        <v>228</v>
      </c>
      <c r="AI124">
        <f t="shared" si="42"/>
        <v>228</v>
      </c>
      <c r="AJ124">
        <f t="shared" si="43"/>
        <v>4560</v>
      </c>
      <c r="AK124">
        <v>4</v>
      </c>
      <c r="AL124">
        <v>8</v>
      </c>
      <c r="AM124">
        <v>0</v>
      </c>
      <c r="AN124">
        <v>10</v>
      </c>
    </row>
    <row r="125" customFormat="1" ht="16.5" spans="1:40">
      <c r="A125">
        <v>123</v>
      </c>
      <c r="B125">
        <f t="shared" si="34"/>
        <v>356</v>
      </c>
      <c r="C125">
        <f t="shared" si="35"/>
        <v>291</v>
      </c>
      <c r="D125">
        <f t="shared" si="36"/>
        <v>237</v>
      </c>
      <c r="E125">
        <f t="shared" si="37"/>
        <v>237</v>
      </c>
      <c r="F125" s="2">
        <f t="shared" si="38"/>
        <v>4800</v>
      </c>
      <c r="G125">
        <v>8</v>
      </c>
      <c r="H125">
        <v>0</v>
      </c>
      <c r="I125">
        <v>10</v>
      </c>
      <c r="J125">
        <v>0</v>
      </c>
      <c r="K125" s="2">
        <f t="shared" si="39"/>
        <v>1600</v>
      </c>
      <c r="L125" s="3">
        <f t="shared" si="40"/>
        <v>2400</v>
      </c>
      <c r="N125" t="str">
        <f t="shared" si="33"/>
        <v>[{"1":358},{"2":293},{"4":238},{"5":238},{"12":4820}]</v>
      </c>
      <c r="W125" t="str">
        <f>$N$1&amp;$P$1&amp;$T$1&amp;$C$2&amp;$T$1&amp;$R$1&amp;C126&amp;$Q$1&amp;$S$1&amp;$P$1&amp;$T$1&amp;$D$2&amp;$T$1&amp;$R$1&amp;D126&amp;$Q$1&amp;$S$1&amp;$P$1&amp;$T$1&amp;$E$2&amp;$T$1&amp;$R$1&amp;E126&amp;$Q$1&amp;$S$1&amp;$P$1&amp;$T$1&amp;$F$2&amp;$T$1&amp;$R$1&amp;K126&amp;$Q$1&amp;$S$1&amp;$P$1&amp;$T$1&amp;$G$2&amp;$T$1&amp;$R$1&amp;G126&amp;$Q$1&amp;$S$1&amp;$P$1&amp;$T$1&amp;$H$2&amp;$T$1&amp;$R$1&amp;H126&amp;$Q$1&amp;$S$1&amp;$P$1&amp;$T$1&amp;$I$2&amp;$T$1&amp;$R$1&amp;I126&amp;$Q$1&amp;$S$1&amp;$P$1&amp;$T$1&amp;$J$2&amp;$T$1&amp;$R$1&amp;J126&amp;$Q$1&amp;$O$1</f>
        <v>[{"2":293},{"4":238},{"5":238},{"12":1606},{"7":8},{"6":0},{"8":10},{"9":0}]</v>
      </c>
      <c r="AE125" t="str">
        <f>$N$1&amp;$P$1&amp;$T$1&amp;$C$2&amp;$T$1&amp;$R$1&amp;C126&amp;$Q$1&amp;$S$1&amp;$P$1&amp;$T$1&amp;$D$2&amp;$T$1&amp;$R$1&amp;D126&amp;$Q$1&amp;$S$1&amp;$P$1&amp;$T$1&amp;$E$2&amp;$T$1&amp;$R$1&amp;E126&amp;$Q$1&amp;$S$1&amp;$P$1&amp;$T$1&amp;$F$2&amp;$T$1&amp;$R$1&amp;L126&amp;$Q$1&amp;$S$1&amp;$P$1&amp;$T$1&amp;$G$2&amp;$T$1&amp;$R$1&amp;G126&amp;$Q$1&amp;$S$1&amp;$P$1&amp;$T$1&amp;$H$2&amp;$T$1&amp;$R$1&amp;H126&amp;$Q$1&amp;$S$1&amp;$P$1&amp;$T$1&amp;$I$2&amp;$T$1&amp;$R$1&amp;I126&amp;$Q$1&amp;$S$1&amp;$P$1&amp;$T$1&amp;$J$2&amp;$T$1&amp;$R$1&amp;J126&amp;$Q$1&amp;$O$1</f>
        <v>[{"2":293},{"4":238},{"5":238},{"12":2410},{"7":8},{"6":0},{"8":10},{"9":0}]</v>
      </c>
      <c r="AG125">
        <v>344</v>
      </c>
      <c r="AH125">
        <f t="shared" si="41"/>
        <v>229</v>
      </c>
      <c r="AI125">
        <f t="shared" si="42"/>
        <v>229</v>
      </c>
      <c r="AJ125">
        <f t="shared" si="43"/>
        <v>4580</v>
      </c>
      <c r="AK125">
        <v>4</v>
      </c>
      <c r="AL125">
        <v>8</v>
      </c>
      <c r="AM125">
        <v>0</v>
      </c>
      <c r="AN125">
        <v>10</v>
      </c>
    </row>
    <row r="126" customFormat="1" ht="16.5" spans="1:40">
      <c r="A126">
        <v>124</v>
      </c>
      <c r="B126">
        <f t="shared" si="34"/>
        <v>358</v>
      </c>
      <c r="C126">
        <f t="shared" si="35"/>
        <v>293</v>
      </c>
      <c r="D126">
        <f t="shared" si="36"/>
        <v>238</v>
      </c>
      <c r="E126">
        <f t="shared" si="37"/>
        <v>238</v>
      </c>
      <c r="F126" s="2">
        <f t="shared" si="38"/>
        <v>4820</v>
      </c>
      <c r="G126">
        <v>8</v>
      </c>
      <c r="H126">
        <v>0</v>
      </c>
      <c r="I126">
        <v>10</v>
      </c>
      <c r="J126">
        <v>0</v>
      </c>
      <c r="K126" s="2">
        <f t="shared" si="39"/>
        <v>1606</v>
      </c>
      <c r="L126" s="3">
        <f t="shared" si="40"/>
        <v>2410</v>
      </c>
      <c r="N126" t="str">
        <f t="shared" si="33"/>
        <v>[{"1":360},{"2":295},{"4":240},{"5":240},{"12":4860}]</v>
      </c>
      <c r="W126" t="str">
        <f>$N$1&amp;$P$1&amp;$T$1&amp;$C$2&amp;$T$1&amp;$R$1&amp;C127&amp;$Q$1&amp;$S$1&amp;$P$1&amp;$T$1&amp;$D$2&amp;$T$1&amp;$R$1&amp;D127&amp;$Q$1&amp;$S$1&amp;$P$1&amp;$T$1&amp;$E$2&amp;$T$1&amp;$R$1&amp;E127&amp;$Q$1&amp;$S$1&amp;$P$1&amp;$T$1&amp;$F$2&amp;$T$1&amp;$R$1&amp;K127&amp;$Q$1&amp;$S$1&amp;$P$1&amp;$T$1&amp;$G$2&amp;$T$1&amp;$R$1&amp;G127&amp;$Q$1&amp;$S$1&amp;$P$1&amp;$T$1&amp;$H$2&amp;$T$1&amp;$R$1&amp;H127&amp;$Q$1&amp;$S$1&amp;$P$1&amp;$T$1&amp;$I$2&amp;$T$1&amp;$R$1&amp;I127&amp;$Q$1&amp;$S$1&amp;$P$1&amp;$T$1&amp;$J$2&amp;$T$1&amp;$R$1&amp;J127&amp;$Q$1&amp;$O$1</f>
        <v>[{"2":295},{"4":240},{"5":240},{"12":1620},{"7":8},{"6":0},{"8":10},{"9":0}]</v>
      </c>
      <c r="AE126" t="str">
        <f>$N$1&amp;$P$1&amp;$T$1&amp;$C$2&amp;$T$1&amp;$R$1&amp;C127&amp;$Q$1&amp;$S$1&amp;$P$1&amp;$T$1&amp;$D$2&amp;$T$1&amp;$R$1&amp;D127&amp;$Q$1&amp;$S$1&amp;$P$1&amp;$T$1&amp;$E$2&amp;$T$1&amp;$R$1&amp;E127&amp;$Q$1&amp;$S$1&amp;$P$1&amp;$T$1&amp;$F$2&amp;$T$1&amp;$R$1&amp;L127&amp;$Q$1&amp;$S$1&amp;$P$1&amp;$T$1&amp;$G$2&amp;$T$1&amp;$R$1&amp;G127&amp;$Q$1&amp;$S$1&amp;$P$1&amp;$T$1&amp;$H$2&amp;$T$1&amp;$R$1&amp;H127&amp;$Q$1&amp;$S$1&amp;$P$1&amp;$T$1&amp;$I$2&amp;$T$1&amp;$R$1&amp;I127&amp;$Q$1&amp;$S$1&amp;$P$1&amp;$T$1&amp;$J$2&amp;$T$1&amp;$R$1&amp;J127&amp;$Q$1&amp;$O$1</f>
        <v>[{"2":295},{"4":240},{"5":240},{"12":2430},{"7":8},{"6":0},{"8":10},{"9":0}]</v>
      </c>
      <c r="AG126">
        <v>346</v>
      </c>
      <c r="AH126">
        <f t="shared" si="41"/>
        <v>230</v>
      </c>
      <c r="AI126">
        <f t="shared" si="42"/>
        <v>230</v>
      </c>
      <c r="AJ126">
        <f t="shared" si="43"/>
        <v>4600</v>
      </c>
      <c r="AK126">
        <v>4</v>
      </c>
      <c r="AL126">
        <v>8</v>
      </c>
      <c r="AM126">
        <v>0</v>
      </c>
      <c r="AN126">
        <v>10</v>
      </c>
    </row>
    <row r="127" customFormat="1" ht="16.5" spans="1:40">
      <c r="A127">
        <v>125</v>
      </c>
      <c r="B127">
        <f t="shared" si="34"/>
        <v>360</v>
      </c>
      <c r="C127">
        <f t="shared" si="35"/>
        <v>295</v>
      </c>
      <c r="D127">
        <f t="shared" si="36"/>
        <v>240</v>
      </c>
      <c r="E127">
        <f t="shared" si="37"/>
        <v>240</v>
      </c>
      <c r="F127" s="2">
        <f t="shared" si="38"/>
        <v>4860</v>
      </c>
      <c r="G127">
        <v>8</v>
      </c>
      <c r="H127">
        <v>0</v>
      </c>
      <c r="I127">
        <v>10</v>
      </c>
      <c r="J127">
        <v>0</v>
      </c>
      <c r="K127" s="2">
        <f t="shared" si="39"/>
        <v>1620</v>
      </c>
      <c r="L127" s="3">
        <f t="shared" si="40"/>
        <v>2430</v>
      </c>
      <c r="N127" t="str">
        <f t="shared" si="33"/>
        <v>[{"1":362},{"2":296},{"4":241},{"5":241},{"12":4880}]</v>
      </c>
      <c r="W127" t="str">
        <f>$N$1&amp;$P$1&amp;$T$1&amp;$C$2&amp;$T$1&amp;$R$1&amp;C128&amp;$Q$1&amp;$S$1&amp;$P$1&amp;$T$1&amp;$D$2&amp;$T$1&amp;$R$1&amp;D128&amp;$Q$1&amp;$S$1&amp;$P$1&amp;$T$1&amp;$E$2&amp;$T$1&amp;$R$1&amp;E128&amp;$Q$1&amp;$S$1&amp;$P$1&amp;$T$1&amp;$F$2&amp;$T$1&amp;$R$1&amp;K128&amp;$Q$1&amp;$S$1&amp;$P$1&amp;$T$1&amp;$G$2&amp;$T$1&amp;$R$1&amp;G128&amp;$Q$1&amp;$S$1&amp;$P$1&amp;$T$1&amp;$H$2&amp;$T$1&amp;$R$1&amp;H128&amp;$Q$1&amp;$S$1&amp;$P$1&amp;$T$1&amp;$I$2&amp;$T$1&amp;$R$1&amp;I128&amp;$Q$1&amp;$S$1&amp;$P$1&amp;$T$1&amp;$J$2&amp;$T$1&amp;$R$1&amp;J128&amp;$Q$1&amp;$O$1</f>
        <v>[{"2":296},{"4":241},{"5":241},{"12":1626},{"7":8},{"6":0},{"8":10},{"9":0}]</v>
      </c>
      <c r="AE127" t="str">
        <f>$N$1&amp;$P$1&amp;$T$1&amp;$C$2&amp;$T$1&amp;$R$1&amp;C128&amp;$Q$1&amp;$S$1&amp;$P$1&amp;$T$1&amp;$D$2&amp;$T$1&amp;$R$1&amp;D128&amp;$Q$1&amp;$S$1&amp;$P$1&amp;$T$1&amp;$E$2&amp;$T$1&amp;$R$1&amp;E128&amp;$Q$1&amp;$S$1&amp;$P$1&amp;$T$1&amp;$F$2&amp;$T$1&amp;$R$1&amp;L128&amp;$Q$1&amp;$S$1&amp;$P$1&amp;$T$1&amp;$G$2&amp;$T$1&amp;$R$1&amp;G128&amp;$Q$1&amp;$S$1&amp;$P$1&amp;$T$1&amp;$H$2&amp;$T$1&amp;$R$1&amp;H128&amp;$Q$1&amp;$S$1&amp;$P$1&amp;$T$1&amp;$I$2&amp;$T$1&amp;$R$1&amp;I128&amp;$Q$1&amp;$S$1&amp;$P$1&amp;$T$1&amp;$J$2&amp;$T$1&amp;$R$1&amp;J128&amp;$Q$1&amp;$O$1</f>
        <v>[{"2":296},{"4":241},{"5":241},{"12":2440},{"7":8},{"6":0},{"8":10},{"9":0}]</v>
      </c>
      <c r="AG127">
        <v>348</v>
      </c>
      <c r="AH127">
        <f t="shared" si="41"/>
        <v>232</v>
      </c>
      <c r="AI127">
        <f t="shared" si="42"/>
        <v>232</v>
      </c>
      <c r="AJ127">
        <f t="shared" si="43"/>
        <v>4640</v>
      </c>
      <c r="AK127">
        <v>4</v>
      </c>
      <c r="AL127">
        <v>8</v>
      </c>
      <c r="AM127">
        <v>0</v>
      </c>
      <c r="AN127">
        <v>10</v>
      </c>
    </row>
    <row r="128" customFormat="1" ht="16.5" spans="1:40">
      <c r="A128">
        <v>126</v>
      </c>
      <c r="B128">
        <f t="shared" si="34"/>
        <v>362</v>
      </c>
      <c r="C128">
        <f t="shared" si="35"/>
        <v>296</v>
      </c>
      <c r="D128">
        <f t="shared" si="36"/>
        <v>241</v>
      </c>
      <c r="E128">
        <f t="shared" si="37"/>
        <v>241</v>
      </c>
      <c r="F128" s="2">
        <f t="shared" si="38"/>
        <v>4880</v>
      </c>
      <c r="G128">
        <v>8</v>
      </c>
      <c r="H128">
        <v>0</v>
      </c>
      <c r="I128">
        <v>10</v>
      </c>
      <c r="J128">
        <v>0</v>
      </c>
      <c r="K128" s="2">
        <f t="shared" si="39"/>
        <v>1626</v>
      </c>
      <c r="L128" s="3">
        <f t="shared" si="40"/>
        <v>2440</v>
      </c>
      <c r="N128" t="str">
        <f t="shared" si="33"/>
        <v>[{"1":364},{"2":298},{"4":242},{"5":242},{"12":4900}]</v>
      </c>
      <c r="W128" t="str">
        <f>$N$1&amp;$P$1&amp;$T$1&amp;$C$2&amp;$T$1&amp;$R$1&amp;C129&amp;$Q$1&amp;$S$1&amp;$P$1&amp;$T$1&amp;$D$2&amp;$T$1&amp;$R$1&amp;D129&amp;$Q$1&amp;$S$1&amp;$P$1&amp;$T$1&amp;$E$2&amp;$T$1&amp;$R$1&amp;E129&amp;$Q$1&amp;$S$1&amp;$P$1&amp;$T$1&amp;$F$2&amp;$T$1&amp;$R$1&amp;K129&amp;$Q$1&amp;$S$1&amp;$P$1&amp;$T$1&amp;$G$2&amp;$T$1&amp;$R$1&amp;G129&amp;$Q$1&amp;$S$1&amp;$P$1&amp;$T$1&amp;$H$2&amp;$T$1&amp;$R$1&amp;H129&amp;$Q$1&amp;$S$1&amp;$P$1&amp;$T$1&amp;$I$2&amp;$T$1&amp;$R$1&amp;I129&amp;$Q$1&amp;$S$1&amp;$P$1&amp;$T$1&amp;$J$2&amp;$T$1&amp;$R$1&amp;J129&amp;$Q$1&amp;$O$1</f>
        <v>[{"2":298},{"4":242},{"5":242},{"12":1633},{"7":8},{"6":0},{"8":10},{"9":0}]</v>
      </c>
      <c r="AE128" t="str">
        <f>$N$1&amp;$P$1&amp;$T$1&amp;$C$2&amp;$T$1&amp;$R$1&amp;C129&amp;$Q$1&amp;$S$1&amp;$P$1&amp;$T$1&amp;$D$2&amp;$T$1&amp;$R$1&amp;D129&amp;$Q$1&amp;$S$1&amp;$P$1&amp;$T$1&amp;$E$2&amp;$T$1&amp;$R$1&amp;E129&amp;$Q$1&amp;$S$1&amp;$P$1&amp;$T$1&amp;$F$2&amp;$T$1&amp;$R$1&amp;L129&amp;$Q$1&amp;$S$1&amp;$P$1&amp;$T$1&amp;$G$2&amp;$T$1&amp;$R$1&amp;G129&amp;$Q$1&amp;$S$1&amp;$P$1&amp;$T$1&amp;$H$2&amp;$T$1&amp;$R$1&amp;H129&amp;$Q$1&amp;$S$1&amp;$P$1&amp;$T$1&amp;$I$2&amp;$T$1&amp;$R$1&amp;I129&amp;$Q$1&amp;$S$1&amp;$P$1&amp;$T$1&amp;$J$2&amp;$T$1&amp;$R$1&amp;J129&amp;$Q$1&amp;$O$1</f>
        <v>[{"2":298},{"4":242},{"5":242},{"12":2450},{"7":8},{"6":0},{"8":10},{"9":0}]</v>
      </c>
      <c r="AG128">
        <v>350</v>
      </c>
      <c r="AH128">
        <f t="shared" si="41"/>
        <v>233</v>
      </c>
      <c r="AI128">
        <f t="shared" si="42"/>
        <v>233</v>
      </c>
      <c r="AJ128">
        <f t="shared" si="43"/>
        <v>4660</v>
      </c>
      <c r="AK128">
        <v>4</v>
      </c>
      <c r="AL128">
        <v>8</v>
      </c>
      <c r="AM128">
        <v>0</v>
      </c>
      <c r="AN128">
        <v>10</v>
      </c>
    </row>
    <row r="129" customFormat="1" ht="16.5" spans="1:40">
      <c r="A129">
        <v>127</v>
      </c>
      <c r="B129">
        <f t="shared" si="34"/>
        <v>364</v>
      </c>
      <c r="C129">
        <f t="shared" si="35"/>
        <v>298</v>
      </c>
      <c r="D129">
        <f t="shared" si="36"/>
        <v>242</v>
      </c>
      <c r="E129">
        <f t="shared" si="37"/>
        <v>242</v>
      </c>
      <c r="F129" s="2">
        <f t="shared" si="38"/>
        <v>4900</v>
      </c>
      <c r="G129">
        <v>8</v>
      </c>
      <c r="H129">
        <v>0</v>
      </c>
      <c r="I129">
        <v>10</v>
      </c>
      <c r="J129">
        <v>0</v>
      </c>
      <c r="K129" s="2">
        <f t="shared" si="39"/>
        <v>1633</v>
      </c>
      <c r="L129" s="3">
        <f t="shared" si="40"/>
        <v>2450</v>
      </c>
      <c r="N129" t="str">
        <f t="shared" si="33"/>
        <v>[{"1":366},{"2":300},{"4":244},{"5":244},{"12":4940}]</v>
      </c>
      <c r="W129" t="str">
        <f>$N$1&amp;$P$1&amp;$T$1&amp;$C$2&amp;$T$1&amp;$R$1&amp;C130&amp;$Q$1&amp;$S$1&amp;$P$1&amp;$T$1&amp;$D$2&amp;$T$1&amp;$R$1&amp;D130&amp;$Q$1&amp;$S$1&amp;$P$1&amp;$T$1&amp;$E$2&amp;$T$1&amp;$R$1&amp;E130&amp;$Q$1&amp;$S$1&amp;$P$1&amp;$T$1&amp;$F$2&amp;$T$1&amp;$R$1&amp;K130&amp;$Q$1&amp;$S$1&amp;$P$1&amp;$T$1&amp;$G$2&amp;$T$1&amp;$R$1&amp;G130&amp;$Q$1&amp;$S$1&amp;$P$1&amp;$T$1&amp;$H$2&amp;$T$1&amp;$R$1&amp;H130&amp;$Q$1&amp;$S$1&amp;$P$1&amp;$T$1&amp;$I$2&amp;$T$1&amp;$R$1&amp;I130&amp;$Q$1&amp;$S$1&amp;$P$1&amp;$T$1&amp;$J$2&amp;$T$1&amp;$R$1&amp;J130&amp;$Q$1&amp;$O$1</f>
        <v>[{"2":300},{"4":244},{"5":244},{"12":1646},{"7":8},{"6":0},{"8":10},{"9":0}]</v>
      </c>
      <c r="AE129" t="str">
        <f>$N$1&amp;$P$1&amp;$T$1&amp;$C$2&amp;$T$1&amp;$R$1&amp;C130&amp;$Q$1&amp;$S$1&amp;$P$1&amp;$T$1&amp;$D$2&amp;$T$1&amp;$R$1&amp;D130&amp;$Q$1&amp;$S$1&amp;$P$1&amp;$T$1&amp;$E$2&amp;$T$1&amp;$R$1&amp;E130&amp;$Q$1&amp;$S$1&amp;$P$1&amp;$T$1&amp;$F$2&amp;$T$1&amp;$R$1&amp;L130&amp;$Q$1&amp;$S$1&amp;$P$1&amp;$T$1&amp;$G$2&amp;$T$1&amp;$R$1&amp;G130&amp;$Q$1&amp;$S$1&amp;$P$1&amp;$T$1&amp;$H$2&amp;$T$1&amp;$R$1&amp;H130&amp;$Q$1&amp;$S$1&amp;$P$1&amp;$T$1&amp;$I$2&amp;$T$1&amp;$R$1&amp;I130&amp;$Q$1&amp;$S$1&amp;$P$1&amp;$T$1&amp;$J$2&amp;$T$1&amp;$R$1&amp;J130&amp;$Q$1&amp;$O$1</f>
        <v>[{"2":300},{"4":244},{"5":244},{"12":2470},{"7":8},{"6":0},{"8":10},{"9":0}]</v>
      </c>
      <c r="AG129">
        <v>352</v>
      </c>
      <c r="AH129">
        <f t="shared" si="41"/>
        <v>234</v>
      </c>
      <c r="AI129">
        <f t="shared" si="42"/>
        <v>234</v>
      </c>
      <c r="AJ129">
        <f t="shared" si="43"/>
        <v>4680</v>
      </c>
      <c r="AK129">
        <v>4</v>
      </c>
      <c r="AL129">
        <v>8</v>
      </c>
      <c r="AM129">
        <v>0</v>
      </c>
      <c r="AN129">
        <v>10</v>
      </c>
    </row>
    <row r="130" customFormat="1" ht="16.5" spans="1:40">
      <c r="A130">
        <v>128</v>
      </c>
      <c r="B130">
        <f t="shared" si="34"/>
        <v>366</v>
      </c>
      <c r="C130">
        <f t="shared" si="35"/>
        <v>300</v>
      </c>
      <c r="D130">
        <f t="shared" si="36"/>
        <v>244</v>
      </c>
      <c r="E130">
        <f t="shared" si="37"/>
        <v>244</v>
      </c>
      <c r="F130" s="2">
        <f t="shared" si="38"/>
        <v>4940</v>
      </c>
      <c r="G130">
        <v>8</v>
      </c>
      <c r="H130">
        <v>0</v>
      </c>
      <c r="I130">
        <v>10</v>
      </c>
      <c r="J130">
        <v>0</v>
      </c>
      <c r="K130" s="2">
        <f t="shared" si="39"/>
        <v>1646</v>
      </c>
      <c r="L130" s="3">
        <f t="shared" si="40"/>
        <v>2470</v>
      </c>
      <c r="N130" t="str">
        <f t="shared" si="33"/>
        <v>[{"1":368},{"2":301},{"4":245},{"5":245},{"12":4960}]</v>
      </c>
      <c r="W130" t="str">
        <f>$N$1&amp;$P$1&amp;$T$1&amp;$C$2&amp;$T$1&amp;$R$1&amp;C131&amp;$Q$1&amp;$S$1&amp;$P$1&amp;$T$1&amp;$D$2&amp;$T$1&amp;$R$1&amp;D131&amp;$Q$1&amp;$S$1&amp;$P$1&amp;$T$1&amp;$E$2&amp;$T$1&amp;$R$1&amp;E131&amp;$Q$1&amp;$S$1&amp;$P$1&amp;$T$1&amp;$F$2&amp;$T$1&amp;$R$1&amp;K131&amp;$Q$1&amp;$S$1&amp;$P$1&amp;$T$1&amp;$G$2&amp;$T$1&amp;$R$1&amp;G131&amp;$Q$1&amp;$S$1&amp;$P$1&amp;$T$1&amp;$H$2&amp;$T$1&amp;$R$1&amp;H131&amp;$Q$1&amp;$S$1&amp;$P$1&amp;$T$1&amp;$I$2&amp;$T$1&amp;$R$1&amp;I131&amp;$Q$1&amp;$S$1&amp;$P$1&amp;$T$1&amp;$J$2&amp;$T$1&amp;$R$1&amp;J131&amp;$Q$1&amp;$O$1</f>
        <v>[{"2":301},{"4":245},{"5":245},{"12":1653},{"7":8},{"6":0},{"8":10},{"9":0}]</v>
      </c>
      <c r="AE130" t="str">
        <f>$N$1&amp;$P$1&amp;$T$1&amp;$C$2&amp;$T$1&amp;$R$1&amp;C131&amp;$Q$1&amp;$S$1&amp;$P$1&amp;$T$1&amp;$D$2&amp;$T$1&amp;$R$1&amp;D131&amp;$Q$1&amp;$S$1&amp;$P$1&amp;$T$1&amp;$E$2&amp;$T$1&amp;$R$1&amp;E131&amp;$Q$1&amp;$S$1&amp;$P$1&amp;$T$1&amp;$F$2&amp;$T$1&amp;$R$1&amp;L131&amp;$Q$1&amp;$S$1&amp;$P$1&amp;$T$1&amp;$G$2&amp;$T$1&amp;$R$1&amp;G131&amp;$Q$1&amp;$S$1&amp;$P$1&amp;$T$1&amp;$H$2&amp;$T$1&amp;$R$1&amp;H131&amp;$Q$1&amp;$S$1&amp;$P$1&amp;$T$1&amp;$I$2&amp;$T$1&amp;$R$1&amp;I131&amp;$Q$1&amp;$S$1&amp;$P$1&amp;$T$1&amp;$J$2&amp;$T$1&amp;$R$1&amp;J131&amp;$Q$1&amp;$O$1</f>
        <v>[{"2":301},{"4":245},{"5":245},{"12":2480},{"7":8},{"6":0},{"8":10},{"9":0}]</v>
      </c>
      <c r="AG130">
        <v>354</v>
      </c>
      <c r="AH130">
        <f t="shared" si="41"/>
        <v>236</v>
      </c>
      <c r="AI130">
        <f t="shared" si="42"/>
        <v>236</v>
      </c>
      <c r="AJ130">
        <f t="shared" si="43"/>
        <v>4720</v>
      </c>
      <c r="AK130">
        <v>4</v>
      </c>
      <c r="AL130">
        <v>8</v>
      </c>
      <c r="AM130">
        <v>0</v>
      </c>
      <c r="AN130">
        <v>10</v>
      </c>
    </row>
    <row r="131" customFormat="1" ht="16.5" spans="1:40">
      <c r="A131">
        <v>129</v>
      </c>
      <c r="B131">
        <f t="shared" si="34"/>
        <v>368</v>
      </c>
      <c r="C131">
        <f t="shared" si="35"/>
        <v>301</v>
      </c>
      <c r="D131">
        <f t="shared" si="36"/>
        <v>245</v>
      </c>
      <c r="E131">
        <f t="shared" si="37"/>
        <v>245</v>
      </c>
      <c r="F131" s="2">
        <f t="shared" si="38"/>
        <v>4960</v>
      </c>
      <c r="G131">
        <v>8</v>
      </c>
      <c r="H131">
        <v>0</v>
      </c>
      <c r="I131">
        <v>10</v>
      </c>
      <c r="J131">
        <v>0</v>
      </c>
      <c r="K131" s="2">
        <f t="shared" si="39"/>
        <v>1653</v>
      </c>
      <c r="L131" s="3">
        <f t="shared" si="40"/>
        <v>2480</v>
      </c>
      <c r="N131" t="str">
        <f t="shared" ref="N131:N152" si="44">$N$1&amp;$P$1&amp;$T$1&amp;$B$2&amp;$T$1&amp;$R$1&amp;B132&amp;$Q$1&amp;$S$1&amp;$P$1&amp;$T$1&amp;$C$2&amp;$T$1&amp;$R$1&amp;C132&amp;$Q$1&amp;$S$1&amp;$P$1&amp;$T$1&amp;$D$2&amp;$T$1&amp;$R$1&amp;D132&amp;$Q$1&amp;$S$1&amp;$P$1&amp;$T$1&amp;$E$2&amp;$T$1&amp;$R$1&amp;E132&amp;$Q$1&amp;$S$1&amp;$P$1&amp;$T$1&amp;$F$2&amp;$T$1&amp;$R$1&amp;F132&amp;$Q$1&amp;$O$1</f>
        <v>[{"1":370},{"2":303},{"4":246},{"5":246},{"12":4980}]</v>
      </c>
      <c r="W131" t="str">
        <f>$N$1&amp;$P$1&amp;$T$1&amp;$C$2&amp;$T$1&amp;$R$1&amp;C132&amp;$Q$1&amp;$S$1&amp;$P$1&amp;$T$1&amp;$D$2&amp;$T$1&amp;$R$1&amp;D132&amp;$Q$1&amp;$S$1&amp;$P$1&amp;$T$1&amp;$E$2&amp;$T$1&amp;$R$1&amp;E132&amp;$Q$1&amp;$S$1&amp;$P$1&amp;$T$1&amp;$F$2&amp;$T$1&amp;$R$1&amp;K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[{"2":303},{"4":246},{"5":246},{"12":1660},{"7":8},{"6":0},{"8":10},{"9":0}]</v>
      </c>
      <c r="AE131" t="str">
        <f>$N$1&amp;$P$1&amp;$T$1&amp;$C$2&amp;$T$1&amp;$R$1&amp;C132&amp;$Q$1&amp;$S$1&amp;$P$1&amp;$T$1&amp;$D$2&amp;$T$1&amp;$R$1&amp;D132&amp;$Q$1&amp;$S$1&amp;$P$1&amp;$T$1&amp;$E$2&amp;$T$1&amp;$R$1&amp;E132&amp;$Q$1&amp;$S$1&amp;$P$1&amp;$T$1&amp;$F$2&amp;$T$1&amp;$R$1&amp;L132&amp;$Q$1&amp;$S$1&amp;$P$1&amp;$T$1&amp;$G$2&amp;$T$1&amp;$R$1&amp;G132&amp;$Q$1&amp;$S$1&amp;$P$1&amp;$T$1&amp;$H$2&amp;$T$1&amp;$R$1&amp;H132&amp;$Q$1&amp;$S$1&amp;$P$1&amp;$T$1&amp;$I$2&amp;$T$1&amp;$R$1&amp;I132&amp;$Q$1&amp;$S$1&amp;$P$1&amp;$T$1&amp;$J$2&amp;$T$1&amp;$R$1&amp;J132&amp;$Q$1&amp;$O$1</f>
        <v>[{"2":303},{"4":246},{"5":246},{"12":2490},{"7":8},{"6":0},{"8":10},{"9":0}]</v>
      </c>
      <c r="AG131">
        <v>356</v>
      </c>
      <c r="AH131">
        <f t="shared" si="41"/>
        <v>237</v>
      </c>
      <c r="AI131">
        <f t="shared" si="42"/>
        <v>237</v>
      </c>
      <c r="AJ131">
        <f t="shared" si="43"/>
        <v>4740</v>
      </c>
      <c r="AK131">
        <v>4</v>
      </c>
      <c r="AL131">
        <v>8</v>
      </c>
      <c r="AM131">
        <v>0</v>
      </c>
      <c r="AN131">
        <v>10</v>
      </c>
    </row>
    <row r="132" customFormat="1" ht="16.5" spans="1:40">
      <c r="A132">
        <v>130</v>
      </c>
      <c r="B132">
        <f t="shared" ref="B132:B152" si="45">$AO$2+AG132</f>
        <v>370</v>
      </c>
      <c r="C132">
        <f t="shared" ref="C132:C152" si="46">INT(B132*0.82)</f>
        <v>303</v>
      </c>
      <c r="D132">
        <f t="shared" ref="D132:D152" si="47">INT(B132/1.5)</f>
        <v>246</v>
      </c>
      <c r="E132">
        <f t="shared" ref="E132:E152" si="48">D132</f>
        <v>246</v>
      </c>
      <c r="F132" s="2">
        <f t="shared" ref="F132:F152" si="49">$AR$2+AJ132</f>
        <v>4980</v>
      </c>
      <c r="G132">
        <v>8</v>
      </c>
      <c r="H132">
        <v>0</v>
      </c>
      <c r="I132">
        <v>10</v>
      </c>
      <c r="J132">
        <v>0</v>
      </c>
      <c r="K132" s="2">
        <f t="shared" ref="K132:K152" si="50">INT(F132/3)</f>
        <v>1660</v>
      </c>
      <c r="L132" s="3">
        <f t="shared" ref="L132:L152" si="51">INT(F132/2)</f>
        <v>2490</v>
      </c>
      <c r="N132" t="str">
        <f t="shared" si="44"/>
        <v>[{"1":372},{"2":305},{"4":248},{"5":248},{"12":5020}]</v>
      </c>
      <c r="W132" t="str">
        <f>$N$1&amp;$P$1&amp;$T$1&amp;$C$2&amp;$T$1&amp;$R$1&amp;C133&amp;$Q$1&amp;$S$1&amp;$P$1&amp;$T$1&amp;$D$2&amp;$T$1&amp;$R$1&amp;D133&amp;$Q$1&amp;$S$1&amp;$P$1&amp;$T$1&amp;$E$2&amp;$T$1&amp;$R$1&amp;E133&amp;$Q$1&amp;$S$1&amp;$P$1&amp;$T$1&amp;$F$2&amp;$T$1&amp;$R$1&amp;K133&amp;$Q$1&amp;$S$1&amp;$P$1&amp;$T$1&amp;$G$2&amp;$T$1&amp;$R$1&amp;G133&amp;$Q$1&amp;$S$1&amp;$P$1&amp;$T$1&amp;$H$2&amp;$T$1&amp;$R$1&amp;H133&amp;$Q$1&amp;$S$1&amp;$P$1&amp;$T$1&amp;$I$2&amp;$T$1&amp;$R$1&amp;I133&amp;$Q$1&amp;$S$1&amp;$P$1&amp;$T$1&amp;$J$2&amp;$T$1&amp;$R$1&amp;J133&amp;$Q$1&amp;$O$1</f>
        <v>[{"2":305},{"4":248},{"5":248},{"12":1673},{"7":8},{"6":0},{"8":10},{"9":0}]</v>
      </c>
      <c r="AE132" t="str">
        <f>$N$1&amp;$P$1&amp;$T$1&amp;$C$2&amp;$T$1&amp;$R$1&amp;C133&amp;$Q$1&amp;$S$1&amp;$P$1&amp;$T$1&amp;$D$2&amp;$T$1&amp;$R$1&amp;D133&amp;$Q$1&amp;$S$1&amp;$P$1&amp;$T$1&amp;$E$2&amp;$T$1&amp;$R$1&amp;E133&amp;$Q$1&amp;$S$1&amp;$P$1&amp;$T$1&amp;$F$2&amp;$T$1&amp;$R$1&amp;L133&amp;$Q$1&amp;$S$1&amp;$P$1&amp;$T$1&amp;$G$2&amp;$T$1&amp;$R$1&amp;G133&amp;$Q$1&amp;$S$1&amp;$P$1&amp;$T$1&amp;$H$2&amp;$T$1&amp;$R$1&amp;H133&amp;$Q$1&amp;$S$1&amp;$P$1&amp;$T$1&amp;$I$2&amp;$T$1&amp;$R$1&amp;I133&amp;$Q$1&amp;$S$1&amp;$P$1&amp;$T$1&amp;$J$2&amp;$T$1&amp;$R$1&amp;J133&amp;$Q$1&amp;$O$1</f>
        <v>[{"2":305},{"4":248},{"5":248},{"12":2510},{"7":8},{"6":0},{"8":10},{"9":0}]</v>
      </c>
      <c r="AG132">
        <v>358</v>
      </c>
      <c r="AH132">
        <f t="shared" ref="AH132:AH152" si="52">INT(AG132/1.5)</f>
        <v>238</v>
      </c>
      <c r="AI132">
        <f t="shared" ref="AI132:AI152" si="53">AH132</f>
        <v>238</v>
      </c>
      <c r="AJ132">
        <f t="shared" ref="AJ132:AJ152" si="54">AI132*20</f>
        <v>4760</v>
      </c>
      <c r="AK132">
        <v>4</v>
      </c>
      <c r="AL132">
        <v>8</v>
      </c>
      <c r="AM132">
        <v>0</v>
      </c>
      <c r="AN132">
        <v>10</v>
      </c>
    </row>
    <row r="133" customFormat="1" ht="16.5" spans="1:40">
      <c r="A133">
        <v>131</v>
      </c>
      <c r="B133">
        <f t="shared" si="45"/>
        <v>372</v>
      </c>
      <c r="C133">
        <f t="shared" si="46"/>
        <v>305</v>
      </c>
      <c r="D133">
        <f t="shared" si="47"/>
        <v>248</v>
      </c>
      <c r="E133">
        <f t="shared" si="48"/>
        <v>248</v>
      </c>
      <c r="F133" s="2">
        <f t="shared" si="49"/>
        <v>5020</v>
      </c>
      <c r="G133">
        <v>8</v>
      </c>
      <c r="H133">
        <v>0</v>
      </c>
      <c r="I133">
        <v>10</v>
      </c>
      <c r="J133">
        <v>0</v>
      </c>
      <c r="K133" s="2">
        <f t="shared" si="50"/>
        <v>1673</v>
      </c>
      <c r="L133" s="3">
        <f t="shared" si="51"/>
        <v>2510</v>
      </c>
      <c r="N133" t="str">
        <f t="shared" si="44"/>
        <v>[{"1":374},{"2":306},{"4":249},{"5":249},{"12":5040}]</v>
      </c>
      <c r="W133" t="str">
        <f>$N$1&amp;$P$1&amp;$T$1&amp;$C$2&amp;$T$1&amp;$R$1&amp;C134&amp;$Q$1&amp;$S$1&amp;$P$1&amp;$T$1&amp;$D$2&amp;$T$1&amp;$R$1&amp;D134&amp;$Q$1&amp;$S$1&amp;$P$1&amp;$T$1&amp;$E$2&amp;$T$1&amp;$R$1&amp;E134&amp;$Q$1&amp;$S$1&amp;$P$1&amp;$T$1&amp;$F$2&amp;$T$1&amp;$R$1&amp;K134&amp;$Q$1&amp;$S$1&amp;$P$1&amp;$T$1&amp;$G$2&amp;$T$1&amp;$R$1&amp;G134&amp;$Q$1&amp;$S$1&amp;$P$1&amp;$T$1&amp;$H$2&amp;$T$1&amp;$R$1&amp;H134&amp;$Q$1&amp;$S$1&amp;$P$1&amp;$T$1&amp;$I$2&amp;$T$1&amp;$R$1&amp;I134&amp;$Q$1&amp;$S$1&amp;$P$1&amp;$T$1&amp;$J$2&amp;$T$1&amp;$R$1&amp;J134&amp;$Q$1&amp;$O$1</f>
        <v>[{"2":306},{"4":249},{"5":249},{"12":1680},{"7":8},{"6":0},{"8":10},{"9":0}]</v>
      </c>
      <c r="AE133" t="str">
        <f>$N$1&amp;$P$1&amp;$T$1&amp;$C$2&amp;$T$1&amp;$R$1&amp;C134&amp;$Q$1&amp;$S$1&amp;$P$1&amp;$T$1&amp;$D$2&amp;$T$1&amp;$R$1&amp;D134&amp;$Q$1&amp;$S$1&amp;$P$1&amp;$T$1&amp;$E$2&amp;$T$1&amp;$R$1&amp;E134&amp;$Q$1&amp;$S$1&amp;$P$1&amp;$T$1&amp;$F$2&amp;$T$1&amp;$R$1&amp;L134&amp;$Q$1&amp;$S$1&amp;$P$1&amp;$T$1&amp;$G$2&amp;$T$1&amp;$R$1&amp;G134&amp;$Q$1&amp;$S$1&amp;$P$1&amp;$T$1&amp;$H$2&amp;$T$1&amp;$R$1&amp;H134&amp;$Q$1&amp;$S$1&amp;$P$1&amp;$T$1&amp;$I$2&amp;$T$1&amp;$R$1&amp;I134&amp;$Q$1&amp;$S$1&amp;$P$1&amp;$T$1&amp;$J$2&amp;$T$1&amp;$R$1&amp;J134&amp;$Q$1&amp;$O$1</f>
        <v>[{"2":306},{"4":249},{"5":249},{"12":2520},{"7":8},{"6":0},{"8":10},{"9":0}]</v>
      </c>
      <c r="AG133">
        <v>360</v>
      </c>
      <c r="AH133">
        <f t="shared" si="52"/>
        <v>240</v>
      </c>
      <c r="AI133">
        <f t="shared" si="53"/>
        <v>240</v>
      </c>
      <c r="AJ133">
        <f t="shared" si="54"/>
        <v>4800</v>
      </c>
      <c r="AK133">
        <v>4</v>
      </c>
      <c r="AL133">
        <v>8</v>
      </c>
      <c r="AM133">
        <v>0</v>
      </c>
      <c r="AN133">
        <v>10</v>
      </c>
    </row>
    <row r="134" customFormat="1" ht="16.5" spans="1:40">
      <c r="A134">
        <v>132</v>
      </c>
      <c r="B134">
        <f t="shared" si="45"/>
        <v>374</v>
      </c>
      <c r="C134">
        <f t="shared" si="46"/>
        <v>306</v>
      </c>
      <c r="D134">
        <f t="shared" si="47"/>
        <v>249</v>
      </c>
      <c r="E134">
        <f t="shared" si="48"/>
        <v>249</v>
      </c>
      <c r="F134" s="2">
        <f t="shared" si="49"/>
        <v>5040</v>
      </c>
      <c r="G134">
        <v>8</v>
      </c>
      <c r="H134">
        <v>0</v>
      </c>
      <c r="I134">
        <v>10</v>
      </c>
      <c r="J134">
        <v>0</v>
      </c>
      <c r="K134" s="2">
        <f t="shared" si="50"/>
        <v>1680</v>
      </c>
      <c r="L134" s="3">
        <f t="shared" si="51"/>
        <v>2520</v>
      </c>
      <c r="N134" t="str">
        <f t="shared" si="44"/>
        <v>[{"1":376},{"2":308},{"4":250},{"5":250},{"12":5060}]</v>
      </c>
      <c r="W134" t="str">
        <f>$N$1&amp;$P$1&amp;$T$1&amp;$C$2&amp;$T$1&amp;$R$1&amp;C135&amp;$Q$1&amp;$S$1&amp;$P$1&amp;$T$1&amp;$D$2&amp;$T$1&amp;$R$1&amp;D135&amp;$Q$1&amp;$S$1&amp;$P$1&amp;$T$1&amp;$E$2&amp;$T$1&amp;$R$1&amp;E135&amp;$Q$1&amp;$S$1&amp;$P$1&amp;$T$1&amp;$F$2&amp;$T$1&amp;$R$1&amp;K135&amp;$Q$1&amp;$S$1&amp;$P$1&amp;$T$1&amp;$G$2&amp;$T$1&amp;$R$1&amp;G135&amp;$Q$1&amp;$S$1&amp;$P$1&amp;$T$1&amp;$H$2&amp;$T$1&amp;$R$1&amp;H135&amp;$Q$1&amp;$S$1&amp;$P$1&amp;$T$1&amp;$I$2&amp;$T$1&amp;$R$1&amp;I135&amp;$Q$1&amp;$S$1&amp;$P$1&amp;$T$1&amp;$J$2&amp;$T$1&amp;$R$1&amp;J135&amp;$Q$1&amp;$O$1</f>
        <v>[{"2":308},{"4":250},{"5":250},{"12":1686},{"7":8},{"6":0},{"8":10},{"9":0}]</v>
      </c>
      <c r="AE134" t="str">
        <f>$N$1&amp;$P$1&amp;$T$1&amp;$C$2&amp;$T$1&amp;$R$1&amp;C135&amp;$Q$1&amp;$S$1&amp;$P$1&amp;$T$1&amp;$D$2&amp;$T$1&amp;$R$1&amp;D135&amp;$Q$1&amp;$S$1&amp;$P$1&amp;$T$1&amp;$E$2&amp;$T$1&amp;$R$1&amp;E135&amp;$Q$1&amp;$S$1&amp;$P$1&amp;$T$1&amp;$F$2&amp;$T$1&amp;$R$1&amp;L135&amp;$Q$1&amp;$S$1&amp;$P$1&amp;$T$1&amp;$G$2&amp;$T$1&amp;$R$1&amp;G135&amp;$Q$1&amp;$S$1&amp;$P$1&amp;$T$1&amp;$H$2&amp;$T$1&amp;$R$1&amp;H135&amp;$Q$1&amp;$S$1&amp;$P$1&amp;$T$1&amp;$I$2&amp;$T$1&amp;$R$1&amp;I135&amp;$Q$1&amp;$S$1&amp;$P$1&amp;$T$1&amp;$J$2&amp;$T$1&amp;$R$1&amp;J135&amp;$Q$1&amp;$O$1</f>
        <v>[{"2":308},{"4":250},{"5":250},{"12":2530},{"7":8},{"6":0},{"8":10},{"9":0}]</v>
      </c>
      <c r="AG134">
        <v>362</v>
      </c>
      <c r="AH134">
        <f t="shared" si="52"/>
        <v>241</v>
      </c>
      <c r="AI134">
        <f t="shared" si="53"/>
        <v>241</v>
      </c>
      <c r="AJ134">
        <f t="shared" si="54"/>
        <v>4820</v>
      </c>
      <c r="AK134">
        <v>4</v>
      </c>
      <c r="AL134">
        <v>8</v>
      </c>
      <c r="AM134">
        <v>0</v>
      </c>
      <c r="AN134">
        <v>10</v>
      </c>
    </row>
    <row r="135" customFormat="1" ht="16.5" spans="1:40">
      <c r="A135">
        <v>133</v>
      </c>
      <c r="B135">
        <f t="shared" si="45"/>
        <v>376</v>
      </c>
      <c r="C135">
        <f t="shared" si="46"/>
        <v>308</v>
      </c>
      <c r="D135">
        <f t="shared" si="47"/>
        <v>250</v>
      </c>
      <c r="E135">
        <f t="shared" si="48"/>
        <v>250</v>
      </c>
      <c r="F135" s="2">
        <f t="shared" si="49"/>
        <v>5060</v>
      </c>
      <c r="G135">
        <v>8</v>
      </c>
      <c r="H135">
        <v>0</v>
      </c>
      <c r="I135">
        <v>10</v>
      </c>
      <c r="J135">
        <v>0</v>
      </c>
      <c r="K135" s="2">
        <f t="shared" si="50"/>
        <v>1686</v>
      </c>
      <c r="L135" s="3">
        <f t="shared" si="51"/>
        <v>2530</v>
      </c>
      <c r="N135" t="str">
        <f t="shared" si="44"/>
        <v>[{"1":378},{"2":309},{"4":252},{"5":252},{"12":5100}]</v>
      </c>
      <c r="W135" t="str">
        <f>$N$1&amp;$P$1&amp;$T$1&amp;$C$2&amp;$T$1&amp;$R$1&amp;C136&amp;$Q$1&amp;$S$1&amp;$P$1&amp;$T$1&amp;$D$2&amp;$T$1&amp;$R$1&amp;D136&amp;$Q$1&amp;$S$1&amp;$P$1&amp;$T$1&amp;$E$2&amp;$T$1&amp;$R$1&amp;E136&amp;$Q$1&amp;$S$1&amp;$P$1&amp;$T$1&amp;$F$2&amp;$T$1&amp;$R$1&amp;K136&amp;$Q$1&amp;$S$1&amp;$P$1&amp;$T$1&amp;$G$2&amp;$T$1&amp;$R$1&amp;G136&amp;$Q$1&amp;$S$1&amp;$P$1&amp;$T$1&amp;$H$2&amp;$T$1&amp;$R$1&amp;H136&amp;$Q$1&amp;$S$1&amp;$P$1&amp;$T$1&amp;$I$2&amp;$T$1&amp;$R$1&amp;I136&amp;$Q$1&amp;$S$1&amp;$P$1&amp;$T$1&amp;$J$2&amp;$T$1&amp;$R$1&amp;J136&amp;$Q$1&amp;$O$1</f>
        <v>[{"2":309},{"4":252},{"5":252},{"12":1700},{"7":8},{"6":0},{"8":10},{"9":0}]</v>
      </c>
      <c r="AE135" t="str">
        <f>$N$1&amp;$P$1&amp;$T$1&amp;$C$2&amp;$T$1&amp;$R$1&amp;C136&amp;$Q$1&amp;$S$1&amp;$P$1&amp;$T$1&amp;$D$2&amp;$T$1&amp;$R$1&amp;D136&amp;$Q$1&amp;$S$1&amp;$P$1&amp;$T$1&amp;$E$2&amp;$T$1&amp;$R$1&amp;E136&amp;$Q$1&amp;$S$1&amp;$P$1&amp;$T$1&amp;$F$2&amp;$T$1&amp;$R$1&amp;L136&amp;$Q$1&amp;$S$1&amp;$P$1&amp;$T$1&amp;$G$2&amp;$T$1&amp;$R$1&amp;G136&amp;$Q$1&amp;$S$1&amp;$P$1&amp;$T$1&amp;$H$2&amp;$T$1&amp;$R$1&amp;H136&amp;$Q$1&amp;$S$1&amp;$P$1&amp;$T$1&amp;$I$2&amp;$T$1&amp;$R$1&amp;I136&amp;$Q$1&amp;$S$1&amp;$P$1&amp;$T$1&amp;$J$2&amp;$T$1&amp;$R$1&amp;J136&amp;$Q$1&amp;$O$1</f>
        <v>[{"2":309},{"4":252},{"5":252},{"12":2550},{"7":8},{"6":0},{"8":10},{"9":0}]</v>
      </c>
      <c r="AG135">
        <v>364</v>
      </c>
      <c r="AH135">
        <f t="shared" si="52"/>
        <v>242</v>
      </c>
      <c r="AI135">
        <f t="shared" si="53"/>
        <v>242</v>
      </c>
      <c r="AJ135">
        <f t="shared" si="54"/>
        <v>4840</v>
      </c>
      <c r="AK135">
        <v>4</v>
      </c>
      <c r="AL135">
        <v>8</v>
      </c>
      <c r="AM135">
        <v>0</v>
      </c>
      <c r="AN135">
        <v>10</v>
      </c>
    </row>
    <row r="136" customFormat="1" ht="16.5" spans="1:40">
      <c r="A136">
        <v>134</v>
      </c>
      <c r="B136">
        <f t="shared" si="45"/>
        <v>378</v>
      </c>
      <c r="C136">
        <f t="shared" si="46"/>
        <v>309</v>
      </c>
      <c r="D136">
        <f t="shared" si="47"/>
        <v>252</v>
      </c>
      <c r="E136">
        <f t="shared" si="48"/>
        <v>252</v>
      </c>
      <c r="F136" s="2">
        <f t="shared" si="49"/>
        <v>5100</v>
      </c>
      <c r="G136">
        <v>8</v>
      </c>
      <c r="H136">
        <v>0</v>
      </c>
      <c r="I136">
        <v>10</v>
      </c>
      <c r="J136">
        <v>0</v>
      </c>
      <c r="K136" s="2">
        <f t="shared" si="50"/>
        <v>1700</v>
      </c>
      <c r="L136" s="3">
        <f t="shared" si="51"/>
        <v>2550</v>
      </c>
      <c r="N136" t="str">
        <f t="shared" si="44"/>
        <v>[{"1":380},{"2":311},{"4":253},{"5":253},{"12":5120}]</v>
      </c>
      <c r="W136" t="str">
        <f>$N$1&amp;$P$1&amp;$T$1&amp;$C$2&amp;$T$1&amp;$R$1&amp;C137&amp;$Q$1&amp;$S$1&amp;$P$1&amp;$T$1&amp;$D$2&amp;$T$1&amp;$R$1&amp;D137&amp;$Q$1&amp;$S$1&amp;$P$1&amp;$T$1&amp;$E$2&amp;$T$1&amp;$R$1&amp;E137&amp;$Q$1&amp;$S$1&amp;$P$1&amp;$T$1&amp;$F$2&amp;$T$1&amp;$R$1&amp;K137&amp;$Q$1&amp;$S$1&amp;$P$1&amp;$T$1&amp;$G$2&amp;$T$1&amp;$R$1&amp;G137&amp;$Q$1&amp;$S$1&amp;$P$1&amp;$T$1&amp;$H$2&amp;$T$1&amp;$R$1&amp;H137&amp;$Q$1&amp;$S$1&amp;$P$1&amp;$T$1&amp;$I$2&amp;$T$1&amp;$R$1&amp;I137&amp;$Q$1&amp;$S$1&amp;$P$1&amp;$T$1&amp;$J$2&amp;$T$1&amp;$R$1&amp;J137&amp;$Q$1&amp;$O$1</f>
        <v>[{"2":311},{"4":253},{"5":253},{"12":1706},{"7":8},{"6":0},{"8":10},{"9":0}]</v>
      </c>
      <c r="AE136" t="str">
        <f>$N$1&amp;$P$1&amp;$T$1&amp;$C$2&amp;$T$1&amp;$R$1&amp;C137&amp;$Q$1&amp;$S$1&amp;$P$1&amp;$T$1&amp;$D$2&amp;$T$1&amp;$R$1&amp;D137&amp;$Q$1&amp;$S$1&amp;$P$1&amp;$T$1&amp;$E$2&amp;$T$1&amp;$R$1&amp;E137&amp;$Q$1&amp;$S$1&amp;$P$1&amp;$T$1&amp;$F$2&amp;$T$1&amp;$R$1&amp;L137&amp;$Q$1&amp;$S$1&amp;$P$1&amp;$T$1&amp;$G$2&amp;$T$1&amp;$R$1&amp;G137&amp;$Q$1&amp;$S$1&amp;$P$1&amp;$T$1&amp;$H$2&amp;$T$1&amp;$R$1&amp;H137&amp;$Q$1&amp;$S$1&amp;$P$1&amp;$T$1&amp;$I$2&amp;$T$1&amp;$R$1&amp;I137&amp;$Q$1&amp;$S$1&amp;$P$1&amp;$T$1&amp;$J$2&amp;$T$1&amp;$R$1&amp;J137&amp;$Q$1&amp;$O$1</f>
        <v>[{"2":311},{"4":253},{"5":253},{"12":2560},{"7":8},{"6":0},{"8":10},{"9":0}]</v>
      </c>
      <c r="AG136">
        <v>366</v>
      </c>
      <c r="AH136">
        <f t="shared" si="52"/>
        <v>244</v>
      </c>
      <c r="AI136">
        <f t="shared" si="53"/>
        <v>244</v>
      </c>
      <c r="AJ136">
        <f t="shared" si="54"/>
        <v>4880</v>
      </c>
      <c r="AK136">
        <v>4</v>
      </c>
      <c r="AL136">
        <v>8</v>
      </c>
      <c r="AM136">
        <v>0</v>
      </c>
      <c r="AN136">
        <v>10</v>
      </c>
    </row>
    <row r="137" customFormat="1" ht="16.5" spans="1:40">
      <c r="A137">
        <v>135</v>
      </c>
      <c r="B137">
        <f t="shared" si="45"/>
        <v>380</v>
      </c>
      <c r="C137">
        <f t="shared" si="46"/>
        <v>311</v>
      </c>
      <c r="D137">
        <f t="shared" si="47"/>
        <v>253</v>
      </c>
      <c r="E137">
        <f t="shared" si="48"/>
        <v>253</v>
      </c>
      <c r="F137" s="2">
        <f t="shared" si="49"/>
        <v>5120</v>
      </c>
      <c r="G137">
        <v>8</v>
      </c>
      <c r="H137">
        <v>0</v>
      </c>
      <c r="I137">
        <v>10</v>
      </c>
      <c r="J137">
        <v>0</v>
      </c>
      <c r="K137" s="2">
        <f t="shared" si="50"/>
        <v>1706</v>
      </c>
      <c r="L137" s="3">
        <f t="shared" si="51"/>
        <v>2560</v>
      </c>
      <c r="N137" t="str">
        <f t="shared" si="44"/>
        <v>[{"1":382},{"2":313},{"4":254},{"5":254},{"12":5140}]</v>
      </c>
      <c r="W137" t="str">
        <f>$N$1&amp;$P$1&amp;$T$1&amp;$C$2&amp;$T$1&amp;$R$1&amp;C138&amp;$Q$1&amp;$S$1&amp;$P$1&amp;$T$1&amp;$D$2&amp;$T$1&amp;$R$1&amp;D138&amp;$Q$1&amp;$S$1&amp;$P$1&amp;$T$1&amp;$E$2&amp;$T$1&amp;$R$1&amp;E138&amp;$Q$1&amp;$S$1&amp;$P$1&amp;$T$1&amp;$F$2&amp;$T$1&amp;$R$1&amp;K138&amp;$Q$1&amp;$S$1&amp;$P$1&amp;$T$1&amp;$G$2&amp;$T$1&amp;$R$1&amp;G138&amp;$Q$1&amp;$S$1&amp;$P$1&amp;$T$1&amp;$H$2&amp;$T$1&amp;$R$1&amp;H138&amp;$Q$1&amp;$S$1&amp;$P$1&amp;$T$1&amp;$I$2&amp;$T$1&amp;$R$1&amp;I138&amp;$Q$1&amp;$S$1&amp;$P$1&amp;$T$1&amp;$J$2&amp;$T$1&amp;$R$1&amp;J138&amp;$Q$1&amp;$O$1</f>
        <v>[{"2":313},{"4":254},{"5":254},{"12":1713},{"7":8},{"6":0},{"8":10},{"9":0}]</v>
      </c>
      <c r="AE137" t="str">
        <f>$N$1&amp;$P$1&amp;$T$1&amp;$C$2&amp;$T$1&amp;$R$1&amp;C138&amp;$Q$1&amp;$S$1&amp;$P$1&amp;$T$1&amp;$D$2&amp;$T$1&amp;$R$1&amp;D138&amp;$Q$1&amp;$S$1&amp;$P$1&amp;$T$1&amp;$E$2&amp;$T$1&amp;$R$1&amp;E138&amp;$Q$1&amp;$S$1&amp;$P$1&amp;$T$1&amp;$F$2&amp;$T$1&amp;$R$1&amp;L138&amp;$Q$1&amp;$S$1&amp;$P$1&amp;$T$1&amp;$G$2&amp;$T$1&amp;$R$1&amp;G138&amp;$Q$1&amp;$S$1&amp;$P$1&amp;$T$1&amp;$H$2&amp;$T$1&amp;$R$1&amp;H138&amp;$Q$1&amp;$S$1&amp;$P$1&amp;$T$1&amp;$I$2&amp;$T$1&amp;$R$1&amp;I138&amp;$Q$1&amp;$S$1&amp;$P$1&amp;$T$1&amp;$J$2&amp;$T$1&amp;$R$1&amp;J138&amp;$Q$1&amp;$O$1</f>
        <v>[{"2":313},{"4":254},{"5":254},{"12":2570},{"7":8},{"6":0},{"8":10},{"9":0}]</v>
      </c>
      <c r="AG137">
        <v>368</v>
      </c>
      <c r="AH137">
        <f t="shared" si="52"/>
        <v>245</v>
      </c>
      <c r="AI137">
        <f t="shared" si="53"/>
        <v>245</v>
      </c>
      <c r="AJ137">
        <f t="shared" si="54"/>
        <v>4900</v>
      </c>
      <c r="AK137">
        <v>4</v>
      </c>
      <c r="AL137">
        <v>8</v>
      </c>
      <c r="AM137">
        <v>0</v>
      </c>
      <c r="AN137">
        <v>10</v>
      </c>
    </row>
    <row r="138" customFormat="1" ht="16.5" spans="1:40">
      <c r="A138">
        <v>136</v>
      </c>
      <c r="B138">
        <f t="shared" si="45"/>
        <v>382</v>
      </c>
      <c r="C138">
        <f t="shared" si="46"/>
        <v>313</v>
      </c>
      <c r="D138">
        <f t="shared" si="47"/>
        <v>254</v>
      </c>
      <c r="E138">
        <f t="shared" si="48"/>
        <v>254</v>
      </c>
      <c r="F138" s="2">
        <f t="shared" si="49"/>
        <v>5140</v>
      </c>
      <c r="G138">
        <v>8</v>
      </c>
      <c r="H138">
        <v>0</v>
      </c>
      <c r="I138">
        <v>10</v>
      </c>
      <c r="J138">
        <v>0</v>
      </c>
      <c r="K138" s="2">
        <f t="shared" si="50"/>
        <v>1713</v>
      </c>
      <c r="L138" s="3">
        <f t="shared" si="51"/>
        <v>2570</v>
      </c>
      <c r="N138" t="str">
        <f t="shared" si="44"/>
        <v>[{"1":384},{"2":314},{"4":256},{"5":256},{"12":5180}]</v>
      </c>
      <c r="W138" t="str">
        <f>$N$1&amp;$P$1&amp;$T$1&amp;$C$2&amp;$T$1&amp;$R$1&amp;C139&amp;$Q$1&amp;$S$1&amp;$P$1&amp;$T$1&amp;$D$2&amp;$T$1&amp;$R$1&amp;D139&amp;$Q$1&amp;$S$1&amp;$P$1&amp;$T$1&amp;$E$2&amp;$T$1&amp;$R$1&amp;E139&amp;$Q$1&amp;$S$1&amp;$P$1&amp;$T$1&amp;$F$2&amp;$T$1&amp;$R$1&amp;K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[{"2":314},{"4":256},{"5":256},{"12":1726},{"7":8},{"6":0},{"8":10},{"9":0}]</v>
      </c>
      <c r="AE138" t="str">
        <f>$N$1&amp;$P$1&amp;$T$1&amp;$C$2&amp;$T$1&amp;$R$1&amp;C139&amp;$Q$1&amp;$S$1&amp;$P$1&amp;$T$1&amp;$D$2&amp;$T$1&amp;$R$1&amp;D139&amp;$Q$1&amp;$S$1&amp;$P$1&amp;$T$1&amp;$E$2&amp;$T$1&amp;$R$1&amp;E139&amp;$Q$1&amp;$S$1&amp;$P$1&amp;$T$1&amp;$F$2&amp;$T$1&amp;$R$1&amp;L139&amp;$Q$1&amp;$S$1&amp;$P$1&amp;$T$1&amp;$G$2&amp;$T$1&amp;$R$1&amp;G139&amp;$Q$1&amp;$S$1&amp;$P$1&amp;$T$1&amp;$H$2&amp;$T$1&amp;$R$1&amp;H139&amp;$Q$1&amp;$S$1&amp;$P$1&amp;$T$1&amp;$I$2&amp;$T$1&amp;$R$1&amp;I139&amp;$Q$1&amp;$S$1&amp;$P$1&amp;$T$1&amp;$J$2&amp;$T$1&amp;$R$1&amp;J139&amp;$Q$1&amp;$O$1</f>
        <v>[{"2":314},{"4":256},{"5":256},{"12":2590},{"7":8},{"6":0},{"8":10},{"9":0}]</v>
      </c>
      <c r="AG138">
        <v>370</v>
      </c>
      <c r="AH138">
        <f t="shared" si="52"/>
        <v>246</v>
      </c>
      <c r="AI138">
        <f t="shared" si="53"/>
        <v>246</v>
      </c>
      <c r="AJ138">
        <f t="shared" si="54"/>
        <v>4920</v>
      </c>
      <c r="AK138">
        <v>4</v>
      </c>
      <c r="AL138">
        <v>8</v>
      </c>
      <c r="AM138">
        <v>0</v>
      </c>
      <c r="AN138">
        <v>10</v>
      </c>
    </row>
    <row r="139" customFormat="1" ht="16.5" spans="1:40">
      <c r="A139">
        <v>137</v>
      </c>
      <c r="B139">
        <f t="shared" si="45"/>
        <v>384</v>
      </c>
      <c r="C139">
        <f t="shared" si="46"/>
        <v>314</v>
      </c>
      <c r="D139">
        <f t="shared" si="47"/>
        <v>256</v>
      </c>
      <c r="E139">
        <f t="shared" si="48"/>
        <v>256</v>
      </c>
      <c r="F139" s="2">
        <f t="shared" si="49"/>
        <v>5180</v>
      </c>
      <c r="G139">
        <v>8</v>
      </c>
      <c r="H139">
        <v>0</v>
      </c>
      <c r="I139">
        <v>10</v>
      </c>
      <c r="J139">
        <v>0</v>
      </c>
      <c r="K139" s="2">
        <f t="shared" si="50"/>
        <v>1726</v>
      </c>
      <c r="L139" s="3">
        <f t="shared" si="51"/>
        <v>2590</v>
      </c>
      <c r="N139" t="str">
        <f t="shared" si="44"/>
        <v>[{"1":386},{"2":316},{"4":257},{"5":257},{"12":5200}]</v>
      </c>
      <c r="W139" t="str">
        <f>$N$1&amp;$P$1&amp;$T$1&amp;$C$2&amp;$T$1&amp;$R$1&amp;C140&amp;$Q$1&amp;$S$1&amp;$P$1&amp;$T$1&amp;$D$2&amp;$T$1&amp;$R$1&amp;D140&amp;$Q$1&amp;$S$1&amp;$P$1&amp;$T$1&amp;$E$2&amp;$T$1&amp;$R$1&amp;E140&amp;$Q$1&amp;$S$1&amp;$P$1&amp;$T$1&amp;$F$2&amp;$T$1&amp;$R$1&amp;K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[{"2":316},{"4":257},{"5":257},{"12":1733},{"7":8},{"6":0},{"8":10},{"9":0}]</v>
      </c>
      <c r="AE139" t="str">
        <f>$N$1&amp;$P$1&amp;$T$1&amp;$C$2&amp;$T$1&amp;$R$1&amp;C140&amp;$Q$1&amp;$S$1&amp;$P$1&amp;$T$1&amp;$D$2&amp;$T$1&amp;$R$1&amp;D140&amp;$Q$1&amp;$S$1&amp;$P$1&amp;$T$1&amp;$E$2&amp;$T$1&amp;$R$1&amp;E140&amp;$Q$1&amp;$S$1&amp;$P$1&amp;$T$1&amp;$F$2&amp;$T$1&amp;$R$1&amp;L140&amp;$Q$1&amp;$S$1&amp;$P$1&amp;$T$1&amp;$G$2&amp;$T$1&amp;$R$1&amp;G140&amp;$Q$1&amp;$S$1&amp;$P$1&amp;$T$1&amp;$H$2&amp;$T$1&amp;$R$1&amp;H140&amp;$Q$1&amp;$S$1&amp;$P$1&amp;$T$1&amp;$I$2&amp;$T$1&amp;$R$1&amp;I140&amp;$Q$1&amp;$S$1&amp;$P$1&amp;$T$1&amp;$J$2&amp;$T$1&amp;$R$1&amp;J140&amp;$Q$1&amp;$O$1</f>
        <v>[{"2":316},{"4":257},{"5":257},{"12":2600},{"7":8},{"6":0},{"8":10},{"9":0}]</v>
      </c>
      <c r="AG139">
        <v>372</v>
      </c>
      <c r="AH139">
        <f t="shared" si="52"/>
        <v>248</v>
      </c>
      <c r="AI139">
        <f t="shared" si="53"/>
        <v>248</v>
      </c>
      <c r="AJ139">
        <f t="shared" si="54"/>
        <v>4960</v>
      </c>
      <c r="AK139">
        <v>4</v>
      </c>
      <c r="AL139">
        <v>8</v>
      </c>
      <c r="AM139">
        <v>0</v>
      </c>
      <c r="AN139">
        <v>10</v>
      </c>
    </row>
    <row r="140" customFormat="1" ht="16.5" spans="1:40">
      <c r="A140">
        <v>138</v>
      </c>
      <c r="B140">
        <f t="shared" si="45"/>
        <v>386</v>
      </c>
      <c r="C140">
        <f t="shared" si="46"/>
        <v>316</v>
      </c>
      <c r="D140">
        <f t="shared" si="47"/>
        <v>257</v>
      </c>
      <c r="E140">
        <f t="shared" si="48"/>
        <v>257</v>
      </c>
      <c r="F140" s="2">
        <f t="shared" si="49"/>
        <v>5200</v>
      </c>
      <c r="G140">
        <v>8</v>
      </c>
      <c r="H140">
        <v>0</v>
      </c>
      <c r="I140">
        <v>10</v>
      </c>
      <c r="J140">
        <v>0</v>
      </c>
      <c r="K140" s="2">
        <f t="shared" si="50"/>
        <v>1733</v>
      </c>
      <c r="L140" s="3">
        <f t="shared" si="51"/>
        <v>2600</v>
      </c>
      <c r="N140" t="str">
        <f t="shared" si="44"/>
        <v>[{"1":388},{"2":318},{"4":258},{"5":258},{"12":5220}]</v>
      </c>
      <c r="W140" t="str">
        <f>$N$1&amp;$P$1&amp;$T$1&amp;$C$2&amp;$T$1&amp;$R$1&amp;C141&amp;$Q$1&amp;$S$1&amp;$P$1&amp;$T$1&amp;$D$2&amp;$T$1&amp;$R$1&amp;D141&amp;$Q$1&amp;$S$1&amp;$P$1&amp;$T$1&amp;$E$2&amp;$T$1&amp;$R$1&amp;E141&amp;$Q$1&amp;$S$1&amp;$P$1&amp;$T$1&amp;$F$2&amp;$T$1&amp;$R$1&amp;K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[{"2":318},{"4":258},{"5":258},{"12":1740},{"7":8},{"6":0},{"8":10},{"9":0}]</v>
      </c>
      <c r="AE140" t="str">
        <f>$N$1&amp;$P$1&amp;$T$1&amp;$C$2&amp;$T$1&amp;$R$1&amp;C141&amp;$Q$1&amp;$S$1&amp;$P$1&amp;$T$1&amp;$D$2&amp;$T$1&amp;$R$1&amp;D141&amp;$Q$1&amp;$S$1&amp;$P$1&amp;$T$1&amp;$E$2&amp;$T$1&amp;$R$1&amp;E141&amp;$Q$1&amp;$S$1&amp;$P$1&amp;$T$1&amp;$F$2&amp;$T$1&amp;$R$1&amp;L141&amp;$Q$1&amp;$S$1&amp;$P$1&amp;$T$1&amp;$G$2&amp;$T$1&amp;$R$1&amp;G141&amp;$Q$1&amp;$S$1&amp;$P$1&amp;$T$1&amp;$H$2&amp;$T$1&amp;$R$1&amp;H141&amp;$Q$1&amp;$S$1&amp;$P$1&amp;$T$1&amp;$I$2&amp;$T$1&amp;$R$1&amp;I141&amp;$Q$1&amp;$S$1&amp;$P$1&amp;$T$1&amp;$J$2&amp;$T$1&amp;$R$1&amp;J141&amp;$Q$1&amp;$O$1</f>
        <v>[{"2":318},{"4":258},{"5":258},{"12":2610},{"7":8},{"6":0},{"8":10},{"9":0}]</v>
      </c>
      <c r="AG140">
        <v>374</v>
      </c>
      <c r="AH140">
        <f t="shared" si="52"/>
        <v>249</v>
      </c>
      <c r="AI140">
        <f t="shared" si="53"/>
        <v>249</v>
      </c>
      <c r="AJ140">
        <f t="shared" si="54"/>
        <v>4980</v>
      </c>
      <c r="AK140">
        <v>4</v>
      </c>
      <c r="AL140">
        <v>8</v>
      </c>
      <c r="AM140">
        <v>0</v>
      </c>
      <c r="AN140">
        <v>10</v>
      </c>
    </row>
    <row r="141" customFormat="1" ht="16.5" spans="1:40">
      <c r="A141">
        <v>139</v>
      </c>
      <c r="B141">
        <f t="shared" si="45"/>
        <v>388</v>
      </c>
      <c r="C141">
        <f t="shared" si="46"/>
        <v>318</v>
      </c>
      <c r="D141">
        <f t="shared" si="47"/>
        <v>258</v>
      </c>
      <c r="E141">
        <f t="shared" si="48"/>
        <v>258</v>
      </c>
      <c r="F141" s="2">
        <f t="shared" si="49"/>
        <v>5220</v>
      </c>
      <c r="G141">
        <v>8</v>
      </c>
      <c r="H141">
        <v>0</v>
      </c>
      <c r="I141">
        <v>10</v>
      </c>
      <c r="J141">
        <v>0</v>
      </c>
      <c r="K141" s="2">
        <f t="shared" si="50"/>
        <v>1740</v>
      </c>
      <c r="L141" s="3">
        <f t="shared" si="51"/>
        <v>2610</v>
      </c>
      <c r="N141" t="str">
        <f t="shared" si="44"/>
        <v>[{"1":390},{"2":319},{"4":260},{"5":260},{"12":5260}]</v>
      </c>
      <c r="W141" t="str">
        <f>$N$1&amp;$P$1&amp;$T$1&amp;$C$2&amp;$T$1&amp;$R$1&amp;C142&amp;$Q$1&amp;$S$1&amp;$P$1&amp;$T$1&amp;$D$2&amp;$T$1&amp;$R$1&amp;D142&amp;$Q$1&amp;$S$1&amp;$P$1&amp;$T$1&amp;$E$2&amp;$T$1&amp;$R$1&amp;E142&amp;$Q$1&amp;$S$1&amp;$P$1&amp;$T$1&amp;$F$2&amp;$T$1&amp;$R$1&amp;K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[{"2":319},{"4":260},{"5":260},{"12":1753},{"7":8},{"6":0},{"8":10},{"9":0}]</v>
      </c>
      <c r="AE141" t="str">
        <f>$N$1&amp;$P$1&amp;$T$1&amp;$C$2&amp;$T$1&amp;$R$1&amp;C142&amp;$Q$1&amp;$S$1&amp;$P$1&amp;$T$1&amp;$D$2&amp;$T$1&amp;$R$1&amp;D142&amp;$Q$1&amp;$S$1&amp;$P$1&amp;$T$1&amp;$E$2&amp;$T$1&amp;$R$1&amp;E142&amp;$Q$1&amp;$S$1&amp;$P$1&amp;$T$1&amp;$F$2&amp;$T$1&amp;$R$1&amp;L142&amp;$Q$1&amp;$S$1&amp;$P$1&amp;$T$1&amp;$G$2&amp;$T$1&amp;$R$1&amp;G142&amp;$Q$1&amp;$S$1&amp;$P$1&amp;$T$1&amp;$H$2&amp;$T$1&amp;$R$1&amp;H142&amp;$Q$1&amp;$S$1&amp;$P$1&amp;$T$1&amp;$I$2&amp;$T$1&amp;$R$1&amp;I142&amp;$Q$1&amp;$S$1&amp;$P$1&amp;$T$1&amp;$J$2&amp;$T$1&amp;$R$1&amp;J142&amp;$Q$1&amp;$O$1</f>
        <v>[{"2":319},{"4":260},{"5":260},{"12":2630},{"7":8},{"6":0},{"8":10},{"9":0}]</v>
      </c>
      <c r="AG141">
        <v>376</v>
      </c>
      <c r="AH141">
        <f t="shared" si="52"/>
        <v>250</v>
      </c>
      <c r="AI141">
        <f t="shared" si="53"/>
        <v>250</v>
      </c>
      <c r="AJ141">
        <f t="shared" si="54"/>
        <v>5000</v>
      </c>
      <c r="AK141">
        <v>4</v>
      </c>
      <c r="AL141">
        <v>8</v>
      </c>
      <c r="AM141">
        <v>0</v>
      </c>
      <c r="AN141">
        <v>10</v>
      </c>
    </row>
    <row r="142" customFormat="1" ht="16.5" spans="1:40">
      <c r="A142">
        <v>140</v>
      </c>
      <c r="B142">
        <f t="shared" si="45"/>
        <v>390</v>
      </c>
      <c r="C142">
        <f t="shared" si="46"/>
        <v>319</v>
      </c>
      <c r="D142">
        <f t="shared" si="47"/>
        <v>260</v>
      </c>
      <c r="E142">
        <f t="shared" si="48"/>
        <v>260</v>
      </c>
      <c r="F142" s="2">
        <f t="shared" si="49"/>
        <v>5260</v>
      </c>
      <c r="G142">
        <v>8</v>
      </c>
      <c r="H142">
        <v>0</v>
      </c>
      <c r="I142">
        <v>10</v>
      </c>
      <c r="J142">
        <v>0</v>
      </c>
      <c r="K142" s="2">
        <f t="shared" si="50"/>
        <v>1753</v>
      </c>
      <c r="L142" s="3">
        <f t="shared" si="51"/>
        <v>2630</v>
      </c>
      <c r="N142" t="str">
        <f t="shared" si="44"/>
        <v>[{"1":392},{"2":321},{"4":261},{"5":261},{"12":5280}]</v>
      </c>
      <c r="W142" t="str">
        <f>$N$1&amp;$P$1&amp;$T$1&amp;$C$2&amp;$T$1&amp;$R$1&amp;C143&amp;$Q$1&amp;$S$1&amp;$P$1&amp;$T$1&amp;$D$2&amp;$T$1&amp;$R$1&amp;D143&amp;$Q$1&amp;$S$1&amp;$P$1&amp;$T$1&amp;$E$2&amp;$T$1&amp;$R$1&amp;E143&amp;$Q$1&amp;$S$1&amp;$P$1&amp;$T$1&amp;$F$2&amp;$T$1&amp;$R$1&amp;K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[{"2":321},{"4":261},{"5":261},{"12":1760},{"7":8},{"6":0},{"8":10},{"9":0}]</v>
      </c>
      <c r="AE142" t="str">
        <f>$N$1&amp;$P$1&amp;$T$1&amp;$C$2&amp;$T$1&amp;$R$1&amp;C143&amp;$Q$1&amp;$S$1&amp;$P$1&amp;$T$1&amp;$D$2&amp;$T$1&amp;$R$1&amp;D143&amp;$Q$1&amp;$S$1&amp;$P$1&amp;$T$1&amp;$E$2&amp;$T$1&amp;$R$1&amp;E143&amp;$Q$1&amp;$S$1&amp;$P$1&amp;$T$1&amp;$F$2&amp;$T$1&amp;$R$1&amp;L143&amp;$Q$1&amp;$S$1&amp;$P$1&amp;$T$1&amp;$G$2&amp;$T$1&amp;$R$1&amp;G143&amp;$Q$1&amp;$S$1&amp;$P$1&amp;$T$1&amp;$H$2&amp;$T$1&amp;$R$1&amp;H143&amp;$Q$1&amp;$S$1&amp;$P$1&amp;$T$1&amp;$I$2&amp;$T$1&amp;$R$1&amp;I143&amp;$Q$1&amp;$S$1&amp;$P$1&amp;$T$1&amp;$J$2&amp;$T$1&amp;$R$1&amp;J143&amp;$Q$1&amp;$O$1</f>
        <v>[{"2":321},{"4":261},{"5":261},{"12":2640},{"7":8},{"6":0},{"8":10},{"9":0}]</v>
      </c>
      <c r="AG142">
        <v>378</v>
      </c>
      <c r="AH142">
        <f t="shared" si="52"/>
        <v>252</v>
      </c>
      <c r="AI142">
        <f t="shared" si="53"/>
        <v>252</v>
      </c>
      <c r="AJ142">
        <f t="shared" si="54"/>
        <v>5040</v>
      </c>
      <c r="AK142">
        <v>4</v>
      </c>
      <c r="AL142">
        <v>8</v>
      </c>
      <c r="AM142">
        <v>0</v>
      </c>
      <c r="AN142">
        <v>10</v>
      </c>
    </row>
    <row r="143" customFormat="1" ht="16.5" spans="1:40">
      <c r="A143">
        <v>141</v>
      </c>
      <c r="B143">
        <f t="shared" si="45"/>
        <v>392</v>
      </c>
      <c r="C143">
        <f t="shared" si="46"/>
        <v>321</v>
      </c>
      <c r="D143">
        <f t="shared" si="47"/>
        <v>261</v>
      </c>
      <c r="E143">
        <f t="shared" si="48"/>
        <v>261</v>
      </c>
      <c r="F143" s="2">
        <f t="shared" si="49"/>
        <v>5280</v>
      </c>
      <c r="G143">
        <v>8</v>
      </c>
      <c r="H143">
        <v>0</v>
      </c>
      <c r="I143">
        <v>10</v>
      </c>
      <c r="J143">
        <v>0</v>
      </c>
      <c r="K143" s="2">
        <f t="shared" si="50"/>
        <v>1760</v>
      </c>
      <c r="L143" s="3">
        <f t="shared" si="51"/>
        <v>2640</v>
      </c>
      <c r="N143" t="str">
        <f t="shared" si="44"/>
        <v>[{"1":394},{"2":323},{"4":262},{"5":262},{"12":5300}]</v>
      </c>
      <c r="W143" t="str">
        <f>$N$1&amp;$P$1&amp;$T$1&amp;$C$2&amp;$T$1&amp;$R$1&amp;C144&amp;$Q$1&amp;$S$1&amp;$P$1&amp;$T$1&amp;$D$2&amp;$T$1&amp;$R$1&amp;D144&amp;$Q$1&amp;$S$1&amp;$P$1&amp;$T$1&amp;$E$2&amp;$T$1&amp;$R$1&amp;E144&amp;$Q$1&amp;$S$1&amp;$P$1&amp;$T$1&amp;$F$2&amp;$T$1&amp;$R$1&amp;K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[{"2":323},{"4":262},{"5":262},{"12":1766},{"7":8},{"6":0},{"8":10},{"9":0}]</v>
      </c>
      <c r="AE143" t="str">
        <f>$N$1&amp;$P$1&amp;$T$1&amp;$C$2&amp;$T$1&amp;$R$1&amp;C144&amp;$Q$1&amp;$S$1&amp;$P$1&amp;$T$1&amp;$D$2&amp;$T$1&amp;$R$1&amp;D144&amp;$Q$1&amp;$S$1&amp;$P$1&amp;$T$1&amp;$E$2&amp;$T$1&amp;$R$1&amp;E144&amp;$Q$1&amp;$S$1&amp;$P$1&amp;$T$1&amp;$F$2&amp;$T$1&amp;$R$1&amp;L144&amp;$Q$1&amp;$S$1&amp;$P$1&amp;$T$1&amp;$G$2&amp;$T$1&amp;$R$1&amp;G144&amp;$Q$1&amp;$S$1&amp;$P$1&amp;$T$1&amp;$H$2&amp;$T$1&amp;$R$1&amp;H144&amp;$Q$1&amp;$S$1&amp;$P$1&amp;$T$1&amp;$I$2&amp;$T$1&amp;$R$1&amp;I144&amp;$Q$1&amp;$S$1&amp;$P$1&amp;$T$1&amp;$J$2&amp;$T$1&amp;$R$1&amp;J144&amp;$Q$1&amp;$O$1</f>
        <v>[{"2":323},{"4":262},{"5":262},{"12":2650},{"7":8},{"6":0},{"8":10},{"9":0}]</v>
      </c>
      <c r="AG143">
        <v>380</v>
      </c>
      <c r="AH143">
        <f t="shared" si="52"/>
        <v>253</v>
      </c>
      <c r="AI143">
        <f t="shared" si="53"/>
        <v>253</v>
      </c>
      <c r="AJ143">
        <f t="shared" si="54"/>
        <v>5060</v>
      </c>
      <c r="AK143">
        <v>4</v>
      </c>
      <c r="AL143">
        <v>8</v>
      </c>
      <c r="AM143">
        <v>0</v>
      </c>
      <c r="AN143">
        <v>10</v>
      </c>
    </row>
    <row r="144" customFormat="1" ht="16.5" spans="1:40">
      <c r="A144">
        <v>142</v>
      </c>
      <c r="B144">
        <f t="shared" si="45"/>
        <v>394</v>
      </c>
      <c r="C144">
        <f t="shared" si="46"/>
        <v>323</v>
      </c>
      <c r="D144">
        <f t="shared" si="47"/>
        <v>262</v>
      </c>
      <c r="E144">
        <f t="shared" si="48"/>
        <v>262</v>
      </c>
      <c r="F144" s="2">
        <f t="shared" si="49"/>
        <v>5300</v>
      </c>
      <c r="G144">
        <v>8</v>
      </c>
      <c r="H144">
        <v>0</v>
      </c>
      <c r="I144">
        <v>10</v>
      </c>
      <c r="J144">
        <v>0</v>
      </c>
      <c r="K144" s="2">
        <f t="shared" si="50"/>
        <v>1766</v>
      </c>
      <c r="L144" s="3">
        <f t="shared" si="51"/>
        <v>2650</v>
      </c>
      <c r="N144" t="str">
        <f t="shared" si="44"/>
        <v>[{"1":396},{"2":324},{"4":264},{"5":264},{"12":5340}]</v>
      </c>
      <c r="W144" t="str">
        <f>$N$1&amp;$P$1&amp;$T$1&amp;$C$2&amp;$T$1&amp;$R$1&amp;C145&amp;$Q$1&amp;$S$1&amp;$P$1&amp;$T$1&amp;$D$2&amp;$T$1&amp;$R$1&amp;D145&amp;$Q$1&amp;$S$1&amp;$P$1&amp;$T$1&amp;$E$2&amp;$T$1&amp;$R$1&amp;E145&amp;$Q$1&amp;$S$1&amp;$P$1&amp;$T$1&amp;$F$2&amp;$T$1&amp;$R$1&amp;K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[{"2":324},{"4":264},{"5":264},{"12":1780},{"7":8},{"6":0},{"8":10},{"9":0}]</v>
      </c>
      <c r="AE144" t="str">
        <f>$N$1&amp;$P$1&amp;$T$1&amp;$C$2&amp;$T$1&amp;$R$1&amp;C145&amp;$Q$1&amp;$S$1&amp;$P$1&amp;$T$1&amp;$D$2&amp;$T$1&amp;$R$1&amp;D145&amp;$Q$1&amp;$S$1&amp;$P$1&amp;$T$1&amp;$E$2&amp;$T$1&amp;$R$1&amp;E145&amp;$Q$1&amp;$S$1&amp;$P$1&amp;$T$1&amp;$F$2&amp;$T$1&amp;$R$1&amp;L145&amp;$Q$1&amp;$S$1&amp;$P$1&amp;$T$1&amp;$G$2&amp;$T$1&amp;$R$1&amp;G145&amp;$Q$1&amp;$S$1&amp;$P$1&amp;$T$1&amp;$H$2&amp;$T$1&amp;$R$1&amp;H145&amp;$Q$1&amp;$S$1&amp;$P$1&amp;$T$1&amp;$I$2&amp;$T$1&amp;$R$1&amp;I145&amp;$Q$1&amp;$S$1&amp;$P$1&amp;$T$1&amp;$J$2&amp;$T$1&amp;$R$1&amp;J145&amp;$Q$1&amp;$O$1</f>
        <v>[{"2":324},{"4":264},{"5":264},{"12":2670},{"7":8},{"6":0},{"8":10},{"9":0}]</v>
      </c>
      <c r="AG144">
        <v>382</v>
      </c>
      <c r="AH144">
        <f t="shared" si="52"/>
        <v>254</v>
      </c>
      <c r="AI144">
        <f t="shared" si="53"/>
        <v>254</v>
      </c>
      <c r="AJ144">
        <f t="shared" si="54"/>
        <v>5080</v>
      </c>
      <c r="AK144">
        <v>4</v>
      </c>
      <c r="AL144">
        <v>8</v>
      </c>
      <c r="AM144">
        <v>0</v>
      </c>
      <c r="AN144">
        <v>10</v>
      </c>
    </row>
    <row r="145" customFormat="1" ht="16.5" spans="1:40">
      <c r="A145">
        <v>143</v>
      </c>
      <c r="B145">
        <f t="shared" si="45"/>
        <v>396</v>
      </c>
      <c r="C145">
        <f t="shared" si="46"/>
        <v>324</v>
      </c>
      <c r="D145">
        <f t="shared" si="47"/>
        <v>264</v>
      </c>
      <c r="E145">
        <f t="shared" si="48"/>
        <v>264</v>
      </c>
      <c r="F145" s="2">
        <f t="shared" si="49"/>
        <v>5340</v>
      </c>
      <c r="G145">
        <v>8</v>
      </c>
      <c r="H145">
        <v>0</v>
      </c>
      <c r="I145">
        <v>10</v>
      </c>
      <c r="J145">
        <v>0</v>
      </c>
      <c r="K145" s="2">
        <f t="shared" si="50"/>
        <v>1780</v>
      </c>
      <c r="L145" s="3">
        <f t="shared" si="51"/>
        <v>2670</v>
      </c>
      <c r="N145" t="str">
        <f t="shared" si="44"/>
        <v>[{"1":398},{"2":326},{"4":265},{"5":265},{"12":5360}]</v>
      </c>
      <c r="W145" t="str">
        <f>$N$1&amp;$P$1&amp;$T$1&amp;$C$2&amp;$T$1&amp;$R$1&amp;C146&amp;$Q$1&amp;$S$1&amp;$P$1&amp;$T$1&amp;$D$2&amp;$T$1&amp;$R$1&amp;D146&amp;$Q$1&amp;$S$1&amp;$P$1&amp;$T$1&amp;$E$2&amp;$T$1&amp;$R$1&amp;E146&amp;$Q$1&amp;$S$1&amp;$P$1&amp;$T$1&amp;$F$2&amp;$T$1&amp;$R$1&amp;K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[{"2":326},{"4":265},{"5":265},{"12":1786},{"7":8},{"6":0},{"8":10},{"9":0}]</v>
      </c>
      <c r="AE145" t="str">
        <f>$N$1&amp;$P$1&amp;$T$1&amp;$C$2&amp;$T$1&amp;$R$1&amp;C146&amp;$Q$1&amp;$S$1&amp;$P$1&amp;$T$1&amp;$D$2&amp;$T$1&amp;$R$1&amp;D146&amp;$Q$1&amp;$S$1&amp;$P$1&amp;$T$1&amp;$E$2&amp;$T$1&amp;$R$1&amp;E146&amp;$Q$1&amp;$S$1&amp;$P$1&amp;$T$1&amp;$F$2&amp;$T$1&amp;$R$1&amp;L146&amp;$Q$1&amp;$S$1&amp;$P$1&amp;$T$1&amp;$G$2&amp;$T$1&amp;$R$1&amp;G146&amp;$Q$1&amp;$S$1&amp;$P$1&amp;$T$1&amp;$H$2&amp;$T$1&amp;$R$1&amp;H146&amp;$Q$1&amp;$S$1&amp;$P$1&amp;$T$1&amp;$I$2&amp;$T$1&amp;$R$1&amp;I146&amp;$Q$1&amp;$S$1&amp;$P$1&amp;$T$1&amp;$J$2&amp;$T$1&amp;$R$1&amp;J146&amp;$Q$1&amp;$O$1</f>
        <v>[{"2":326},{"4":265},{"5":265},{"12":2680},{"7":8},{"6":0},{"8":10},{"9":0}]</v>
      </c>
      <c r="AG145">
        <v>384</v>
      </c>
      <c r="AH145">
        <f t="shared" si="52"/>
        <v>256</v>
      </c>
      <c r="AI145">
        <f t="shared" si="53"/>
        <v>256</v>
      </c>
      <c r="AJ145">
        <f t="shared" si="54"/>
        <v>5120</v>
      </c>
      <c r="AK145">
        <v>4</v>
      </c>
      <c r="AL145">
        <v>8</v>
      </c>
      <c r="AM145">
        <v>0</v>
      </c>
      <c r="AN145">
        <v>10</v>
      </c>
    </row>
    <row r="146" customFormat="1" ht="16.5" spans="1:40">
      <c r="A146">
        <v>144</v>
      </c>
      <c r="B146">
        <f t="shared" si="45"/>
        <v>398</v>
      </c>
      <c r="C146">
        <f t="shared" si="46"/>
        <v>326</v>
      </c>
      <c r="D146">
        <f t="shared" si="47"/>
        <v>265</v>
      </c>
      <c r="E146">
        <f t="shared" si="48"/>
        <v>265</v>
      </c>
      <c r="F146" s="2">
        <f t="shared" si="49"/>
        <v>5360</v>
      </c>
      <c r="G146">
        <v>8</v>
      </c>
      <c r="H146">
        <v>0</v>
      </c>
      <c r="I146">
        <v>10</v>
      </c>
      <c r="J146">
        <v>0</v>
      </c>
      <c r="K146" s="2">
        <f t="shared" si="50"/>
        <v>1786</v>
      </c>
      <c r="L146" s="3">
        <f t="shared" si="51"/>
        <v>2680</v>
      </c>
      <c r="N146" t="str">
        <f t="shared" si="44"/>
        <v>[{"1":400},{"2":328},{"4":266},{"5":266},{"12":5380}]</v>
      </c>
      <c r="W146" t="str">
        <f>$N$1&amp;$P$1&amp;$T$1&amp;$C$2&amp;$T$1&amp;$R$1&amp;C147&amp;$Q$1&amp;$S$1&amp;$P$1&amp;$T$1&amp;$D$2&amp;$T$1&amp;$R$1&amp;D147&amp;$Q$1&amp;$S$1&amp;$P$1&amp;$T$1&amp;$E$2&amp;$T$1&amp;$R$1&amp;E147&amp;$Q$1&amp;$S$1&amp;$P$1&amp;$T$1&amp;$F$2&amp;$T$1&amp;$R$1&amp;K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[{"2":328},{"4":266},{"5":266},{"12":1793},{"7":8},{"6":0},{"8":10},{"9":0}]</v>
      </c>
      <c r="AE146" t="str">
        <f>$N$1&amp;$P$1&amp;$T$1&amp;$C$2&amp;$T$1&amp;$R$1&amp;C147&amp;$Q$1&amp;$S$1&amp;$P$1&amp;$T$1&amp;$D$2&amp;$T$1&amp;$R$1&amp;D147&amp;$Q$1&amp;$S$1&amp;$P$1&amp;$T$1&amp;$E$2&amp;$T$1&amp;$R$1&amp;E147&amp;$Q$1&amp;$S$1&amp;$P$1&amp;$T$1&amp;$F$2&amp;$T$1&amp;$R$1&amp;L147&amp;$Q$1&amp;$S$1&amp;$P$1&amp;$T$1&amp;$G$2&amp;$T$1&amp;$R$1&amp;G147&amp;$Q$1&amp;$S$1&amp;$P$1&amp;$T$1&amp;$H$2&amp;$T$1&amp;$R$1&amp;H147&amp;$Q$1&amp;$S$1&amp;$P$1&amp;$T$1&amp;$I$2&amp;$T$1&amp;$R$1&amp;I147&amp;$Q$1&amp;$S$1&amp;$P$1&amp;$T$1&amp;$J$2&amp;$T$1&amp;$R$1&amp;J147&amp;$Q$1&amp;$O$1</f>
        <v>[{"2":328},{"4":266},{"5":266},{"12":2690},{"7":8},{"6":0},{"8":10},{"9":0}]</v>
      </c>
      <c r="AG146">
        <v>386</v>
      </c>
      <c r="AH146">
        <f t="shared" si="52"/>
        <v>257</v>
      </c>
      <c r="AI146">
        <f t="shared" si="53"/>
        <v>257</v>
      </c>
      <c r="AJ146">
        <f t="shared" si="54"/>
        <v>5140</v>
      </c>
      <c r="AK146">
        <v>4</v>
      </c>
      <c r="AL146">
        <v>8</v>
      </c>
      <c r="AM146">
        <v>0</v>
      </c>
      <c r="AN146">
        <v>10</v>
      </c>
    </row>
    <row r="147" customFormat="1" ht="16.5" spans="1:40">
      <c r="A147">
        <v>145</v>
      </c>
      <c r="B147">
        <f t="shared" si="45"/>
        <v>400</v>
      </c>
      <c r="C147">
        <f t="shared" si="46"/>
        <v>328</v>
      </c>
      <c r="D147">
        <f t="shared" si="47"/>
        <v>266</v>
      </c>
      <c r="E147">
        <f t="shared" si="48"/>
        <v>266</v>
      </c>
      <c r="F147" s="2">
        <f t="shared" si="49"/>
        <v>5380</v>
      </c>
      <c r="G147">
        <v>8</v>
      </c>
      <c r="H147">
        <v>0</v>
      </c>
      <c r="I147">
        <v>10</v>
      </c>
      <c r="J147">
        <v>0</v>
      </c>
      <c r="K147" s="2">
        <f t="shared" si="50"/>
        <v>1793</v>
      </c>
      <c r="L147" s="3">
        <f t="shared" si="51"/>
        <v>2690</v>
      </c>
      <c r="N147" t="str">
        <f t="shared" si="44"/>
        <v>[{"1":402},{"2":329},{"4":268},{"5":268},{"12":5420}]</v>
      </c>
      <c r="W147" t="str">
        <f>$N$1&amp;$P$1&amp;$T$1&amp;$C$2&amp;$T$1&amp;$R$1&amp;C148&amp;$Q$1&amp;$S$1&amp;$P$1&amp;$T$1&amp;$D$2&amp;$T$1&amp;$R$1&amp;D148&amp;$Q$1&amp;$S$1&amp;$P$1&amp;$T$1&amp;$E$2&amp;$T$1&amp;$R$1&amp;E148&amp;$Q$1&amp;$S$1&amp;$P$1&amp;$T$1&amp;$F$2&amp;$T$1&amp;$R$1&amp;K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[{"2":329},{"4":268},{"5":268},{"12":1806},{"7":8},{"6":0},{"8":10},{"9":0}]</v>
      </c>
      <c r="AE147" t="str">
        <f>$N$1&amp;$P$1&amp;$T$1&amp;$C$2&amp;$T$1&amp;$R$1&amp;C148&amp;$Q$1&amp;$S$1&amp;$P$1&amp;$T$1&amp;$D$2&amp;$T$1&amp;$R$1&amp;D148&amp;$Q$1&amp;$S$1&amp;$P$1&amp;$T$1&amp;$E$2&amp;$T$1&amp;$R$1&amp;E148&amp;$Q$1&amp;$S$1&amp;$P$1&amp;$T$1&amp;$F$2&amp;$T$1&amp;$R$1&amp;L148&amp;$Q$1&amp;$S$1&amp;$P$1&amp;$T$1&amp;$G$2&amp;$T$1&amp;$R$1&amp;G148&amp;$Q$1&amp;$S$1&amp;$P$1&amp;$T$1&amp;$H$2&amp;$T$1&amp;$R$1&amp;H148&amp;$Q$1&amp;$S$1&amp;$P$1&amp;$T$1&amp;$I$2&amp;$T$1&amp;$R$1&amp;I148&amp;$Q$1&amp;$S$1&amp;$P$1&amp;$T$1&amp;$J$2&amp;$T$1&amp;$R$1&amp;J148&amp;$Q$1&amp;$O$1</f>
        <v>[{"2":329},{"4":268},{"5":268},{"12":2710},{"7":8},{"6":0},{"8":10},{"9":0}]</v>
      </c>
      <c r="AG147">
        <v>388</v>
      </c>
      <c r="AH147">
        <f t="shared" si="52"/>
        <v>258</v>
      </c>
      <c r="AI147">
        <f t="shared" si="53"/>
        <v>258</v>
      </c>
      <c r="AJ147">
        <f t="shared" si="54"/>
        <v>5160</v>
      </c>
      <c r="AK147">
        <v>4</v>
      </c>
      <c r="AL147">
        <v>8</v>
      </c>
      <c r="AM147">
        <v>0</v>
      </c>
      <c r="AN147">
        <v>10</v>
      </c>
    </row>
    <row r="148" customFormat="1" ht="16.5" spans="1:40">
      <c r="A148">
        <v>146</v>
      </c>
      <c r="B148">
        <f t="shared" si="45"/>
        <v>402</v>
      </c>
      <c r="C148">
        <f t="shared" si="46"/>
        <v>329</v>
      </c>
      <c r="D148">
        <f t="shared" si="47"/>
        <v>268</v>
      </c>
      <c r="E148">
        <f t="shared" si="48"/>
        <v>268</v>
      </c>
      <c r="F148" s="2">
        <f t="shared" si="49"/>
        <v>5420</v>
      </c>
      <c r="G148">
        <v>8</v>
      </c>
      <c r="H148">
        <v>0</v>
      </c>
      <c r="I148">
        <v>10</v>
      </c>
      <c r="J148">
        <v>0</v>
      </c>
      <c r="K148" s="2">
        <f t="shared" si="50"/>
        <v>1806</v>
      </c>
      <c r="L148" s="3">
        <f t="shared" si="51"/>
        <v>2710</v>
      </c>
      <c r="N148" t="str">
        <f t="shared" si="44"/>
        <v>[{"1":404},{"2":331},{"4":269},{"5":269},{"12":5440}]</v>
      </c>
      <c r="W148" t="str">
        <f>$N$1&amp;$P$1&amp;$T$1&amp;$C$2&amp;$T$1&amp;$R$1&amp;C149&amp;$Q$1&amp;$S$1&amp;$P$1&amp;$T$1&amp;$D$2&amp;$T$1&amp;$R$1&amp;D149&amp;$Q$1&amp;$S$1&amp;$P$1&amp;$T$1&amp;$E$2&amp;$T$1&amp;$R$1&amp;E149&amp;$Q$1&amp;$S$1&amp;$P$1&amp;$T$1&amp;$F$2&amp;$T$1&amp;$R$1&amp;K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[{"2":331},{"4":269},{"5":269},{"12":1813},{"7":8},{"6":0},{"8":10},{"9":0}]</v>
      </c>
      <c r="AE148" t="str">
        <f>$N$1&amp;$P$1&amp;$T$1&amp;$C$2&amp;$T$1&amp;$R$1&amp;C149&amp;$Q$1&amp;$S$1&amp;$P$1&amp;$T$1&amp;$D$2&amp;$T$1&amp;$R$1&amp;D149&amp;$Q$1&amp;$S$1&amp;$P$1&amp;$T$1&amp;$E$2&amp;$T$1&amp;$R$1&amp;E149&amp;$Q$1&amp;$S$1&amp;$P$1&amp;$T$1&amp;$F$2&amp;$T$1&amp;$R$1&amp;L149&amp;$Q$1&amp;$S$1&amp;$P$1&amp;$T$1&amp;$G$2&amp;$T$1&amp;$R$1&amp;G149&amp;$Q$1&amp;$S$1&amp;$P$1&amp;$T$1&amp;$H$2&amp;$T$1&amp;$R$1&amp;H149&amp;$Q$1&amp;$S$1&amp;$P$1&amp;$T$1&amp;$I$2&amp;$T$1&amp;$R$1&amp;I149&amp;$Q$1&amp;$S$1&amp;$P$1&amp;$T$1&amp;$J$2&amp;$T$1&amp;$R$1&amp;J149&amp;$Q$1&amp;$O$1</f>
        <v>[{"2":331},{"4":269},{"5":269},{"12":2720},{"7":8},{"6":0},{"8":10},{"9":0}]</v>
      </c>
      <c r="AG148">
        <v>390</v>
      </c>
      <c r="AH148">
        <f t="shared" si="52"/>
        <v>260</v>
      </c>
      <c r="AI148">
        <f t="shared" si="53"/>
        <v>260</v>
      </c>
      <c r="AJ148">
        <f t="shared" si="54"/>
        <v>5200</v>
      </c>
      <c r="AK148">
        <v>4</v>
      </c>
      <c r="AL148">
        <v>8</v>
      </c>
      <c r="AM148">
        <v>0</v>
      </c>
      <c r="AN148">
        <v>10</v>
      </c>
    </row>
    <row r="149" customFormat="1" ht="16.5" spans="1:40">
      <c r="A149">
        <v>147</v>
      </c>
      <c r="B149">
        <f t="shared" si="45"/>
        <v>404</v>
      </c>
      <c r="C149">
        <f t="shared" si="46"/>
        <v>331</v>
      </c>
      <c r="D149">
        <f t="shared" si="47"/>
        <v>269</v>
      </c>
      <c r="E149">
        <f t="shared" si="48"/>
        <v>269</v>
      </c>
      <c r="F149" s="2">
        <f t="shared" si="49"/>
        <v>5440</v>
      </c>
      <c r="G149">
        <v>8</v>
      </c>
      <c r="H149">
        <v>0</v>
      </c>
      <c r="I149">
        <v>10</v>
      </c>
      <c r="J149">
        <v>0</v>
      </c>
      <c r="K149" s="2">
        <f t="shared" si="50"/>
        <v>1813</v>
      </c>
      <c r="L149" s="3">
        <f t="shared" si="51"/>
        <v>2720</v>
      </c>
      <c r="N149" t="str">
        <f t="shared" si="44"/>
        <v>[{"1":406},{"2":332},{"4":270},{"5":270},{"12":5460}]</v>
      </c>
      <c r="W149" t="str">
        <f>$N$1&amp;$P$1&amp;$T$1&amp;$C$2&amp;$T$1&amp;$R$1&amp;C150&amp;$Q$1&amp;$S$1&amp;$P$1&amp;$T$1&amp;$D$2&amp;$T$1&amp;$R$1&amp;D150&amp;$Q$1&amp;$S$1&amp;$P$1&amp;$T$1&amp;$E$2&amp;$T$1&amp;$R$1&amp;E150&amp;$Q$1&amp;$S$1&amp;$P$1&amp;$T$1&amp;$F$2&amp;$T$1&amp;$R$1&amp;K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[{"2":332},{"4":270},{"5":270},{"12":1820},{"7":8},{"6":0},{"8":10},{"9":0}]</v>
      </c>
      <c r="AE149" t="str">
        <f>$N$1&amp;$P$1&amp;$T$1&amp;$C$2&amp;$T$1&amp;$R$1&amp;C150&amp;$Q$1&amp;$S$1&amp;$P$1&amp;$T$1&amp;$D$2&amp;$T$1&amp;$R$1&amp;D150&amp;$Q$1&amp;$S$1&amp;$P$1&amp;$T$1&amp;$E$2&amp;$T$1&amp;$R$1&amp;E150&amp;$Q$1&amp;$S$1&amp;$P$1&amp;$T$1&amp;$F$2&amp;$T$1&amp;$R$1&amp;L150&amp;$Q$1&amp;$S$1&amp;$P$1&amp;$T$1&amp;$G$2&amp;$T$1&amp;$R$1&amp;G150&amp;$Q$1&amp;$S$1&amp;$P$1&amp;$T$1&amp;$H$2&amp;$T$1&amp;$R$1&amp;H150&amp;$Q$1&amp;$S$1&amp;$P$1&amp;$T$1&amp;$I$2&amp;$T$1&amp;$R$1&amp;I150&amp;$Q$1&amp;$S$1&amp;$P$1&amp;$T$1&amp;$J$2&amp;$T$1&amp;$R$1&amp;J150&amp;$Q$1&amp;$O$1</f>
        <v>[{"2":332},{"4":270},{"5":270},{"12":2730},{"7":8},{"6":0},{"8":10},{"9":0}]</v>
      </c>
      <c r="AG149">
        <v>392</v>
      </c>
      <c r="AH149">
        <f t="shared" si="52"/>
        <v>261</v>
      </c>
      <c r="AI149">
        <f t="shared" si="53"/>
        <v>261</v>
      </c>
      <c r="AJ149">
        <f t="shared" si="54"/>
        <v>5220</v>
      </c>
      <c r="AK149">
        <v>4</v>
      </c>
      <c r="AL149">
        <v>8</v>
      </c>
      <c r="AM149">
        <v>0</v>
      </c>
      <c r="AN149">
        <v>10</v>
      </c>
    </row>
    <row r="150" customFormat="1" ht="16.5" spans="1:40">
      <c r="A150">
        <v>148</v>
      </c>
      <c r="B150">
        <f t="shared" si="45"/>
        <v>406</v>
      </c>
      <c r="C150">
        <f t="shared" si="46"/>
        <v>332</v>
      </c>
      <c r="D150">
        <f t="shared" si="47"/>
        <v>270</v>
      </c>
      <c r="E150">
        <f t="shared" si="48"/>
        <v>270</v>
      </c>
      <c r="F150" s="2">
        <f t="shared" si="49"/>
        <v>5460</v>
      </c>
      <c r="G150">
        <v>8</v>
      </c>
      <c r="H150">
        <v>0</v>
      </c>
      <c r="I150">
        <v>10</v>
      </c>
      <c r="J150">
        <v>0</v>
      </c>
      <c r="K150" s="2">
        <f t="shared" si="50"/>
        <v>1820</v>
      </c>
      <c r="L150" s="3">
        <f t="shared" si="51"/>
        <v>2730</v>
      </c>
      <c r="N150" t="str">
        <f t="shared" si="44"/>
        <v>[{"1":408},{"2":334},{"4":272},{"5":272},{"12":5500}]</v>
      </c>
      <c r="W150" t="str">
        <f>$N$1&amp;$P$1&amp;$T$1&amp;$C$2&amp;$T$1&amp;$R$1&amp;C151&amp;$Q$1&amp;$S$1&amp;$P$1&amp;$T$1&amp;$D$2&amp;$T$1&amp;$R$1&amp;D151&amp;$Q$1&amp;$S$1&amp;$P$1&amp;$T$1&amp;$E$2&amp;$T$1&amp;$R$1&amp;E151&amp;$Q$1&amp;$S$1&amp;$P$1&amp;$T$1&amp;$F$2&amp;$T$1&amp;$R$1&amp;K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[{"2":334},{"4":272},{"5":272},{"12":1833},{"7":8},{"6":0},{"8":10},{"9":0}]</v>
      </c>
      <c r="AE150" t="str">
        <f>$N$1&amp;$P$1&amp;$T$1&amp;$C$2&amp;$T$1&amp;$R$1&amp;C151&amp;$Q$1&amp;$S$1&amp;$P$1&amp;$T$1&amp;$D$2&amp;$T$1&amp;$R$1&amp;D151&amp;$Q$1&amp;$S$1&amp;$P$1&amp;$T$1&amp;$E$2&amp;$T$1&amp;$R$1&amp;E151&amp;$Q$1&amp;$S$1&amp;$P$1&amp;$T$1&amp;$F$2&amp;$T$1&amp;$R$1&amp;L151&amp;$Q$1&amp;$S$1&amp;$P$1&amp;$T$1&amp;$G$2&amp;$T$1&amp;$R$1&amp;G151&amp;$Q$1&amp;$S$1&amp;$P$1&amp;$T$1&amp;$H$2&amp;$T$1&amp;$R$1&amp;H151&amp;$Q$1&amp;$S$1&amp;$P$1&amp;$T$1&amp;$I$2&amp;$T$1&amp;$R$1&amp;I151&amp;$Q$1&amp;$S$1&amp;$P$1&amp;$T$1&amp;$J$2&amp;$T$1&amp;$R$1&amp;J151&amp;$Q$1&amp;$O$1</f>
        <v>[{"2":334},{"4":272},{"5":272},{"12":2750},{"7":8},{"6":0},{"8":10},{"9":0}]</v>
      </c>
      <c r="AG150">
        <v>394</v>
      </c>
      <c r="AH150">
        <f t="shared" si="52"/>
        <v>262</v>
      </c>
      <c r="AI150">
        <f t="shared" si="53"/>
        <v>262</v>
      </c>
      <c r="AJ150">
        <f t="shared" si="54"/>
        <v>5240</v>
      </c>
      <c r="AK150">
        <v>4</v>
      </c>
      <c r="AL150">
        <v>8</v>
      </c>
      <c r="AM150">
        <v>0</v>
      </c>
      <c r="AN150">
        <v>10</v>
      </c>
    </row>
    <row r="151" customFormat="1" ht="16.5" spans="1:40">
      <c r="A151">
        <v>149</v>
      </c>
      <c r="B151">
        <f t="shared" si="45"/>
        <v>408</v>
      </c>
      <c r="C151">
        <f t="shared" si="46"/>
        <v>334</v>
      </c>
      <c r="D151">
        <f t="shared" si="47"/>
        <v>272</v>
      </c>
      <c r="E151">
        <f t="shared" si="48"/>
        <v>272</v>
      </c>
      <c r="F151" s="2">
        <f t="shared" si="49"/>
        <v>5500</v>
      </c>
      <c r="G151">
        <v>8</v>
      </c>
      <c r="H151">
        <v>0</v>
      </c>
      <c r="I151">
        <v>10</v>
      </c>
      <c r="J151">
        <v>0</v>
      </c>
      <c r="K151" s="2">
        <f t="shared" si="50"/>
        <v>1833</v>
      </c>
      <c r="L151" s="3">
        <f t="shared" si="51"/>
        <v>2750</v>
      </c>
      <c r="N151" t="str">
        <f t="shared" si="44"/>
        <v>[{"1":410},{"2":336},{"4":273},{"5":273},{"12":5520}]</v>
      </c>
      <c r="W151" t="str">
        <f>$N$1&amp;$P$1&amp;$T$1&amp;$C$2&amp;$T$1&amp;$R$1&amp;C152&amp;$Q$1&amp;$S$1&amp;$P$1&amp;$T$1&amp;$D$2&amp;$T$1&amp;$R$1&amp;D152&amp;$Q$1&amp;$S$1&amp;$P$1&amp;$T$1&amp;$E$2&amp;$T$1&amp;$R$1&amp;E152&amp;$Q$1&amp;$S$1&amp;$P$1&amp;$T$1&amp;$F$2&amp;$T$1&amp;$R$1&amp;K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[{"2":336},{"4":273},{"5":273},{"12":1840},{"7":8},{"6":0},{"8":10},{"9":0}]</v>
      </c>
      <c r="AE151" t="str">
        <f>$N$1&amp;$P$1&amp;$T$1&amp;$C$2&amp;$T$1&amp;$R$1&amp;C152&amp;$Q$1&amp;$S$1&amp;$P$1&amp;$T$1&amp;$D$2&amp;$T$1&amp;$R$1&amp;D152&amp;$Q$1&amp;$S$1&amp;$P$1&amp;$T$1&amp;$E$2&amp;$T$1&amp;$R$1&amp;E152&amp;$Q$1&amp;$S$1&amp;$P$1&amp;$T$1&amp;$F$2&amp;$T$1&amp;$R$1&amp;L152&amp;$Q$1&amp;$S$1&amp;$P$1&amp;$T$1&amp;$G$2&amp;$T$1&amp;$R$1&amp;G152&amp;$Q$1&amp;$S$1&amp;$P$1&amp;$T$1&amp;$H$2&amp;$T$1&amp;$R$1&amp;H152&amp;$Q$1&amp;$S$1&amp;$P$1&amp;$T$1&amp;$I$2&amp;$T$1&amp;$R$1&amp;I152&amp;$Q$1&amp;$S$1&amp;$P$1&amp;$T$1&amp;$J$2&amp;$T$1&amp;$R$1&amp;J152&amp;$Q$1&amp;$O$1</f>
        <v>[{"2":336},{"4":273},{"5":273},{"12":2760},{"7":8},{"6":0},{"8":10},{"9":0}]</v>
      </c>
      <c r="AG151">
        <v>396</v>
      </c>
      <c r="AH151">
        <f t="shared" si="52"/>
        <v>264</v>
      </c>
      <c r="AI151">
        <f t="shared" si="53"/>
        <v>264</v>
      </c>
      <c r="AJ151">
        <f t="shared" si="54"/>
        <v>5280</v>
      </c>
      <c r="AK151">
        <v>4</v>
      </c>
      <c r="AL151">
        <v>8</v>
      </c>
      <c r="AM151">
        <v>0</v>
      </c>
      <c r="AN151">
        <v>10</v>
      </c>
    </row>
    <row r="152" customFormat="1" ht="16.5" spans="1:40">
      <c r="A152">
        <v>150</v>
      </c>
      <c r="B152">
        <f t="shared" si="45"/>
        <v>410</v>
      </c>
      <c r="C152">
        <f t="shared" si="46"/>
        <v>336</v>
      </c>
      <c r="D152">
        <f t="shared" si="47"/>
        <v>273</v>
      </c>
      <c r="E152">
        <f t="shared" si="48"/>
        <v>273</v>
      </c>
      <c r="F152" s="2">
        <f t="shared" si="49"/>
        <v>5520</v>
      </c>
      <c r="G152">
        <v>8</v>
      </c>
      <c r="H152">
        <v>0</v>
      </c>
      <c r="I152">
        <v>10</v>
      </c>
      <c r="J152">
        <v>0</v>
      </c>
      <c r="K152" s="2">
        <f t="shared" si="50"/>
        <v>1840</v>
      </c>
      <c r="L152" s="3">
        <f t="shared" si="51"/>
        <v>2760</v>
      </c>
      <c r="N152" t="str">
        <f t="shared" si="44"/>
        <v>[{"1":},{"2":},{"4":},{"5":},{"12":}]</v>
      </c>
      <c r="W152" t="str">
        <f>$N$1&amp;$P$1&amp;$T$1&amp;$C$2&amp;$T$1&amp;$R$1&amp;C153&amp;$Q$1&amp;$S$1&amp;$P$1&amp;$T$1&amp;$D$2&amp;$T$1&amp;$R$1&amp;D153&amp;$Q$1&amp;$S$1&amp;$P$1&amp;$T$1&amp;$E$2&amp;$T$1&amp;$R$1&amp;E153&amp;$Q$1&amp;$S$1&amp;$P$1&amp;$T$1&amp;$F$2&amp;$T$1&amp;$R$1&amp;K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[{"2":},{"4":},{"5":},{"12":},{"7":},{"6":},{"8":},{"9":}]</v>
      </c>
      <c r="AE152" t="str">
        <f>$N$1&amp;$P$1&amp;$T$1&amp;$C$2&amp;$T$1&amp;$R$1&amp;C153&amp;$Q$1&amp;$S$1&amp;$P$1&amp;$T$1&amp;$D$2&amp;$T$1&amp;$R$1&amp;D153&amp;$Q$1&amp;$S$1&amp;$P$1&amp;$T$1&amp;$E$2&amp;$T$1&amp;$R$1&amp;E153&amp;$Q$1&amp;$S$1&amp;$P$1&amp;$T$1&amp;$F$2&amp;$T$1&amp;$R$1&amp;L153&amp;$Q$1&amp;$S$1&amp;$P$1&amp;$T$1&amp;$G$2&amp;$T$1&amp;$R$1&amp;G153&amp;$Q$1&amp;$S$1&amp;$P$1&amp;$T$1&amp;$H$2&amp;$T$1&amp;$R$1&amp;H153&amp;$Q$1&amp;$S$1&amp;$P$1&amp;$T$1&amp;$I$2&amp;$T$1&amp;$R$1&amp;I153&amp;$Q$1&amp;$S$1&amp;$P$1&amp;$T$1&amp;$J$2&amp;$T$1&amp;$R$1&amp;J153&amp;$Q$1&amp;$O$1</f>
        <v>[{"2":},{"4":},{"5":},{"12":},{"7":},{"6":},{"8":},{"9":}]</v>
      </c>
      <c r="AG152">
        <v>398</v>
      </c>
      <c r="AH152">
        <f t="shared" si="52"/>
        <v>265</v>
      </c>
      <c r="AI152">
        <f t="shared" si="53"/>
        <v>265</v>
      </c>
      <c r="AJ152">
        <f t="shared" si="54"/>
        <v>5300</v>
      </c>
      <c r="AK152">
        <v>4</v>
      </c>
      <c r="AL152">
        <v>8</v>
      </c>
      <c r="AM152">
        <v>0</v>
      </c>
      <c r="AN152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O151"/>
  <sheetViews>
    <sheetView workbookViewId="0">
      <selection activeCell="K1" sqref="K1"/>
    </sheetView>
  </sheetViews>
  <sheetFormatPr defaultColWidth="9" defaultRowHeight="13.5"/>
  <sheetData>
    <row r="1" spans="5:15">
      <c r="E1">
        <v>1</v>
      </c>
      <c r="F1">
        <v>2</v>
      </c>
      <c r="G1">
        <v>4</v>
      </c>
      <c r="H1">
        <v>5</v>
      </c>
      <c r="I1">
        <v>12</v>
      </c>
      <c r="K1">
        <v>100</v>
      </c>
      <c r="L1">
        <f>INT(K1*1.5)</f>
        <v>150</v>
      </c>
      <c r="M1">
        <f>INT(K1/1.5)</f>
        <v>66</v>
      </c>
      <c r="N1">
        <f>M1</f>
        <v>66</v>
      </c>
      <c r="O1">
        <f>N1*15</f>
        <v>990</v>
      </c>
    </row>
    <row r="2" spans="5:15">
      <c r="E2">
        <v>12</v>
      </c>
      <c r="F2">
        <v>9</v>
      </c>
      <c r="G2">
        <v>8</v>
      </c>
      <c r="H2">
        <v>8</v>
      </c>
      <c r="I2">
        <v>76</v>
      </c>
      <c r="K2">
        <f>$K$1+E2</f>
        <v>112</v>
      </c>
      <c r="L2">
        <f t="shared" ref="L2:L33" si="0">INT(K2*1.5)</f>
        <v>168</v>
      </c>
      <c r="M2">
        <f t="shared" ref="M2:M33" si="1">INT(K2/1.5)</f>
        <v>74</v>
      </c>
      <c r="N2">
        <f t="shared" ref="N2:N33" si="2">M2</f>
        <v>74</v>
      </c>
      <c r="O2">
        <f t="shared" ref="O2:O33" si="3">N2*15</f>
        <v>1110</v>
      </c>
    </row>
    <row r="3" spans="5:15">
      <c r="E3">
        <v>12</v>
      </c>
      <c r="F3">
        <v>9</v>
      </c>
      <c r="G3">
        <v>8</v>
      </c>
      <c r="H3">
        <v>8</v>
      </c>
      <c r="I3">
        <v>152</v>
      </c>
      <c r="K3">
        <f t="shared" ref="K3:K34" si="4">$K$1+E3</f>
        <v>112</v>
      </c>
      <c r="L3">
        <f t="shared" si="0"/>
        <v>168</v>
      </c>
      <c r="M3">
        <f t="shared" si="1"/>
        <v>74</v>
      </c>
      <c r="N3">
        <f t="shared" si="2"/>
        <v>74</v>
      </c>
      <c r="O3">
        <f t="shared" si="3"/>
        <v>1110</v>
      </c>
    </row>
    <row r="4" spans="5:15">
      <c r="E4">
        <v>12</v>
      </c>
      <c r="F4">
        <v>9</v>
      </c>
      <c r="G4">
        <v>8</v>
      </c>
      <c r="H4">
        <v>8</v>
      </c>
      <c r="I4">
        <v>228</v>
      </c>
      <c r="K4">
        <f t="shared" si="4"/>
        <v>112</v>
      </c>
      <c r="L4">
        <f t="shared" si="0"/>
        <v>168</v>
      </c>
      <c r="M4">
        <f t="shared" si="1"/>
        <v>74</v>
      </c>
      <c r="N4">
        <f t="shared" si="2"/>
        <v>74</v>
      </c>
      <c r="O4">
        <f t="shared" si="3"/>
        <v>1110</v>
      </c>
    </row>
    <row r="5" spans="5:15">
      <c r="E5">
        <v>12</v>
      </c>
      <c r="F5">
        <v>9</v>
      </c>
      <c r="G5">
        <v>8</v>
      </c>
      <c r="H5">
        <v>8</v>
      </c>
      <c r="I5">
        <v>304</v>
      </c>
      <c r="K5">
        <f t="shared" si="4"/>
        <v>112</v>
      </c>
      <c r="L5">
        <f t="shared" si="0"/>
        <v>168</v>
      </c>
      <c r="M5">
        <f t="shared" si="1"/>
        <v>74</v>
      </c>
      <c r="N5">
        <f t="shared" si="2"/>
        <v>74</v>
      </c>
      <c r="O5">
        <f t="shared" si="3"/>
        <v>1110</v>
      </c>
    </row>
    <row r="6" spans="5:15">
      <c r="E6">
        <v>12</v>
      </c>
      <c r="F6">
        <v>9</v>
      </c>
      <c r="G6">
        <v>8</v>
      </c>
      <c r="H6">
        <v>8</v>
      </c>
      <c r="I6">
        <v>379</v>
      </c>
      <c r="K6">
        <f t="shared" si="4"/>
        <v>112</v>
      </c>
      <c r="L6">
        <f t="shared" si="0"/>
        <v>168</v>
      </c>
      <c r="M6">
        <f t="shared" si="1"/>
        <v>74</v>
      </c>
      <c r="N6">
        <f t="shared" si="2"/>
        <v>74</v>
      </c>
      <c r="O6">
        <f t="shared" si="3"/>
        <v>1110</v>
      </c>
    </row>
    <row r="7" spans="5:15">
      <c r="E7">
        <v>12</v>
      </c>
      <c r="F7">
        <v>9</v>
      </c>
      <c r="G7">
        <v>8</v>
      </c>
      <c r="H7">
        <v>8</v>
      </c>
      <c r="I7">
        <v>455</v>
      </c>
      <c r="K7">
        <f t="shared" si="4"/>
        <v>112</v>
      </c>
      <c r="L7">
        <f t="shared" si="0"/>
        <v>168</v>
      </c>
      <c r="M7">
        <f t="shared" si="1"/>
        <v>74</v>
      </c>
      <c r="N7">
        <f t="shared" si="2"/>
        <v>74</v>
      </c>
      <c r="O7">
        <f t="shared" si="3"/>
        <v>1110</v>
      </c>
    </row>
    <row r="8" spans="5:15">
      <c r="E8">
        <v>12</v>
      </c>
      <c r="F8">
        <v>9</v>
      </c>
      <c r="G8">
        <v>8</v>
      </c>
      <c r="H8">
        <v>8</v>
      </c>
      <c r="I8">
        <v>531</v>
      </c>
      <c r="K8">
        <f t="shared" si="4"/>
        <v>112</v>
      </c>
      <c r="L8">
        <f t="shared" si="0"/>
        <v>168</v>
      </c>
      <c r="M8">
        <f t="shared" si="1"/>
        <v>74</v>
      </c>
      <c r="N8">
        <f t="shared" si="2"/>
        <v>74</v>
      </c>
      <c r="O8">
        <f t="shared" si="3"/>
        <v>1110</v>
      </c>
    </row>
    <row r="9" spans="5:15">
      <c r="E9">
        <v>12</v>
      </c>
      <c r="F9">
        <v>9</v>
      </c>
      <c r="G9">
        <v>8</v>
      </c>
      <c r="H9">
        <v>8</v>
      </c>
      <c r="I9">
        <v>607</v>
      </c>
      <c r="K9">
        <f t="shared" si="4"/>
        <v>112</v>
      </c>
      <c r="L9">
        <f t="shared" si="0"/>
        <v>168</v>
      </c>
      <c r="M9">
        <f t="shared" si="1"/>
        <v>74</v>
      </c>
      <c r="N9">
        <f t="shared" si="2"/>
        <v>74</v>
      </c>
      <c r="O9">
        <f t="shared" si="3"/>
        <v>1110</v>
      </c>
    </row>
    <row r="10" spans="5:15">
      <c r="E10">
        <v>12</v>
      </c>
      <c r="F10">
        <v>9</v>
      </c>
      <c r="G10">
        <v>8</v>
      </c>
      <c r="H10">
        <v>8</v>
      </c>
      <c r="I10">
        <v>683</v>
      </c>
      <c r="K10">
        <f t="shared" si="4"/>
        <v>112</v>
      </c>
      <c r="L10">
        <f t="shared" si="0"/>
        <v>168</v>
      </c>
      <c r="M10">
        <f t="shared" si="1"/>
        <v>74</v>
      </c>
      <c r="N10">
        <f t="shared" si="2"/>
        <v>74</v>
      </c>
      <c r="O10">
        <f t="shared" si="3"/>
        <v>1110</v>
      </c>
    </row>
    <row r="11" spans="5:15">
      <c r="E11">
        <v>14</v>
      </c>
      <c r="F11">
        <v>11</v>
      </c>
      <c r="G11">
        <v>9</v>
      </c>
      <c r="H11">
        <v>9</v>
      </c>
      <c r="I11">
        <v>759</v>
      </c>
      <c r="K11">
        <f t="shared" si="4"/>
        <v>114</v>
      </c>
      <c r="L11">
        <f t="shared" si="0"/>
        <v>171</v>
      </c>
      <c r="M11">
        <f t="shared" si="1"/>
        <v>76</v>
      </c>
      <c r="N11">
        <f t="shared" si="2"/>
        <v>76</v>
      </c>
      <c r="O11">
        <f t="shared" si="3"/>
        <v>1140</v>
      </c>
    </row>
    <row r="12" spans="5:15">
      <c r="E12">
        <v>14</v>
      </c>
      <c r="F12">
        <v>11</v>
      </c>
      <c r="G12">
        <v>9</v>
      </c>
      <c r="H12">
        <v>9</v>
      </c>
      <c r="I12">
        <v>835</v>
      </c>
      <c r="K12">
        <f t="shared" si="4"/>
        <v>114</v>
      </c>
      <c r="L12">
        <f t="shared" si="0"/>
        <v>171</v>
      </c>
      <c r="M12">
        <f t="shared" si="1"/>
        <v>76</v>
      </c>
      <c r="N12">
        <f t="shared" si="2"/>
        <v>76</v>
      </c>
      <c r="O12">
        <f t="shared" si="3"/>
        <v>1140</v>
      </c>
    </row>
    <row r="13" spans="5:15">
      <c r="E13">
        <v>14</v>
      </c>
      <c r="F13">
        <v>11</v>
      </c>
      <c r="G13">
        <v>9</v>
      </c>
      <c r="H13">
        <v>9</v>
      </c>
      <c r="I13">
        <v>911</v>
      </c>
      <c r="K13">
        <f t="shared" si="4"/>
        <v>114</v>
      </c>
      <c r="L13">
        <f t="shared" si="0"/>
        <v>171</v>
      </c>
      <c r="M13">
        <f t="shared" si="1"/>
        <v>76</v>
      </c>
      <c r="N13">
        <f t="shared" si="2"/>
        <v>76</v>
      </c>
      <c r="O13">
        <f t="shared" si="3"/>
        <v>1140</v>
      </c>
    </row>
    <row r="14" spans="5:15">
      <c r="E14">
        <v>14</v>
      </c>
      <c r="F14">
        <v>11</v>
      </c>
      <c r="G14">
        <v>9</v>
      </c>
      <c r="H14">
        <v>9</v>
      </c>
      <c r="I14">
        <v>987</v>
      </c>
      <c r="K14">
        <f t="shared" si="4"/>
        <v>114</v>
      </c>
      <c r="L14">
        <f t="shared" si="0"/>
        <v>171</v>
      </c>
      <c r="M14">
        <f t="shared" si="1"/>
        <v>76</v>
      </c>
      <c r="N14">
        <f t="shared" si="2"/>
        <v>76</v>
      </c>
      <c r="O14">
        <f t="shared" si="3"/>
        <v>1140</v>
      </c>
    </row>
    <row r="15" spans="5:15">
      <c r="E15">
        <v>14</v>
      </c>
      <c r="F15">
        <v>11</v>
      </c>
      <c r="G15">
        <v>9</v>
      </c>
      <c r="H15">
        <v>9</v>
      </c>
      <c r="I15">
        <v>1063</v>
      </c>
      <c r="K15">
        <f t="shared" si="4"/>
        <v>114</v>
      </c>
      <c r="L15">
        <f t="shared" si="0"/>
        <v>171</v>
      </c>
      <c r="M15">
        <f t="shared" si="1"/>
        <v>76</v>
      </c>
      <c r="N15">
        <f t="shared" si="2"/>
        <v>76</v>
      </c>
      <c r="O15">
        <f t="shared" si="3"/>
        <v>1140</v>
      </c>
    </row>
    <row r="16" spans="5:15">
      <c r="E16">
        <v>14</v>
      </c>
      <c r="F16">
        <v>11</v>
      </c>
      <c r="G16">
        <v>10</v>
      </c>
      <c r="H16">
        <v>10</v>
      </c>
      <c r="I16">
        <v>1138</v>
      </c>
      <c r="K16">
        <f t="shared" si="4"/>
        <v>114</v>
      </c>
      <c r="L16">
        <f t="shared" si="0"/>
        <v>171</v>
      </c>
      <c r="M16">
        <f t="shared" si="1"/>
        <v>76</v>
      </c>
      <c r="N16">
        <f t="shared" si="2"/>
        <v>76</v>
      </c>
      <c r="O16">
        <f t="shared" si="3"/>
        <v>1140</v>
      </c>
    </row>
    <row r="17" spans="5:15">
      <c r="E17">
        <v>14</v>
      </c>
      <c r="F17">
        <v>11</v>
      </c>
      <c r="G17">
        <v>10</v>
      </c>
      <c r="H17">
        <v>10</v>
      </c>
      <c r="I17">
        <v>1214</v>
      </c>
      <c r="K17">
        <f t="shared" si="4"/>
        <v>114</v>
      </c>
      <c r="L17">
        <f t="shared" si="0"/>
        <v>171</v>
      </c>
      <c r="M17">
        <f t="shared" si="1"/>
        <v>76</v>
      </c>
      <c r="N17">
        <f t="shared" si="2"/>
        <v>76</v>
      </c>
      <c r="O17">
        <f t="shared" si="3"/>
        <v>1140</v>
      </c>
    </row>
    <row r="18" spans="5:15">
      <c r="E18">
        <v>14</v>
      </c>
      <c r="F18">
        <v>11</v>
      </c>
      <c r="G18">
        <v>10</v>
      </c>
      <c r="H18">
        <v>10</v>
      </c>
      <c r="I18">
        <v>1290</v>
      </c>
      <c r="K18">
        <f t="shared" si="4"/>
        <v>114</v>
      </c>
      <c r="L18">
        <f t="shared" si="0"/>
        <v>171</v>
      </c>
      <c r="M18">
        <f t="shared" si="1"/>
        <v>76</v>
      </c>
      <c r="N18">
        <f t="shared" si="2"/>
        <v>76</v>
      </c>
      <c r="O18">
        <f t="shared" si="3"/>
        <v>1140</v>
      </c>
    </row>
    <row r="19" spans="5:15">
      <c r="E19">
        <v>14</v>
      </c>
      <c r="F19">
        <v>11</v>
      </c>
      <c r="G19">
        <v>10</v>
      </c>
      <c r="H19">
        <v>10</v>
      </c>
      <c r="I19">
        <v>1366</v>
      </c>
      <c r="K19">
        <f t="shared" si="4"/>
        <v>114</v>
      </c>
      <c r="L19">
        <f t="shared" si="0"/>
        <v>171</v>
      </c>
      <c r="M19">
        <f t="shared" si="1"/>
        <v>76</v>
      </c>
      <c r="N19">
        <f t="shared" si="2"/>
        <v>76</v>
      </c>
      <c r="O19">
        <f t="shared" si="3"/>
        <v>1140</v>
      </c>
    </row>
    <row r="20" spans="5:15">
      <c r="E20">
        <v>14</v>
      </c>
      <c r="F20">
        <v>11</v>
      </c>
      <c r="G20">
        <v>10</v>
      </c>
      <c r="H20">
        <v>10</v>
      </c>
      <c r="I20">
        <v>1442</v>
      </c>
      <c r="K20">
        <f t="shared" si="4"/>
        <v>114</v>
      </c>
      <c r="L20">
        <f t="shared" si="0"/>
        <v>171</v>
      </c>
      <c r="M20">
        <f t="shared" si="1"/>
        <v>76</v>
      </c>
      <c r="N20">
        <f t="shared" si="2"/>
        <v>76</v>
      </c>
      <c r="O20">
        <f t="shared" si="3"/>
        <v>1140</v>
      </c>
    </row>
    <row r="21" spans="5:15">
      <c r="E21">
        <v>16</v>
      </c>
      <c r="F21">
        <v>13</v>
      </c>
      <c r="G21">
        <v>10</v>
      </c>
      <c r="H21">
        <v>10</v>
      </c>
      <c r="I21">
        <v>1518</v>
      </c>
      <c r="K21">
        <f t="shared" si="4"/>
        <v>116</v>
      </c>
      <c r="L21">
        <f t="shared" si="0"/>
        <v>174</v>
      </c>
      <c r="M21">
        <f t="shared" si="1"/>
        <v>77</v>
      </c>
      <c r="N21">
        <f t="shared" si="2"/>
        <v>77</v>
      </c>
      <c r="O21">
        <f t="shared" si="3"/>
        <v>1155</v>
      </c>
    </row>
    <row r="22" spans="5:15">
      <c r="E22">
        <v>16</v>
      </c>
      <c r="F22">
        <v>13</v>
      </c>
      <c r="G22">
        <v>10</v>
      </c>
      <c r="H22">
        <v>10</v>
      </c>
      <c r="I22">
        <v>1594</v>
      </c>
      <c r="K22">
        <f t="shared" si="4"/>
        <v>116</v>
      </c>
      <c r="L22">
        <f t="shared" si="0"/>
        <v>174</v>
      </c>
      <c r="M22">
        <f t="shared" si="1"/>
        <v>77</v>
      </c>
      <c r="N22">
        <f t="shared" si="2"/>
        <v>77</v>
      </c>
      <c r="O22">
        <f t="shared" si="3"/>
        <v>1155</v>
      </c>
    </row>
    <row r="23" spans="5:15">
      <c r="E23">
        <v>16</v>
      </c>
      <c r="F23">
        <v>13</v>
      </c>
      <c r="G23">
        <v>10</v>
      </c>
      <c r="H23">
        <v>10</v>
      </c>
      <c r="I23">
        <v>1670</v>
      </c>
      <c r="K23">
        <f t="shared" si="4"/>
        <v>116</v>
      </c>
      <c r="L23">
        <f t="shared" si="0"/>
        <v>174</v>
      </c>
      <c r="M23">
        <f t="shared" si="1"/>
        <v>77</v>
      </c>
      <c r="N23">
        <f t="shared" si="2"/>
        <v>77</v>
      </c>
      <c r="O23">
        <f t="shared" si="3"/>
        <v>1155</v>
      </c>
    </row>
    <row r="24" spans="5:15">
      <c r="E24">
        <v>16</v>
      </c>
      <c r="F24">
        <v>13</v>
      </c>
      <c r="G24">
        <v>10</v>
      </c>
      <c r="H24">
        <v>10</v>
      </c>
      <c r="I24">
        <v>1746</v>
      </c>
      <c r="K24">
        <f t="shared" si="4"/>
        <v>116</v>
      </c>
      <c r="L24">
        <f t="shared" si="0"/>
        <v>174</v>
      </c>
      <c r="M24">
        <f t="shared" si="1"/>
        <v>77</v>
      </c>
      <c r="N24">
        <f t="shared" si="2"/>
        <v>77</v>
      </c>
      <c r="O24">
        <f t="shared" si="3"/>
        <v>1155</v>
      </c>
    </row>
    <row r="25" spans="5:15">
      <c r="E25">
        <v>16</v>
      </c>
      <c r="F25">
        <v>13</v>
      </c>
      <c r="G25">
        <v>10</v>
      </c>
      <c r="H25">
        <v>10</v>
      </c>
      <c r="I25">
        <v>1822</v>
      </c>
      <c r="K25">
        <f t="shared" si="4"/>
        <v>116</v>
      </c>
      <c r="L25">
        <f t="shared" si="0"/>
        <v>174</v>
      </c>
      <c r="M25">
        <f t="shared" si="1"/>
        <v>77</v>
      </c>
      <c r="N25">
        <f t="shared" si="2"/>
        <v>77</v>
      </c>
      <c r="O25">
        <f t="shared" si="3"/>
        <v>1155</v>
      </c>
    </row>
    <row r="26" spans="5:15">
      <c r="E26">
        <v>17</v>
      </c>
      <c r="F26">
        <v>13</v>
      </c>
      <c r="G26">
        <v>11</v>
      </c>
      <c r="H26">
        <v>11</v>
      </c>
      <c r="I26">
        <v>1897</v>
      </c>
      <c r="K26">
        <f t="shared" si="4"/>
        <v>117</v>
      </c>
      <c r="L26">
        <f t="shared" si="0"/>
        <v>175</v>
      </c>
      <c r="M26">
        <f t="shared" si="1"/>
        <v>78</v>
      </c>
      <c r="N26">
        <f t="shared" si="2"/>
        <v>78</v>
      </c>
      <c r="O26">
        <f t="shared" si="3"/>
        <v>1170</v>
      </c>
    </row>
    <row r="27" spans="5:15">
      <c r="E27">
        <v>17</v>
      </c>
      <c r="F27">
        <v>13</v>
      </c>
      <c r="G27">
        <v>11</v>
      </c>
      <c r="H27">
        <v>11</v>
      </c>
      <c r="I27">
        <v>1973</v>
      </c>
      <c r="K27">
        <f t="shared" si="4"/>
        <v>117</v>
      </c>
      <c r="L27">
        <f t="shared" si="0"/>
        <v>175</v>
      </c>
      <c r="M27">
        <f t="shared" si="1"/>
        <v>78</v>
      </c>
      <c r="N27">
        <f t="shared" si="2"/>
        <v>78</v>
      </c>
      <c r="O27">
        <f t="shared" si="3"/>
        <v>1170</v>
      </c>
    </row>
    <row r="28" spans="5:15">
      <c r="E28">
        <v>17</v>
      </c>
      <c r="F28">
        <v>13</v>
      </c>
      <c r="G28">
        <v>11</v>
      </c>
      <c r="H28">
        <v>11</v>
      </c>
      <c r="I28">
        <v>2049</v>
      </c>
      <c r="K28">
        <f t="shared" si="4"/>
        <v>117</v>
      </c>
      <c r="L28">
        <f t="shared" si="0"/>
        <v>175</v>
      </c>
      <c r="M28">
        <f t="shared" si="1"/>
        <v>78</v>
      </c>
      <c r="N28">
        <f t="shared" si="2"/>
        <v>78</v>
      </c>
      <c r="O28">
        <f t="shared" si="3"/>
        <v>1170</v>
      </c>
    </row>
    <row r="29" spans="5:15">
      <c r="E29">
        <v>17</v>
      </c>
      <c r="F29">
        <v>13</v>
      </c>
      <c r="G29">
        <v>11</v>
      </c>
      <c r="H29">
        <v>11</v>
      </c>
      <c r="I29">
        <v>2125</v>
      </c>
      <c r="K29">
        <f t="shared" si="4"/>
        <v>117</v>
      </c>
      <c r="L29">
        <f t="shared" si="0"/>
        <v>175</v>
      </c>
      <c r="M29">
        <f t="shared" si="1"/>
        <v>78</v>
      </c>
      <c r="N29">
        <f t="shared" si="2"/>
        <v>78</v>
      </c>
      <c r="O29">
        <f t="shared" si="3"/>
        <v>1170</v>
      </c>
    </row>
    <row r="30" spans="5:15">
      <c r="E30">
        <v>17</v>
      </c>
      <c r="F30">
        <v>13</v>
      </c>
      <c r="G30">
        <v>11</v>
      </c>
      <c r="H30">
        <v>11</v>
      </c>
      <c r="I30">
        <v>2201</v>
      </c>
      <c r="K30">
        <f t="shared" si="4"/>
        <v>117</v>
      </c>
      <c r="L30">
        <f t="shared" si="0"/>
        <v>175</v>
      </c>
      <c r="M30">
        <f t="shared" si="1"/>
        <v>78</v>
      </c>
      <c r="N30">
        <f t="shared" si="2"/>
        <v>78</v>
      </c>
      <c r="O30">
        <f t="shared" si="3"/>
        <v>1170</v>
      </c>
    </row>
    <row r="31" spans="5:15">
      <c r="E31">
        <v>18</v>
      </c>
      <c r="F31">
        <v>14</v>
      </c>
      <c r="G31">
        <v>12</v>
      </c>
      <c r="H31">
        <v>12</v>
      </c>
      <c r="I31">
        <v>2277</v>
      </c>
      <c r="K31">
        <f t="shared" si="4"/>
        <v>118</v>
      </c>
      <c r="L31">
        <f t="shared" si="0"/>
        <v>177</v>
      </c>
      <c r="M31">
        <f t="shared" si="1"/>
        <v>78</v>
      </c>
      <c r="N31">
        <f t="shared" si="2"/>
        <v>78</v>
      </c>
      <c r="O31">
        <f t="shared" si="3"/>
        <v>1170</v>
      </c>
    </row>
    <row r="32" spans="5:15">
      <c r="E32">
        <v>18</v>
      </c>
      <c r="F32">
        <v>14</v>
      </c>
      <c r="G32">
        <v>12</v>
      </c>
      <c r="H32">
        <v>12</v>
      </c>
      <c r="I32">
        <v>2353</v>
      </c>
      <c r="K32">
        <f t="shared" si="4"/>
        <v>118</v>
      </c>
      <c r="L32">
        <f t="shared" si="0"/>
        <v>177</v>
      </c>
      <c r="M32">
        <f t="shared" si="1"/>
        <v>78</v>
      </c>
      <c r="N32">
        <f t="shared" si="2"/>
        <v>78</v>
      </c>
      <c r="O32">
        <f t="shared" si="3"/>
        <v>1170</v>
      </c>
    </row>
    <row r="33" spans="5:15">
      <c r="E33">
        <v>18</v>
      </c>
      <c r="F33">
        <v>14</v>
      </c>
      <c r="G33">
        <v>12</v>
      </c>
      <c r="H33">
        <v>12</v>
      </c>
      <c r="I33">
        <v>2429</v>
      </c>
      <c r="K33">
        <f t="shared" si="4"/>
        <v>118</v>
      </c>
      <c r="L33">
        <f t="shared" si="0"/>
        <v>177</v>
      </c>
      <c r="M33">
        <f t="shared" si="1"/>
        <v>78</v>
      </c>
      <c r="N33">
        <f t="shared" si="2"/>
        <v>78</v>
      </c>
      <c r="O33">
        <f t="shared" si="3"/>
        <v>1170</v>
      </c>
    </row>
    <row r="34" spans="5:15">
      <c r="E34">
        <v>18</v>
      </c>
      <c r="F34">
        <v>14</v>
      </c>
      <c r="G34">
        <v>12</v>
      </c>
      <c r="H34">
        <v>12</v>
      </c>
      <c r="I34">
        <v>2505</v>
      </c>
      <c r="K34">
        <f t="shared" si="4"/>
        <v>118</v>
      </c>
      <c r="L34">
        <f t="shared" ref="L34:L65" si="5">INT(K34*1.5)</f>
        <v>177</v>
      </c>
      <c r="M34">
        <f t="shared" ref="M34:M65" si="6">INT(K34/1.5)</f>
        <v>78</v>
      </c>
      <c r="N34">
        <f t="shared" ref="N34:N65" si="7">M34</f>
        <v>78</v>
      </c>
      <c r="O34">
        <f t="shared" ref="O34:O65" si="8">N34*15</f>
        <v>1170</v>
      </c>
    </row>
    <row r="35" spans="5:15">
      <c r="E35">
        <v>18</v>
      </c>
      <c r="F35">
        <v>14</v>
      </c>
      <c r="G35">
        <v>12</v>
      </c>
      <c r="H35">
        <v>12</v>
      </c>
      <c r="I35">
        <v>2581</v>
      </c>
      <c r="K35">
        <f t="shared" ref="K35:K66" si="9">$K$1+E35</f>
        <v>118</v>
      </c>
      <c r="L35">
        <f t="shared" si="5"/>
        <v>177</v>
      </c>
      <c r="M35">
        <f t="shared" si="6"/>
        <v>78</v>
      </c>
      <c r="N35">
        <f t="shared" si="7"/>
        <v>78</v>
      </c>
      <c r="O35">
        <f t="shared" si="8"/>
        <v>1170</v>
      </c>
    </row>
    <row r="36" spans="5:15">
      <c r="E36">
        <v>19</v>
      </c>
      <c r="F36">
        <v>15</v>
      </c>
      <c r="G36">
        <v>12</v>
      </c>
      <c r="H36">
        <v>12</v>
      </c>
      <c r="I36">
        <v>2656</v>
      </c>
      <c r="K36">
        <f t="shared" si="9"/>
        <v>119</v>
      </c>
      <c r="L36">
        <f t="shared" si="5"/>
        <v>178</v>
      </c>
      <c r="M36">
        <f t="shared" si="6"/>
        <v>79</v>
      </c>
      <c r="N36">
        <f t="shared" si="7"/>
        <v>79</v>
      </c>
      <c r="O36">
        <f t="shared" si="8"/>
        <v>1185</v>
      </c>
    </row>
    <row r="37" spans="5:15">
      <c r="E37">
        <v>19</v>
      </c>
      <c r="F37">
        <v>15</v>
      </c>
      <c r="G37">
        <v>12</v>
      </c>
      <c r="H37">
        <v>12</v>
      </c>
      <c r="I37">
        <v>2732</v>
      </c>
      <c r="K37">
        <f t="shared" si="9"/>
        <v>119</v>
      </c>
      <c r="L37">
        <f t="shared" si="5"/>
        <v>178</v>
      </c>
      <c r="M37">
        <f t="shared" si="6"/>
        <v>79</v>
      </c>
      <c r="N37">
        <f t="shared" si="7"/>
        <v>79</v>
      </c>
      <c r="O37">
        <f t="shared" si="8"/>
        <v>1185</v>
      </c>
    </row>
    <row r="38" spans="5:15">
      <c r="E38">
        <v>19</v>
      </c>
      <c r="F38">
        <v>15</v>
      </c>
      <c r="G38">
        <v>12</v>
      </c>
      <c r="H38">
        <v>12</v>
      </c>
      <c r="I38">
        <v>2808</v>
      </c>
      <c r="K38">
        <f t="shared" si="9"/>
        <v>119</v>
      </c>
      <c r="L38">
        <f t="shared" si="5"/>
        <v>178</v>
      </c>
      <c r="M38">
        <f t="shared" si="6"/>
        <v>79</v>
      </c>
      <c r="N38">
        <f t="shared" si="7"/>
        <v>79</v>
      </c>
      <c r="O38">
        <f t="shared" si="8"/>
        <v>1185</v>
      </c>
    </row>
    <row r="39" spans="5:15">
      <c r="E39">
        <v>19</v>
      </c>
      <c r="F39">
        <v>15</v>
      </c>
      <c r="G39">
        <v>12</v>
      </c>
      <c r="H39">
        <v>12</v>
      </c>
      <c r="I39">
        <v>2884</v>
      </c>
      <c r="K39">
        <f t="shared" si="9"/>
        <v>119</v>
      </c>
      <c r="L39">
        <f t="shared" si="5"/>
        <v>178</v>
      </c>
      <c r="M39">
        <f t="shared" si="6"/>
        <v>79</v>
      </c>
      <c r="N39">
        <f t="shared" si="7"/>
        <v>79</v>
      </c>
      <c r="O39">
        <f t="shared" si="8"/>
        <v>1185</v>
      </c>
    </row>
    <row r="40" spans="5:15">
      <c r="E40">
        <v>19</v>
      </c>
      <c r="F40">
        <v>15</v>
      </c>
      <c r="G40">
        <v>12</v>
      </c>
      <c r="H40">
        <v>12</v>
      </c>
      <c r="I40">
        <v>2960</v>
      </c>
      <c r="K40">
        <f t="shared" si="9"/>
        <v>119</v>
      </c>
      <c r="L40">
        <f t="shared" si="5"/>
        <v>178</v>
      </c>
      <c r="M40">
        <f t="shared" si="6"/>
        <v>79</v>
      </c>
      <c r="N40">
        <f t="shared" si="7"/>
        <v>79</v>
      </c>
      <c r="O40">
        <f t="shared" si="8"/>
        <v>1185</v>
      </c>
    </row>
    <row r="41" spans="5:15">
      <c r="E41">
        <v>20</v>
      </c>
      <c r="F41">
        <v>16</v>
      </c>
      <c r="G41">
        <v>13</v>
      </c>
      <c r="H41">
        <v>13</v>
      </c>
      <c r="I41">
        <v>3036</v>
      </c>
      <c r="K41">
        <f t="shared" si="9"/>
        <v>120</v>
      </c>
      <c r="L41">
        <f t="shared" si="5"/>
        <v>180</v>
      </c>
      <c r="M41">
        <f t="shared" si="6"/>
        <v>80</v>
      </c>
      <c r="N41">
        <f t="shared" si="7"/>
        <v>80</v>
      </c>
      <c r="O41">
        <f t="shared" si="8"/>
        <v>1200</v>
      </c>
    </row>
    <row r="42" spans="5:15">
      <c r="E42">
        <v>20</v>
      </c>
      <c r="F42">
        <v>16</v>
      </c>
      <c r="G42">
        <v>13</v>
      </c>
      <c r="H42">
        <v>13</v>
      </c>
      <c r="I42">
        <v>3112</v>
      </c>
      <c r="K42">
        <f t="shared" si="9"/>
        <v>120</v>
      </c>
      <c r="L42">
        <f t="shared" si="5"/>
        <v>180</v>
      </c>
      <c r="M42">
        <f t="shared" si="6"/>
        <v>80</v>
      </c>
      <c r="N42">
        <f t="shared" si="7"/>
        <v>80</v>
      </c>
      <c r="O42">
        <f t="shared" si="8"/>
        <v>1200</v>
      </c>
    </row>
    <row r="43" spans="5:15">
      <c r="E43">
        <v>20</v>
      </c>
      <c r="F43">
        <v>16</v>
      </c>
      <c r="G43">
        <v>13</v>
      </c>
      <c r="H43">
        <v>13</v>
      </c>
      <c r="I43">
        <v>3188</v>
      </c>
      <c r="K43">
        <f t="shared" si="9"/>
        <v>120</v>
      </c>
      <c r="L43">
        <f t="shared" si="5"/>
        <v>180</v>
      </c>
      <c r="M43">
        <f t="shared" si="6"/>
        <v>80</v>
      </c>
      <c r="N43">
        <f t="shared" si="7"/>
        <v>80</v>
      </c>
      <c r="O43">
        <f t="shared" si="8"/>
        <v>1200</v>
      </c>
    </row>
    <row r="44" spans="5:15">
      <c r="E44">
        <v>20</v>
      </c>
      <c r="F44">
        <v>16</v>
      </c>
      <c r="G44">
        <v>13</v>
      </c>
      <c r="H44">
        <v>13</v>
      </c>
      <c r="I44">
        <v>3264</v>
      </c>
      <c r="K44">
        <f t="shared" si="9"/>
        <v>120</v>
      </c>
      <c r="L44">
        <f t="shared" si="5"/>
        <v>180</v>
      </c>
      <c r="M44">
        <f t="shared" si="6"/>
        <v>80</v>
      </c>
      <c r="N44">
        <f t="shared" si="7"/>
        <v>80</v>
      </c>
      <c r="O44">
        <f t="shared" si="8"/>
        <v>1200</v>
      </c>
    </row>
    <row r="45" spans="5:15">
      <c r="E45">
        <v>20</v>
      </c>
      <c r="F45">
        <v>16</v>
      </c>
      <c r="G45">
        <v>13</v>
      </c>
      <c r="H45">
        <v>13</v>
      </c>
      <c r="I45">
        <v>3339</v>
      </c>
      <c r="K45">
        <f t="shared" si="9"/>
        <v>120</v>
      </c>
      <c r="L45">
        <f t="shared" si="5"/>
        <v>180</v>
      </c>
      <c r="M45">
        <f t="shared" si="6"/>
        <v>80</v>
      </c>
      <c r="N45">
        <f t="shared" si="7"/>
        <v>80</v>
      </c>
      <c r="O45">
        <f t="shared" si="8"/>
        <v>1200</v>
      </c>
    </row>
    <row r="46" spans="5:15">
      <c r="E46">
        <v>21</v>
      </c>
      <c r="F46">
        <v>17</v>
      </c>
      <c r="G46">
        <v>14</v>
      </c>
      <c r="H46">
        <v>14</v>
      </c>
      <c r="I46">
        <v>3415</v>
      </c>
      <c r="K46">
        <f t="shared" si="9"/>
        <v>121</v>
      </c>
      <c r="L46">
        <f t="shared" si="5"/>
        <v>181</v>
      </c>
      <c r="M46">
        <f t="shared" si="6"/>
        <v>80</v>
      </c>
      <c r="N46">
        <f t="shared" si="7"/>
        <v>80</v>
      </c>
      <c r="O46">
        <f t="shared" si="8"/>
        <v>1200</v>
      </c>
    </row>
    <row r="47" spans="5:15">
      <c r="E47">
        <v>21</v>
      </c>
      <c r="F47">
        <v>17</v>
      </c>
      <c r="G47">
        <v>14</v>
      </c>
      <c r="H47">
        <v>14</v>
      </c>
      <c r="I47">
        <v>3491</v>
      </c>
      <c r="K47">
        <f t="shared" si="9"/>
        <v>121</v>
      </c>
      <c r="L47">
        <f t="shared" si="5"/>
        <v>181</v>
      </c>
      <c r="M47">
        <f t="shared" si="6"/>
        <v>80</v>
      </c>
      <c r="N47">
        <f t="shared" si="7"/>
        <v>80</v>
      </c>
      <c r="O47">
        <f t="shared" si="8"/>
        <v>1200</v>
      </c>
    </row>
    <row r="48" spans="5:15">
      <c r="E48">
        <v>21</v>
      </c>
      <c r="F48">
        <v>17</v>
      </c>
      <c r="G48">
        <v>14</v>
      </c>
      <c r="H48">
        <v>14</v>
      </c>
      <c r="I48">
        <v>3567</v>
      </c>
      <c r="K48">
        <f t="shared" si="9"/>
        <v>121</v>
      </c>
      <c r="L48">
        <f t="shared" si="5"/>
        <v>181</v>
      </c>
      <c r="M48">
        <f t="shared" si="6"/>
        <v>80</v>
      </c>
      <c r="N48">
        <f t="shared" si="7"/>
        <v>80</v>
      </c>
      <c r="O48">
        <f t="shared" si="8"/>
        <v>1200</v>
      </c>
    </row>
    <row r="49" spans="5:15">
      <c r="E49">
        <v>21</v>
      </c>
      <c r="F49">
        <v>17</v>
      </c>
      <c r="G49">
        <v>14</v>
      </c>
      <c r="H49">
        <v>14</v>
      </c>
      <c r="I49">
        <v>3643</v>
      </c>
      <c r="K49">
        <f t="shared" si="9"/>
        <v>121</v>
      </c>
      <c r="L49">
        <f t="shared" si="5"/>
        <v>181</v>
      </c>
      <c r="M49">
        <f t="shared" si="6"/>
        <v>80</v>
      </c>
      <c r="N49">
        <f t="shared" si="7"/>
        <v>80</v>
      </c>
      <c r="O49">
        <f t="shared" si="8"/>
        <v>1200</v>
      </c>
    </row>
    <row r="50" spans="5:15">
      <c r="E50">
        <v>21</v>
      </c>
      <c r="F50">
        <v>17</v>
      </c>
      <c r="G50">
        <v>14</v>
      </c>
      <c r="H50">
        <v>14</v>
      </c>
      <c r="I50">
        <v>3719</v>
      </c>
      <c r="K50">
        <f t="shared" si="9"/>
        <v>121</v>
      </c>
      <c r="L50">
        <f t="shared" si="5"/>
        <v>181</v>
      </c>
      <c r="M50">
        <f t="shared" si="6"/>
        <v>80</v>
      </c>
      <c r="N50">
        <f t="shared" si="7"/>
        <v>80</v>
      </c>
      <c r="O50">
        <f t="shared" si="8"/>
        <v>1200</v>
      </c>
    </row>
    <row r="51" spans="5:15">
      <c r="E51">
        <v>22</v>
      </c>
      <c r="F51">
        <v>18</v>
      </c>
      <c r="G51">
        <v>15</v>
      </c>
      <c r="H51">
        <v>15</v>
      </c>
      <c r="I51">
        <v>3795</v>
      </c>
      <c r="K51">
        <f t="shared" si="9"/>
        <v>122</v>
      </c>
      <c r="L51">
        <f t="shared" si="5"/>
        <v>183</v>
      </c>
      <c r="M51">
        <f t="shared" si="6"/>
        <v>81</v>
      </c>
      <c r="N51">
        <f t="shared" si="7"/>
        <v>81</v>
      </c>
      <c r="O51">
        <f t="shared" si="8"/>
        <v>1215</v>
      </c>
    </row>
    <row r="52" spans="5:15">
      <c r="E52">
        <v>22</v>
      </c>
      <c r="F52">
        <v>18</v>
      </c>
      <c r="G52">
        <v>15</v>
      </c>
      <c r="H52">
        <v>15</v>
      </c>
      <c r="I52">
        <v>3871</v>
      </c>
      <c r="K52">
        <f t="shared" si="9"/>
        <v>122</v>
      </c>
      <c r="L52">
        <f t="shared" si="5"/>
        <v>183</v>
      </c>
      <c r="M52">
        <f t="shared" si="6"/>
        <v>81</v>
      </c>
      <c r="N52">
        <f t="shared" si="7"/>
        <v>81</v>
      </c>
      <c r="O52">
        <f t="shared" si="8"/>
        <v>1215</v>
      </c>
    </row>
    <row r="53" spans="5:15">
      <c r="E53">
        <v>22</v>
      </c>
      <c r="F53">
        <v>18</v>
      </c>
      <c r="G53">
        <v>15</v>
      </c>
      <c r="H53">
        <v>15</v>
      </c>
      <c r="I53">
        <v>3947</v>
      </c>
      <c r="K53">
        <f t="shared" si="9"/>
        <v>122</v>
      </c>
      <c r="L53">
        <f t="shared" si="5"/>
        <v>183</v>
      </c>
      <c r="M53">
        <f t="shared" si="6"/>
        <v>81</v>
      </c>
      <c r="N53">
        <f t="shared" si="7"/>
        <v>81</v>
      </c>
      <c r="O53">
        <f t="shared" si="8"/>
        <v>1215</v>
      </c>
    </row>
    <row r="54" spans="5:15">
      <c r="E54">
        <v>22</v>
      </c>
      <c r="F54">
        <v>18</v>
      </c>
      <c r="G54">
        <v>15</v>
      </c>
      <c r="H54">
        <v>15</v>
      </c>
      <c r="I54">
        <v>4023</v>
      </c>
      <c r="K54">
        <f t="shared" si="9"/>
        <v>122</v>
      </c>
      <c r="L54">
        <f t="shared" si="5"/>
        <v>183</v>
      </c>
      <c r="M54">
        <f t="shared" si="6"/>
        <v>81</v>
      </c>
      <c r="N54">
        <f t="shared" si="7"/>
        <v>81</v>
      </c>
      <c r="O54">
        <f t="shared" si="8"/>
        <v>1215</v>
      </c>
    </row>
    <row r="55" spans="5:15">
      <c r="E55">
        <v>22</v>
      </c>
      <c r="F55">
        <v>18</v>
      </c>
      <c r="G55">
        <v>15</v>
      </c>
      <c r="H55">
        <v>15</v>
      </c>
      <c r="I55">
        <v>4098</v>
      </c>
      <c r="K55">
        <f t="shared" si="9"/>
        <v>122</v>
      </c>
      <c r="L55">
        <f t="shared" si="5"/>
        <v>183</v>
      </c>
      <c r="M55">
        <f t="shared" si="6"/>
        <v>81</v>
      </c>
      <c r="N55">
        <f t="shared" si="7"/>
        <v>81</v>
      </c>
      <c r="O55">
        <f t="shared" si="8"/>
        <v>1215</v>
      </c>
    </row>
    <row r="56" spans="5:15">
      <c r="E56">
        <v>23</v>
      </c>
      <c r="F56">
        <v>18</v>
      </c>
      <c r="G56">
        <v>15</v>
      </c>
      <c r="H56">
        <v>15</v>
      </c>
      <c r="I56">
        <v>4174</v>
      </c>
      <c r="K56">
        <f t="shared" si="9"/>
        <v>123</v>
      </c>
      <c r="L56">
        <f t="shared" si="5"/>
        <v>184</v>
      </c>
      <c r="M56">
        <f t="shared" si="6"/>
        <v>82</v>
      </c>
      <c r="N56">
        <f t="shared" si="7"/>
        <v>82</v>
      </c>
      <c r="O56">
        <f t="shared" si="8"/>
        <v>1230</v>
      </c>
    </row>
    <row r="57" spans="5:15">
      <c r="E57">
        <v>23</v>
      </c>
      <c r="F57">
        <v>18</v>
      </c>
      <c r="G57">
        <v>15</v>
      </c>
      <c r="H57">
        <v>15</v>
      </c>
      <c r="I57">
        <v>4250</v>
      </c>
      <c r="K57">
        <f t="shared" si="9"/>
        <v>123</v>
      </c>
      <c r="L57">
        <f t="shared" si="5"/>
        <v>184</v>
      </c>
      <c r="M57">
        <f t="shared" si="6"/>
        <v>82</v>
      </c>
      <c r="N57">
        <f t="shared" si="7"/>
        <v>82</v>
      </c>
      <c r="O57">
        <f t="shared" si="8"/>
        <v>1230</v>
      </c>
    </row>
    <row r="58" spans="5:15">
      <c r="E58">
        <v>23</v>
      </c>
      <c r="F58">
        <v>18</v>
      </c>
      <c r="G58">
        <v>15</v>
      </c>
      <c r="H58">
        <v>15</v>
      </c>
      <c r="I58">
        <v>4326</v>
      </c>
      <c r="K58">
        <f t="shared" si="9"/>
        <v>123</v>
      </c>
      <c r="L58">
        <f t="shared" si="5"/>
        <v>184</v>
      </c>
      <c r="M58">
        <f t="shared" si="6"/>
        <v>82</v>
      </c>
      <c r="N58">
        <f t="shared" si="7"/>
        <v>82</v>
      </c>
      <c r="O58">
        <f t="shared" si="8"/>
        <v>1230</v>
      </c>
    </row>
    <row r="59" spans="5:15">
      <c r="E59">
        <v>23</v>
      </c>
      <c r="F59">
        <v>18</v>
      </c>
      <c r="G59">
        <v>15</v>
      </c>
      <c r="H59">
        <v>15</v>
      </c>
      <c r="I59">
        <v>4402</v>
      </c>
      <c r="K59">
        <f t="shared" si="9"/>
        <v>123</v>
      </c>
      <c r="L59">
        <f t="shared" si="5"/>
        <v>184</v>
      </c>
      <c r="M59">
        <f t="shared" si="6"/>
        <v>82</v>
      </c>
      <c r="N59">
        <f t="shared" si="7"/>
        <v>82</v>
      </c>
      <c r="O59">
        <f t="shared" si="8"/>
        <v>1230</v>
      </c>
    </row>
    <row r="60" spans="5:15">
      <c r="E60">
        <v>23</v>
      </c>
      <c r="F60">
        <v>18</v>
      </c>
      <c r="G60">
        <v>15</v>
      </c>
      <c r="H60">
        <v>15</v>
      </c>
      <c r="I60">
        <v>4478</v>
      </c>
      <c r="K60">
        <f t="shared" si="9"/>
        <v>123</v>
      </c>
      <c r="L60">
        <f t="shared" si="5"/>
        <v>184</v>
      </c>
      <c r="M60">
        <f t="shared" si="6"/>
        <v>82</v>
      </c>
      <c r="N60">
        <f t="shared" si="7"/>
        <v>82</v>
      </c>
      <c r="O60">
        <f t="shared" si="8"/>
        <v>1230</v>
      </c>
    </row>
    <row r="61" spans="5:15">
      <c r="E61">
        <v>24</v>
      </c>
      <c r="F61">
        <v>19</v>
      </c>
      <c r="G61">
        <v>16</v>
      </c>
      <c r="H61">
        <v>16</v>
      </c>
      <c r="I61">
        <v>4554</v>
      </c>
      <c r="K61">
        <f t="shared" si="9"/>
        <v>124</v>
      </c>
      <c r="L61">
        <f t="shared" si="5"/>
        <v>186</v>
      </c>
      <c r="M61">
        <f t="shared" si="6"/>
        <v>82</v>
      </c>
      <c r="N61">
        <f t="shared" si="7"/>
        <v>82</v>
      </c>
      <c r="O61">
        <f t="shared" si="8"/>
        <v>1230</v>
      </c>
    </row>
    <row r="62" spans="5:15">
      <c r="E62">
        <v>24</v>
      </c>
      <c r="F62">
        <v>19</v>
      </c>
      <c r="G62">
        <v>16</v>
      </c>
      <c r="H62">
        <v>16</v>
      </c>
      <c r="I62">
        <v>4630</v>
      </c>
      <c r="K62">
        <f t="shared" si="9"/>
        <v>124</v>
      </c>
      <c r="L62">
        <f t="shared" si="5"/>
        <v>186</v>
      </c>
      <c r="M62">
        <f t="shared" si="6"/>
        <v>82</v>
      </c>
      <c r="N62">
        <f t="shared" si="7"/>
        <v>82</v>
      </c>
      <c r="O62">
        <f t="shared" si="8"/>
        <v>1230</v>
      </c>
    </row>
    <row r="63" spans="5:15">
      <c r="E63">
        <v>24</v>
      </c>
      <c r="F63">
        <v>19</v>
      </c>
      <c r="G63">
        <v>16</v>
      </c>
      <c r="H63">
        <v>16</v>
      </c>
      <c r="I63">
        <v>4706</v>
      </c>
      <c r="K63">
        <f t="shared" si="9"/>
        <v>124</v>
      </c>
      <c r="L63">
        <f t="shared" si="5"/>
        <v>186</v>
      </c>
      <c r="M63">
        <f t="shared" si="6"/>
        <v>82</v>
      </c>
      <c r="N63">
        <f t="shared" si="7"/>
        <v>82</v>
      </c>
      <c r="O63">
        <f t="shared" si="8"/>
        <v>1230</v>
      </c>
    </row>
    <row r="64" spans="5:15">
      <c r="E64">
        <v>24</v>
      </c>
      <c r="F64">
        <v>19</v>
      </c>
      <c r="G64">
        <v>16</v>
      </c>
      <c r="H64">
        <v>16</v>
      </c>
      <c r="I64">
        <v>4782</v>
      </c>
      <c r="K64">
        <f t="shared" si="9"/>
        <v>124</v>
      </c>
      <c r="L64">
        <f t="shared" si="5"/>
        <v>186</v>
      </c>
      <c r="M64">
        <f t="shared" si="6"/>
        <v>82</v>
      </c>
      <c r="N64">
        <f t="shared" si="7"/>
        <v>82</v>
      </c>
      <c r="O64">
        <f t="shared" si="8"/>
        <v>1230</v>
      </c>
    </row>
    <row r="65" spans="5:15">
      <c r="E65">
        <v>24</v>
      </c>
      <c r="F65">
        <v>19</v>
      </c>
      <c r="G65">
        <v>16</v>
      </c>
      <c r="H65">
        <v>16</v>
      </c>
      <c r="I65">
        <v>4857</v>
      </c>
      <c r="K65">
        <f t="shared" si="9"/>
        <v>124</v>
      </c>
      <c r="L65">
        <f t="shared" si="5"/>
        <v>186</v>
      </c>
      <c r="M65">
        <f t="shared" si="6"/>
        <v>82</v>
      </c>
      <c r="N65">
        <f t="shared" si="7"/>
        <v>82</v>
      </c>
      <c r="O65">
        <f t="shared" si="8"/>
        <v>1230</v>
      </c>
    </row>
    <row r="66" spans="5:15">
      <c r="E66">
        <v>25</v>
      </c>
      <c r="F66">
        <v>20</v>
      </c>
      <c r="G66">
        <v>17</v>
      </c>
      <c r="H66">
        <v>17</v>
      </c>
      <c r="I66">
        <v>4933</v>
      </c>
      <c r="K66">
        <f t="shared" si="9"/>
        <v>125</v>
      </c>
      <c r="L66">
        <f t="shared" ref="L66:L97" si="10">INT(K66*1.5)</f>
        <v>187</v>
      </c>
      <c r="M66">
        <f t="shared" ref="M66:M97" si="11">INT(K66/1.5)</f>
        <v>83</v>
      </c>
      <c r="N66">
        <f t="shared" ref="N66:N97" si="12">M66</f>
        <v>83</v>
      </c>
      <c r="O66">
        <f t="shared" ref="O66:O97" si="13">N66*15</f>
        <v>1245</v>
      </c>
    </row>
    <row r="67" spans="5:15">
      <c r="E67">
        <v>25</v>
      </c>
      <c r="F67">
        <v>20</v>
      </c>
      <c r="G67">
        <v>17</v>
      </c>
      <c r="H67">
        <v>17</v>
      </c>
      <c r="I67">
        <v>5009</v>
      </c>
      <c r="K67">
        <f t="shared" ref="K67:K98" si="14">$K$1+E67</f>
        <v>125</v>
      </c>
      <c r="L67">
        <f t="shared" si="10"/>
        <v>187</v>
      </c>
      <c r="M67">
        <f t="shared" si="11"/>
        <v>83</v>
      </c>
      <c r="N67">
        <f t="shared" si="12"/>
        <v>83</v>
      </c>
      <c r="O67">
        <f t="shared" si="13"/>
        <v>1245</v>
      </c>
    </row>
    <row r="68" spans="5:15">
      <c r="E68">
        <v>25</v>
      </c>
      <c r="F68">
        <v>20</v>
      </c>
      <c r="G68">
        <v>17</v>
      </c>
      <c r="H68">
        <v>17</v>
      </c>
      <c r="I68">
        <v>5085</v>
      </c>
      <c r="K68">
        <f t="shared" si="14"/>
        <v>125</v>
      </c>
      <c r="L68">
        <f t="shared" si="10"/>
        <v>187</v>
      </c>
      <c r="M68">
        <f t="shared" si="11"/>
        <v>83</v>
      </c>
      <c r="N68">
        <f t="shared" si="12"/>
        <v>83</v>
      </c>
      <c r="O68">
        <f t="shared" si="13"/>
        <v>1245</v>
      </c>
    </row>
    <row r="69" spans="5:15">
      <c r="E69">
        <v>25</v>
      </c>
      <c r="F69">
        <v>20</v>
      </c>
      <c r="G69">
        <v>17</v>
      </c>
      <c r="H69">
        <v>17</v>
      </c>
      <c r="I69">
        <v>5161</v>
      </c>
      <c r="K69">
        <f t="shared" si="14"/>
        <v>125</v>
      </c>
      <c r="L69">
        <f t="shared" si="10"/>
        <v>187</v>
      </c>
      <c r="M69">
        <f t="shared" si="11"/>
        <v>83</v>
      </c>
      <c r="N69">
        <f t="shared" si="12"/>
        <v>83</v>
      </c>
      <c r="O69">
        <f t="shared" si="13"/>
        <v>1245</v>
      </c>
    </row>
    <row r="70" spans="5:15">
      <c r="E70">
        <v>25</v>
      </c>
      <c r="F70">
        <v>20</v>
      </c>
      <c r="G70">
        <v>17</v>
      </c>
      <c r="H70">
        <v>17</v>
      </c>
      <c r="I70">
        <v>5237</v>
      </c>
      <c r="K70">
        <f t="shared" si="14"/>
        <v>125</v>
      </c>
      <c r="L70">
        <f t="shared" si="10"/>
        <v>187</v>
      </c>
      <c r="M70">
        <f t="shared" si="11"/>
        <v>83</v>
      </c>
      <c r="N70">
        <f t="shared" si="12"/>
        <v>83</v>
      </c>
      <c r="O70">
        <f t="shared" si="13"/>
        <v>1245</v>
      </c>
    </row>
    <row r="71" spans="5:15">
      <c r="E71">
        <v>26</v>
      </c>
      <c r="F71">
        <v>21</v>
      </c>
      <c r="G71">
        <v>17</v>
      </c>
      <c r="H71">
        <v>17</v>
      </c>
      <c r="I71">
        <v>5313</v>
      </c>
      <c r="K71">
        <f t="shared" si="14"/>
        <v>126</v>
      </c>
      <c r="L71">
        <f t="shared" si="10"/>
        <v>189</v>
      </c>
      <c r="M71">
        <f t="shared" si="11"/>
        <v>84</v>
      </c>
      <c r="N71">
        <f t="shared" si="12"/>
        <v>84</v>
      </c>
      <c r="O71">
        <f t="shared" si="13"/>
        <v>1260</v>
      </c>
    </row>
    <row r="72" spans="5:15">
      <c r="E72">
        <v>26</v>
      </c>
      <c r="F72">
        <v>21</v>
      </c>
      <c r="G72">
        <v>17</v>
      </c>
      <c r="H72">
        <v>17</v>
      </c>
      <c r="I72">
        <v>5389</v>
      </c>
      <c r="K72">
        <f t="shared" si="14"/>
        <v>126</v>
      </c>
      <c r="L72">
        <f t="shared" si="10"/>
        <v>189</v>
      </c>
      <c r="M72">
        <f t="shared" si="11"/>
        <v>84</v>
      </c>
      <c r="N72">
        <f t="shared" si="12"/>
        <v>84</v>
      </c>
      <c r="O72">
        <f t="shared" si="13"/>
        <v>1260</v>
      </c>
    </row>
    <row r="73" spans="5:15">
      <c r="E73">
        <v>26</v>
      </c>
      <c r="F73">
        <v>21</v>
      </c>
      <c r="G73">
        <v>17</v>
      </c>
      <c r="H73">
        <v>17</v>
      </c>
      <c r="I73">
        <v>5465</v>
      </c>
      <c r="K73">
        <f t="shared" si="14"/>
        <v>126</v>
      </c>
      <c r="L73">
        <f t="shared" si="10"/>
        <v>189</v>
      </c>
      <c r="M73">
        <f t="shared" si="11"/>
        <v>84</v>
      </c>
      <c r="N73">
        <f t="shared" si="12"/>
        <v>84</v>
      </c>
      <c r="O73">
        <f t="shared" si="13"/>
        <v>1260</v>
      </c>
    </row>
    <row r="74" spans="5:15">
      <c r="E74">
        <v>26</v>
      </c>
      <c r="F74">
        <v>21</v>
      </c>
      <c r="G74">
        <v>17</v>
      </c>
      <c r="H74">
        <v>17</v>
      </c>
      <c r="I74">
        <v>5541</v>
      </c>
      <c r="K74">
        <f t="shared" si="14"/>
        <v>126</v>
      </c>
      <c r="L74">
        <f t="shared" si="10"/>
        <v>189</v>
      </c>
      <c r="M74">
        <f t="shared" si="11"/>
        <v>84</v>
      </c>
      <c r="N74">
        <f t="shared" si="12"/>
        <v>84</v>
      </c>
      <c r="O74">
        <f t="shared" si="13"/>
        <v>1260</v>
      </c>
    </row>
    <row r="75" spans="5:15">
      <c r="E75">
        <v>26</v>
      </c>
      <c r="F75">
        <v>21</v>
      </c>
      <c r="G75">
        <v>17</v>
      </c>
      <c r="H75">
        <v>17</v>
      </c>
      <c r="I75">
        <v>5616</v>
      </c>
      <c r="K75">
        <f t="shared" si="14"/>
        <v>126</v>
      </c>
      <c r="L75">
        <f t="shared" si="10"/>
        <v>189</v>
      </c>
      <c r="M75">
        <f t="shared" si="11"/>
        <v>84</v>
      </c>
      <c r="N75">
        <f t="shared" si="12"/>
        <v>84</v>
      </c>
      <c r="O75">
        <f t="shared" si="13"/>
        <v>1260</v>
      </c>
    </row>
    <row r="76" spans="5:15">
      <c r="E76">
        <v>27</v>
      </c>
      <c r="F76">
        <v>22</v>
      </c>
      <c r="G76">
        <v>18</v>
      </c>
      <c r="H76">
        <v>18</v>
      </c>
      <c r="I76">
        <v>5692</v>
      </c>
      <c r="K76">
        <f t="shared" si="14"/>
        <v>127</v>
      </c>
      <c r="L76">
        <f t="shared" si="10"/>
        <v>190</v>
      </c>
      <c r="M76">
        <f t="shared" si="11"/>
        <v>84</v>
      </c>
      <c r="N76">
        <f t="shared" si="12"/>
        <v>84</v>
      </c>
      <c r="O76">
        <f t="shared" si="13"/>
        <v>1260</v>
      </c>
    </row>
    <row r="77" spans="5:15">
      <c r="E77">
        <v>27</v>
      </c>
      <c r="F77">
        <v>22</v>
      </c>
      <c r="G77">
        <v>18</v>
      </c>
      <c r="H77">
        <v>18</v>
      </c>
      <c r="I77">
        <v>5768</v>
      </c>
      <c r="K77">
        <f t="shared" si="14"/>
        <v>127</v>
      </c>
      <c r="L77">
        <f t="shared" si="10"/>
        <v>190</v>
      </c>
      <c r="M77">
        <f t="shared" si="11"/>
        <v>84</v>
      </c>
      <c r="N77">
        <f t="shared" si="12"/>
        <v>84</v>
      </c>
      <c r="O77">
        <f t="shared" si="13"/>
        <v>1260</v>
      </c>
    </row>
    <row r="78" spans="5:15">
      <c r="E78">
        <v>27</v>
      </c>
      <c r="F78">
        <v>22</v>
      </c>
      <c r="G78">
        <v>18</v>
      </c>
      <c r="H78">
        <v>18</v>
      </c>
      <c r="I78">
        <v>5844</v>
      </c>
      <c r="K78">
        <f t="shared" si="14"/>
        <v>127</v>
      </c>
      <c r="L78">
        <f t="shared" si="10"/>
        <v>190</v>
      </c>
      <c r="M78">
        <f t="shared" si="11"/>
        <v>84</v>
      </c>
      <c r="N78">
        <f t="shared" si="12"/>
        <v>84</v>
      </c>
      <c r="O78">
        <f t="shared" si="13"/>
        <v>1260</v>
      </c>
    </row>
    <row r="79" spans="5:15">
      <c r="E79">
        <v>27</v>
      </c>
      <c r="F79">
        <v>22</v>
      </c>
      <c r="G79">
        <v>18</v>
      </c>
      <c r="H79">
        <v>18</v>
      </c>
      <c r="I79">
        <v>5920</v>
      </c>
      <c r="K79">
        <f t="shared" si="14"/>
        <v>127</v>
      </c>
      <c r="L79">
        <f t="shared" si="10"/>
        <v>190</v>
      </c>
      <c r="M79">
        <f t="shared" si="11"/>
        <v>84</v>
      </c>
      <c r="N79">
        <f t="shared" si="12"/>
        <v>84</v>
      </c>
      <c r="O79">
        <f t="shared" si="13"/>
        <v>1260</v>
      </c>
    </row>
    <row r="80" spans="5:15">
      <c r="E80">
        <v>27</v>
      </c>
      <c r="F80">
        <v>22</v>
      </c>
      <c r="G80">
        <v>18</v>
      </c>
      <c r="H80">
        <v>18</v>
      </c>
      <c r="I80">
        <v>5996</v>
      </c>
      <c r="K80">
        <f t="shared" si="14"/>
        <v>127</v>
      </c>
      <c r="L80">
        <f t="shared" si="10"/>
        <v>190</v>
      </c>
      <c r="M80">
        <f t="shared" si="11"/>
        <v>84</v>
      </c>
      <c r="N80">
        <f t="shared" si="12"/>
        <v>84</v>
      </c>
      <c r="O80">
        <f t="shared" si="13"/>
        <v>1260</v>
      </c>
    </row>
    <row r="81" spans="5:15">
      <c r="E81">
        <v>28</v>
      </c>
      <c r="F81">
        <v>22</v>
      </c>
      <c r="G81">
        <v>19</v>
      </c>
      <c r="H81">
        <v>19</v>
      </c>
      <c r="I81">
        <v>6072</v>
      </c>
      <c r="K81">
        <f t="shared" si="14"/>
        <v>128</v>
      </c>
      <c r="L81">
        <f t="shared" si="10"/>
        <v>192</v>
      </c>
      <c r="M81">
        <f t="shared" si="11"/>
        <v>85</v>
      </c>
      <c r="N81">
        <f t="shared" si="12"/>
        <v>85</v>
      </c>
      <c r="O81">
        <f t="shared" si="13"/>
        <v>1275</v>
      </c>
    </row>
    <row r="82" spans="5:15">
      <c r="E82">
        <v>28</v>
      </c>
      <c r="F82">
        <v>22</v>
      </c>
      <c r="G82">
        <v>19</v>
      </c>
      <c r="H82">
        <v>19</v>
      </c>
      <c r="I82">
        <v>6148</v>
      </c>
      <c r="K82">
        <f t="shared" si="14"/>
        <v>128</v>
      </c>
      <c r="L82">
        <f t="shared" si="10"/>
        <v>192</v>
      </c>
      <c r="M82">
        <f t="shared" si="11"/>
        <v>85</v>
      </c>
      <c r="N82">
        <f t="shared" si="12"/>
        <v>85</v>
      </c>
      <c r="O82">
        <f t="shared" si="13"/>
        <v>1275</v>
      </c>
    </row>
    <row r="83" spans="5:15">
      <c r="E83">
        <v>28</v>
      </c>
      <c r="F83">
        <v>22</v>
      </c>
      <c r="G83">
        <v>19</v>
      </c>
      <c r="H83">
        <v>19</v>
      </c>
      <c r="I83">
        <v>6224</v>
      </c>
      <c r="K83">
        <f t="shared" si="14"/>
        <v>128</v>
      </c>
      <c r="L83">
        <f t="shared" si="10"/>
        <v>192</v>
      </c>
      <c r="M83">
        <f t="shared" si="11"/>
        <v>85</v>
      </c>
      <c r="N83">
        <f t="shared" si="12"/>
        <v>85</v>
      </c>
      <c r="O83">
        <f t="shared" si="13"/>
        <v>1275</v>
      </c>
    </row>
    <row r="84" spans="5:15">
      <c r="E84">
        <v>28</v>
      </c>
      <c r="F84">
        <v>22</v>
      </c>
      <c r="G84">
        <v>19</v>
      </c>
      <c r="H84">
        <v>19</v>
      </c>
      <c r="I84">
        <v>6299</v>
      </c>
      <c r="K84">
        <f t="shared" si="14"/>
        <v>128</v>
      </c>
      <c r="L84">
        <f t="shared" si="10"/>
        <v>192</v>
      </c>
      <c r="M84">
        <f t="shared" si="11"/>
        <v>85</v>
      </c>
      <c r="N84">
        <f t="shared" si="12"/>
        <v>85</v>
      </c>
      <c r="O84">
        <f t="shared" si="13"/>
        <v>1275</v>
      </c>
    </row>
    <row r="85" spans="5:15">
      <c r="E85">
        <v>28</v>
      </c>
      <c r="F85">
        <v>22</v>
      </c>
      <c r="G85">
        <v>19</v>
      </c>
      <c r="H85">
        <v>19</v>
      </c>
      <c r="I85">
        <v>6375</v>
      </c>
      <c r="K85">
        <f t="shared" si="14"/>
        <v>128</v>
      </c>
      <c r="L85">
        <f t="shared" si="10"/>
        <v>192</v>
      </c>
      <c r="M85">
        <f t="shared" si="11"/>
        <v>85</v>
      </c>
      <c r="N85">
        <f t="shared" si="12"/>
        <v>85</v>
      </c>
      <c r="O85">
        <f t="shared" si="13"/>
        <v>1275</v>
      </c>
    </row>
    <row r="86" spans="5:15">
      <c r="E86">
        <v>29</v>
      </c>
      <c r="F86">
        <v>23</v>
      </c>
      <c r="G86">
        <v>19</v>
      </c>
      <c r="H86">
        <v>19</v>
      </c>
      <c r="I86">
        <v>6451</v>
      </c>
      <c r="K86">
        <f t="shared" si="14"/>
        <v>129</v>
      </c>
      <c r="L86">
        <f t="shared" si="10"/>
        <v>193</v>
      </c>
      <c r="M86">
        <f t="shared" si="11"/>
        <v>86</v>
      </c>
      <c r="N86">
        <f t="shared" si="12"/>
        <v>86</v>
      </c>
      <c r="O86">
        <f t="shared" si="13"/>
        <v>1290</v>
      </c>
    </row>
    <row r="87" spans="5:15">
      <c r="E87">
        <v>29</v>
      </c>
      <c r="F87">
        <v>23</v>
      </c>
      <c r="G87">
        <v>19</v>
      </c>
      <c r="H87">
        <v>19</v>
      </c>
      <c r="I87">
        <v>6527</v>
      </c>
      <c r="K87">
        <f t="shared" si="14"/>
        <v>129</v>
      </c>
      <c r="L87">
        <f t="shared" si="10"/>
        <v>193</v>
      </c>
      <c r="M87">
        <f t="shared" si="11"/>
        <v>86</v>
      </c>
      <c r="N87">
        <f t="shared" si="12"/>
        <v>86</v>
      </c>
      <c r="O87">
        <f t="shared" si="13"/>
        <v>1290</v>
      </c>
    </row>
    <row r="88" spans="5:15">
      <c r="E88">
        <v>29</v>
      </c>
      <c r="F88">
        <v>23</v>
      </c>
      <c r="G88">
        <v>19</v>
      </c>
      <c r="H88">
        <v>19</v>
      </c>
      <c r="I88">
        <v>6603</v>
      </c>
      <c r="K88">
        <f t="shared" si="14"/>
        <v>129</v>
      </c>
      <c r="L88">
        <f t="shared" si="10"/>
        <v>193</v>
      </c>
      <c r="M88">
        <f t="shared" si="11"/>
        <v>86</v>
      </c>
      <c r="N88">
        <f t="shared" si="12"/>
        <v>86</v>
      </c>
      <c r="O88">
        <f t="shared" si="13"/>
        <v>1290</v>
      </c>
    </row>
    <row r="89" spans="5:15">
      <c r="E89">
        <v>29</v>
      </c>
      <c r="F89">
        <v>23</v>
      </c>
      <c r="G89">
        <v>19</v>
      </c>
      <c r="H89">
        <v>19</v>
      </c>
      <c r="I89">
        <v>6679</v>
      </c>
      <c r="K89">
        <f t="shared" si="14"/>
        <v>129</v>
      </c>
      <c r="L89">
        <f t="shared" si="10"/>
        <v>193</v>
      </c>
      <c r="M89">
        <f t="shared" si="11"/>
        <v>86</v>
      </c>
      <c r="N89">
        <f t="shared" si="12"/>
        <v>86</v>
      </c>
      <c r="O89">
        <f t="shared" si="13"/>
        <v>1290</v>
      </c>
    </row>
    <row r="90" spans="5:15">
      <c r="E90">
        <v>29</v>
      </c>
      <c r="F90">
        <v>23</v>
      </c>
      <c r="G90">
        <v>19</v>
      </c>
      <c r="H90">
        <v>19</v>
      </c>
      <c r="I90">
        <v>6755</v>
      </c>
      <c r="K90">
        <f t="shared" si="14"/>
        <v>129</v>
      </c>
      <c r="L90">
        <f t="shared" si="10"/>
        <v>193</v>
      </c>
      <c r="M90">
        <f t="shared" si="11"/>
        <v>86</v>
      </c>
      <c r="N90">
        <f t="shared" si="12"/>
        <v>86</v>
      </c>
      <c r="O90">
        <f t="shared" si="13"/>
        <v>1290</v>
      </c>
    </row>
    <row r="91" spans="5:15">
      <c r="E91">
        <v>30</v>
      </c>
      <c r="F91">
        <v>24</v>
      </c>
      <c r="G91">
        <v>20</v>
      </c>
      <c r="H91">
        <v>20</v>
      </c>
      <c r="I91">
        <v>6831</v>
      </c>
      <c r="K91">
        <f t="shared" si="14"/>
        <v>130</v>
      </c>
      <c r="L91">
        <f t="shared" si="10"/>
        <v>195</v>
      </c>
      <c r="M91">
        <f t="shared" si="11"/>
        <v>86</v>
      </c>
      <c r="N91">
        <f t="shared" si="12"/>
        <v>86</v>
      </c>
      <c r="O91">
        <f t="shared" si="13"/>
        <v>1290</v>
      </c>
    </row>
    <row r="92" spans="5:15">
      <c r="E92">
        <v>30</v>
      </c>
      <c r="F92">
        <v>24</v>
      </c>
      <c r="G92">
        <v>20</v>
      </c>
      <c r="H92">
        <v>20</v>
      </c>
      <c r="I92">
        <v>6907</v>
      </c>
      <c r="K92">
        <f t="shared" si="14"/>
        <v>130</v>
      </c>
      <c r="L92">
        <f t="shared" si="10"/>
        <v>195</v>
      </c>
      <c r="M92">
        <f t="shared" si="11"/>
        <v>86</v>
      </c>
      <c r="N92">
        <f t="shared" si="12"/>
        <v>86</v>
      </c>
      <c r="O92">
        <f t="shared" si="13"/>
        <v>1290</v>
      </c>
    </row>
    <row r="93" spans="5:15">
      <c r="E93">
        <v>30</v>
      </c>
      <c r="F93">
        <v>24</v>
      </c>
      <c r="G93">
        <v>20</v>
      </c>
      <c r="H93">
        <v>20</v>
      </c>
      <c r="I93">
        <v>6983</v>
      </c>
      <c r="K93">
        <f t="shared" si="14"/>
        <v>130</v>
      </c>
      <c r="L93">
        <f t="shared" si="10"/>
        <v>195</v>
      </c>
      <c r="M93">
        <f t="shared" si="11"/>
        <v>86</v>
      </c>
      <c r="N93">
        <f t="shared" si="12"/>
        <v>86</v>
      </c>
      <c r="O93">
        <f t="shared" si="13"/>
        <v>1290</v>
      </c>
    </row>
    <row r="94" spans="5:15">
      <c r="E94">
        <v>30</v>
      </c>
      <c r="F94">
        <v>24</v>
      </c>
      <c r="G94">
        <v>20</v>
      </c>
      <c r="H94">
        <v>20</v>
      </c>
      <c r="I94">
        <v>7058</v>
      </c>
      <c r="K94">
        <f t="shared" si="14"/>
        <v>130</v>
      </c>
      <c r="L94">
        <f t="shared" si="10"/>
        <v>195</v>
      </c>
      <c r="M94">
        <f t="shared" si="11"/>
        <v>86</v>
      </c>
      <c r="N94">
        <f t="shared" si="12"/>
        <v>86</v>
      </c>
      <c r="O94">
        <f t="shared" si="13"/>
        <v>1290</v>
      </c>
    </row>
    <row r="95" spans="5:15">
      <c r="E95">
        <v>30</v>
      </c>
      <c r="F95">
        <v>24</v>
      </c>
      <c r="G95">
        <v>20</v>
      </c>
      <c r="H95">
        <v>20</v>
      </c>
      <c r="I95">
        <v>7134</v>
      </c>
      <c r="K95">
        <f t="shared" si="14"/>
        <v>130</v>
      </c>
      <c r="L95">
        <f t="shared" si="10"/>
        <v>195</v>
      </c>
      <c r="M95">
        <f t="shared" si="11"/>
        <v>86</v>
      </c>
      <c r="N95">
        <f t="shared" si="12"/>
        <v>86</v>
      </c>
      <c r="O95">
        <f t="shared" si="13"/>
        <v>1290</v>
      </c>
    </row>
    <row r="96" spans="5:15">
      <c r="E96">
        <v>31</v>
      </c>
      <c r="F96">
        <v>25</v>
      </c>
      <c r="G96">
        <v>21</v>
      </c>
      <c r="H96">
        <v>21</v>
      </c>
      <c r="I96">
        <v>7210</v>
      </c>
      <c r="K96">
        <f t="shared" si="14"/>
        <v>131</v>
      </c>
      <c r="L96">
        <f t="shared" si="10"/>
        <v>196</v>
      </c>
      <c r="M96">
        <f t="shared" si="11"/>
        <v>87</v>
      </c>
      <c r="N96">
        <f t="shared" si="12"/>
        <v>87</v>
      </c>
      <c r="O96">
        <f t="shared" si="13"/>
        <v>1305</v>
      </c>
    </row>
    <row r="97" spans="5:15">
      <c r="E97">
        <v>31</v>
      </c>
      <c r="F97">
        <v>25</v>
      </c>
      <c r="G97">
        <v>21</v>
      </c>
      <c r="H97">
        <v>21</v>
      </c>
      <c r="I97">
        <v>7286</v>
      </c>
      <c r="K97">
        <f t="shared" si="14"/>
        <v>131</v>
      </c>
      <c r="L97">
        <f t="shared" si="10"/>
        <v>196</v>
      </c>
      <c r="M97">
        <f t="shared" si="11"/>
        <v>87</v>
      </c>
      <c r="N97">
        <f t="shared" si="12"/>
        <v>87</v>
      </c>
      <c r="O97">
        <f t="shared" si="13"/>
        <v>1305</v>
      </c>
    </row>
    <row r="98" spans="5:15">
      <c r="E98">
        <v>31</v>
      </c>
      <c r="F98">
        <v>25</v>
      </c>
      <c r="G98">
        <v>21</v>
      </c>
      <c r="H98">
        <v>21</v>
      </c>
      <c r="I98">
        <v>7362</v>
      </c>
      <c r="K98">
        <f t="shared" si="14"/>
        <v>131</v>
      </c>
      <c r="L98">
        <f t="shared" ref="L98:L129" si="15">INT(K98*1.5)</f>
        <v>196</v>
      </c>
      <c r="M98">
        <f t="shared" ref="M98:M129" si="16">INT(K98/1.5)</f>
        <v>87</v>
      </c>
      <c r="N98">
        <f t="shared" ref="N98:N129" si="17">M98</f>
        <v>87</v>
      </c>
      <c r="O98">
        <f t="shared" ref="O98:O129" si="18">N98*15</f>
        <v>1305</v>
      </c>
    </row>
    <row r="99" spans="5:15">
      <c r="E99">
        <v>31</v>
      </c>
      <c r="F99">
        <v>25</v>
      </c>
      <c r="G99">
        <v>21</v>
      </c>
      <c r="H99">
        <v>21</v>
      </c>
      <c r="I99">
        <v>7438</v>
      </c>
      <c r="K99">
        <f t="shared" ref="K99:K130" si="19">$K$1+E99</f>
        <v>131</v>
      </c>
      <c r="L99">
        <f t="shared" si="15"/>
        <v>196</v>
      </c>
      <c r="M99">
        <f t="shared" si="16"/>
        <v>87</v>
      </c>
      <c r="N99">
        <f t="shared" si="17"/>
        <v>87</v>
      </c>
      <c r="O99">
        <f t="shared" si="18"/>
        <v>1305</v>
      </c>
    </row>
    <row r="100" spans="5:15">
      <c r="E100">
        <v>31</v>
      </c>
      <c r="F100">
        <v>25</v>
      </c>
      <c r="G100">
        <v>21</v>
      </c>
      <c r="H100">
        <v>21</v>
      </c>
      <c r="I100">
        <v>7514</v>
      </c>
      <c r="K100">
        <f t="shared" si="19"/>
        <v>131</v>
      </c>
      <c r="L100">
        <f t="shared" si="15"/>
        <v>196</v>
      </c>
      <c r="M100">
        <f t="shared" si="16"/>
        <v>87</v>
      </c>
      <c r="N100">
        <f t="shared" si="17"/>
        <v>87</v>
      </c>
      <c r="O100">
        <f t="shared" si="18"/>
        <v>1305</v>
      </c>
    </row>
    <row r="101" spans="5:15">
      <c r="E101">
        <v>33</v>
      </c>
      <c r="F101">
        <v>27</v>
      </c>
      <c r="G101">
        <v>22</v>
      </c>
      <c r="H101">
        <v>22</v>
      </c>
      <c r="I101">
        <v>7590</v>
      </c>
      <c r="K101">
        <f t="shared" si="19"/>
        <v>133</v>
      </c>
      <c r="L101">
        <f t="shared" si="15"/>
        <v>199</v>
      </c>
      <c r="M101">
        <f t="shared" si="16"/>
        <v>88</v>
      </c>
      <c r="N101">
        <f t="shared" si="17"/>
        <v>88</v>
      </c>
      <c r="O101">
        <f t="shared" si="18"/>
        <v>1320</v>
      </c>
    </row>
    <row r="102" spans="5:15">
      <c r="E102">
        <v>33</v>
      </c>
      <c r="F102">
        <v>27</v>
      </c>
      <c r="G102">
        <v>22</v>
      </c>
      <c r="H102">
        <v>22</v>
      </c>
      <c r="I102">
        <v>7666</v>
      </c>
      <c r="K102">
        <f t="shared" si="19"/>
        <v>133</v>
      </c>
      <c r="L102">
        <f t="shared" si="15"/>
        <v>199</v>
      </c>
      <c r="M102">
        <f t="shared" si="16"/>
        <v>88</v>
      </c>
      <c r="N102">
        <f t="shared" si="17"/>
        <v>88</v>
      </c>
      <c r="O102">
        <f t="shared" si="18"/>
        <v>1320</v>
      </c>
    </row>
    <row r="103" spans="5:15">
      <c r="E103">
        <v>33</v>
      </c>
      <c r="F103">
        <v>27</v>
      </c>
      <c r="G103">
        <v>22</v>
      </c>
      <c r="H103">
        <v>22</v>
      </c>
      <c r="I103">
        <v>7742</v>
      </c>
      <c r="K103">
        <f t="shared" si="19"/>
        <v>133</v>
      </c>
      <c r="L103">
        <f t="shared" si="15"/>
        <v>199</v>
      </c>
      <c r="M103">
        <f t="shared" si="16"/>
        <v>88</v>
      </c>
      <c r="N103">
        <f t="shared" si="17"/>
        <v>88</v>
      </c>
      <c r="O103">
        <f t="shared" si="18"/>
        <v>1320</v>
      </c>
    </row>
    <row r="104" spans="5:15">
      <c r="E104">
        <v>33</v>
      </c>
      <c r="F104">
        <v>27</v>
      </c>
      <c r="G104">
        <v>22</v>
      </c>
      <c r="H104">
        <v>22</v>
      </c>
      <c r="I104">
        <v>7817</v>
      </c>
      <c r="K104">
        <f t="shared" si="19"/>
        <v>133</v>
      </c>
      <c r="L104">
        <f t="shared" si="15"/>
        <v>199</v>
      </c>
      <c r="M104">
        <f t="shared" si="16"/>
        <v>88</v>
      </c>
      <c r="N104">
        <f t="shared" si="17"/>
        <v>88</v>
      </c>
      <c r="O104">
        <f t="shared" si="18"/>
        <v>1320</v>
      </c>
    </row>
    <row r="105" spans="5:15">
      <c r="E105">
        <v>33</v>
      </c>
      <c r="F105">
        <v>27</v>
      </c>
      <c r="G105">
        <v>22</v>
      </c>
      <c r="H105">
        <v>22</v>
      </c>
      <c r="I105">
        <v>7893</v>
      </c>
      <c r="K105">
        <f t="shared" si="19"/>
        <v>133</v>
      </c>
      <c r="L105">
        <f t="shared" si="15"/>
        <v>199</v>
      </c>
      <c r="M105">
        <f t="shared" si="16"/>
        <v>88</v>
      </c>
      <c r="N105">
        <f t="shared" si="17"/>
        <v>88</v>
      </c>
      <c r="O105">
        <f t="shared" si="18"/>
        <v>1320</v>
      </c>
    </row>
    <row r="106" spans="5:15">
      <c r="E106">
        <v>33</v>
      </c>
      <c r="F106">
        <v>27</v>
      </c>
      <c r="G106">
        <v>22</v>
      </c>
      <c r="H106">
        <v>22</v>
      </c>
      <c r="I106">
        <v>7969</v>
      </c>
      <c r="K106">
        <f t="shared" si="19"/>
        <v>133</v>
      </c>
      <c r="L106">
        <f t="shared" si="15"/>
        <v>199</v>
      </c>
      <c r="M106">
        <f t="shared" si="16"/>
        <v>88</v>
      </c>
      <c r="N106">
        <f t="shared" si="17"/>
        <v>88</v>
      </c>
      <c r="O106">
        <f t="shared" si="18"/>
        <v>1320</v>
      </c>
    </row>
    <row r="107" spans="5:15">
      <c r="E107">
        <v>33</v>
      </c>
      <c r="F107">
        <v>27</v>
      </c>
      <c r="G107">
        <v>22</v>
      </c>
      <c r="H107">
        <v>22</v>
      </c>
      <c r="I107">
        <v>8045</v>
      </c>
      <c r="K107">
        <f t="shared" si="19"/>
        <v>133</v>
      </c>
      <c r="L107">
        <f t="shared" si="15"/>
        <v>199</v>
      </c>
      <c r="M107">
        <f t="shared" si="16"/>
        <v>88</v>
      </c>
      <c r="N107">
        <f t="shared" si="17"/>
        <v>88</v>
      </c>
      <c r="O107">
        <f t="shared" si="18"/>
        <v>1320</v>
      </c>
    </row>
    <row r="108" spans="5:15">
      <c r="E108">
        <v>33</v>
      </c>
      <c r="F108">
        <v>27</v>
      </c>
      <c r="G108">
        <v>22</v>
      </c>
      <c r="H108">
        <v>22</v>
      </c>
      <c r="I108">
        <v>8121</v>
      </c>
      <c r="K108">
        <f t="shared" si="19"/>
        <v>133</v>
      </c>
      <c r="L108">
        <f t="shared" si="15"/>
        <v>199</v>
      </c>
      <c r="M108">
        <f t="shared" si="16"/>
        <v>88</v>
      </c>
      <c r="N108">
        <f t="shared" si="17"/>
        <v>88</v>
      </c>
      <c r="O108">
        <f t="shared" si="18"/>
        <v>1320</v>
      </c>
    </row>
    <row r="109" spans="5:15">
      <c r="E109">
        <v>33</v>
      </c>
      <c r="F109">
        <v>27</v>
      </c>
      <c r="G109">
        <v>22</v>
      </c>
      <c r="H109">
        <v>22</v>
      </c>
      <c r="I109">
        <v>8197</v>
      </c>
      <c r="K109">
        <f t="shared" si="19"/>
        <v>133</v>
      </c>
      <c r="L109">
        <f t="shared" si="15"/>
        <v>199</v>
      </c>
      <c r="M109">
        <f t="shared" si="16"/>
        <v>88</v>
      </c>
      <c r="N109">
        <f t="shared" si="17"/>
        <v>88</v>
      </c>
      <c r="O109">
        <f t="shared" si="18"/>
        <v>1320</v>
      </c>
    </row>
    <row r="110" spans="5:15">
      <c r="E110">
        <v>33</v>
      </c>
      <c r="F110">
        <v>27</v>
      </c>
      <c r="G110">
        <v>22</v>
      </c>
      <c r="H110">
        <v>22</v>
      </c>
      <c r="I110">
        <v>8273</v>
      </c>
      <c r="K110">
        <f t="shared" si="19"/>
        <v>133</v>
      </c>
      <c r="L110">
        <f t="shared" si="15"/>
        <v>199</v>
      </c>
      <c r="M110">
        <f t="shared" si="16"/>
        <v>88</v>
      </c>
      <c r="N110">
        <f t="shared" si="17"/>
        <v>88</v>
      </c>
      <c r="O110">
        <f t="shared" si="18"/>
        <v>1320</v>
      </c>
    </row>
    <row r="111" spans="5:15">
      <c r="E111">
        <v>35</v>
      </c>
      <c r="F111">
        <v>28</v>
      </c>
      <c r="G111">
        <v>23</v>
      </c>
      <c r="H111">
        <v>23</v>
      </c>
      <c r="I111">
        <v>8349</v>
      </c>
      <c r="K111">
        <f t="shared" si="19"/>
        <v>135</v>
      </c>
      <c r="L111">
        <f t="shared" si="15"/>
        <v>202</v>
      </c>
      <c r="M111">
        <f t="shared" si="16"/>
        <v>90</v>
      </c>
      <c r="N111">
        <f t="shared" si="17"/>
        <v>90</v>
      </c>
      <c r="O111">
        <f t="shared" si="18"/>
        <v>1350</v>
      </c>
    </row>
    <row r="112" spans="5:15">
      <c r="E112">
        <v>35</v>
      </c>
      <c r="F112">
        <v>28</v>
      </c>
      <c r="G112">
        <v>23</v>
      </c>
      <c r="H112">
        <v>23</v>
      </c>
      <c r="I112">
        <v>8425</v>
      </c>
      <c r="K112">
        <f t="shared" si="19"/>
        <v>135</v>
      </c>
      <c r="L112">
        <f t="shared" si="15"/>
        <v>202</v>
      </c>
      <c r="M112">
        <f t="shared" si="16"/>
        <v>90</v>
      </c>
      <c r="N112">
        <f t="shared" si="17"/>
        <v>90</v>
      </c>
      <c r="O112">
        <f t="shared" si="18"/>
        <v>1350</v>
      </c>
    </row>
    <row r="113" spans="5:15">
      <c r="E113">
        <v>35</v>
      </c>
      <c r="F113">
        <v>28</v>
      </c>
      <c r="G113">
        <v>23</v>
      </c>
      <c r="H113">
        <v>23</v>
      </c>
      <c r="I113">
        <v>8501</v>
      </c>
      <c r="K113">
        <f t="shared" si="19"/>
        <v>135</v>
      </c>
      <c r="L113">
        <f t="shared" si="15"/>
        <v>202</v>
      </c>
      <c r="M113">
        <f t="shared" si="16"/>
        <v>90</v>
      </c>
      <c r="N113">
        <f t="shared" si="17"/>
        <v>90</v>
      </c>
      <c r="O113">
        <f t="shared" si="18"/>
        <v>1350</v>
      </c>
    </row>
    <row r="114" spans="5:15">
      <c r="E114">
        <v>35</v>
      </c>
      <c r="F114">
        <v>28</v>
      </c>
      <c r="G114">
        <v>23</v>
      </c>
      <c r="H114">
        <v>23</v>
      </c>
      <c r="I114">
        <v>8576</v>
      </c>
      <c r="K114">
        <f t="shared" si="19"/>
        <v>135</v>
      </c>
      <c r="L114">
        <f t="shared" si="15"/>
        <v>202</v>
      </c>
      <c r="M114">
        <f t="shared" si="16"/>
        <v>90</v>
      </c>
      <c r="N114">
        <f t="shared" si="17"/>
        <v>90</v>
      </c>
      <c r="O114">
        <f t="shared" si="18"/>
        <v>1350</v>
      </c>
    </row>
    <row r="115" spans="5:15">
      <c r="E115">
        <v>35</v>
      </c>
      <c r="F115">
        <v>28</v>
      </c>
      <c r="G115">
        <v>23</v>
      </c>
      <c r="H115">
        <v>23</v>
      </c>
      <c r="I115">
        <v>8652</v>
      </c>
      <c r="K115">
        <f t="shared" si="19"/>
        <v>135</v>
      </c>
      <c r="L115">
        <f t="shared" si="15"/>
        <v>202</v>
      </c>
      <c r="M115">
        <f t="shared" si="16"/>
        <v>90</v>
      </c>
      <c r="N115">
        <f t="shared" si="17"/>
        <v>90</v>
      </c>
      <c r="O115">
        <f t="shared" si="18"/>
        <v>1350</v>
      </c>
    </row>
    <row r="116" spans="5:15">
      <c r="E116">
        <v>35</v>
      </c>
      <c r="F116">
        <v>28</v>
      </c>
      <c r="G116">
        <v>24</v>
      </c>
      <c r="H116">
        <v>24</v>
      </c>
      <c r="I116">
        <v>8728</v>
      </c>
      <c r="K116">
        <f t="shared" si="19"/>
        <v>135</v>
      </c>
      <c r="L116">
        <f t="shared" si="15"/>
        <v>202</v>
      </c>
      <c r="M116">
        <f t="shared" si="16"/>
        <v>90</v>
      </c>
      <c r="N116">
        <f t="shared" si="17"/>
        <v>90</v>
      </c>
      <c r="O116">
        <f t="shared" si="18"/>
        <v>1350</v>
      </c>
    </row>
    <row r="117" spans="5:15">
      <c r="E117">
        <v>35</v>
      </c>
      <c r="F117">
        <v>28</v>
      </c>
      <c r="G117">
        <v>24</v>
      </c>
      <c r="H117">
        <v>24</v>
      </c>
      <c r="I117">
        <v>8804</v>
      </c>
      <c r="K117">
        <f t="shared" si="19"/>
        <v>135</v>
      </c>
      <c r="L117">
        <f t="shared" si="15"/>
        <v>202</v>
      </c>
      <c r="M117">
        <f t="shared" si="16"/>
        <v>90</v>
      </c>
      <c r="N117">
        <f t="shared" si="17"/>
        <v>90</v>
      </c>
      <c r="O117">
        <f t="shared" si="18"/>
        <v>1350</v>
      </c>
    </row>
    <row r="118" spans="5:15">
      <c r="E118">
        <v>35</v>
      </c>
      <c r="F118">
        <v>28</v>
      </c>
      <c r="G118">
        <v>24</v>
      </c>
      <c r="H118">
        <v>24</v>
      </c>
      <c r="I118">
        <v>8880</v>
      </c>
      <c r="K118">
        <f t="shared" si="19"/>
        <v>135</v>
      </c>
      <c r="L118">
        <f t="shared" si="15"/>
        <v>202</v>
      </c>
      <c r="M118">
        <f t="shared" si="16"/>
        <v>90</v>
      </c>
      <c r="N118">
        <f t="shared" si="17"/>
        <v>90</v>
      </c>
      <c r="O118">
        <f t="shared" si="18"/>
        <v>1350</v>
      </c>
    </row>
    <row r="119" spans="5:15">
      <c r="E119">
        <v>35</v>
      </c>
      <c r="F119">
        <v>28</v>
      </c>
      <c r="G119">
        <v>24</v>
      </c>
      <c r="H119">
        <v>24</v>
      </c>
      <c r="I119">
        <v>8956</v>
      </c>
      <c r="K119">
        <f t="shared" si="19"/>
        <v>135</v>
      </c>
      <c r="L119">
        <f t="shared" si="15"/>
        <v>202</v>
      </c>
      <c r="M119">
        <f t="shared" si="16"/>
        <v>90</v>
      </c>
      <c r="N119">
        <f t="shared" si="17"/>
        <v>90</v>
      </c>
      <c r="O119">
        <f t="shared" si="18"/>
        <v>1350</v>
      </c>
    </row>
    <row r="120" spans="5:15">
      <c r="E120">
        <v>35</v>
      </c>
      <c r="F120">
        <v>28</v>
      </c>
      <c r="G120">
        <v>24</v>
      </c>
      <c r="H120">
        <v>24</v>
      </c>
      <c r="I120">
        <v>9032</v>
      </c>
      <c r="K120">
        <f t="shared" si="19"/>
        <v>135</v>
      </c>
      <c r="L120">
        <f t="shared" si="15"/>
        <v>202</v>
      </c>
      <c r="M120">
        <f t="shared" si="16"/>
        <v>90</v>
      </c>
      <c r="N120">
        <f t="shared" si="17"/>
        <v>90</v>
      </c>
      <c r="O120">
        <f t="shared" si="18"/>
        <v>1350</v>
      </c>
    </row>
    <row r="121" spans="5:15">
      <c r="E121">
        <v>37</v>
      </c>
      <c r="F121">
        <v>30</v>
      </c>
      <c r="G121">
        <v>24</v>
      </c>
      <c r="H121">
        <v>24</v>
      </c>
      <c r="I121">
        <v>9108</v>
      </c>
      <c r="K121">
        <f t="shared" si="19"/>
        <v>137</v>
      </c>
      <c r="L121">
        <f t="shared" si="15"/>
        <v>205</v>
      </c>
      <c r="M121">
        <f t="shared" si="16"/>
        <v>91</v>
      </c>
      <c r="N121">
        <f t="shared" si="17"/>
        <v>91</v>
      </c>
      <c r="O121">
        <f t="shared" si="18"/>
        <v>1365</v>
      </c>
    </row>
    <row r="122" spans="5:15">
      <c r="E122">
        <v>37</v>
      </c>
      <c r="F122">
        <v>30</v>
      </c>
      <c r="G122">
        <v>24</v>
      </c>
      <c r="H122">
        <v>24</v>
      </c>
      <c r="I122">
        <v>9184</v>
      </c>
      <c r="K122">
        <f t="shared" si="19"/>
        <v>137</v>
      </c>
      <c r="L122">
        <f t="shared" si="15"/>
        <v>205</v>
      </c>
      <c r="M122">
        <f t="shared" si="16"/>
        <v>91</v>
      </c>
      <c r="N122">
        <f t="shared" si="17"/>
        <v>91</v>
      </c>
      <c r="O122">
        <f t="shared" si="18"/>
        <v>1365</v>
      </c>
    </row>
    <row r="123" spans="5:15">
      <c r="E123">
        <v>37</v>
      </c>
      <c r="F123">
        <v>30</v>
      </c>
      <c r="G123">
        <v>24</v>
      </c>
      <c r="H123">
        <v>24</v>
      </c>
      <c r="I123">
        <v>9259</v>
      </c>
      <c r="K123">
        <f t="shared" si="19"/>
        <v>137</v>
      </c>
      <c r="L123">
        <f t="shared" si="15"/>
        <v>205</v>
      </c>
      <c r="M123">
        <f t="shared" si="16"/>
        <v>91</v>
      </c>
      <c r="N123">
        <f t="shared" si="17"/>
        <v>91</v>
      </c>
      <c r="O123">
        <f t="shared" si="18"/>
        <v>1365</v>
      </c>
    </row>
    <row r="124" spans="5:15">
      <c r="E124">
        <v>37</v>
      </c>
      <c r="F124">
        <v>30</v>
      </c>
      <c r="G124">
        <v>24</v>
      </c>
      <c r="H124">
        <v>24</v>
      </c>
      <c r="I124">
        <v>9335</v>
      </c>
      <c r="K124">
        <f t="shared" si="19"/>
        <v>137</v>
      </c>
      <c r="L124">
        <f t="shared" si="15"/>
        <v>205</v>
      </c>
      <c r="M124">
        <f t="shared" si="16"/>
        <v>91</v>
      </c>
      <c r="N124">
        <f t="shared" si="17"/>
        <v>91</v>
      </c>
      <c r="O124">
        <f t="shared" si="18"/>
        <v>1365</v>
      </c>
    </row>
    <row r="125" spans="5:15">
      <c r="E125">
        <v>37</v>
      </c>
      <c r="F125">
        <v>30</v>
      </c>
      <c r="G125">
        <v>24</v>
      </c>
      <c r="H125">
        <v>24</v>
      </c>
      <c r="I125">
        <v>9411</v>
      </c>
      <c r="K125">
        <f t="shared" si="19"/>
        <v>137</v>
      </c>
      <c r="L125">
        <f t="shared" si="15"/>
        <v>205</v>
      </c>
      <c r="M125">
        <f t="shared" si="16"/>
        <v>91</v>
      </c>
      <c r="N125">
        <f t="shared" si="17"/>
        <v>91</v>
      </c>
      <c r="O125">
        <f t="shared" si="18"/>
        <v>1365</v>
      </c>
    </row>
    <row r="126" spans="5:15">
      <c r="E126">
        <v>38</v>
      </c>
      <c r="F126">
        <v>31</v>
      </c>
      <c r="G126">
        <v>25</v>
      </c>
      <c r="H126">
        <v>25</v>
      </c>
      <c r="I126">
        <v>9487</v>
      </c>
      <c r="K126">
        <f t="shared" si="19"/>
        <v>138</v>
      </c>
      <c r="L126">
        <f t="shared" si="15"/>
        <v>207</v>
      </c>
      <c r="M126">
        <f t="shared" si="16"/>
        <v>92</v>
      </c>
      <c r="N126">
        <f t="shared" si="17"/>
        <v>92</v>
      </c>
      <c r="O126">
        <f t="shared" si="18"/>
        <v>1380</v>
      </c>
    </row>
    <row r="127" spans="5:15">
      <c r="E127">
        <v>38</v>
      </c>
      <c r="F127">
        <v>31</v>
      </c>
      <c r="G127">
        <v>25</v>
      </c>
      <c r="H127">
        <v>25</v>
      </c>
      <c r="I127">
        <v>9563</v>
      </c>
      <c r="K127">
        <f t="shared" si="19"/>
        <v>138</v>
      </c>
      <c r="L127">
        <f t="shared" si="15"/>
        <v>207</v>
      </c>
      <c r="M127">
        <f t="shared" si="16"/>
        <v>92</v>
      </c>
      <c r="N127">
        <f t="shared" si="17"/>
        <v>92</v>
      </c>
      <c r="O127">
        <f t="shared" si="18"/>
        <v>1380</v>
      </c>
    </row>
    <row r="128" spans="5:15">
      <c r="E128">
        <v>38</v>
      </c>
      <c r="F128">
        <v>31</v>
      </c>
      <c r="G128">
        <v>25</v>
      </c>
      <c r="H128">
        <v>25</v>
      </c>
      <c r="I128">
        <v>9639</v>
      </c>
      <c r="K128">
        <f t="shared" si="19"/>
        <v>138</v>
      </c>
      <c r="L128">
        <f t="shared" si="15"/>
        <v>207</v>
      </c>
      <c r="M128">
        <f t="shared" si="16"/>
        <v>92</v>
      </c>
      <c r="N128">
        <f t="shared" si="17"/>
        <v>92</v>
      </c>
      <c r="O128">
        <f t="shared" si="18"/>
        <v>1380</v>
      </c>
    </row>
    <row r="129" spans="5:15">
      <c r="E129">
        <v>38</v>
      </c>
      <c r="F129">
        <v>31</v>
      </c>
      <c r="G129">
        <v>25</v>
      </c>
      <c r="H129">
        <v>25</v>
      </c>
      <c r="I129">
        <v>9715</v>
      </c>
      <c r="K129">
        <f t="shared" si="19"/>
        <v>138</v>
      </c>
      <c r="L129">
        <f t="shared" si="15"/>
        <v>207</v>
      </c>
      <c r="M129">
        <f t="shared" si="16"/>
        <v>92</v>
      </c>
      <c r="N129">
        <f t="shared" si="17"/>
        <v>92</v>
      </c>
      <c r="O129">
        <f t="shared" si="18"/>
        <v>1380</v>
      </c>
    </row>
    <row r="130" spans="5:15">
      <c r="E130">
        <v>38</v>
      </c>
      <c r="F130">
        <v>31</v>
      </c>
      <c r="G130">
        <v>25</v>
      </c>
      <c r="H130">
        <v>25</v>
      </c>
      <c r="I130">
        <v>9791</v>
      </c>
      <c r="K130">
        <f t="shared" si="19"/>
        <v>138</v>
      </c>
      <c r="L130">
        <f t="shared" ref="L130:L151" si="20">INT(K130*1.5)</f>
        <v>207</v>
      </c>
      <c r="M130">
        <f t="shared" ref="M130:M151" si="21">INT(K130/1.5)</f>
        <v>92</v>
      </c>
      <c r="N130">
        <f t="shared" ref="N130:N151" si="22">M130</f>
        <v>92</v>
      </c>
      <c r="O130">
        <f t="shared" ref="O130:O151" si="23">N130*15</f>
        <v>1380</v>
      </c>
    </row>
    <row r="131" spans="5:15">
      <c r="E131">
        <v>39</v>
      </c>
      <c r="F131">
        <v>31</v>
      </c>
      <c r="G131">
        <v>26</v>
      </c>
      <c r="H131">
        <v>26</v>
      </c>
      <c r="I131">
        <v>9867</v>
      </c>
      <c r="K131">
        <f t="shared" ref="K131:K151" si="24">$K$1+E131</f>
        <v>139</v>
      </c>
      <c r="L131">
        <f t="shared" si="20"/>
        <v>208</v>
      </c>
      <c r="M131">
        <f t="shared" si="21"/>
        <v>92</v>
      </c>
      <c r="N131">
        <f t="shared" si="22"/>
        <v>92</v>
      </c>
      <c r="O131">
        <f t="shared" si="23"/>
        <v>1380</v>
      </c>
    </row>
    <row r="132" spans="5:15">
      <c r="E132">
        <v>39</v>
      </c>
      <c r="F132">
        <v>31</v>
      </c>
      <c r="G132">
        <v>26</v>
      </c>
      <c r="H132">
        <v>26</v>
      </c>
      <c r="I132">
        <v>9943</v>
      </c>
      <c r="K132">
        <f t="shared" si="24"/>
        <v>139</v>
      </c>
      <c r="L132">
        <f t="shared" si="20"/>
        <v>208</v>
      </c>
      <c r="M132">
        <f t="shared" si="21"/>
        <v>92</v>
      </c>
      <c r="N132">
        <f t="shared" si="22"/>
        <v>92</v>
      </c>
      <c r="O132">
        <f t="shared" si="23"/>
        <v>1380</v>
      </c>
    </row>
    <row r="133" spans="5:15">
      <c r="E133">
        <v>39</v>
      </c>
      <c r="F133">
        <v>31</v>
      </c>
      <c r="G133">
        <v>26</v>
      </c>
      <c r="H133">
        <v>26</v>
      </c>
      <c r="I133">
        <v>10018</v>
      </c>
      <c r="K133">
        <f t="shared" si="24"/>
        <v>139</v>
      </c>
      <c r="L133">
        <f t="shared" si="20"/>
        <v>208</v>
      </c>
      <c r="M133">
        <f t="shared" si="21"/>
        <v>92</v>
      </c>
      <c r="N133">
        <f t="shared" si="22"/>
        <v>92</v>
      </c>
      <c r="O133">
        <f t="shared" si="23"/>
        <v>1380</v>
      </c>
    </row>
    <row r="134" spans="5:15">
      <c r="E134">
        <v>39</v>
      </c>
      <c r="F134">
        <v>31</v>
      </c>
      <c r="G134">
        <v>26</v>
      </c>
      <c r="H134">
        <v>26</v>
      </c>
      <c r="I134">
        <v>10094</v>
      </c>
      <c r="K134">
        <f t="shared" si="24"/>
        <v>139</v>
      </c>
      <c r="L134">
        <f t="shared" si="20"/>
        <v>208</v>
      </c>
      <c r="M134">
        <f t="shared" si="21"/>
        <v>92</v>
      </c>
      <c r="N134">
        <f t="shared" si="22"/>
        <v>92</v>
      </c>
      <c r="O134">
        <f t="shared" si="23"/>
        <v>1380</v>
      </c>
    </row>
    <row r="135" spans="5:15">
      <c r="E135">
        <v>39</v>
      </c>
      <c r="F135">
        <v>31</v>
      </c>
      <c r="G135">
        <v>26</v>
      </c>
      <c r="H135">
        <v>26</v>
      </c>
      <c r="I135">
        <v>10170</v>
      </c>
      <c r="K135">
        <f t="shared" si="24"/>
        <v>139</v>
      </c>
      <c r="L135">
        <f t="shared" si="20"/>
        <v>208</v>
      </c>
      <c r="M135">
        <f t="shared" si="21"/>
        <v>92</v>
      </c>
      <c r="N135">
        <f t="shared" si="22"/>
        <v>92</v>
      </c>
      <c r="O135">
        <f t="shared" si="23"/>
        <v>1380</v>
      </c>
    </row>
    <row r="136" spans="5:15">
      <c r="E136">
        <v>40</v>
      </c>
      <c r="F136">
        <v>32</v>
      </c>
      <c r="G136">
        <v>26</v>
      </c>
      <c r="H136">
        <v>26</v>
      </c>
      <c r="I136">
        <v>10246</v>
      </c>
      <c r="K136">
        <f t="shared" si="24"/>
        <v>140</v>
      </c>
      <c r="L136">
        <f t="shared" si="20"/>
        <v>210</v>
      </c>
      <c r="M136">
        <f t="shared" si="21"/>
        <v>93</v>
      </c>
      <c r="N136">
        <f t="shared" si="22"/>
        <v>93</v>
      </c>
      <c r="O136">
        <f t="shared" si="23"/>
        <v>1395</v>
      </c>
    </row>
    <row r="137" spans="5:15">
      <c r="E137">
        <v>40</v>
      </c>
      <c r="F137">
        <v>32</v>
      </c>
      <c r="G137">
        <v>26</v>
      </c>
      <c r="H137">
        <v>26</v>
      </c>
      <c r="I137">
        <v>10322</v>
      </c>
      <c r="K137">
        <f t="shared" si="24"/>
        <v>140</v>
      </c>
      <c r="L137">
        <f t="shared" si="20"/>
        <v>210</v>
      </c>
      <c r="M137">
        <f t="shared" si="21"/>
        <v>93</v>
      </c>
      <c r="N137">
        <f t="shared" si="22"/>
        <v>93</v>
      </c>
      <c r="O137">
        <f t="shared" si="23"/>
        <v>1395</v>
      </c>
    </row>
    <row r="138" spans="5:15">
      <c r="E138">
        <v>40</v>
      </c>
      <c r="F138">
        <v>32</v>
      </c>
      <c r="G138">
        <v>26</v>
      </c>
      <c r="H138">
        <v>26</v>
      </c>
      <c r="I138">
        <v>10398</v>
      </c>
      <c r="K138">
        <f t="shared" si="24"/>
        <v>140</v>
      </c>
      <c r="L138">
        <f t="shared" si="20"/>
        <v>210</v>
      </c>
      <c r="M138">
        <f t="shared" si="21"/>
        <v>93</v>
      </c>
      <c r="N138">
        <f t="shared" si="22"/>
        <v>93</v>
      </c>
      <c r="O138">
        <f t="shared" si="23"/>
        <v>1395</v>
      </c>
    </row>
    <row r="139" spans="5:15">
      <c r="E139">
        <v>40</v>
      </c>
      <c r="F139">
        <v>32</v>
      </c>
      <c r="G139">
        <v>26</v>
      </c>
      <c r="H139">
        <v>26</v>
      </c>
      <c r="I139">
        <v>10474</v>
      </c>
      <c r="K139">
        <f t="shared" si="24"/>
        <v>140</v>
      </c>
      <c r="L139">
        <f t="shared" si="20"/>
        <v>210</v>
      </c>
      <c r="M139">
        <f t="shared" si="21"/>
        <v>93</v>
      </c>
      <c r="N139">
        <f t="shared" si="22"/>
        <v>93</v>
      </c>
      <c r="O139">
        <f t="shared" si="23"/>
        <v>1395</v>
      </c>
    </row>
    <row r="140" spans="5:15">
      <c r="E140">
        <v>40</v>
      </c>
      <c r="F140">
        <v>32</v>
      </c>
      <c r="G140">
        <v>26</v>
      </c>
      <c r="H140">
        <v>26</v>
      </c>
      <c r="I140">
        <v>10550</v>
      </c>
      <c r="K140">
        <f t="shared" si="24"/>
        <v>140</v>
      </c>
      <c r="L140">
        <f t="shared" si="20"/>
        <v>210</v>
      </c>
      <c r="M140">
        <f t="shared" si="21"/>
        <v>93</v>
      </c>
      <c r="N140">
        <f t="shared" si="22"/>
        <v>93</v>
      </c>
      <c r="O140">
        <f t="shared" si="23"/>
        <v>1395</v>
      </c>
    </row>
    <row r="141" spans="5:15">
      <c r="E141">
        <v>41</v>
      </c>
      <c r="F141">
        <v>33</v>
      </c>
      <c r="G141">
        <v>27</v>
      </c>
      <c r="H141">
        <v>27</v>
      </c>
      <c r="I141">
        <v>10626</v>
      </c>
      <c r="K141">
        <f t="shared" si="24"/>
        <v>141</v>
      </c>
      <c r="L141">
        <f t="shared" si="20"/>
        <v>211</v>
      </c>
      <c r="M141">
        <f t="shared" si="21"/>
        <v>94</v>
      </c>
      <c r="N141">
        <f t="shared" si="22"/>
        <v>94</v>
      </c>
      <c r="O141">
        <f t="shared" si="23"/>
        <v>1410</v>
      </c>
    </row>
    <row r="142" spans="5:15">
      <c r="E142">
        <v>41</v>
      </c>
      <c r="F142">
        <v>33</v>
      </c>
      <c r="G142">
        <v>27</v>
      </c>
      <c r="H142">
        <v>27</v>
      </c>
      <c r="I142">
        <v>10702</v>
      </c>
      <c r="K142">
        <f t="shared" si="24"/>
        <v>141</v>
      </c>
      <c r="L142">
        <f t="shared" si="20"/>
        <v>211</v>
      </c>
      <c r="M142">
        <f t="shared" si="21"/>
        <v>94</v>
      </c>
      <c r="N142">
        <f t="shared" si="22"/>
        <v>94</v>
      </c>
      <c r="O142">
        <f t="shared" si="23"/>
        <v>1410</v>
      </c>
    </row>
    <row r="143" spans="5:15">
      <c r="E143">
        <v>41</v>
      </c>
      <c r="F143">
        <v>33</v>
      </c>
      <c r="G143">
        <v>27</v>
      </c>
      <c r="H143">
        <v>27</v>
      </c>
      <c r="I143">
        <v>10777</v>
      </c>
      <c r="K143">
        <f t="shared" si="24"/>
        <v>141</v>
      </c>
      <c r="L143">
        <f t="shared" si="20"/>
        <v>211</v>
      </c>
      <c r="M143">
        <f t="shared" si="21"/>
        <v>94</v>
      </c>
      <c r="N143">
        <f t="shared" si="22"/>
        <v>94</v>
      </c>
      <c r="O143">
        <f t="shared" si="23"/>
        <v>1410</v>
      </c>
    </row>
    <row r="144" spans="5:15">
      <c r="E144">
        <v>41</v>
      </c>
      <c r="F144">
        <v>33</v>
      </c>
      <c r="G144">
        <v>27</v>
      </c>
      <c r="H144">
        <v>27</v>
      </c>
      <c r="I144">
        <v>10853</v>
      </c>
      <c r="K144">
        <f t="shared" si="24"/>
        <v>141</v>
      </c>
      <c r="L144">
        <f t="shared" si="20"/>
        <v>211</v>
      </c>
      <c r="M144">
        <f t="shared" si="21"/>
        <v>94</v>
      </c>
      <c r="N144">
        <f t="shared" si="22"/>
        <v>94</v>
      </c>
      <c r="O144">
        <f t="shared" si="23"/>
        <v>1410</v>
      </c>
    </row>
    <row r="145" spans="5:15">
      <c r="E145">
        <v>41</v>
      </c>
      <c r="F145">
        <v>33</v>
      </c>
      <c r="G145">
        <v>27</v>
      </c>
      <c r="H145">
        <v>27</v>
      </c>
      <c r="I145">
        <v>10929</v>
      </c>
      <c r="K145">
        <f t="shared" si="24"/>
        <v>141</v>
      </c>
      <c r="L145">
        <f t="shared" si="20"/>
        <v>211</v>
      </c>
      <c r="M145">
        <f t="shared" si="21"/>
        <v>94</v>
      </c>
      <c r="N145">
        <f t="shared" si="22"/>
        <v>94</v>
      </c>
      <c r="O145">
        <f t="shared" si="23"/>
        <v>1410</v>
      </c>
    </row>
    <row r="146" spans="5:15">
      <c r="E146">
        <v>42</v>
      </c>
      <c r="F146">
        <v>34</v>
      </c>
      <c r="G146">
        <v>28</v>
      </c>
      <c r="H146">
        <v>28</v>
      </c>
      <c r="I146">
        <v>11005</v>
      </c>
      <c r="K146">
        <f t="shared" si="24"/>
        <v>142</v>
      </c>
      <c r="L146">
        <f t="shared" si="20"/>
        <v>213</v>
      </c>
      <c r="M146">
        <f t="shared" si="21"/>
        <v>94</v>
      </c>
      <c r="N146">
        <f t="shared" si="22"/>
        <v>94</v>
      </c>
      <c r="O146">
        <f t="shared" si="23"/>
        <v>1410</v>
      </c>
    </row>
    <row r="147" spans="5:15">
      <c r="E147">
        <v>42</v>
      </c>
      <c r="F147">
        <v>34</v>
      </c>
      <c r="G147">
        <v>28</v>
      </c>
      <c r="H147">
        <v>28</v>
      </c>
      <c r="I147">
        <v>11081</v>
      </c>
      <c r="K147">
        <f t="shared" si="24"/>
        <v>142</v>
      </c>
      <c r="L147">
        <f t="shared" si="20"/>
        <v>213</v>
      </c>
      <c r="M147">
        <f t="shared" si="21"/>
        <v>94</v>
      </c>
      <c r="N147">
        <f t="shared" si="22"/>
        <v>94</v>
      </c>
      <c r="O147">
        <f t="shared" si="23"/>
        <v>1410</v>
      </c>
    </row>
    <row r="148" spans="5:15">
      <c r="E148">
        <v>42</v>
      </c>
      <c r="F148">
        <v>34</v>
      </c>
      <c r="G148">
        <v>28</v>
      </c>
      <c r="H148">
        <v>28</v>
      </c>
      <c r="I148">
        <v>11157</v>
      </c>
      <c r="K148">
        <f t="shared" si="24"/>
        <v>142</v>
      </c>
      <c r="L148">
        <f t="shared" si="20"/>
        <v>213</v>
      </c>
      <c r="M148">
        <f t="shared" si="21"/>
        <v>94</v>
      </c>
      <c r="N148">
        <f t="shared" si="22"/>
        <v>94</v>
      </c>
      <c r="O148">
        <f t="shared" si="23"/>
        <v>1410</v>
      </c>
    </row>
    <row r="149" spans="5:15">
      <c r="E149">
        <v>42</v>
      </c>
      <c r="F149">
        <v>34</v>
      </c>
      <c r="G149">
        <v>28</v>
      </c>
      <c r="H149">
        <v>28</v>
      </c>
      <c r="I149">
        <v>11233</v>
      </c>
      <c r="K149">
        <f t="shared" si="24"/>
        <v>142</v>
      </c>
      <c r="L149">
        <f t="shared" si="20"/>
        <v>213</v>
      </c>
      <c r="M149">
        <f t="shared" si="21"/>
        <v>94</v>
      </c>
      <c r="N149">
        <f t="shared" si="22"/>
        <v>94</v>
      </c>
      <c r="O149">
        <f t="shared" si="23"/>
        <v>1410</v>
      </c>
    </row>
    <row r="150" spans="5:15">
      <c r="E150">
        <v>42</v>
      </c>
      <c r="F150">
        <v>34</v>
      </c>
      <c r="G150">
        <v>28</v>
      </c>
      <c r="H150">
        <v>28</v>
      </c>
      <c r="I150">
        <v>11309</v>
      </c>
      <c r="K150">
        <f t="shared" si="24"/>
        <v>142</v>
      </c>
      <c r="L150">
        <f t="shared" si="20"/>
        <v>213</v>
      </c>
      <c r="M150">
        <f t="shared" si="21"/>
        <v>94</v>
      </c>
      <c r="N150">
        <f t="shared" si="22"/>
        <v>94</v>
      </c>
      <c r="O150">
        <f t="shared" si="23"/>
        <v>1410</v>
      </c>
    </row>
    <row r="151" spans="5:15">
      <c r="E151">
        <v>43</v>
      </c>
      <c r="F151">
        <v>35</v>
      </c>
      <c r="G151">
        <v>29</v>
      </c>
      <c r="H151">
        <v>29</v>
      </c>
      <c r="I151">
        <v>11385</v>
      </c>
      <c r="K151">
        <f t="shared" si="24"/>
        <v>143</v>
      </c>
      <c r="L151">
        <f t="shared" si="20"/>
        <v>214</v>
      </c>
      <c r="M151">
        <f t="shared" si="21"/>
        <v>95</v>
      </c>
      <c r="N151">
        <f t="shared" si="22"/>
        <v>95</v>
      </c>
      <c r="O151">
        <f t="shared" si="23"/>
        <v>1425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主角属性配置</vt:lpstr>
      <vt:lpstr>伙伴属性配置</vt:lpstr>
      <vt:lpstr>战宠属性配置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2025-06-24T03:04:08Z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A23507FF17424A14A8BB137BA4D3FCAB_12</vt:lpwstr>
  </property>
</Properties>
</file>