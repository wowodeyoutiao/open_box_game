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40" windowHeight="17655"/>
  </bookViews>
  <sheets>
    <sheet name="Sheet1" sheetId="1" r:id="rId1"/>
    <sheet name="战役结算奖励" sheetId="2" r:id="rId2"/>
    <sheet name="首领结算奖励" sheetId="3" r:id="rId3"/>
    <sheet name="试炼塔结算奖励" sheetId="4" r:id="rId4"/>
    <sheet name="遗迹结算奖励" sheetId="5" r:id="rId5"/>
    <sheet name="Sheet2" sheetId="6" r:id="rId6"/>
    <sheet name="Sheet3" sheetId="7" r:id="rId7"/>
    <sheet name="Sheet4" sheetId="8" r:id="rId8"/>
  </sheets>
  <definedNames>
    <definedName name="_xlnm._FilterDatabase" localSheetId="0" hidden="1">Sheet1!$A$1:$O$1206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4" i="6" l="1"/>
  <c r="R134" i="6"/>
  <c r="Q134" i="6"/>
  <c r="P134" i="6"/>
  <c r="O134" i="6"/>
  <c r="N134" i="6"/>
  <c r="L134" i="6"/>
  <c r="K134" i="6"/>
  <c r="J134" i="6"/>
  <c r="H134" i="6"/>
  <c r="G134" i="6"/>
  <c r="F134" i="6"/>
  <c r="D134" i="6"/>
  <c r="B134" i="6"/>
  <c r="S133" i="6"/>
  <c r="R133" i="6"/>
  <c r="Q133" i="6"/>
  <c r="O133" i="6"/>
  <c r="N133" i="6"/>
  <c r="L133" i="6"/>
  <c r="K133" i="6"/>
  <c r="J133" i="6"/>
  <c r="H133" i="6"/>
  <c r="G133" i="6"/>
  <c r="F133" i="6"/>
  <c r="D133" i="6"/>
  <c r="B133" i="6"/>
  <c r="S132" i="6"/>
  <c r="R132" i="6"/>
  <c r="Q132" i="6"/>
  <c r="O132" i="6"/>
  <c r="N132" i="6"/>
  <c r="L132" i="6"/>
  <c r="K132" i="6"/>
  <c r="J132" i="6"/>
  <c r="H132" i="6"/>
  <c r="G132" i="6"/>
  <c r="F132" i="6"/>
  <c r="D132" i="6"/>
  <c r="B132" i="6"/>
  <c r="S131" i="6"/>
  <c r="R131" i="6"/>
  <c r="Q131" i="6"/>
  <c r="O131" i="6"/>
  <c r="N131" i="6"/>
  <c r="L131" i="6"/>
  <c r="K131" i="6"/>
  <c r="J131" i="6"/>
  <c r="H131" i="6"/>
  <c r="G131" i="6"/>
  <c r="F131" i="6"/>
  <c r="D131" i="6"/>
  <c r="B131" i="6"/>
  <c r="S130" i="6"/>
  <c r="R130" i="6"/>
  <c r="Q130" i="6"/>
  <c r="O130" i="6"/>
  <c r="N130" i="6"/>
  <c r="L130" i="6"/>
  <c r="K130" i="6"/>
  <c r="J130" i="6"/>
  <c r="H130" i="6"/>
  <c r="G130" i="6"/>
  <c r="F130" i="6"/>
  <c r="D130" i="6"/>
  <c r="B130" i="6"/>
  <c r="S129" i="6"/>
  <c r="R129" i="6"/>
  <c r="Q129" i="6"/>
  <c r="P129" i="6"/>
  <c r="O129" i="6"/>
  <c r="N129" i="6"/>
  <c r="L129" i="6"/>
  <c r="K129" i="6"/>
  <c r="J129" i="6"/>
  <c r="H129" i="6"/>
  <c r="G129" i="6"/>
  <c r="F129" i="6"/>
  <c r="D129" i="6"/>
  <c r="B129" i="6"/>
  <c r="S128" i="6"/>
  <c r="R128" i="6"/>
  <c r="Q128" i="6"/>
  <c r="O128" i="6"/>
  <c r="N128" i="6"/>
  <c r="L128" i="6"/>
  <c r="K128" i="6"/>
  <c r="J128" i="6"/>
  <c r="H128" i="6"/>
  <c r="G128" i="6"/>
  <c r="F128" i="6"/>
  <c r="D128" i="6"/>
  <c r="B128" i="6"/>
  <c r="S127" i="6"/>
  <c r="R127" i="6"/>
  <c r="Q127" i="6"/>
  <c r="O127" i="6"/>
  <c r="N127" i="6"/>
  <c r="L127" i="6"/>
  <c r="K127" i="6"/>
  <c r="J127" i="6"/>
  <c r="H127" i="6"/>
  <c r="G127" i="6"/>
  <c r="F127" i="6"/>
  <c r="D127" i="6"/>
  <c r="B127" i="6"/>
  <c r="S126" i="6"/>
  <c r="R126" i="6"/>
  <c r="Q126" i="6"/>
  <c r="O126" i="6"/>
  <c r="N126" i="6"/>
  <c r="L126" i="6"/>
  <c r="K126" i="6"/>
  <c r="J126" i="6"/>
  <c r="H126" i="6"/>
  <c r="G126" i="6"/>
  <c r="F126" i="6"/>
  <c r="D126" i="6"/>
  <c r="B126" i="6"/>
  <c r="S125" i="6"/>
  <c r="R125" i="6"/>
  <c r="Q125" i="6"/>
  <c r="O125" i="6"/>
  <c r="N125" i="6"/>
  <c r="L125" i="6"/>
  <c r="K125" i="6"/>
  <c r="J125" i="6"/>
  <c r="H125" i="6"/>
  <c r="G125" i="6"/>
  <c r="F125" i="6"/>
  <c r="D125" i="6"/>
  <c r="B125" i="6"/>
  <c r="S124" i="6"/>
  <c r="R124" i="6"/>
  <c r="Q124" i="6"/>
  <c r="P124" i="6"/>
  <c r="O124" i="6"/>
  <c r="N124" i="6"/>
  <c r="L124" i="6"/>
  <c r="K124" i="6"/>
  <c r="J124" i="6"/>
  <c r="H124" i="6"/>
  <c r="G124" i="6"/>
  <c r="F124" i="6"/>
  <c r="D124" i="6"/>
  <c r="B124" i="6"/>
  <c r="S123" i="6"/>
  <c r="R123" i="6"/>
  <c r="Q123" i="6"/>
  <c r="O123" i="6"/>
  <c r="N123" i="6"/>
  <c r="L123" i="6"/>
  <c r="K123" i="6"/>
  <c r="J123" i="6"/>
  <c r="H123" i="6"/>
  <c r="G123" i="6"/>
  <c r="F123" i="6"/>
  <c r="D123" i="6"/>
  <c r="B123" i="6"/>
  <c r="S122" i="6"/>
  <c r="R122" i="6"/>
  <c r="Q122" i="6"/>
  <c r="O122" i="6"/>
  <c r="N122" i="6"/>
  <c r="L122" i="6"/>
  <c r="K122" i="6"/>
  <c r="J122" i="6"/>
  <c r="H122" i="6"/>
  <c r="G122" i="6"/>
  <c r="F122" i="6"/>
  <c r="D122" i="6"/>
  <c r="B122" i="6"/>
  <c r="S121" i="6"/>
  <c r="R121" i="6"/>
  <c r="Q121" i="6"/>
  <c r="O121" i="6"/>
  <c r="N121" i="6"/>
  <c r="L121" i="6"/>
  <c r="K121" i="6"/>
  <c r="J121" i="6"/>
  <c r="H121" i="6"/>
  <c r="G121" i="6"/>
  <c r="F121" i="6"/>
  <c r="D121" i="6"/>
  <c r="B121" i="6"/>
  <c r="S120" i="6"/>
  <c r="R120" i="6"/>
  <c r="Q120" i="6"/>
  <c r="O120" i="6"/>
  <c r="N120" i="6"/>
  <c r="L120" i="6"/>
  <c r="K120" i="6"/>
  <c r="J120" i="6"/>
  <c r="H120" i="6"/>
  <c r="G120" i="6"/>
  <c r="F120" i="6"/>
  <c r="D120" i="6"/>
  <c r="B120" i="6"/>
  <c r="S119" i="6"/>
  <c r="R119" i="6"/>
  <c r="Q119" i="6"/>
  <c r="P119" i="6"/>
  <c r="O119" i="6"/>
  <c r="N119" i="6"/>
  <c r="L119" i="6"/>
  <c r="K119" i="6"/>
  <c r="J119" i="6"/>
  <c r="H119" i="6"/>
  <c r="G119" i="6"/>
  <c r="F119" i="6"/>
  <c r="D119" i="6"/>
  <c r="B119" i="6"/>
  <c r="S118" i="6"/>
  <c r="R118" i="6"/>
  <c r="Q118" i="6"/>
  <c r="O118" i="6"/>
  <c r="N118" i="6"/>
  <c r="L118" i="6"/>
  <c r="K118" i="6"/>
  <c r="J118" i="6"/>
  <c r="H118" i="6"/>
  <c r="G118" i="6"/>
  <c r="F118" i="6"/>
  <c r="D118" i="6"/>
  <c r="B118" i="6"/>
  <c r="S117" i="6"/>
  <c r="R117" i="6"/>
  <c r="Q117" i="6"/>
  <c r="O117" i="6"/>
  <c r="N117" i="6"/>
  <c r="L117" i="6"/>
  <c r="K117" i="6"/>
  <c r="J117" i="6"/>
  <c r="H117" i="6"/>
  <c r="G117" i="6"/>
  <c r="F117" i="6"/>
  <c r="D117" i="6"/>
  <c r="B117" i="6"/>
  <c r="S116" i="6"/>
  <c r="R116" i="6"/>
  <c r="Q116" i="6"/>
  <c r="O116" i="6"/>
  <c r="N116" i="6"/>
  <c r="L116" i="6"/>
  <c r="K116" i="6"/>
  <c r="J116" i="6"/>
  <c r="H116" i="6"/>
  <c r="G116" i="6"/>
  <c r="F116" i="6"/>
  <c r="D116" i="6"/>
  <c r="B116" i="6"/>
  <c r="S115" i="6"/>
  <c r="R115" i="6"/>
  <c r="Q115" i="6"/>
  <c r="O115" i="6"/>
  <c r="N115" i="6"/>
  <c r="L115" i="6"/>
  <c r="K115" i="6"/>
  <c r="J115" i="6"/>
  <c r="H115" i="6"/>
  <c r="G115" i="6"/>
  <c r="F115" i="6"/>
  <c r="D115" i="6"/>
  <c r="B115" i="6"/>
  <c r="S114" i="6"/>
  <c r="R114" i="6"/>
  <c r="Q114" i="6"/>
  <c r="P114" i="6"/>
  <c r="O114" i="6"/>
  <c r="N114" i="6"/>
  <c r="L114" i="6"/>
  <c r="K114" i="6"/>
  <c r="J114" i="6"/>
  <c r="H114" i="6"/>
  <c r="G114" i="6"/>
  <c r="F114" i="6"/>
  <c r="D114" i="6"/>
  <c r="B114" i="6"/>
  <c r="S113" i="6"/>
  <c r="R113" i="6"/>
  <c r="Q113" i="6"/>
  <c r="O113" i="6"/>
  <c r="N113" i="6"/>
  <c r="L113" i="6"/>
  <c r="K113" i="6"/>
  <c r="J113" i="6"/>
  <c r="H113" i="6"/>
  <c r="G113" i="6"/>
  <c r="F113" i="6"/>
  <c r="D113" i="6"/>
  <c r="B113" i="6"/>
  <c r="S112" i="6"/>
  <c r="R112" i="6"/>
  <c r="Q112" i="6"/>
  <c r="O112" i="6"/>
  <c r="N112" i="6"/>
  <c r="L112" i="6"/>
  <c r="K112" i="6"/>
  <c r="J112" i="6"/>
  <c r="H112" i="6"/>
  <c r="G112" i="6"/>
  <c r="F112" i="6"/>
  <c r="D112" i="6"/>
  <c r="B112" i="6"/>
  <c r="S111" i="6"/>
  <c r="R111" i="6"/>
  <c r="Q111" i="6"/>
  <c r="O111" i="6"/>
  <c r="N111" i="6"/>
  <c r="L111" i="6"/>
  <c r="K111" i="6"/>
  <c r="J111" i="6"/>
  <c r="H111" i="6"/>
  <c r="G111" i="6"/>
  <c r="F111" i="6"/>
  <c r="D111" i="6"/>
  <c r="B111" i="6"/>
  <c r="S110" i="6"/>
  <c r="R110" i="6"/>
  <c r="Q110" i="6"/>
  <c r="O110" i="6"/>
  <c r="N110" i="6"/>
  <c r="L110" i="6"/>
  <c r="K110" i="6"/>
  <c r="J110" i="6"/>
  <c r="H110" i="6"/>
  <c r="G110" i="6"/>
  <c r="F110" i="6"/>
  <c r="D110" i="6"/>
  <c r="B110" i="6"/>
  <c r="S109" i="6"/>
  <c r="R109" i="6"/>
  <c r="Q109" i="6"/>
  <c r="P109" i="6"/>
  <c r="O109" i="6"/>
  <c r="N109" i="6"/>
  <c r="L109" i="6"/>
  <c r="K109" i="6"/>
  <c r="J109" i="6"/>
  <c r="H109" i="6"/>
  <c r="G109" i="6"/>
  <c r="F109" i="6"/>
  <c r="D109" i="6"/>
  <c r="B109" i="6"/>
  <c r="S108" i="6"/>
  <c r="R108" i="6"/>
  <c r="Q108" i="6"/>
  <c r="O108" i="6"/>
  <c r="N108" i="6"/>
  <c r="L108" i="6"/>
  <c r="K108" i="6"/>
  <c r="J108" i="6"/>
  <c r="H108" i="6"/>
  <c r="G108" i="6"/>
  <c r="F108" i="6"/>
  <c r="D108" i="6"/>
  <c r="B108" i="6"/>
  <c r="S107" i="6"/>
  <c r="R107" i="6"/>
  <c r="Q107" i="6"/>
  <c r="O107" i="6"/>
  <c r="N107" i="6"/>
  <c r="L107" i="6"/>
  <c r="K107" i="6"/>
  <c r="J107" i="6"/>
  <c r="H107" i="6"/>
  <c r="G107" i="6"/>
  <c r="F107" i="6"/>
  <c r="D107" i="6"/>
  <c r="B107" i="6"/>
  <c r="S106" i="6"/>
  <c r="R106" i="6"/>
  <c r="Q106" i="6"/>
  <c r="O106" i="6"/>
  <c r="N106" i="6"/>
  <c r="L106" i="6"/>
  <c r="K106" i="6"/>
  <c r="J106" i="6"/>
  <c r="H106" i="6"/>
  <c r="G106" i="6"/>
  <c r="F106" i="6"/>
  <c r="D106" i="6"/>
  <c r="B106" i="6"/>
  <c r="S105" i="6"/>
  <c r="R105" i="6"/>
  <c r="Q105" i="6"/>
  <c r="O105" i="6"/>
  <c r="N105" i="6"/>
  <c r="L105" i="6"/>
  <c r="K105" i="6"/>
  <c r="J105" i="6"/>
  <c r="H105" i="6"/>
  <c r="G105" i="6"/>
  <c r="F105" i="6"/>
  <c r="D105" i="6"/>
  <c r="B105" i="6"/>
  <c r="S104" i="6"/>
  <c r="R104" i="6"/>
  <c r="Q104" i="6"/>
  <c r="P104" i="6"/>
  <c r="O104" i="6"/>
  <c r="N104" i="6"/>
  <c r="L104" i="6"/>
  <c r="K104" i="6"/>
  <c r="J104" i="6"/>
  <c r="H104" i="6"/>
  <c r="G104" i="6"/>
  <c r="F104" i="6"/>
  <c r="D104" i="6"/>
  <c r="B104" i="6"/>
  <c r="S103" i="6"/>
  <c r="R103" i="6"/>
  <c r="Q103" i="6"/>
  <c r="O103" i="6"/>
  <c r="N103" i="6"/>
  <c r="L103" i="6"/>
  <c r="K103" i="6"/>
  <c r="J103" i="6"/>
  <c r="H103" i="6"/>
  <c r="G103" i="6"/>
  <c r="F103" i="6"/>
  <c r="D103" i="6"/>
  <c r="B103" i="6"/>
  <c r="S102" i="6"/>
  <c r="R102" i="6"/>
  <c r="Q102" i="6"/>
  <c r="O102" i="6"/>
  <c r="N102" i="6"/>
  <c r="L102" i="6"/>
  <c r="K102" i="6"/>
  <c r="J102" i="6"/>
  <c r="H102" i="6"/>
  <c r="G102" i="6"/>
  <c r="F102" i="6"/>
  <c r="D102" i="6"/>
  <c r="B102" i="6"/>
  <c r="S101" i="6"/>
  <c r="R101" i="6"/>
  <c r="Q101" i="6"/>
  <c r="O101" i="6"/>
  <c r="N101" i="6"/>
  <c r="L101" i="6"/>
  <c r="K101" i="6"/>
  <c r="J101" i="6"/>
  <c r="H101" i="6"/>
  <c r="G101" i="6"/>
  <c r="F101" i="6"/>
  <c r="D101" i="6"/>
  <c r="B101" i="6"/>
  <c r="S100" i="6"/>
  <c r="R100" i="6"/>
  <c r="Q100" i="6"/>
  <c r="O100" i="6"/>
  <c r="N100" i="6"/>
  <c r="L100" i="6"/>
  <c r="K100" i="6"/>
  <c r="J100" i="6"/>
  <c r="H100" i="6"/>
  <c r="G100" i="6"/>
  <c r="F100" i="6"/>
  <c r="D100" i="6"/>
  <c r="B100" i="6"/>
  <c r="S99" i="6"/>
  <c r="R99" i="6"/>
  <c r="Q99" i="6"/>
  <c r="P99" i="6"/>
  <c r="O99" i="6"/>
  <c r="N99" i="6"/>
  <c r="L99" i="6"/>
  <c r="K99" i="6"/>
  <c r="J99" i="6"/>
  <c r="H99" i="6"/>
  <c r="G99" i="6"/>
  <c r="F99" i="6"/>
  <c r="D99" i="6"/>
  <c r="B99" i="6"/>
  <c r="S98" i="6"/>
  <c r="R98" i="6"/>
  <c r="Q98" i="6"/>
  <c r="O98" i="6"/>
  <c r="N98" i="6"/>
  <c r="L98" i="6"/>
  <c r="K98" i="6"/>
  <c r="J98" i="6"/>
  <c r="H98" i="6"/>
  <c r="G98" i="6"/>
  <c r="F98" i="6"/>
  <c r="D98" i="6"/>
  <c r="B98" i="6"/>
  <c r="S97" i="6"/>
  <c r="R97" i="6"/>
  <c r="Q97" i="6"/>
  <c r="O97" i="6"/>
  <c r="N97" i="6"/>
  <c r="L97" i="6"/>
  <c r="K97" i="6"/>
  <c r="J97" i="6"/>
  <c r="H97" i="6"/>
  <c r="G97" i="6"/>
  <c r="F97" i="6"/>
  <c r="D97" i="6"/>
  <c r="B97" i="6"/>
  <c r="S96" i="6"/>
  <c r="R96" i="6"/>
  <c r="Q96" i="6"/>
  <c r="O96" i="6"/>
  <c r="N96" i="6"/>
  <c r="L96" i="6"/>
  <c r="K96" i="6"/>
  <c r="J96" i="6"/>
  <c r="H96" i="6"/>
  <c r="G96" i="6"/>
  <c r="F96" i="6"/>
  <c r="D96" i="6"/>
  <c r="B96" i="6"/>
  <c r="S95" i="6"/>
  <c r="R95" i="6"/>
  <c r="Q95" i="6"/>
  <c r="O95" i="6"/>
  <c r="N95" i="6"/>
  <c r="L95" i="6"/>
  <c r="K95" i="6"/>
  <c r="J95" i="6"/>
  <c r="H95" i="6"/>
  <c r="G95" i="6"/>
  <c r="F95" i="6"/>
  <c r="D95" i="6"/>
  <c r="B95" i="6"/>
  <c r="S94" i="6"/>
  <c r="R94" i="6"/>
  <c r="Q94" i="6"/>
  <c r="P94" i="6"/>
  <c r="O94" i="6"/>
  <c r="N94" i="6"/>
  <c r="L94" i="6"/>
  <c r="K94" i="6"/>
  <c r="J94" i="6"/>
  <c r="H94" i="6"/>
  <c r="G94" i="6"/>
  <c r="F94" i="6"/>
  <c r="D94" i="6"/>
  <c r="B94" i="6"/>
  <c r="S93" i="6"/>
  <c r="R93" i="6"/>
  <c r="Q93" i="6"/>
  <c r="O93" i="6"/>
  <c r="N93" i="6"/>
  <c r="L93" i="6"/>
  <c r="K93" i="6"/>
  <c r="J93" i="6"/>
  <c r="H93" i="6"/>
  <c r="G93" i="6"/>
  <c r="F93" i="6"/>
  <c r="D93" i="6"/>
  <c r="B93" i="6"/>
  <c r="S92" i="6"/>
  <c r="R92" i="6"/>
  <c r="Q92" i="6"/>
  <c r="O92" i="6"/>
  <c r="N92" i="6"/>
  <c r="L92" i="6"/>
  <c r="K92" i="6"/>
  <c r="J92" i="6"/>
  <c r="H92" i="6"/>
  <c r="G92" i="6"/>
  <c r="F92" i="6"/>
  <c r="D92" i="6"/>
  <c r="B92" i="6"/>
  <c r="S91" i="6"/>
  <c r="R91" i="6"/>
  <c r="Q91" i="6"/>
  <c r="O91" i="6"/>
  <c r="N91" i="6"/>
  <c r="L91" i="6"/>
  <c r="K91" i="6"/>
  <c r="J91" i="6"/>
  <c r="H91" i="6"/>
  <c r="G91" i="6"/>
  <c r="F91" i="6"/>
  <c r="D91" i="6"/>
  <c r="B91" i="6"/>
  <c r="S90" i="6"/>
  <c r="R90" i="6"/>
  <c r="Q90" i="6"/>
  <c r="O90" i="6"/>
  <c r="N90" i="6"/>
  <c r="L90" i="6"/>
  <c r="K90" i="6"/>
  <c r="J90" i="6"/>
  <c r="H90" i="6"/>
  <c r="G90" i="6"/>
  <c r="F90" i="6"/>
  <c r="D90" i="6"/>
  <c r="B90" i="6"/>
  <c r="S89" i="6"/>
  <c r="R89" i="6"/>
  <c r="Q89" i="6"/>
  <c r="P89" i="6"/>
  <c r="O89" i="6"/>
  <c r="N89" i="6"/>
  <c r="L89" i="6"/>
  <c r="K89" i="6"/>
  <c r="J89" i="6"/>
  <c r="H89" i="6"/>
  <c r="G89" i="6"/>
  <c r="F89" i="6"/>
  <c r="D89" i="6"/>
  <c r="B89" i="6"/>
  <c r="S88" i="6"/>
  <c r="R88" i="6"/>
  <c r="Q88" i="6"/>
  <c r="O88" i="6"/>
  <c r="N88" i="6"/>
  <c r="L88" i="6"/>
  <c r="K88" i="6"/>
  <c r="J88" i="6"/>
  <c r="H88" i="6"/>
  <c r="G88" i="6"/>
  <c r="F88" i="6"/>
  <c r="D88" i="6"/>
  <c r="B88" i="6"/>
  <c r="S87" i="6"/>
  <c r="R87" i="6"/>
  <c r="Q87" i="6"/>
  <c r="O87" i="6"/>
  <c r="N87" i="6"/>
  <c r="L87" i="6"/>
  <c r="K87" i="6"/>
  <c r="J87" i="6"/>
  <c r="H87" i="6"/>
  <c r="G87" i="6"/>
  <c r="F87" i="6"/>
  <c r="D87" i="6"/>
  <c r="B87" i="6"/>
  <c r="S86" i="6"/>
  <c r="R86" i="6"/>
  <c r="Q86" i="6"/>
  <c r="O86" i="6"/>
  <c r="N86" i="6"/>
  <c r="L86" i="6"/>
  <c r="K86" i="6"/>
  <c r="J86" i="6"/>
  <c r="H86" i="6"/>
  <c r="G86" i="6"/>
  <c r="F86" i="6"/>
  <c r="D86" i="6"/>
  <c r="B86" i="6"/>
  <c r="S85" i="6"/>
  <c r="R85" i="6"/>
  <c r="Q85" i="6"/>
  <c r="O85" i="6"/>
  <c r="N85" i="6"/>
  <c r="L85" i="6"/>
  <c r="K85" i="6"/>
  <c r="J85" i="6"/>
  <c r="H85" i="6"/>
  <c r="G85" i="6"/>
  <c r="F85" i="6"/>
  <c r="D85" i="6"/>
  <c r="B85" i="6"/>
  <c r="S84" i="6"/>
  <c r="R84" i="6"/>
  <c r="Q84" i="6"/>
  <c r="P84" i="6"/>
  <c r="O84" i="6"/>
  <c r="N84" i="6"/>
  <c r="L84" i="6"/>
  <c r="K84" i="6"/>
  <c r="J84" i="6"/>
  <c r="H84" i="6"/>
  <c r="G84" i="6"/>
  <c r="F84" i="6"/>
  <c r="D84" i="6"/>
  <c r="B84" i="6"/>
  <c r="S83" i="6"/>
  <c r="R83" i="6"/>
  <c r="Q83" i="6"/>
  <c r="O83" i="6"/>
  <c r="N83" i="6"/>
  <c r="L83" i="6"/>
  <c r="K83" i="6"/>
  <c r="J83" i="6"/>
  <c r="H83" i="6"/>
  <c r="G83" i="6"/>
  <c r="F83" i="6"/>
  <c r="D83" i="6"/>
  <c r="B83" i="6"/>
  <c r="S82" i="6"/>
  <c r="R82" i="6"/>
  <c r="Q82" i="6"/>
  <c r="O82" i="6"/>
  <c r="N82" i="6"/>
  <c r="L82" i="6"/>
  <c r="K82" i="6"/>
  <c r="J82" i="6"/>
  <c r="H82" i="6"/>
  <c r="G82" i="6"/>
  <c r="F82" i="6"/>
  <c r="D82" i="6"/>
  <c r="B82" i="6"/>
  <c r="S81" i="6"/>
  <c r="R81" i="6"/>
  <c r="Q81" i="6"/>
  <c r="O81" i="6"/>
  <c r="N81" i="6"/>
  <c r="L81" i="6"/>
  <c r="K81" i="6"/>
  <c r="J81" i="6"/>
  <c r="H81" i="6"/>
  <c r="G81" i="6"/>
  <c r="F81" i="6"/>
  <c r="D81" i="6"/>
  <c r="B81" i="6"/>
  <c r="S80" i="6"/>
  <c r="R80" i="6"/>
  <c r="Q80" i="6"/>
  <c r="O80" i="6"/>
  <c r="N80" i="6"/>
  <c r="L80" i="6"/>
  <c r="K80" i="6"/>
  <c r="J80" i="6"/>
  <c r="H80" i="6"/>
  <c r="G80" i="6"/>
  <c r="F80" i="6"/>
  <c r="D80" i="6"/>
  <c r="B80" i="6"/>
  <c r="S79" i="6"/>
  <c r="R79" i="6"/>
  <c r="Q79" i="6"/>
  <c r="P79" i="6"/>
  <c r="O79" i="6"/>
  <c r="N79" i="6"/>
  <c r="L79" i="6"/>
  <c r="K79" i="6"/>
  <c r="J79" i="6"/>
  <c r="H79" i="6"/>
  <c r="G79" i="6"/>
  <c r="F79" i="6"/>
  <c r="D79" i="6"/>
  <c r="B79" i="6"/>
  <c r="S78" i="6"/>
  <c r="R78" i="6"/>
  <c r="Q78" i="6"/>
  <c r="O78" i="6"/>
  <c r="N78" i="6"/>
  <c r="L78" i="6"/>
  <c r="K78" i="6"/>
  <c r="J78" i="6"/>
  <c r="H78" i="6"/>
  <c r="G78" i="6"/>
  <c r="F78" i="6"/>
  <c r="D78" i="6"/>
  <c r="B78" i="6"/>
  <c r="S77" i="6"/>
  <c r="R77" i="6"/>
  <c r="Q77" i="6"/>
  <c r="O77" i="6"/>
  <c r="N77" i="6"/>
  <c r="L77" i="6"/>
  <c r="K77" i="6"/>
  <c r="J77" i="6"/>
  <c r="H77" i="6"/>
  <c r="G77" i="6"/>
  <c r="F77" i="6"/>
  <c r="D77" i="6"/>
  <c r="B77" i="6"/>
  <c r="S76" i="6"/>
  <c r="R76" i="6"/>
  <c r="Q76" i="6"/>
  <c r="O76" i="6"/>
  <c r="N76" i="6"/>
  <c r="L76" i="6"/>
  <c r="K76" i="6"/>
  <c r="J76" i="6"/>
  <c r="H76" i="6"/>
  <c r="G76" i="6"/>
  <c r="F76" i="6"/>
  <c r="D76" i="6"/>
  <c r="B76" i="6"/>
  <c r="S75" i="6"/>
  <c r="R75" i="6"/>
  <c r="Q75" i="6"/>
  <c r="O75" i="6"/>
  <c r="N75" i="6"/>
  <c r="L75" i="6"/>
  <c r="K75" i="6"/>
  <c r="J75" i="6"/>
  <c r="H75" i="6"/>
  <c r="G75" i="6"/>
  <c r="F75" i="6"/>
  <c r="D75" i="6"/>
  <c r="B75" i="6"/>
  <c r="S74" i="6"/>
  <c r="R74" i="6"/>
  <c r="Q74" i="6"/>
  <c r="P74" i="6"/>
  <c r="O74" i="6"/>
  <c r="N74" i="6"/>
  <c r="L74" i="6"/>
  <c r="K74" i="6"/>
  <c r="J74" i="6"/>
  <c r="H74" i="6"/>
  <c r="G74" i="6"/>
  <c r="F74" i="6"/>
  <c r="D74" i="6"/>
  <c r="B74" i="6"/>
  <c r="S73" i="6"/>
  <c r="R73" i="6"/>
  <c r="Q73" i="6"/>
  <c r="O73" i="6"/>
  <c r="N73" i="6"/>
  <c r="L73" i="6"/>
  <c r="K73" i="6"/>
  <c r="J73" i="6"/>
  <c r="H73" i="6"/>
  <c r="G73" i="6"/>
  <c r="F73" i="6"/>
  <c r="D73" i="6"/>
  <c r="B73" i="6"/>
  <c r="S72" i="6"/>
  <c r="R72" i="6"/>
  <c r="Q72" i="6"/>
  <c r="O72" i="6"/>
  <c r="N72" i="6"/>
  <c r="L72" i="6"/>
  <c r="K72" i="6"/>
  <c r="J72" i="6"/>
  <c r="H72" i="6"/>
  <c r="G72" i="6"/>
  <c r="F72" i="6"/>
  <c r="D72" i="6"/>
  <c r="B72" i="6"/>
  <c r="S71" i="6"/>
  <c r="R71" i="6"/>
  <c r="Q71" i="6"/>
  <c r="O71" i="6"/>
  <c r="N71" i="6"/>
  <c r="L71" i="6"/>
  <c r="K71" i="6"/>
  <c r="J71" i="6"/>
  <c r="H71" i="6"/>
  <c r="G71" i="6"/>
  <c r="F71" i="6"/>
  <c r="D71" i="6"/>
  <c r="B71" i="6"/>
  <c r="S70" i="6"/>
  <c r="R70" i="6"/>
  <c r="Q70" i="6"/>
  <c r="O70" i="6"/>
  <c r="N70" i="6"/>
  <c r="L70" i="6"/>
  <c r="K70" i="6"/>
  <c r="J70" i="6"/>
  <c r="H70" i="6"/>
  <c r="G70" i="6"/>
  <c r="F70" i="6"/>
  <c r="D70" i="6"/>
  <c r="B70" i="6"/>
  <c r="R69" i="6"/>
  <c r="Q69" i="6"/>
  <c r="P69" i="6"/>
  <c r="O69" i="6"/>
  <c r="N69" i="6"/>
  <c r="L69" i="6"/>
  <c r="K69" i="6"/>
  <c r="J69" i="6"/>
  <c r="H69" i="6"/>
  <c r="G69" i="6"/>
  <c r="F69" i="6"/>
  <c r="D69" i="6"/>
  <c r="B69" i="6"/>
  <c r="S68" i="6"/>
  <c r="R68" i="6"/>
  <c r="Q68" i="6"/>
  <c r="O68" i="6"/>
  <c r="N68" i="6"/>
  <c r="L68" i="6"/>
  <c r="K68" i="6"/>
  <c r="J68" i="6"/>
  <c r="H68" i="6"/>
  <c r="G68" i="6"/>
  <c r="F68" i="6"/>
  <c r="D68" i="6"/>
  <c r="B68" i="6"/>
  <c r="S67" i="6"/>
  <c r="R67" i="6"/>
  <c r="Q67" i="6"/>
  <c r="O67" i="6"/>
  <c r="N67" i="6"/>
  <c r="L67" i="6"/>
  <c r="K67" i="6"/>
  <c r="J67" i="6"/>
  <c r="H67" i="6"/>
  <c r="G67" i="6"/>
  <c r="F67" i="6"/>
  <c r="D67" i="6"/>
  <c r="B67" i="6"/>
  <c r="S66" i="6"/>
  <c r="R66" i="6"/>
  <c r="Q66" i="6"/>
  <c r="O66" i="6"/>
  <c r="N66" i="6"/>
  <c r="L66" i="6"/>
  <c r="K66" i="6"/>
  <c r="J66" i="6"/>
  <c r="H66" i="6"/>
  <c r="G66" i="6"/>
  <c r="F66" i="6"/>
  <c r="D66" i="6"/>
  <c r="B66" i="6"/>
  <c r="S65" i="6"/>
  <c r="R65" i="6"/>
  <c r="Q65" i="6"/>
  <c r="O65" i="6"/>
  <c r="N65" i="6"/>
  <c r="L65" i="6"/>
  <c r="K65" i="6"/>
  <c r="J65" i="6"/>
  <c r="H65" i="6"/>
  <c r="G65" i="6"/>
  <c r="F65" i="6"/>
  <c r="D65" i="6"/>
  <c r="B65" i="6"/>
  <c r="S64" i="6"/>
  <c r="R64" i="6"/>
  <c r="Q64" i="6"/>
  <c r="P64" i="6"/>
  <c r="O64" i="6"/>
  <c r="N64" i="6"/>
  <c r="L64" i="6"/>
  <c r="K64" i="6"/>
  <c r="J64" i="6"/>
  <c r="H64" i="6"/>
  <c r="G64" i="6"/>
  <c r="F64" i="6"/>
  <c r="D64" i="6"/>
  <c r="B64" i="6"/>
  <c r="S63" i="6"/>
  <c r="R63" i="6"/>
  <c r="Q63" i="6"/>
  <c r="O63" i="6"/>
  <c r="N63" i="6"/>
  <c r="L63" i="6"/>
  <c r="K63" i="6"/>
  <c r="J63" i="6"/>
  <c r="H63" i="6"/>
  <c r="G63" i="6"/>
  <c r="F63" i="6"/>
  <c r="D63" i="6"/>
  <c r="B63" i="6"/>
  <c r="S62" i="6"/>
  <c r="R62" i="6"/>
  <c r="Q62" i="6"/>
  <c r="O62" i="6"/>
  <c r="N62" i="6"/>
  <c r="L62" i="6"/>
  <c r="K62" i="6"/>
  <c r="J62" i="6"/>
  <c r="H62" i="6"/>
  <c r="G62" i="6"/>
  <c r="F62" i="6"/>
  <c r="D62" i="6"/>
  <c r="B62" i="6"/>
  <c r="S61" i="6"/>
  <c r="R61" i="6"/>
  <c r="Q61" i="6"/>
  <c r="O61" i="6"/>
  <c r="N61" i="6"/>
  <c r="L61" i="6"/>
  <c r="K61" i="6"/>
  <c r="J61" i="6"/>
  <c r="H61" i="6"/>
  <c r="G61" i="6"/>
  <c r="F61" i="6"/>
  <c r="D61" i="6"/>
  <c r="B61" i="6"/>
  <c r="S60" i="6"/>
  <c r="R60" i="6"/>
  <c r="Q60" i="6"/>
  <c r="O60" i="6"/>
  <c r="N60" i="6"/>
  <c r="L60" i="6"/>
  <c r="K60" i="6"/>
  <c r="J60" i="6"/>
  <c r="H60" i="6"/>
  <c r="G60" i="6"/>
  <c r="F60" i="6"/>
  <c r="D60" i="6"/>
  <c r="B60" i="6"/>
  <c r="R59" i="6"/>
  <c r="Q59" i="6"/>
  <c r="P59" i="6"/>
  <c r="O59" i="6"/>
  <c r="N59" i="6"/>
  <c r="L59" i="6"/>
  <c r="K59" i="6"/>
  <c r="J59" i="6"/>
  <c r="H59" i="6"/>
  <c r="G59" i="6"/>
  <c r="F59" i="6"/>
  <c r="D59" i="6"/>
  <c r="B59" i="6"/>
  <c r="S58" i="6"/>
  <c r="R58" i="6"/>
  <c r="Q58" i="6"/>
  <c r="O58" i="6"/>
  <c r="N58" i="6"/>
  <c r="L58" i="6"/>
  <c r="K58" i="6"/>
  <c r="J58" i="6"/>
  <c r="H58" i="6"/>
  <c r="G58" i="6"/>
  <c r="F58" i="6"/>
  <c r="D58" i="6"/>
  <c r="B58" i="6"/>
  <c r="S57" i="6"/>
  <c r="R57" i="6"/>
  <c r="Q57" i="6"/>
  <c r="O57" i="6"/>
  <c r="N57" i="6"/>
  <c r="L57" i="6"/>
  <c r="K57" i="6"/>
  <c r="J57" i="6"/>
  <c r="H57" i="6"/>
  <c r="G57" i="6"/>
  <c r="F57" i="6"/>
  <c r="D57" i="6"/>
  <c r="B57" i="6"/>
  <c r="S56" i="6"/>
  <c r="R56" i="6"/>
  <c r="Q56" i="6"/>
  <c r="O56" i="6"/>
  <c r="N56" i="6"/>
  <c r="L56" i="6"/>
  <c r="K56" i="6"/>
  <c r="J56" i="6"/>
  <c r="H56" i="6"/>
  <c r="G56" i="6"/>
  <c r="F56" i="6"/>
  <c r="D56" i="6"/>
  <c r="B56" i="6"/>
  <c r="S55" i="6"/>
  <c r="R55" i="6"/>
  <c r="Q55" i="6"/>
  <c r="O55" i="6"/>
  <c r="N55" i="6"/>
  <c r="L55" i="6"/>
  <c r="K55" i="6"/>
  <c r="J55" i="6"/>
  <c r="H55" i="6"/>
  <c r="G55" i="6"/>
  <c r="F55" i="6"/>
  <c r="D55" i="6"/>
  <c r="B55" i="6"/>
  <c r="S54" i="6"/>
  <c r="R54" i="6"/>
  <c r="Q54" i="6"/>
  <c r="P54" i="6"/>
  <c r="N54" i="6"/>
  <c r="L54" i="6"/>
  <c r="K54" i="6"/>
  <c r="J54" i="6"/>
  <c r="H54" i="6"/>
  <c r="G54" i="6"/>
  <c r="F54" i="6"/>
  <c r="D54" i="6"/>
  <c r="B54" i="6"/>
  <c r="S53" i="6"/>
  <c r="R53" i="6"/>
  <c r="Q53" i="6"/>
  <c r="O53" i="6"/>
  <c r="N53" i="6"/>
  <c r="L53" i="6"/>
  <c r="K53" i="6"/>
  <c r="J53" i="6"/>
  <c r="H53" i="6"/>
  <c r="G53" i="6"/>
  <c r="F53" i="6"/>
  <c r="D53" i="6"/>
  <c r="B53" i="6"/>
  <c r="S52" i="6"/>
  <c r="R52" i="6"/>
  <c r="Q52" i="6"/>
  <c r="O52" i="6"/>
  <c r="N52" i="6"/>
  <c r="L52" i="6"/>
  <c r="K52" i="6"/>
  <c r="J52" i="6"/>
  <c r="H52" i="6"/>
  <c r="G52" i="6"/>
  <c r="F52" i="6"/>
  <c r="D52" i="6"/>
  <c r="B52" i="6"/>
  <c r="S51" i="6"/>
  <c r="R51" i="6"/>
  <c r="Q51" i="6"/>
  <c r="O51" i="6"/>
  <c r="N51" i="6"/>
  <c r="L51" i="6"/>
  <c r="K51" i="6"/>
  <c r="J51" i="6"/>
  <c r="H51" i="6"/>
  <c r="G51" i="6"/>
  <c r="F51" i="6"/>
  <c r="D51" i="6"/>
  <c r="B51" i="6"/>
  <c r="S50" i="6"/>
  <c r="R50" i="6"/>
  <c r="Q50" i="6"/>
  <c r="O50" i="6"/>
  <c r="N50" i="6"/>
  <c r="L50" i="6"/>
  <c r="K50" i="6"/>
  <c r="J50" i="6"/>
  <c r="H50" i="6"/>
  <c r="G50" i="6"/>
  <c r="F50" i="6"/>
  <c r="D50" i="6"/>
  <c r="B50" i="6"/>
  <c r="R49" i="6"/>
  <c r="Q49" i="6"/>
  <c r="P49" i="6"/>
  <c r="N49" i="6"/>
  <c r="L49" i="6"/>
  <c r="K49" i="6"/>
  <c r="J49" i="6"/>
  <c r="H49" i="6"/>
  <c r="G49" i="6"/>
  <c r="F49" i="6"/>
  <c r="D49" i="6"/>
  <c r="B49" i="6"/>
  <c r="S48" i="6"/>
  <c r="R48" i="6"/>
  <c r="Q48" i="6"/>
  <c r="O48" i="6"/>
  <c r="N48" i="6"/>
  <c r="L48" i="6"/>
  <c r="K48" i="6"/>
  <c r="J48" i="6"/>
  <c r="H48" i="6"/>
  <c r="G48" i="6"/>
  <c r="F48" i="6"/>
  <c r="D48" i="6"/>
  <c r="B48" i="6"/>
  <c r="S47" i="6"/>
  <c r="R47" i="6"/>
  <c r="Q47" i="6"/>
  <c r="O47" i="6"/>
  <c r="N47" i="6"/>
  <c r="L47" i="6"/>
  <c r="K47" i="6"/>
  <c r="J47" i="6"/>
  <c r="H47" i="6"/>
  <c r="G47" i="6"/>
  <c r="F47" i="6"/>
  <c r="D47" i="6"/>
  <c r="B47" i="6"/>
  <c r="S46" i="6"/>
  <c r="R46" i="6"/>
  <c r="Q46" i="6"/>
  <c r="O46" i="6"/>
  <c r="N46" i="6"/>
  <c r="L46" i="6"/>
  <c r="K46" i="6"/>
  <c r="J46" i="6"/>
  <c r="H46" i="6"/>
  <c r="G46" i="6"/>
  <c r="F46" i="6"/>
  <c r="D46" i="6"/>
  <c r="B46" i="6"/>
  <c r="S45" i="6"/>
  <c r="R45" i="6"/>
  <c r="Q45" i="6"/>
  <c r="O45" i="6"/>
  <c r="N45" i="6"/>
  <c r="L45" i="6"/>
  <c r="K45" i="6"/>
  <c r="J45" i="6"/>
  <c r="H45" i="6"/>
  <c r="G45" i="6"/>
  <c r="F45" i="6"/>
  <c r="D45" i="6"/>
  <c r="B45" i="6"/>
  <c r="S44" i="6"/>
  <c r="R44" i="6"/>
  <c r="Q44" i="6"/>
  <c r="P44" i="6"/>
  <c r="N44" i="6"/>
  <c r="K44" i="6"/>
  <c r="J44" i="6"/>
  <c r="H44" i="6"/>
  <c r="G44" i="6"/>
  <c r="F44" i="6"/>
  <c r="D44" i="6"/>
  <c r="B44" i="6"/>
  <c r="S43" i="6"/>
  <c r="R43" i="6"/>
  <c r="Q43" i="6"/>
  <c r="O43" i="6"/>
  <c r="N43" i="6"/>
  <c r="K43" i="6"/>
  <c r="J43" i="6"/>
  <c r="H43" i="6"/>
  <c r="G43" i="6"/>
  <c r="F43" i="6"/>
  <c r="D43" i="6"/>
  <c r="B43" i="6"/>
  <c r="S42" i="6"/>
  <c r="R42" i="6"/>
  <c r="Q42" i="6"/>
  <c r="O42" i="6"/>
  <c r="N42" i="6"/>
  <c r="K42" i="6"/>
  <c r="J42" i="6"/>
  <c r="H42" i="6"/>
  <c r="G42" i="6"/>
  <c r="F42" i="6"/>
  <c r="D42" i="6"/>
  <c r="B42" i="6"/>
  <c r="S41" i="6"/>
  <c r="R41" i="6"/>
  <c r="Q41" i="6"/>
  <c r="O41" i="6"/>
  <c r="N41" i="6"/>
  <c r="K41" i="6"/>
  <c r="J41" i="6"/>
  <c r="H41" i="6"/>
  <c r="G41" i="6"/>
  <c r="F41" i="6"/>
  <c r="D41" i="6"/>
  <c r="B41" i="6"/>
  <c r="S40" i="6"/>
  <c r="R40" i="6"/>
  <c r="Q40" i="6"/>
  <c r="O40" i="6"/>
  <c r="N40" i="6"/>
  <c r="K40" i="6"/>
  <c r="J40" i="6"/>
  <c r="H40" i="6"/>
  <c r="G40" i="6"/>
  <c r="F40" i="6"/>
  <c r="D40" i="6"/>
  <c r="B40" i="6"/>
  <c r="R39" i="6"/>
  <c r="Q39" i="6"/>
  <c r="P39" i="6"/>
  <c r="N39" i="6"/>
  <c r="L39" i="6"/>
  <c r="K39" i="6"/>
  <c r="J39" i="6"/>
  <c r="H39" i="6"/>
  <c r="G39" i="6"/>
  <c r="F39" i="6"/>
  <c r="D39" i="6"/>
  <c r="B39" i="6"/>
  <c r="S38" i="6"/>
  <c r="R38" i="6"/>
  <c r="Q38" i="6"/>
  <c r="O38" i="6"/>
  <c r="N38" i="6"/>
  <c r="L38" i="6"/>
  <c r="K38" i="6"/>
  <c r="J38" i="6"/>
  <c r="H38" i="6"/>
  <c r="G38" i="6"/>
  <c r="F38" i="6"/>
  <c r="D38" i="6"/>
  <c r="B38" i="6"/>
  <c r="S37" i="6"/>
  <c r="R37" i="6"/>
  <c r="Q37" i="6"/>
  <c r="O37" i="6"/>
  <c r="N37" i="6"/>
  <c r="L37" i="6"/>
  <c r="K37" i="6"/>
  <c r="J37" i="6"/>
  <c r="H37" i="6"/>
  <c r="G37" i="6"/>
  <c r="F37" i="6"/>
  <c r="D37" i="6"/>
  <c r="B37" i="6"/>
  <c r="S36" i="6"/>
  <c r="R36" i="6"/>
  <c r="Q36" i="6"/>
  <c r="O36" i="6"/>
  <c r="N36" i="6"/>
  <c r="L36" i="6"/>
  <c r="K36" i="6"/>
  <c r="J36" i="6"/>
  <c r="H36" i="6"/>
  <c r="G36" i="6"/>
  <c r="F36" i="6"/>
  <c r="D36" i="6"/>
  <c r="B36" i="6"/>
  <c r="S35" i="6"/>
  <c r="R35" i="6"/>
  <c r="Q35" i="6"/>
  <c r="O35" i="6"/>
  <c r="N35" i="6"/>
  <c r="L35" i="6"/>
  <c r="K35" i="6"/>
  <c r="J35" i="6"/>
  <c r="H35" i="6"/>
  <c r="G35" i="6"/>
  <c r="F35" i="6"/>
  <c r="D35" i="6"/>
  <c r="B35" i="6"/>
  <c r="S34" i="6"/>
  <c r="R34" i="6"/>
  <c r="Q34" i="6"/>
  <c r="O34" i="6"/>
  <c r="N34" i="6"/>
  <c r="L34" i="6"/>
  <c r="K34" i="6"/>
  <c r="J34" i="6"/>
  <c r="H34" i="6"/>
  <c r="G34" i="6"/>
  <c r="F34" i="6"/>
  <c r="B34" i="6"/>
  <c r="S33" i="6"/>
  <c r="R33" i="6"/>
  <c r="Q33" i="6"/>
  <c r="O33" i="6"/>
  <c r="L33" i="6"/>
  <c r="K33" i="6"/>
  <c r="J33" i="6"/>
  <c r="H33" i="6"/>
  <c r="G33" i="6"/>
  <c r="F33" i="6"/>
  <c r="B33" i="6"/>
  <c r="S32" i="6"/>
  <c r="R32" i="6"/>
  <c r="Q32" i="6"/>
  <c r="O32" i="6"/>
  <c r="N32" i="6"/>
  <c r="L32" i="6"/>
  <c r="K32" i="6"/>
  <c r="J32" i="6"/>
  <c r="H32" i="6"/>
  <c r="G32" i="6"/>
  <c r="F32" i="6"/>
  <c r="B32" i="6"/>
  <c r="S31" i="6"/>
  <c r="R31" i="6"/>
  <c r="Q31" i="6"/>
  <c r="O31" i="6"/>
  <c r="L31" i="6"/>
  <c r="K31" i="6"/>
  <c r="J31" i="6"/>
  <c r="H31" i="6"/>
  <c r="G31" i="6"/>
  <c r="F31" i="6"/>
  <c r="B31" i="6"/>
  <c r="S30" i="6"/>
  <c r="R30" i="6"/>
  <c r="Q30" i="6"/>
  <c r="O30" i="6"/>
  <c r="N30" i="6"/>
  <c r="L30" i="6"/>
  <c r="K30" i="6"/>
  <c r="J30" i="6"/>
  <c r="H30" i="6"/>
  <c r="G30" i="6"/>
  <c r="F30" i="6"/>
  <c r="B30" i="6"/>
  <c r="S29" i="6"/>
  <c r="R29" i="6"/>
  <c r="Q29" i="6"/>
  <c r="O29" i="6"/>
  <c r="N29" i="6"/>
  <c r="L29" i="6"/>
  <c r="K29" i="6"/>
  <c r="J29" i="6"/>
  <c r="H29" i="6"/>
  <c r="G29" i="6"/>
  <c r="F29" i="6"/>
  <c r="B29" i="6"/>
  <c r="S28" i="6"/>
  <c r="R28" i="6"/>
  <c r="Q28" i="6"/>
  <c r="O28" i="6"/>
  <c r="N28" i="6"/>
  <c r="L28" i="6"/>
  <c r="K28" i="6"/>
  <c r="J28" i="6"/>
  <c r="H28" i="6"/>
  <c r="G28" i="6"/>
  <c r="F28" i="6"/>
  <c r="B28" i="6"/>
  <c r="S27" i="6"/>
  <c r="R27" i="6"/>
  <c r="Q27" i="6"/>
  <c r="O27" i="6"/>
  <c r="N27" i="6"/>
  <c r="L27" i="6"/>
  <c r="K27" i="6"/>
  <c r="J27" i="6"/>
  <c r="H27" i="6"/>
  <c r="G27" i="6"/>
  <c r="F27" i="6"/>
  <c r="B27" i="6"/>
  <c r="S26" i="6"/>
  <c r="R26" i="6"/>
  <c r="Q26" i="6"/>
  <c r="O26" i="6"/>
  <c r="N26" i="6"/>
  <c r="L26" i="6"/>
  <c r="K26" i="6"/>
  <c r="J26" i="6"/>
  <c r="H26" i="6"/>
  <c r="G26" i="6"/>
  <c r="F26" i="6"/>
  <c r="B26" i="6"/>
  <c r="S25" i="6"/>
  <c r="R25" i="6"/>
  <c r="Q25" i="6"/>
  <c r="P25" i="6"/>
  <c r="O25" i="6"/>
  <c r="N25" i="6"/>
  <c r="L25" i="6"/>
  <c r="K25" i="6"/>
  <c r="J25" i="6"/>
  <c r="H25" i="6"/>
  <c r="G25" i="6"/>
  <c r="F25" i="6"/>
  <c r="B25" i="6"/>
  <c r="R24" i="6"/>
  <c r="H24" i="6"/>
  <c r="B24" i="6"/>
  <c r="H23" i="6"/>
  <c r="B23" i="6"/>
  <c r="H22" i="6"/>
  <c r="B22" i="6"/>
  <c r="H21" i="6"/>
  <c r="B21" i="6"/>
  <c r="H20" i="6"/>
  <c r="B20" i="6"/>
  <c r="H19" i="6"/>
  <c r="B19" i="6"/>
  <c r="H18" i="6"/>
  <c r="B18" i="6"/>
  <c r="H17" i="6"/>
  <c r="B17" i="6"/>
  <c r="H16" i="6"/>
  <c r="B16" i="6"/>
  <c r="H15" i="6"/>
  <c r="B15" i="6"/>
  <c r="B14" i="6"/>
  <c r="O201" i="5"/>
  <c r="M201" i="5"/>
  <c r="O200" i="5"/>
  <c r="M200" i="5"/>
  <c r="O199" i="5"/>
  <c r="M199" i="5"/>
  <c r="O198" i="5"/>
  <c r="M198" i="5"/>
  <c r="O197" i="5"/>
  <c r="M197" i="5"/>
  <c r="O196" i="5"/>
  <c r="M196" i="5"/>
  <c r="O195" i="5"/>
  <c r="M195" i="5"/>
  <c r="O194" i="5"/>
  <c r="M194" i="5"/>
  <c r="O193" i="5"/>
  <c r="M193" i="5"/>
  <c r="O192" i="5"/>
  <c r="M192" i="5"/>
  <c r="O191" i="5"/>
  <c r="M191" i="5"/>
  <c r="O190" i="5"/>
  <c r="M190" i="5"/>
  <c r="O189" i="5"/>
  <c r="M189" i="5"/>
  <c r="O188" i="5"/>
  <c r="M188" i="5"/>
  <c r="O187" i="5"/>
  <c r="M187" i="5"/>
  <c r="O186" i="5"/>
  <c r="M186" i="5"/>
  <c r="O185" i="5"/>
  <c r="M185" i="5"/>
  <c r="O184" i="5"/>
  <c r="M184" i="5"/>
  <c r="O183" i="5"/>
  <c r="M183" i="5"/>
  <c r="O182" i="5"/>
  <c r="M182" i="5"/>
  <c r="O181" i="5"/>
  <c r="M181" i="5"/>
  <c r="O180" i="5"/>
  <c r="M180" i="5"/>
  <c r="O179" i="5"/>
  <c r="M179" i="5"/>
  <c r="O178" i="5"/>
  <c r="M178" i="5"/>
  <c r="O177" i="5"/>
  <c r="M177" i="5"/>
  <c r="O176" i="5"/>
  <c r="M176" i="5"/>
  <c r="O175" i="5"/>
  <c r="M175" i="5"/>
  <c r="O174" i="5"/>
  <c r="M174" i="5"/>
  <c r="O173" i="5"/>
  <c r="M173" i="5"/>
  <c r="O172" i="5"/>
  <c r="M172" i="5"/>
  <c r="O171" i="5"/>
  <c r="M171" i="5"/>
  <c r="O170" i="5"/>
  <c r="M170" i="5"/>
  <c r="O169" i="5"/>
  <c r="M169" i="5"/>
  <c r="O168" i="5"/>
  <c r="M168" i="5"/>
  <c r="O167" i="5"/>
  <c r="M167" i="5"/>
  <c r="O166" i="5"/>
  <c r="M166" i="5"/>
  <c r="O165" i="5"/>
  <c r="M165" i="5"/>
  <c r="O164" i="5"/>
  <c r="M164" i="5"/>
  <c r="O163" i="5"/>
  <c r="M163" i="5"/>
  <c r="O162" i="5"/>
  <c r="M162" i="5"/>
  <c r="O161" i="5"/>
  <c r="M161" i="5"/>
  <c r="O160" i="5"/>
  <c r="M160" i="5"/>
  <c r="O159" i="5"/>
  <c r="M159" i="5"/>
  <c r="O158" i="5"/>
  <c r="M158" i="5"/>
  <c r="O157" i="5"/>
  <c r="M157" i="5"/>
  <c r="O156" i="5"/>
  <c r="M156" i="5"/>
  <c r="O155" i="5"/>
  <c r="M155" i="5"/>
  <c r="O154" i="5"/>
  <c r="M154" i="5"/>
  <c r="O153" i="5"/>
  <c r="M153" i="5"/>
  <c r="O152" i="5"/>
  <c r="M152" i="5"/>
  <c r="O151" i="5"/>
  <c r="M151" i="5"/>
  <c r="O150" i="5"/>
  <c r="M150" i="5"/>
  <c r="O149" i="5"/>
  <c r="M149" i="5"/>
  <c r="O148" i="5"/>
  <c r="M148" i="5"/>
  <c r="O147" i="5"/>
  <c r="M147" i="5"/>
  <c r="O146" i="5"/>
  <c r="M146" i="5"/>
  <c r="O145" i="5"/>
  <c r="M145" i="5"/>
  <c r="O144" i="5"/>
  <c r="M144" i="5"/>
  <c r="O143" i="5"/>
  <c r="M143" i="5"/>
  <c r="O142" i="5"/>
  <c r="M142" i="5"/>
  <c r="O141" i="5"/>
  <c r="M141" i="5"/>
  <c r="O140" i="5"/>
  <c r="M140" i="5"/>
  <c r="O139" i="5"/>
  <c r="M139" i="5"/>
  <c r="O138" i="5"/>
  <c r="M138" i="5"/>
  <c r="O137" i="5"/>
  <c r="M137" i="5"/>
  <c r="O136" i="5"/>
  <c r="M136" i="5"/>
  <c r="O135" i="5"/>
  <c r="M135" i="5"/>
  <c r="O134" i="5"/>
  <c r="M134" i="5"/>
  <c r="O133" i="5"/>
  <c r="M133" i="5"/>
  <c r="O132" i="5"/>
  <c r="M132" i="5"/>
  <c r="O131" i="5"/>
  <c r="M131" i="5"/>
  <c r="O130" i="5"/>
  <c r="M130" i="5"/>
  <c r="O129" i="5"/>
  <c r="M129" i="5"/>
  <c r="O128" i="5"/>
  <c r="M128" i="5"/>
  <c r="O127" i="5"/>
  <c r="M127" i="5"/>
  <c r="O126" i="5"/>
  <c r="M126" i="5"/>
  <c r="O125" i="5"/>
  <c r="M125" i="5"/>
  <c r="O124" i="5"/>
  <c r="M124" i="5"/>
  <c r="O123" i="5"/>
  <c r="M123" i="5"/>
  <c r="O122" i="5"/>
  <c r="M122" i="5"/>
  <c r="O121" i="5"/>
  <c r="M121" i="5"/>
  <c r="O120" i="5"/>
  <c r="M120" i="5"/>
  <c r="O119" i="5"/>
  <c r="M119" i="5"/>
  <c r="O118" i="5"/>
  <c r="M118" i="5"/>
  <c r="O117" i="5"/>
  <c r="M117" i="5"/>
  <c r="O116" i="5"/>
  <c r="M116" i="5"/>
  <c r="O115" i="5"/>
  <c r="M115" i="5"/>
  <c r="O114" i="5"/>
  <c r="M114" i="5"/>
  <c r="O113" i="5"/>
  <c r="M113" i="5"/>
  <c r="O112" i="5"/>
  <c r="M112" i="5"/>
  <c r="O111" i="5"/>
  <c r="M111" i="5"/>
  <c r="O110" i="5"/>
  <c r="M110" i="5"/>
  <c r="O109" i="5"/>
  <c r="M109" i="5"/>
  <c r="O108" i="5"/>
  <c r="M108" i="5"/>
  <c r="O107" i="5"/>
  <c r="M107" i="5"/>
  <c r="O106" i="5"/>
  <c r="M106" i="5"/>
  <c r="O105" i="5"/>
  <c r="M105" i="5"/>
  <c r="O104" i="5"/>
  <c r="M104" i="5"/>
  <c r="O103" i="5"/>
  <c r="M103" i="5"/>
  <c r="O102" i="5"/>
  <c r="M102" i="5"/>
  <c r="O101" i="5"/>
  <c r="M101" i="5"/>
  <c r="O100" i="5"/>
  <c r="M100" i="5"/>
  <c r="O99" i="5"/>
  <c r="M99" i="5"/>
  <c r="O98" i="5"/>
  <c r="M98" i="5"/>
  <c r="O97" i="5"/>
  <c r="M97" i="5"/>
  <c r="O96" i="5"/>
  <c r="M96" i="5"/>
  <c r="O95" i="5"/>
  <c r="M95" i="5"/>
  <c r="O94" i="5"/>
  <c r="M94" i="5"/>
  <c r="O93" i="5"/>
  <c r="M93" i="5"/>
  <c r="O92" i="5"/>
  <c r="M92" i="5"/>
  <c r="O91" i="5"/>
  <c r="M91" i="5"/>
  <c r="O90" i="5"/>
  <c r="M90" i="5"/>
  <c r="O89" i="5"/>
  <c r="M89" i="5"/>
  <c r="O88" i="5"/>
  <c r="M88" i="5"/>
  <c r="O87" i="5"/>
  <c r="M87" i="5"/>
  <c r="O86" i="5"/>
  <c r="M86" i="5"/>
  <c r="O85" i="5"/>
  <c r="M85" i="5"/>
  <c r="O84" i="5"/>
  <c r="M84" i="5"/>
  <c r="O83" i="5"/>
  <c r="M83" i="5"/>
  <c r="O82" i="5"/>
  <c r="M82" i="5"/>
  <c r="O81" i="5"/>
  <c r="M81" i="5"/>
  <c r="O80" i="5"/>
  <c r="M80" i="5"/>
  <c r="O79" i="5"/>
  <c r="M79" i="5"/>
  <c r="O78" i="5"/>
  <c r="M78" i="5"/>
  <c r="O77" i="5"/>
  <c r="M77" i="5"/>
  <c r="O76" i="5"/>
  <c r="M76" i="5"/>
  <c r="O75" i="5"/>
  <c r="M75" i="5"/>
  <c r="O74" i="5"/>
  <c r="M74" i="5"/>
  <c r="O73" i="5"/>
  <c r="M73" i="5"/>
  <c r="O72" i="5"/>
  <c r="M72" i="5"/>
  <c r="O71" i="5"/>
  <c r="M71" i="5"/>
  <c r="O70" i="5"/>
  <c r="M70" i="5"/>
  <c r="O69" i="5"/>
  <c r="M69" i="5"/>
  <c r="O68" i="5"/>
  <c r="M68" i="5"/>
  <c r="O67" i="5"/>
  <c r="M67" i="5"/>
  <c r="O66" i="5"/>
  <c r="M66" i="5"/>
  <c r="O65" i="5"/>
  <c r="M65" i="5"/>
  <c r="O64" i="5"/>
  <c r="M64" i="5"/>
  <c r="O63" i="5"/>
  <c r="M63" i="5"/>
  <c r="O62" i="5"/>
  <c r="M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801" i="2"/>
  <c r="M801" i="2"/>
  <c r="O800" i="2"/>
  <c r="M800" i="2"/>
  <c r="O799" i="2"/>
  <c r="M799" i="2"/>
  <c r="O798" i="2"/>
  <c r="M798" i="2"/>
  <c r="O797" i="2"/>
  <c r="M797" i="2"/>
  <c r="O796" i="2"/>
  <c r="M796" i="2"/>
  <c r="O795" i="2"/>
  <c r="M795" i="2"/>
  <c r="O794" i="2"/>
  <c r="M794" i="2"/>
  <c r="O793" i="2"/>
  <c r="M793" i="2"/>
  <c r="O792" i="2"/>
  <c r="M792" i="2"/>
  <c r="O791" i="2"/>
  <c r="M791" i="2"/>
  <c r="O790" i="2"/>
  <c r="M790" i="2"/>
  <c r="O789" i="2"/>
  <c r="M789" i="2"/>
  <c r="O788" i="2"/>
  <c r="M788" i="2"/>
  <c r="O787" i="2"/>
  <c r="M787" i="2"/>
  <c r="O786" i="2"/>
  <c r="M786" i="2"/>
  <c r="O785" i="2"/>
  <c r="M785" i="2"/>
  <c r="O784" i="2"/>
  <c r="M784" i="2"/>
  <c r="O783" i="2"/>
  <c r="M783" i="2"/>
  <c r="O782" i="2"/>
  <c r="M782" i="2"/>
  <c r="O781" i="2"/>
  <c r="M781" i="2"/>
  <c r="O780" i="2"/>
  <c r="M780" i="2"/>
  <c r="O779" i="2"/>
  <c r="M779" i="2"/>
  <c r="O778" i="2"/>
  <c r="M778" i="2"/>
  <c r="O777" i="2"/>
  <c r="M777" i="2"/>
  <c r="O776" i="2"/>
  <c r="M776" i="2"/>
  <c r="O775" i="2"/>
  <c r="M775" i="2"/>
  <c r="O774" i="2"/>
  <c r="M774" i="2"/>
  <c r="O773" i="2"/>
  <c r="M773" i="2"/>
  <c r="O772" i="2"/>
  <c r="M772" i="2"/>
  <c r="O771" i="2"/>
  <c r="M771" i="2"/>
  <c r="O770" i="2"/>
  <c r="M770" i="2"/>
  <c r="O769" i="2"/>
  <c r="M769" i="2"/>
  <c r="O768" i="2"/>
  <c r="M768" i="2"/>
  <c r="O767" i="2"/>
  <c r="M767" i="2"/>
  <c r="O766" i="2"/>
  <c r="M766" i="2"/>
  <c r="O765" i="2"/>
  <c r="M765" i="2"/>
  <c r="O764" i="2"/>
  <c r="M764" i="2"/>
  <c r="O763" i="2"/>
  <c r="M763" i="2"/>
  <c r="O762" i="2"/>
  <c r="M762" i="2"/>
  <c r="O761" i="2"/>
  <c r="M761" i="2"/>
  <c r="O760" i="2"/>
  <c r="M760" i="2"/>
  <c r="O759" i="2"/>
  <c r="M759" i="2"/>
  <c r="O758" i="2"/>
  <c r="M758" i="2"/>
  <c r="O757" i="2"/>
  <c r="M757" i="2"/>
  <c r="O756" i="2"/>
  <c r="M756" i="2"/>
  <c r="O755" i="2"/>
  <c r="M755" i="2"/>
  <c r="O754" i="2"/>
  <c r="M754" i="2"/>
  <c r="O753" i="2"/>
  <c r="M753" i="2"/>
  <c r="O752" i="2"/>
  <c r="M752" i="2"/>
  <c r="O751" i="2"/>
  <c r="M751" i="2"/>
  <c r="O750" i="2"/>
  <c r="M750" i="2"/>
  <c r="O749" i="2"/>
  <c r="M749" i="2"/>
  <c r="O748" i="2"/>
  <c r="M748" i="2"/>
  <c r="O747" i="2"/>
  <c r="M747" i="2"/>
  <c r="O746" i="2"/>
  <c r="M746" i="2"/>
  <c r="O745" i="2"/>
  <c r="M745" i="2"/>
  <c r="O744" i="2"/>
  <c r="M744" i="2"/>
  <c r="O743" i="2"/>
  <c r="M743" i="2"/>
  <c r="O742" i="2"/>
  <c r="M742" i="2"/>
  <c r="O741" i="2"/>
  <c r="M741" i="2"/>
  <c r="O740" i="2"/>
  <c r="M740" i="2"/>
  <c r="O739" i="2"/>
  <c r="M739" i="2"/>
  <c r="O738" i="2"/>
  <c r="M738" i="2"/>
  <c r="O737" i="2"/>
  <c r="M737" i="2"/>
  <c r="O736" i="2"/>
  <c r="M736" i="2"/>
  <c r="O735" i="2"/>
  <c r="M735" i="2"/>
  <c r="O734" i="2"/>
  <c r="M734" i="2"/>
  <c r="O733" i="2"/>
  <c r="M733" i="2"/>
  <c r="O732" i="2"/>
  <c r="M732" i="2"/>
  <c r="O731" i="2"/>
  <c r="M731" i="2"/>
  <c r="O730" i="2"/>
  <c r="M730" i="2"/>
  <c r="O729" i="2"/>
  <c r="M729" i="2"/>
  <c r="O728" i="2"/>
  <c r="M728" i="2"/>
  <c r="O727" i="2"/>
  <c r="M727" i="2"/>
  <c r="O726" i="2"/>
  <c r="M726" i="2"/>
  <c r="O725" i="2"/>
  <c r="M725" i="2"/>
  <c r="O724" i="2"/>
  <c r="M724" i="2"/>
  <c r="O723" i="2"/>
  <c r="M723" i="2"/>
  <c r="O722" i="2"/>
  <c r="M722" i="2"/>
  <c r="O721" i="2"/>
  <c r="M721" i="2"/>
  <c r="O720" i="2"/>
  <c r="M720" i="2"/>
  <c r="O719" i="2"/>
  <c r="M719" i="2"/>
  <c r="O718" i="2"/>
  <c r="M718" i="2"/>
  <c r="O717" i="2"/>
  <c r="M717" i="2"/>
  <c r="O716" i="2"/>
  <c r="M716" i="2"/>
  <c r="O715" i="2"/>
  <c r="M715" i="2"/>
  <c r="O714" i="2"/>
  <c r="M714" i="2"/>
  <c r="O713" i="2"/>
  <c r="M713" i="2"/>
  <c r="O712" i="2"/>
  <c r="M712" i="2"/>
  <c r="O711" i="2"/>
  <c r="M711" i="2"/>
  <c r="O710" i="2"/>
  <c r="M710" i="2"/>
  <c r="O709" i="2"/>
  <c r="M709" i="2"/>
  <c r="O708" i="2"/>
  <c r="M708" i="2"/>
  <c r="O707" i="2"/>
  <c r="M707" i="2"/>
  <c r="O706" i="2"/>
  <c r="M706" i="2"/>
  <c r="O705" i="2"/>
  <c r="M705" i="2"/>
  <c r="O704" i="2"/>
  <c r="M704" i="2"/>
  <c r="O703" i="2"/>
  <c r="M703" i="2"/>
  <c r="O702" i="2"/>
  <c r="M702" i="2"/>
  <c r="O701" i="2"/>
  <c r="M701" i="2"/>
  <c r="O700" i="2"/>
  <c r="M700" i="2"/>
  <c r="O699" i="2"/>
  <c r="M699" i="2"/>
  <c r="O698" i="2"/>
  <c r="M698" i="2"/>
  <c r="O697" i="2"/>
  <c r="M697" i="2"/>
  <c r="O696" i="2"/>
  <c r="M696" i="2"/>
  <c r="O695" i="2"/>
  <c r="M695" i="2"/>
  <c r="O694" i="2"/>
  <c r="M694" i="2"/>
  <c r="O693" i="2"/>
  <c r="M693" i="2"/>
  <c r="O692" i="2"/>
  <c r="M692" i="2"/>
  <c r="O691" i="2"/>
  <c r="M691" i="2"/>
  <c r="O690" i="2"/>
  <c r="M690" i="2"/>
  <c r="O689" i="2"/>
  <c r="M689" i="2"/>
  <c r="O688" i="2"/>
  <c r="M688" i="2"/>
  <c r="O687" i="2"/>
  <c r="M687" i="2"/>
  <c r="O686" i="2"/>
  <c r="M686" i="2"/>
  <c r="O685" i="2"/>
  <c r="M685" i="2"/>
  <c r="O684" i="2"/>
  <c r="M684" i="2"/>
  <c r="O683" i="2"/>
  <c r="M683" i="2"/>
  <c r="O682" i="2"/>
  <c r="M682" i="2"/>
  <c r="O681" i="2"/>
  <c r="M681" i="2"/>
  <c r="O680" i="2"/>
  <c r="M680" i="2"/>
  <c r="O679" i="2"/>
  <c r="M679" i="2"/>
  <c r="O678" i="2"/>
  <c r="M678" i="2"/>
  <c r="O677" i="2"/>
  <c r="M677" i="2"/>
  <c r="O676" i="2"/>
  <c r="M676" i="2"/>
  <c r="O675" i="2"/>
  <c r="M675" i="2"/>
  <c r="O674" i="2"/>
  <c r="M674" i="2"/>
  <c r="O673" i="2"/>
  <c r="M673" i="2"/>
  <c r="O672" i="2"/>
  <c r="M672" i="2"/>
  <c r="O671" i="2"/>
  <c r="M671" i="2"/>
  <c r="O670" i="2"/>
  <c r="M670" i="2"/>
  <c r="O669" i="2"/>
  <c r="M669" i="2"/>
  <c r="O668" i="2"/>
  <c r="M668" i="2"/>
  <c r="O667" i="2"/>
  <c r="M667" i="2"/>
  <c r="O666" i="2"/>
  <c r="M666" i="2"/>
  <c r="O665" i="2"/>
  <c r="M665" i="2"/>
  <c r="O664" i="2"/>
  <c r="M664" i="2"/>
  <c r="O663" i="2"/>
  <c r="M663" i="2"/>
  <c r="O662" i="2"/>
  <c r="M662" i="2"/>
  <c r="O661" i="2"/>
  <c r="M661" i="2"/>
  <c r="O660" i="2"/>
  <c r="M660" i="2"/>
  <c r="O659" i="2"/>
  <c r="M659" i="2"/>
  <c r="O658" i="2"/>
  <c r="M658" i="2"/>
  <c r="O657" i="2"/>
  <c r="M657" i="2"/>
  <c r="O656" i="2"/>
  <c r="M656" i="2"/>
  <c r="O655" i="2"/>
  <c r="M655" i="2"/>
  <c r="O654" i="2"/>
  <c r="M654" i="2"/>
  <c r="O653" i="2"/>
  <c r="M653" i="2"/>
  <c r="O652" i="2"/>
  <c r="M652" i="2"/>
  <c r="O651" i="2"/>
  <c r="M651" i="2"/>
  <c r="O650" i="2"/>
  <c r="M650" i="2"/>
  <c r="O649" i="2"/>
  <c r="M649" i="2"/>
  <c r="O648" i="2"/>
  <c r="M648" i="2"/>
  <c r="O647" i="2"/>
  <c r="M647" i="2"/>
  <c r="O646" i="2"/>
  <c r="M646" i="2"/>
  <c r="O645" i="2"/>
  <c r="M645" i="2"/>
  <c r="O644" i="2"/>
  <c r="M644" i="2"/>
  <c r="O643" i="2"/>
  <c r="M643" i="2"/>
  <c r="O642" i="2"/>
  <c r="M642" i="2"/>
  <c r="O641" i="2"/>
  <c r="M641" i="2"/>
  <c r="O640" i="2"/>
  <c r="M640" i="2"/>
  <c r="O639" i="2"/>
  <c r="M639" i="2"/>
  <c r="O638" i="2"/>
  <c r="M638" i="2"/>
  <c r="O637" i="2"/>
  <c r="M637" i="2"/>
  <c r="O636" i="2"/>
  <c r="M636" i="2"/>
  <c r="O635" i="2"/>
  <c r="M635" i="2"/>
  <c r="O634" i="2"/>
  <c r="M634" i="2"/>
  <c r="O633" i="2"/>
  <c r="M633" i="2"/>
  <c r="O632" i="2"/>
  <c r="M632" i="2"/>
  <c r="O631" i="2"/>
  <c r="M631" i="2"/>
  <c r="O630" i="2"/>
  <c r="M630" i="2"/>
  <c r="O629" i="2"/>
  <c r="M629" i="2"/>
  <c r="O628" i="2"/>
  <c r="M628" i="2"/>
  <c r="O627" i="2"/>
  <c r="M627" i="2"/>
  <c r="O626" i="2"/>
  <c r="M626" i="2"/>
  <c r="O625" i="2"/>
  <c r="M625" i="2"/>
  <c r="O624" i="2"/>
  <c r="M624" i="2"/>
  <c r="O623" i="2"/>
  <c r="M623" i="2"/>
  <c r="O622" i="2"/>
  <c r="M622" i="2"/>
  <c r="O621" i="2"/>
  <c r="M621" i="2"/>
  <c r="O620" i="2"/>
  <c r="M620" i="2"/>
  <c r="O619" i="2"/>
  <c r="M619" i="2"/>
  <c r="O618" i="2"/>
  <c r="M618" i="2"/>
  <c r="O617" i="2"/>
  <c r="M617" i="2"/>
  <c r="O616" i="2"/>
  <c r="M616" i="2"/>
  <c r="O615" i="2"/>
  <c r="M615" i="2"/>
  <c r="O614" i="2"/>
  <c r="M614" i="2"/>
  <c r="O613" i="2"/>
  <c r="M613" i="2"/>
  <c r="O612" i="2"/>
  <c r="M612" i="2"/>
  <c r="O611" i="2"/>
  <c r="M611" i="2"/>
  <c r="O610" i="2"/>
  <c r="M610" i="2"/>
  <c r="O609" i="2"/>
  <c r="M609" i="2"/>
  <c r="O608" i="2"/>
  <c r="M608" i="2"/>
  <c r="O607" i="2"/>
  <c r="M607" i="2"/>
  <c r="O606" i="2"/>
  <c r="M606" i="2"/>
  <c r="O605" i="2"/>
  <c r="M605" i="2"/>
  <c r="O604" i="2"/>
  <c r="M604" i="2"/>
  <c r="O603" i="2"/>
  <c r="M603" i="2"/>
  <c r="O602" i="2"/>
  <c r="M602" i="2"/>
  <c r="O601" i="2"/>
  <c r="M601" i="2"/>
  <c r="O600" i="2"/>
  <c r="M600" i="2"/>
  <c r="O599" i="2"/>
  <c r="M599" i="2"/>
  <c r="O598" i="2"/>
  <c r="M598" i="2"/>
  <c r="O597" i="2"/>
  <c r="M597" i="2"/>
  <c r="O596" i="2"/>
  <c r="M596" i="2"/>
  <c r="O595" i="2"/>
  <c r="M595" i="2"/>
  <c r="O594" i="2"/>
  <c r="M594" i="2"/>
  <c r="O593" i="2"/>
  <c r="M593" i="2"/>
  <c r="O592" i="2"/>
  <c r="M592" i="2"/>
  <c r="O591" i="2"/>
  <c r="M591" i="2"/>
  <c r="O590" i="2"/>
  <c r="M590" i="2"/>
  <c r="O589" i="2"/>
  <c r="M589" i="2"/>
  <c r="O588" i="2"/>
  <c r="M588" i="2"/>
  <c r="O587" i="2"/>
  <c r="M587" i="2"/>
  <c r="O586" i="2"/>
  <c r="M586" i="2"/>
  <c r="O585" i="2"/>
  <c r="M585" i="2"/>
  <c r="O584" i="2"/>
  <c r="M584" i="2"/>
  <c r="O583" i="2"/>
  <c r="M583" i="2"/>
  <c r="O582" i="2"/>
  <c r="M582" i="2"/>
  <c r="O581" i="2"/>
  <c r="M581" i="2"/>
  <c r="O580" i="2"/>
  <c r="M580" i="2"/>
  <c r="O579" i="2"/>
  <c r="M579" i="2"/>
  <c r="O578" i="2"/>
  <c r="M578" i="2"/>
  <c r="O577" i="2"/>
  <c r="M577" i="2"/>
  <c r="O576" i="2"/>
  <c r="M576" i="2"/>
  <c r="O575" i="2"/>
  <c r="M575" i="2"/>
  <c r="O574" i="2"/>
  <c r="M574" i="2"/>
  <c r="O573" i="2"/>
  <c r="M573" i="2"/>
  <c r="O572" i="2"/>
  <c r="M572" i="2"/>
  <c r="O571" i="2"/>
  <c r="M571" i="2"/>
  <c r="O570" i="2"/>
  <c r="M570" i="2"/>
  <c r="O569" i="2"/>
  <c r="M569" i="2"/>
  <c r="O568" i="2"/>
  <c r="M568" i="2"/>
  <c r="O567" i="2"/>
  <c r="M567" i="2"/>
  <c r="O566" i="2"/>
  <c r="M566" i="2"/>
  <c r="O565" i="2"/>
  <c r="M565" i="2"/>
  <c r="O564" i="2"/>
  <c r="M564" i="2"/>
  <c r="O563" i="2"/>
  <c r="M563" i="2"/>
  <c r="O562" i="2"/>
  <c r="M562" i="2"/>
  <c r="O561" i="2"/>
  <c r="M561" i="2"/>
  <c r="O560" i="2"/>
  <c r="M560" i="2"/>
  <c r="O559" i="2"/>
  <c r="M559" i="2"/>
  <c r="O558" i="2"/>
  <c r="M558" i="2"/>
  <c r="O557" i="2"/>
  <c r="M557" i="2"/>
  <c r="O556" i="2"/>
  <c r="M556" i="2"/>
  <c r="O555" i="2"/>
  <c r="M555" i="2"/>
  <c r="O554" i="2"/>
  <c r="M554" i="2"/>
  <c r="O553" i="2"/>
  <c r="M553" i="2"/>
  <c r="O552" i="2"/>
  <c r="M552" i="2"/>
  <c r="O551" i="2"/>
  <c r="M551" i="2"/>
  <c r="O550" i="2"/>
  <c r="M550" i="2"/>
  <c r="O549" i="2"/>
  <c r="M549" i="2"/>
  <c r="O548" i="2"/>
  <c r="M548" i="2"/>
  <c r="O547" i="2"/>
  <c r="M547" i="2"/>
  <c r="O546" i="2"/>
  <c r="M546" i="2"/>
  <c r="O545" i="2"/>
  <c r="M545" i="2"/>
  <c r="O544" i="2"/>
  <c r="M544" i="2"/>
  <c r="O543" i="2"/>
  <c r="M543" i="2"/>
  <c r="O542" i="2"/>
  <c r="M542" i="2"/>
  <c r="O541" i="2"/>
  <c r="M541" i="2"/>
  <c r="O540" i="2"/>
  <c r="M540" i="2"/>
  <c r="O539" i="2"/>
  <c r="M539" i="2"/>
  <c r="O538" i="2"/>
  <c r="M538" i="2"/>
  <c r="O537" i="2"/>
  <c r="M537" i="2"/>
  <c r="O536" i="2"/>
  <c r="M536" i="2"/>
  <c r="O535" i="2"/>
  <c r="M535" i="2"/>
  <c r="O534" i="2"/>
  <c r="M534" i="2"/>
  <c r="O533" i="2"/>
  <c r="M533" i="2"/>
  <c r="O532" i="2"/>
  <c r="M532" i="2"/>
  <c r="O531" i="2"/>
  <c r="M531" i="2"/>
  <c r="O530" i="2"/>
  <c r="M530" i="2"/>
  <c r="O529" i="2"/>
  <c r="M529" i="2"/>
  <c r="O528" i="2"/>
  <c r="M528" i="2"/>
  <c r="O527" i="2"/>
  <c r="M527" i="2"/>
  <c r="O526" i="2"/>
  <c r="M526" i="2"/>
  <c r="O525" i="2"/>
  <c r="M525" i="2"/>
  <c r="O524" i="2"/>
  <c r="M524" i="2"/>
  <c r="O523" i="2"/>
  <c r="M523" i="2"/>
  <c r="O522" i="2"/>
  <c r="M522" i="2"/>
  <c r="O521" i="2"/>
  <c r="M521" i="2"/>
  <c r="O520" i="2"/>
  <c r="M520" i="2"/>
  <c r="O519" i="2"/>
  <c r="M519" i="2"/>
  <c r="O518" i="2"/>
  <c r="M518" i="2"/>
  <c r="O517" i="2"/>
  <c r="M517" i="2"/>
  <c r="O516" i="2"/>
  <c r="M516" i="2"/>
  <c r="O515" i="2"/>
  <c r="M515" i="2"/>
  <c r="O514" i="2"/>
  <c r="M514" i="2"/>
  <c r="O513" i="2"/>
  <c r="M513" i="2"/>
  <c r="O512" i="2"/>
  <c r="M512" i="2"/>
  <c r="O511" i="2"/>
  <c r="M511" i="2"/>
  <c r="O510" i="2"/>
  <c r="M510" i="2"/>
  <c r="O509" i="2"/>
  <c r="M509" i="2"/>
  <c r="O508" i="2"/>
  <c r="M508" i="2"/>
  <c r="O507" i="2"/>
  <c r="M507" i="2"/>
  <c r="O506" i="2"/>
  <c r="M506" i="2"/>
  <c r="O505" i="2"/>
  <c r="M505" i="2"/>
  <c r="O504" i="2"/>
  <c r="M504" i="2"/>
  <c r="O503" i="2"/>
  <c r="M503" i="2"/>
  <c r="O502" i="2"/>
  <c r="M502" i="2"/>
  <c r="O501" i="2"/>
  <c r="M501" i="2"/>
  <c r="O500" i="2"/>
  <c r="M500" i="2"/>
  <c r="O499" i="2"/>
  <c r="M499" i="2"/>
  <c r="O498" i="2"/>
  <c r="M498" i="2"/>
  <c r="O497" i="2"/>
  <c r="M497" i="2"/>
  <c r="O496" i="2"/>
  <c r="M496" i="2"/>
  <c r="O495" i="2"/>
  <c r="M495" i="2"/>
  <c r="O494" i="2"/>
  <c r="M494" i="2"/>
  <c r="O493" i="2"/>
  <c r="M493" i="2"/>
  <c r="O492" i="2"/>
  <c r="M492" i="2"/>
  <c r="O491" i="2"/>
  <c r="M491" i="2"/>
  <c r="O490" i="2"/>
  <c r="M490" i="2"/>
  <c r="O489" i="2"/>
  <c r="M489" i="2"/>
  <c r="O488" i="2"/>
  <c r="M488" i="2"/>
  <c r="O487" i="2"/>
  <c r="M487" i="2"/>
  <c r="O486" i="2"/>
  <c r="M486" i="2"/>
  <c r="O485" i="2"/>
  <c r="M485" i="2"/>
  <c r="O484" i="2"/>
  <c r="M484" i="2"/>
  <c r="O483" i="2"/>
  <c r="M483" i="2"/>
  <c r="O482" i="2"/>
  <c r="M482" i="2"/>
  <c r="O481" i="2"/>
  <c r="M481" i="2"/>
  <c r="O480" i="2"/>
  <c r="M480" i="2"/>
  <c r="O479" i="2"/>
  <c r="M479" i="2"/>
  <c r="O478" i="2"/>
  <c r="M478" i="2"/>
  <c r="O477" i="2"/>
  <c r="M477" i="2"/>
  <c r="O476" i="2"/>
  <c r="M476" i="2"/>
  <c r="O475" i="2"/>
  <c r="M475" i="2"/>
  <c r="O474" i="2"/>
  <c r="M474" i="2"/>
  <c r="O473" i="2"/>
  <c r="M473" i="2"/>
  <c r="O472" i="2"/>
  <c r="M472" i="2"/>
  <c r="O471" i="2"/>
  <c r="M471" i="2"/>
  <c r="O470" i="2"/>
  <c r="M470" i="2"/>
  <c r="O469" i="2"/>
  <c r="M469" i="2"/>
  <c r="O468" i="2"/>
  <c r="M468" i="2"/>
  <c r="O467" i="2"/>
  <c r="M467" i="2"/>
  <c r="O466" i="2"/>
  <c r="M466" i="2"/>
  <c r="O465" i="2"/>
  <c r="M465" i="2"/>
  <c r="O464" i="2"/>
  <c r="M464" i="2"/>
  <c r="O463" i="2"/>
  <c r="M463" i="2"/>
  <c r="O462" i="2"/>
  <c r="M462" i="2"/>
  <c r="O461" i="2"/>
  <c r="M461" i="2"/>
  <c r="O460" i="2"/>
  <c r="M460" i="2"/>
  <c r="O459" i="2"/>
  <c r="M459" i="2"/>
  <c r="O458" i="2"/>
  <c r="M458" i="2"/>
  <c r="O457" i="2"/>
  <c r="M457" i="2"/>
  <c r="O456" i="2"/>
  <c r="M456" i="2"/>
  <c r="O455" i="2"/>
  <c r="M455" i="2"/>
  <c r="O454" i="2"/>
  <c r="M454" i="2"/>
  <c r="O453" i="2"/>
  <c r="M453" i="2"/>
  <c r="O452" i="2"/>
  <c r="M452" i="2"/>
  <c r="O451" i="2"/>
  <c r="M451" i="2"/>
  <c r="O450" i="2"/>
  <c r="M450" i="2"/>
  <c r="O449" i="2"/>
  <c r="M449" i="2"/>
  <c r="O448" i="2"/>
  <c r="M448" i="2"/>
  <c r="O447" i="2"/>
  <c r="M447" i="2"/>
  <c r="O446" i="2"/>
  <c r="M446" i="2"/>
  <c r="O445" i="2"/>
  <c r="M445" i="2"/>
  <c r="O444" i="2"/>
  <c r="M444" i="2"/>
  <c r="O443" i="2"/>
  <c r="M443" i="2"/>
  <c r="O442" i="2"/>
  <c r="M442" i="2"/>
  <c r="O441" i="2"/>
  <c r="M441" i="2"/>
  <c r="O440" i="2"/>
  <c r="M440" i="2"/>
  <c r="O439" i="2"/>
  <c r="M439" i="2"/>
  <c r="O438" i="2"/>
  <c r="M438" i="2"/>
  <c r="O437" i="2"/>
  <c r="M437" i="2"/>
  <c r="O436" i="2"/>
  <c r="M436" i="2"/>
  <c r="O435" i="2"/>
  <c r="M435" i="2"/>
  <c r="O434" i="2"/>
  <c r="M434" i="2"/>
  <c r="O433" i="2"/>
  <c r="M433" i="2"/>
  <c r="O432" i="2"/>
  <c r="M432" i="2"/>
  <c r="O431" i="2"/>
  <c r="M431" i="2"/>
  <c r="O430" i="2"/>
  <c r="M430" i="2"/>
  <c r="O429" i="2"/>
  <c r="M429" i="2"/>
  <c r="O428" i="2"/>
  <c r="M428" i="2"/>
  <c r="O427" i="2"/>
  <c r="M427" i="2"/>
  <c r="O426" i="2"/>
  <c r="M426" i="2"/>
  <c r="O425" i="2"/>
  <c r="M425" i="2"/>
  <c r="O424" i="2"/>
  <c r="M424" i="2"/>
  <c r="O423" i="2"/>
  <c r="M423" i="2"/>
  <c r="O422" i="2"/>
  <c r="M422" i="2"/>
  <c r="O421" i="2"/>
  <c r="M421" i="2"/>
  <c r="O420" i="2"/>
  <c r="M420" i="2"/>
  <c r="O419" i="2"/>
  <c r="M419" i="2"/>
  <c r="O418" i="2"/>
  <c r="M418" i="2"/>
  <c r="O417" i="2"/>
  <c r="M417" i="2"/>
  <c r="O416" i="2"/>
  <c r="M416" i="2"/>
  <c r="O415" i="2"/>
  <c r="M415" i="2"/>
  <c r="O414" i="2"/>
  <c r="M414" i="2"/>
  <c r="O413" i="2"/>
  <c r="M413" i="2"/>
  <c r="O412" i="2"/>
  <c r="M412" i="2"/>
  <c r="O411" i="2"/>
  <c r="M411" i="2"/>
  <c r="O410" i="2"/>
  <c r="M410" i="2"/>
  <c r="O409" i="2"/>
  <c r="M409" i="2"/>
  <c r="O408" i="2"/>
  <c r="M408" i="2"/>
  <c r="O407" i="2"/>
  <c r="M407" i="2"/>
  <c r="O406" i="2"/>
  <c r="M406" i="2"/>
  <c r="O405" i="2"/>
  <c r="M405" i="2"/>
  <c r="O404" i="2"/>
  <c r="M404" i="2"/>
  <c r="O403" i="2"/>
  <c r="M403" i="2"/>
  <c r="O402" i="2"/>
  <c r="M402" i="2"/>
  <c r="O401" i="2"/>
  <c r="M401" i="2"/>
  <c r="O400" i="2"/>
  <c r="M400" i="2"/>
  <c r="O399" i="2"/>
  <c r="M399" i="2"/>
  <c r="O398" i="2"/>
  <c r="M398" i="2"/>
  <c r="O397" i="2"/>
  <c r="M397" i="2"/>
  <c r="O396" i="2"/>
  <c r="M396" i="2"/>
  <c r="O395" i="2"/>
  <c r="M395" i="2"/>
  <c r="O394" i="2"/>
  <c r="M394" i="2"/>
  <c r="O393" i="2"/>
  <c r="M393" i="2"/>
  <c r="O392" i="2"/>
  <c r="M392" i="2"/>
  <c r="O391" i="2"/>
  <c r="M391" i="2"/>
  <c r="O390" i="2"/>
  <c r="M390" i="2"/>
  <c r="O389" i="2"/>
  <c r="M389" i="2"/>
  <c r="O388" i="2"/>
  <c r="M388" i="2"/>
  <c r="O387" i="2"/>
  <c r="M387" i="2"/>
  <c r="O386" i="2"/>
  <c r="M386" i="2"/>
  <c r="O385" i="2"/>
  <c r="M385" i="2"/>
  <c r="O384" i="2"/>
  <c r="M384" i="2"/>
  <c r="O383" i="2"/>
  <c r="M383" i="2"/>
  <c r="O382" i="2"/>
  <c r="M382" i="2"/>
  <c r="O381" i="2"/>
  <c r="M381" i="2"/>
  <c r="O380" i="2"/>
  <c r="M380" i="2"/>
  <c r="O379" i="2"/>
  <c r="M379" i="2"/>
  <c r="O378" i="2"/>
  <c r="M378" i="2"/>
  <c r="O377" i="2"/>
  <c r="M377" i="2"/>
  <c r="O376" i="2"/>
  <c r="M376" i="2"/>
  <c r="O375" i="2"/>
  <c r="M375" i="2"/>
  <c r="O374" i="2"/>
  <c r="M374" i="2"/>
  <c r="O373" i="2"/>
  <c r="M373" i="2"/>
  <c r="O372" i="2"/>
  <c r="M372" i="2"/>
  <c r="O371" i="2"/>
  <c r="M371" i="2"/>
  <c r="O370" i="2"/>
  <c r="M370" i="2"/>
  <c r="O369" i="2"/>
  <c r="M369" i="2"/>
  <c r="O368" i="2"/>
  <c r="M368" i="2"/>
  <c r="O367" i="2"/>
  <c r="M367" i="2"/>
  <c r="O366" i="2"/>
  <c r="M366" i="2"/>
  <c r="O365" i="2"/>
  <c r="M365" i="2"/>
  <c r="O364" i="2"/>
  <c r="M364" i="2"/>
  <c r="O363" i="2"/>
  <c r="M363" i="2"/>
  <c r="O362" i="2"/>
  <c r="M362" i="2"/>
  <c r="O361" i="2"/>
  <c r="M361" i="2"/>
  <c r="O360" i="2"/>
  <c r="M360" i="2"/>
  <c r="O359" i="2"/>
  <c r="M359" i="2"/>
  <c r="O358" i="2"/>
  <c r="M358" i="2"/>
  <c r="O357" i="2"/>
  <c r="M357" i="2"/>
  <c r="O356" i="2"/>
  <c r="M356" i="2"/>
  <c r="O355" i="2"/>
  <c r="M355" i="2"/>
  <c r="O354" i="2"/>
  <c r="M354" i="2"/>
  <c r="O353" i="2"/>
  <c r="M353" i="2"/>
  <c r="O352" i="2"/>
  <c r="M352" i="2"/>
  <c r="O351" i="2"/>
  <c r="M351" i="2"/>
  <c r="O350" i="2"/>
  <c r="M350" i="2"/>
  <c r="O349" i="2"/>
  <c r="M349" i="2"/>
  <c r="O348" i="2"/>
  <c r="M348" i="2"/>
  <c r="O347" i="2"/>
  <c r="M347" i="2"/>
  <c r="O346" i="2"/>
  <c r="M346" i="2"/>
  <c r="O345" i="2"/>
  <c r="M345" i="2"/>
  <c r="O344" i="2"/>
  <c r="M344" i="2"/>
  <c r="O343" i="2"/>
  <c r="M343" i="2"/>
  <c r="O342" i="2"/>
  <c r="M342" i="2"/>
  <c r="O341" i="2"/>
  <c r="M341" i="2"/>
  <c r="O340" i="2"/>
  <c r="M340" i="2"/>
  <c r="O339" i="2"/>
  <c r="M339" i="2"/>
  <c r="O338" i="2"/>
  <c r="M338" i="2"/>
  <c r="O337" i="2"/>
  <c r="M337" i="2"/>
  <c r="O336" i="2"/>
  <c r="M336" i="2"/>
  <c r="O335" i="2"/>
  <c r="M335" i="2"/>
  <c r="O334" i="2"/>
  <c r="M334" i="2"/>
  <c r="O333" i="2"/>
  <c r="M333" i="2"/>
  <c r="O332" i="2"/>
  <c r="M332" i="2"/>
  <c r="O331" i="2"/>
  <c r="M331" i="2"/>
  <c r="O330" i="2"/>
  <c r="M330" i="2"/>
  <c r="O329" i="2"/>
  <c r="M329" i="2"/>
  <c r="O328" i="2"/>
  <c r="M328" i="2"/>
  <c r="O327" i="2"/>
  <c r="M327" i="2"/>
  <c r="O326" i="2"/>
  <c r="M326" i="2"/>
  <c r="O325" i="2"/>
  <c r="M325" i="2"/>
  <c r="O324" i="2"/>
  <c r="M324" i="2"/>
  <c r="O323" i="2"/>
  <c r="M323" i="2"/>
  <c r="O322" i="2"/>
  <c r="M322" i="2"/>
  <c r="U321" i="2"/>
  <c r="O321" i="2"/>
  <c r="U320" i="2"/>
  <c r="O320" i="2"/>
  <c r="U319" i="2"/>
  <c r="O319" i="2"/>
  <c r="U318" i="2"/>
  <c r="O318" i="2"/>
  <c r="U317" i="2"/>
  <c r="O317" i="2"/>
  <c r="U316" i="2"/>
  <c r="O316" i="2"/>
  <c r="U315" i="2"/>
  <c r="O315" i="2"/>
  <c r="U314" i="2"/>
  <c r="O314" i="2"/>
  <c r="U313" i="2"/>
  <c r="O313" i="2"/>
  <c r="U312" i="2"/>
  <c r="O312" i="2"/>
  <c r="U311" i="2"/>
  <c r="O311" i="2"/>
  <c r="U310" i="2"/>
  <c r="O310" i="2"/>
  <c r="U309" i="2"/>
  <c r="O309" i="2"/>
  <c r="U308" i="2"/>
  <c r="O308" i="2"/>
  <c r="U307" i="2"/>
  <c r="O307" i="2"/>
  <c r="U306" i="2"/>
  <c r="O306" i="2"/>
  <c r="U305" i="2"/>
  <c r="O305" i="2"/>
  <c r="U304" i="2"/>
  <c r="O304" i="2"/>
  <c r="U303" i="2"/>
  <c r="O303" i="2"/>
  <c r="U302" i="2"/>
  <c r="O302" i="2"/>
  <c r="U301" i="2"/>
  <c r="O301" i="2"/>
  <c r="U300" i="2"/>
  <c r="O300" i="2"/>
  <c r="U299" i="2"/>
  <c r="O299" i="2"/>
  <c r="U298" i="2"/>
  <c r="O298" i="2"/>
  <c r="U297" i="2"/>
  <c r="O297" i="2"/>
  <c r="U296" i="2"/>
  <c r="O296" i="2"/>
  <c r="U295" i="2"/>
  <c r="O295" i="2"/>
  <c r="U294" i="2"/>
  <c r="O294" i="2"/>
  <c r="U293" i="2"/>
  <c r="O293" i="2"/>
  <c r="U292" i="2"/>
  <c r="O292" i="2"/>
  <c r="U291" i="2"/>
  <c r="O291" i="2"/>
  <c r="U290" i="2"/>
  <c r="O290" i="2"/>
  <c r="U289" i="2"/>
  <c r="O289" i="2"/>
  <c r="U288" i="2"/>
  <c r="O288" i="2"/>
  <c r="U287" i="2"/>
  <c r="O287" i="2"/>
  <c r="U286" i="2"/>
  <c r="O286" i="2"/>
  <c r="U285" i="2"/>
  <c r="O285" i="2"/>
  <c r="U284" i="2"/>
  <c r="O284" i="2"/>
  <c r="U283" i="2"/>
  <c r="O283" i="2"/>
  <c r="U282" i="2"/>
  <c r="O282" i="2"/>
  <c r="U281" i="2"/>
  <c r="O281" i="2"/>
  <c r="U280" i="2"/>
  <c r="O280" i="2"/>
  <c r="U279" i="2"/>
  <c r="O279" i="2"/>
  <c r="U278" i="2"/>
  <c r="O278" i="2"/>
  <c r="U277" i="2"/>
  <c r="O277" i="2"/>
  <c r="U276" i="2"/>
  <c r="O276" i="2"/>
  <c r="U275" i="2"/>
  <c r="O275" i="2"/>
  <c r="U274" i="2"/>
  <c r="O274" i="2"/>
  <c r="U273" i="2"/>
  <c r="O273" i="2"/>
  <c r="U272" i="2"/>
  <c r="O272" i="2"/>
  <c r="U271" i="2"/>
  <c r="O271" i="2"/>
  <c r="U270" i="2"/>
  <c r="O270" i="2"/>
  <c r="U269" i="2"/>
  <c r="O269" i="2"/>
  <c r="U268" i="2"/>
  <c r="O268" i="2"/>
  <c r="U267" i="2"/>
  <c r="O267" i="2"/>
  <c r="U266" i="2"/>
  <c r="O266" i="2"/>
  <c r="U265" i="2"/>
  <c r="O265" i="2"/>
  <c r="U264" i="2"/>
  <c r="O264" i="2"/>
  <c r="U263" i="2"/>
  <c r="O263" i="2"/>
  <c r="U262" i="2"/>
  <c r="O262" i="2"/>
  <c r="U261" i="2"/>
  <c r="O261" i="2"/>
  <c r="U260" i="2"/>
  <c r="O260" i="2"/>
  <c r="U259" i="2"/>
  <c r="O259" i="2"/>
  <c r="U258" i="2"/>
  <c r="O258" i="2"/>
  <c r="U257" i="2"/>
  <c r="O257" i="2"/>
  <c r="U256" i="2"/>
  <c r="O256" i="2"/>
  <c r="U255" i="2"/>
  <c r="O255" i="2"/>
  <c r="U254" i="2"/>
  <c r="O254" i="2"/>
  <c r="U253" i="2"/>
  <c r="O253" i="2"/>
  <c r="U252" i="2"/>
  <c r="O252" i="2"/>
  <c r="U251" i="2"/>
  <c r="O251" i="2"/>
  <c r="U250" i="2"/>
  <c r="O250" i="2"/>
  <c r="U249" i="2"/>
  <c r="O249" i="2"/>
  <c r="U248" i="2"/>
  <c r="O248" i="2"/>
  <c r="U247" i="2"/>
  <c r="O247" i="2"/>
  <c r="U246" i="2"/>
  <c r="O246" i="2"/>
  <c r="U245" i="2"/>
  <c r="O245" i="2"/>
  <c r="U244" i="2"/>
  <c r="O244" i="2"/>
  <c r="U243" i="2"/>
  <c r="O243" i="2"/>
  <c r="U242" i="2"/>
  <c r="O242" i="2"/>
  <c r="U241" i="2"/>
  <c r="O241" i="2"/>
  <c r="U240" i="2"/>
  <c r="O240" i="2"/>
  <c r="U239" i="2"/>
  <c r="O239" i="2"/>
  <c r="U238" i="2"/>
  <c r="O238" i="2"/>
  <c r="U237" i="2"/>
  <c r="O237" i="2"/>
  <c r="U236" i="2"/>
  <c r="O236" i="2"/>
  <c r="U235" i="2"/>
  <c r="O235" i="2"/>
  <c r="U234" i="2"/>
  <c r="O234" i="2"/>
  <c r="U233" i="2"/>
  <c r="O233" i="2"/>
  <c r="U232" i="2"/>
  <c r="O232" i="2"/>
  <c r="U231" i="2"/>
  <c r="O231" i="2"/>
  <c r="U230" i="2"/>
  <c r="O230" i="2"/>
  <c r="U229" i="2"/>
  <c r="O229" i="2"/>
  <c r="U228" i="2"/>
  <c r="O228" i="2"/>
  <c r="U227" i="2"/>
  <c r="O227" i="2"/>
  <c r="U226" i="2"/>
  <c r="O226" i="2"/>
  <c r="U225" i="2"/>
  <c r="O225" i="2"/>
  <c r="U224" i="2"/>
  <c r="O224" i="2"/>
  <c r="U223" i="2"/>
  <c r="O223" i="2"/>
  <c r="U222" i="2"/>
  <c r="O222" i="2"/>
  <c r="U221" i="2"/>
  <c r="O221" i="2"/>
  <c r="M221" i="2"/>
  <c r="U220" i="2"/>
  <c r="O220" i="2"/>
  <c r="M220" i="2"/>
  <c r="U219" i="2"/>
  <c r="O219" i="2"/>
  <c r="M219" i="2"/>
  <c r="U218" i="2"/>
  <c r="O218" i="2"/>
  <c r="M218" i="2"/>
  <c r="U217" i="2"/>
  <c r="O217" i="2"/>
  <c r="M217" i="2"/>
  <c r="U216" i="2"/>
  <c r="O216" i="2"/>
  <c r="M216" i="2"/>
  <c r="U215" i="2"/>
  <c r="O215" i="2"/>
  <c r="M215" i="2"/>
  <c r="U214" i="2"/>
  <c r="O214" i="2"/>
  <c r="M214" i="2"/>
  <c r="U213" i="2"/>
  <c r="O213" i="2"/>
  <c r="M213" i="2"/>
  <c r="U212" i="2"/>
  <c r="O212" i="2"/>
  <c r="M212" i="2"/>
  <c r="U211" i="2"/>
  <c r="O211" i="2"/>
  <c r="M211" i="2"/>
  <c r="U210" i="2"/>
  <c r="O210" i="2"/>
  <c r="M210" i="2"/>
  <c r="U209" i="2"/>
  <c r="O209" i="2"/>
  <c r="M209" i="2"/>
  <c r="U208" i="2"/>
  <c r="O208" i="2"/>
  <c r="M208" i="2"/>
  <c r="U207" i="2"/>
  <c r="O207" i="2"/>
  <c r="M207" i="2"/>
  <c r="U206" i="2"/>
  <c r="O206" i="2"/>
  <c r="M206" i="2"/>
  <c r="U205" i="2"/>
  <c r="O205" i="2"/>
  <c r="M205" i="2"/>
  <c r="U204" i="2"/>
  <c r="O204" i="2"/>
  <c r="M204" i="2"/>
  <c r="U203" i="2"/>
  <c r="O203" i="2"/>
  <c r="M203" i="2"/>
  <c r="U202" i="2"/>
  <c r="O202" i="2"/>
  <c r="M202" i="2"/>
  <c r="U201" i="2"/>
  <c r="O201" i="2"/>
  <c r="M201" i="2"/>
  <c r="U200" i="2"/>
  <c r="O200" i="2"/>
  <c r="M200" i="2"/>
  <c r="U199" i="2"/>
  <c r="O199" i="2"/>
  <c r="M199" i="2"/>
  <c r="U198" i="2"/>
  <c r="O198" i="2"/>
  <c r="M198" i="2"/>
  <c r="U197" i="2"/>
  <c r="O197" i="2"/>
  <c r="M197" i="2"/>
  <c r="U196" i="2"/>
  <c r="O196" i="2"/>
  <c r="M196" i="2"/>
  <c r="U195" i="2"/>
  <c r="O195" i="2"/>
  <c r="M195" i="2"/>
  <c r="U194" i="2"/>
  <c r="O194" i="2"/>
  <c r="M194" i="2"/>
  <c r="U193" i="2"/>
  <c r="O193" i="2"/>
  <c r="M193" i="2"/>
  <c r="U192" i="2"/>
  <c r="O192" i="2"/>
  <c r="M192" i="2"/>
  <c r="U191" i="2"/>
  <c r="O191" i="2"/>
  <c r="M191" i="2"/>
  <c r="U190" i="2"/>
  <c r="O190" i="2"/>
  <c r="M190" i="2"/>
  <c r="U189" i="2"/>
  <c r="O189" i="2"/>
  <c r="M189" i="2"/>
  <c r="U188" i="2"/>
  <c r="O188" i="2"/>
  <c r="M188" i="2"/>
  <c r="U187" i="2"/>
  <c r="O187" i="2"/>
  <c r="M187" i="2"/>
  <c r="U186" i="2"/>
  <c r="O186" i="2"/>
  <c r="M186" i="2"/>
  <c r="U185" i="2"/>
  <c r="O185" i="2"/>
  <c r="M185" i="2"/>
  <c r="U184" i="2"/>
  <c r="O184" i="2"/>
  <c r="M184" i="2"/>
  <c r="U183" i="2"/>
  <c r="O183" i="2"/>
  <c r="M183" i="2"/>
  <c r="U182" i="2"/>
  <c r="O182" i="2"/>
  <c r="M182" i="2"/>
  <c r="U181" i="2"/>
  <c r="O181" i="2"/>
  <c r="M181" i="2"/>
  <c r="U180" i="2"/>
  <c r="O180" i="2"/>
  <c r="M180" i="2"/>
  <c r="U179" i="2"/>
  <c r="O179" i="2"/>
  <c r="M179" i="2"/>
  <c r="U178" i="2"/>
  <c r="O178" i="2"/>
  <c r="M178" i="2"/>
  <c r="U177" i="2"/>
  <c r="O177" i="2"/>
  <c r="M177" i="2"/>
  <c r="U176" i="2"/>
  <c r="O176" i="2"/>
  <c r="M176" i="2"/>
  <c r="U175" i="2"/>
  <c r="O175" i="2"/>
  <c r="M175" i="2"/>
  <c r="U174" i="2"/>
  <c r="O174" i="2"/>
  <c r="M174" i="2"/>
  <c r="U173" i="2"/>
  <c r="O173" i="2"/>
  <c r="M173" i="2"/>
  <c r="U172" i="2"/>
  <c r="O172" i="2"/>
  <c r="M172" i="2"/>
  <c r="U171" i="2"/>
  <c r="O171" i="2"/>
  <c r="M171" i="2"/>
  <c r="U170" i="2"/>
  <c r="O170" i="2"/>
  <c r="M170" i="2"/>
  <c r="U169" i="2"/>
  <c r="O169" i="2"/>
  <c r="M169" i="2"/>
  <c r="U168" i="2"/>
  <c r="O168" i="2"/>
  <c r="M168" i="2"/>
  <c r="U167" i="2"/>
  <c r="O167" i="2"/>
  <c r="M167" i="2"/>
  <c r="U166" i="2"/>
  <c r="O166" i="2"/>
  <c r="M166" i="2"/>
  <c r="U165" i="2"/>
  <c r="O165" i="2"/>
  <c r="M165" i="2"/>
  <c r="U164" i="2"/>
  <c r="O164" i="2"/>
  <c r="M164" i="2"/>
  <c r="U163" i="2"/>
  <c r="O163" i="2"/>
  <c r="M163" i="2"/>
  <c r="U162" i="2"/>
  <c r="O162" i="2"/>
  <c r="M162" i="2"/>
  <c r="U161" i="2"/>
  <c r="O161" i="2"/>
  <c r="U160" i="2"/>
  <c r="O160" i="2"/>
  <c r="U159" i="2"/>
  <c r="O159" i="2"/>
  <c r="U158" i="2"/>
  <c r="O158" i="2"/>
  <c r="U157" i="2"/>
  <c r="O157" i="2"/>
  <c r="U156" i="2"/>
  <c r="O156" i="2"/>
  <c r="U155" i="2"/>
  <c r="O155" i="2"/>
  <c r="U154" i="2"/>
  <c r="O154" i="2"/>
  <c r="U153" i="2"/>
  <c r="O153" i="2"/>
  <c r="U152" i="2"/>
  <c r="O152" i="2"/>
  <c r="U151" i="2"/>
  <c r="O151" i="2"/>
  <c r="U150" i="2"/>
  <c r="O150" i="2"/>
  <c r="U149" i="2"/>
  <c r="O149" i="2"/>
  <c r="U148" i="2"/>
  <c r="O148" i="2"/>
  <c r="U147" i="2"/>
  <c r="O147" i="2"/>
  <c r="U146" i="2"/>
  <c r="O146" i="2"/>
  <c r="U145" i="2"/>
  <c r="O145" i="2"/>
  <c r="U144" i="2"/>
  <c r="O144" i="2"/>
  <c r="U143" i="2"/>
  <c r="O143" i="2"/>
  <c r="U142" i="2"/>
  <c r="O142" i="2"/>
  <c r="U141" i="2"/>
  <c r="O141" i="2"/>
  <c r="U140" i="2"/>
  <c r="O140" i="2"/>
  <c r="U139" i="2"/>
  <c r="O139" i="2"/>
  <c r="U138" i="2"/>
  <c r="O138" i="2"/>
  <c r="U137" i="2"/>
  <c r="O137" i="2"/>
  <c r="U136" i="2"/>
  <c r="O136" i="2"/>
  <c r="U135" i="2"/>
  <c r="O135" i="2"/>
  <c r="U134" i="2"/>
  <c r="O134" i="2"/>
  <c r="U133" i="2"/>
  <c r="O133" i="2"/>
  <c r="U132" i="2"/>
  <c r="O132" i="2"/>
  <c r="U131" i="2"/>
  <c r="O131" i="2"/>
  <c r="U130" i="2"/>
  <c r="O130" i="2"/>
  <c r="U129" i="2"/>
  <c r="O129" i="2"/>
  <c r="U128" i="2"/>
  <c r="O128" i="2"/>
  <c r="U127" i="2"/>
  <c r="O127" i="2"/>
  <c r="U126" i="2"/>
  <c r="O126" i="2"/>
  <c r="U125" i="2"/>
  <c r="O125" i="2"/>
  <c r="U124" i="2"/>
  <c r="O124" i="2"/>
  <c r="U123" i="2"/>
  <c r="O123" i="2"/>
  <c r="U122" i="2"/>
  <c r="O122" i="2"/>
  <c r="U121" i="2"/>
  <c r="O121" i="2"/>
  <c r="U120" i="2"/>
  <c r="O120" i="2"/>
  <c r="U119" i="2"/>
  <c r="O119" i="2"/>
  <c r="U118" i="2"/>
  <c r="O118" i="2"/>
  <c r="U117" i="2"/>
  <c r="O117" i="2"/>
  <c r="U116" i="2"/>
  <c r="O116" i="2"/>
  <c r="U115" i="2"/>
  <c r="O115" i="2"/>
  <c r="U114" i="2"/>
  <c r="O114" i="2"/>
  <c r="U113" i="2"/>
  <c r="O113" i="2"/>
  <c r="U112" i="2"/>
  <c r="O112" i="2"/>
  <c r="U111" i="2"/>
  <c r="O111" i="2"/>
  <c r="U110" i="2"/>
  <c r="O110" i="2"/>
  <c r="U109" i="2"/>
  <c r="O109" i="2"/>
  <c r="U108" i="2"/>
  <c r="O108" i="2"/>
  <c r="U107" i="2"/>
  <c r="O107" i="2"/>
  <c r="U106" i="2"/>
  <c r="O106" i="2"/>
  <c r="U105" i="2"/>
  <c r="O105" i="2"/>
  <c r="U104" i="2"/>
  <c r="O104" i="2"/>
  <c r="U103" i="2"/>
  <c r="O103" i="2"/>
  <c r="U102" i="2"/>
  <c r="O102" i="2"/>
  <c r="U101" i="2"/>
  <c r="O101" i="2"/>
  <c r="U100" i="2"/>
  <c r="O100" i="2"/>
  <c r="U99" i="2"/>
  <c r="O99" i="2"/>
  <c r="U98" i="2"/>
  <c r="O98" i="2"/>
  <c r="U97" i="2"/>
  <c r="O97" i="2"/>
  <c r="U96" i="2"/>
  <c r="O96" i="2"/>
  <c r="U95" i="2"/>
  <c r="O95" i="2"/>
  <c r="U94" i="2"/>
  <c r="O94" i="2"/>
  <c r="U93" i="2"/>
  <c r="O93" i="2"/>
  <c r="U92" i="2"/>
  <c r="O92" i="2"/>
  <c r="U91" i="2"/>
  <c r="O91" i="2"/>
  <c r="U90" i="2"/>
  <c r="O90" i="2"/>
  <c r="U89" i="2"/>
  <c r="O89" i="2"/>
  <c r="U88" i="2"/>
  <c r="O88" i="2"/>
  <c r="U87" i="2"/>
  <c r="O87" i="2"/>
  <c r="U86" i="2"/>
  <c r="O86" i="2"/>
  <c r="U85" i="2"/>
  <c r="O85" i="2"/>
  <c r="U84" i="2"/>
  <c r="O84" i="2"/>
  <c r="U83" i="2"/>
  <c r="O83" i="2"/>
  <c r="U82" i="2"/>
  <c r="O82" i="2"/>
  <c r="U81" i="2"/>
  <c r="O81" i="2"/>
  <c r="U80" i="2"/>
  <c r="O80" i="2"/>
  <c r="U79" i="2"/>
  <c r="O79" i="2"/>
  <c r="U78" i="2"/>
  <c r="O78" i="2"/>
  <c r="U77" i="2"/>
  <c r="O77" i="2"/>
  <c r="U76" i="2"/>
  <c r="O76" i="2"/>
  <c r="U75" i="2"/>
  <c r="O75" i="2"/>
  <c r="U74" i="2"/>
  <c r="O74" i="2"/>
  <c r="U73" i="2"/>
  <c r="O73" i="2"/>
  <c r="U72" i="2"/>
  <c r="O72" i="2"/>
  <c r="U71" i="2"/>
  <c r="O71" i="2"/>
  <c r="U70" i="2"/>
  <c r="O70" i="2"/>
  <c r="U69" i="2"/>
  <c r="O69" i="2"/>
  <c r="U68" i="2"/>
  <c r="O68" i="2"/>
  <c r="U67" i="2"/>
  <c r="O67" i="2"/>
  <c r="U66" i="2"/>
  <c r="O66" i="2"/>
  <c r="U65" i="2"/>
  <c r="O65" i="2"/>
  <c r="U64" i="2"/>
  <c r="O64" i="2"/>
  <c r="U63" i="2"/>
  <c r="O63" i="2"/>
  <c r="U62" i="2"/>
  <c r="O62" i="2"/>
  <c r="U61" i="2"/>
  <c r="O61" i="2"/>
  <c r="U60" i="2"/>
  <c r="O60" i="2"/>
  <c r="U59" i="2"/>
  <c r="O59" i="2"/>
  <c r="U58" i="2"/>
  <c r="O58" i="2"/>
  <c r="U57" i="2"/>
  <c r="O57" i="2"/>
  <c r="U56" i="2"/>
  <c r="O56" i="2"/>
  <c r="U55" i="2"/>
  <c r="O55" i="2"/>
  <c r="U54" i="2"/>
  <c r="O54" i="2"/>
  <c r="U53" i="2"/>
  <c r="O53" i="2"/>
  <c r="U52" i="2"/>
  <c r="O52" i="2"/>
  <c r="U51" i="2"/>
  <c r="O51" i="2"/>
  <c r="U50" i="2"/>
  <c r="O50" i="2"/>
  <c r="U49" i="2"/>
  <c r="O49" i="2"/>
  <c r="U48" i="2"/>
  <c r="O48" i="2"/>
  <c r="U47" i="2"/>
  <c r="O47" i="2"/>
  <c r="U46" i="2"/>
  <c r="O46" i="2"/>
  <c r="U45" i="2"/>
  <c r="O45" i="2"/>
  <c r="U44" i="2"/>
  <c r="O44" i="2"/>
  <c r="U43" i="2"/>
  <c r="O43" i="2"/>
  <c r="U42" i="2"/>
  <c r="O42" i="2"/>
  <c r="U41" i="2"/>
  <c r="O41" i="2"/>
  <c r="U40" i="2"/>
  <c r="O40" i="2"/>
  <c r="U39" i="2"/>
  <c r="O39" i="2"/>
  <c r="U38" i="2"/>
  <c r="O38" i="2"/>
  <c r="U37" i="2"/>
  <c r="O37" i="2"/>
  <c r="U36" i="2"/>
  <c r="O36" i="2"/>
  <c r="U35" i="2"/>
  <c r="O35" i="2"/>
  <c r="U34" i="2"/>
  <c r="O34" i="2"/>
  <c r="U33" i="2"/>
  <c r="O33" i="2"/>
  <c r="U32" i="2"/>
  <c r="O32" i="2"/>
  <c r="U31" i="2"/>
  <c r="O31" i="2"/>
  <c r="U30" i="2"/>
  <c r="O30" i="2"/>
  <c r="U29" i="2"/>
  <c r="O29" i="2"/>
  <c r="U28" i="2"/>
  <c r="O28" i="2"/>
  <c r="U27" i="2"/>
  <c r="O27" i="2"/>
  <c r="U26" i="2"/>
  <c r="O26" i="2"/>
  <c r="U25" i="2"/>
  <c r="O25" i="2"/>
  <c r="U24" i="2"/>
  <c r="O24" i="2"/>
  <c r="U23" i="2"/>
  <c r="O23" i="2"/>
  <c r="U22" i="2"/>
  <c r="O22" i="2"/>
  <c r="U21" i="2"/>
  <c r="O21" i="2"/>
  <c r="U20" i="2"/>
  <c r="O20" i="2"/>
  <c r="U19" i="2"/>
  <c r="O19" i="2"/>
  <c r="U18" i="2"/>
  <c r="O18" i="2"/>
  <c r="U17" i="2"/>
  <c r="O17" i="2"/>
  <c r="U16" i="2"/>
  <c r="O16" i="2"/>
  <c r="U15" i="2"/>
  <c r="O15" i="2"/>
  <c r="U14" i="2"/>
  <c r="O14" i="2"/>
  <c r="U13" i="2"/>
  <c r="O13" i="2"/>
  <c r="U12" i="2"/>
  <c r="O12" i="2"/>
  <c r="U11" i="2"/>
  <c r="O11" i="2"/>
  <c r="U10" i="2"/>
  <c r="O10" i="2"/>
  <c r="U9" i="2"/>
  <c r="O9" i="2"/>
  <c r="U8" i="2"/>
  <c r="O8" i="2"/>
  <c r="U7" i="2"/>
  <c r="O7" i="2"/>
  <c r="U6" i="2"/>
  <c r="O6" i="2"/>
  <c r="U5" i="2"/>
  <c r="O5" i="2"/>
  <c r="U4" i="2"/>
  <c r="O4" i="2"/>
  <c r="U3" i="2"/>
  <c r="O3" i="2"/>
  <c r="U2" i="2"/>
  <c r="O2" i="2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O1132" i="1"/>
  <c r="O1142" i="1" s="1"/>
  <c r="O1152" i="1" s="1"/>
  <c r="O1162" i="1" s="1"/>
  <c r="O1172" i="1" s="1"/>
  <c r="O1182" i="1" s="1"/>
  <c r="O1130" i="1"/>
  <c r="O1140" i="1" s="1"/>
  <c r="O1150" i="1" s="1"/>
  <c r="O1160" i="1" s="1"/>
  <c r="O1170" i="1" s="1"/>
  <c r="O1180" i="1" s="1"/>
  <c r="O1124" i="1"/>
  <c r="O1134" i="1" s="1"/>
  <c r="O1144" i="1" s="1"/>
  <c r="O1154" i="1" s="1"/>
  <c r="O1164" i="1" s="1"/>
  <c r="O1174" i="1" s="1"/>
  <c r="O1184" i="1" s="1"/>
  <c r="J1124" i="1"/>
  <c r="J1134" i="1" s="1"/>
  <c r="J1144" i="1" s="1"/>
  <c r="J1154" i="1" s="1"/>
  <c r="J1164" i="1" s="1"/>
  <c r="J1174" i="1" s="1"/>
  <c r="J1184" i="1" s="1"/>
  <c r="H1124" i="1"/>
  <c r="H1134" i="1" s="1"/>
  <c r="H1144" i="1" s="1"/>
  <c r="H1154" i="1" s="1"/>
  <c r="H1164" i="1" s="1"/>
  <c r="H1174" i="1" s="1"/>
  <c r="H1184" i="1" s="1"/>
  <c r="O1123" i="1"/>
  <c r="O1133" i="1" s="1"/>
  <c r="O1143" i="1" s="1"/>
  <c r="O1153" i="1" s="1"/>
  <c r="O1163" i="1" s="1"/>
  <c r="O1173" i="1" s="1"/>
  <c r="O1183" i="1" s="1"/>
  <c r="J1123" i="1"/>
  <c r="J1133" i="1" s="1"/>
  <c r="J1143" i="1" s="1"/>
  <c r="J1153" i="1" s="1"/>
  <c r="J1163" i="1" s="1"/>
  <c r="J1173" i="1" s="1"/>
  <c r="J1183" i="1" s="1"/>
  <c r="H1123" i="1"/>
  <c r="H1133" i="1" s="1"/>
  <c r="H1143" i="1" s="1"/>
  <c r="H1153" i="1" s="1"/>
  <c r="H1163" i="1" s="1"/>
  <c r="H1173" i="1" s="1"/>
  <c r="H1183" i="1" s="1"/>
  <c r="O1122" i="1"/>
  <c r="J1122" i="1"/>
  <c r="J1132" i="1" s="1"/>
  <c r="J1142" i="1" s="1"/>
  <c r="J1152" i="1" s="1"/>
  <c r="J1162" i="1" s="1"/>
  <c r="J1172" i="1" s="1"/>
  <c r="J1182" i="1" s="1"/>
  <c r="H1122" i="1"/>
  <c r="H1132" i="1" s="1"/>
  <c r="H1142" i="1" s="1"/>
  <c r="H1152" i="1" s="1"/>
  <c r="H1162" i="1" s="1"/>
  <c r="H1172" i="1" s="1"/>
  <c r="H1182" i="1" s="1"/>
  <c r="O1121" i="1"/>
  <c r="O1131" i="1" s="1"/>
  <c r="O1141" i="1" s="1"/>
  <c r="O1151" i="1" s="1"/>
  <c r="O1161" i="1" s="1"/>
  <c r="O1171" i="1" s="1"/>
  <c r="O1181" i="1" s="1"/>
  <c r="J1121" i="1"/>
  <c r="J1131" i="1" s="1"/>
  <c r="J1141" i="1" s="1"/>
  <c r="J1151" i="1" s="1"/>
  <c r="J1161" i="1" s="1"/>
  <c r="J1171" i="1" s="1"/>
  <c r="J1181" i="1" s="1"/>
  <c r="H1121" i="1"/>
  <c r="H1131" i="1" s="1"/>
  <c r="H1141" i="1" s="1"/>
  <c r="H1151" i="1" s="1"/>
  <c r="H1161" i="1" s="1"/>
  <c r="H1171" i="1" s="1"/>
  <c r="H1181" i="1" s="1"/>
  <c r="O1120" i="1"/>
  <c r="J1120" i="1"/>
  <c r="J1130" i="1" s="1"/>
  <c r="J1140" i="1" s="1"/>
  <c r="J1150" i="1" s="1"/>
  <c r="J1160" i="1" s="1"/>
  <c r="J1170" i="1" s="1"/>
  <c r="J1180" i="1" s="1"/>
  <c r="H1120" i="1"/>
  <c r="H1130" i="1" s="1"/>
  <c r="H1140" i="1" s="1"/>
  <c r="H1150" i="1" s="1"/>
  <c r="H1160" i="1" s="1"/>
  <c r="H1170" i="1" s="1"/>
  <c r="H1180" i="1" s="1"/>
  <c r="O1119" i="1"/>
  <c r="O1129" i="1" s="1"/>
  <c r="O1139" i="1" s="1"/>
  <c r="O1149" i="1" s="1"/>
  <c r="O1159" i="1" s="1"/>
  <c r="O1169" i="1" s="1"/>
  <c r="O1179" i="1" s="1"/>
  <c r="J1119" i="1"/>
  <c r="J1129" i="1" s="1"/>
  <c r="J1139" i="1" s="1"/>
  <c r="J1149" i="1" s="1"/>
  <c r="J1159" i="1" s="1"/>
  <c r="J1169" i="1" s="1"/>
  <c r="J1179" i="1" s="1"/>
  <c r="H1119" i="1"/>
  <c r="H1129" i="1" s="1"/>
  <c r="H1139" i="1" s="1"/>
  <c r="H1149" i="1" s="1"/>
  <c r="H1159" i="1" s="1"/>
  <c r="H1169" i="1" s="1"/>
  <c r="H1179" i="1" s="1"/>
  <c r="O1118" i="1"/>
  <c r="O1128" i="1" s="1"/>
  <c r="O1138" i="1" s="1"/>
  <c r="O1148" i="1" s="1"/>
  <c r="O1158" i="1" s="1"/>
  <c r="O1168" i="1" s="1"/>
  <c r="O1178" i="1" s="1"/>
  <c r="J1118" i="1"/>
  <c r="J1128" i="1" s="1"/>
  <c r="J1138" i="1" s="1"/>
  <c r="J1148" i="1" s="1"/>
  <c r="J1158" i="1" s="1"/>
  <c r="J1168" i="1" s="1"/>
  <c r="J1178" i="1" s="1"/>
  <c r="H1118" i="1"/>
  <c r="H1128" i="1" s="1"/>
  <c r="H1138" i="1" s="1"/>
  <c r="H1148" i="1" s="1"/>
  <c r="H1158" i="1" s="1"/>
  <c r="H1168" i="1" s="1"/>
  <c r="H1178" i="1" s="1"/>
  <c r="O1117" i="1"/>
  <c r="O1127" i="1" s="1"/>
  <c r="O1137" i="1" s="1"/>
  <c r="O1147" i="1" s="1"/>
  <c r="O1157" i="1" s="1"/>
  <c r="O1167" i="1" s="1"/>
  <c r="O1177" i="1" s="1"/>
  <c r="J1117" i="1"/>
  <c r="J1127" i="1" s="1"/>
  <c r="J1137" i="1" s="1"/>
  <c r="J1147" i="1" s="1"/>
  <c r="J1157" i="1" s="1"/>
  <c r="J1167" i="1" s="1"/>
  <c r="J1177" i="1" s="1"/>
  <c r="H1117" i="1"/>
  <c r="H1127" i="1" s="1"/>
  <c r="H1137" i="1" s="1"/>
  <c r="H1147" i="1" s="1"/>
  <c r="H1157" i="1" s="1"/>
  <c r="H1167" i="1" s="1"/>
  <c r="H1177" i="1" s="1"/>
  <c r="O1116" i="1"/>
  <c r="O1126" i="1" s="1"/>
  <c r="O1136" i="1" s="1"/>
  <c r="O1146" i="1" s="1"/>
  <c r="O1156" i="1" s="1"/>
  <c r="O1166" i="1" s="1"/>
  <c r="O1176" i="1" s="1"/>
  <c r="J1116" i="1"/>
  <c r="J1126" i="1" s="1"/>
  <c r="J1136" i="1" s="1"/>
  <c r="J1146" i="1" s="1"/>
  <c r="J1156" i="1" s="1"/>
  <c r="J1166" i="1" s="1"/>
  <c r="J1176" i="1" s="1"/>
  <c r="H1116" i="1"/>
  <c r="H1126" i="1" s="1"/>
  <c r="H1136" i="1" s="1"/>
  <c r="H1146" i="1" s="1"/>
  <c r="H1156" i="1" s="1"/>
  <c r="H1166" i="1" s="1"/>
  <c r="H1176" i="1" s="1"/>
  <c r="O1115" i="1"/>
  <c r="O1125" i="1" s="1"/>
  <c r="O1135" i="1" s="1"/>
  <c r="O1145" i="1" s="1"/>
  <c r="O1155" i="1" s="1"/>
  <c r="O1165" i="1" s="1"/>
  <c r="O1175" i="1" s="1"/>
  <c r="J1115" i="1"/>
  <c r="J1125" i="1" s="1"/>
  <c r="J1135" i="1" s="1"/>
  <c r="J1145" i="1" s="1"/>
  <c r="J1155" i="1" s="1"/>
  <c r="J1165" i="1" s="1"/>
  <c r="J1175" i="1" s="1"/>
  <c r="H1115" i="1"/>
  <c r="H1125" i="1" s="1"/>
  <c r="H1135" i="1" s="1"/>
  <c r="H1145" i="1" s="1"/>
  <c r="H1155" i="1" s="1"/>
  <c r="H1165" i="1" s="1"/>
  <c r="H1175" i="1" s="1"/>
  <c r="E1021" i="1"/>
  <c r="E1031" i="1" s="1"/>
  <c r="E1041" i="1" s="1"/>
  <c r="E1051" i="1" s="1"/>
  <c r="E1012" i="1"/>
  <c r="E1022" i="1" s="1"/>
  <c r="N1010" i="1"/>
  <c r="N1020" i="1" s="1"/>
  <c r="N1030" i="1" s="1"/>
  <c r="N1040" i="1" s="1"/>
  <c r="N1050" i="1" s="1"/>
  <c r="N1060" i="1" s="1"/>
  <c r="N1070" i="1" s="1"/>
  <c r="N1080" i="1" s="1"/>
  <c r="N1090" i="1" s="1"/>
  <c r="N1100" i="1" s="1"/>
  <c r="N1110" i="1" s="1"/>
  <c r="N1004" i="1"/>
  <c r="N1014" i="1" s="1"/>
  <c r="N1024" i="1" s="1"/>
  <c r="N1034" i="1" s="1"/>
  <c r="N1044" i="1" s="1"/>
  <c r="N1054" i="1" s="1"/>
  <c r="N1064" i="1" s="1"/>
  <c r="N1074" i="1" s="1"/>
  <c r="N1084" i="1" s="1"/>
  <c r="N1094" i="1" s="1"/>
  <c r="N1104" i="1" s="1"/>
  <c r="N1114" i="1" s="1"/>
  <c r="F1004" i="1"/>
  <c r="F1014" i="1" s="1"/>
  <c r="F1024" i="1" s="1"/>
  <c r="F1034" i="1" s="1"/>
  <c r="F1044" i="1" s="1"/>
  <c r="F1054" i="1" s="1"/>
  <c r="F1064" i="1" s="1"/>
  <c r="F1074" i="1" s="1"/>
  <c r="F1084" i="1" s="1"/>
  <c r="F1094" i="1" s="1"/>
  <c r="F1104" i="1" s="1"/>
  <c r="F1114" i="1" s="1"/>
  <c r="F1124" i="1" s="1"/>
  <c r="F1134" i="1" s="1"/>
  <c r="F1144" i="1" s="1"/>
  <c r="F1154" i="1" s="1"/>
  <c r="F1164" i="1" s="1"/>
  <c r="F1174" i="1" s="1"/>
  <c r="F1184" i="1" s="1"/>
  <c r="E1004" i="1"/>
  <c r="E1014" i="1" s="1"/>
  <c r="N1003" i="1"/>
  <c r="N1013" i="1" s="1"/>
  <c r="N1023" i="1" s="1"/>
  <c r="N1033" i="1" s="1"/>
  <c r="N1043" i="1" s="1"/>
  <c r="N1053" i="1" s="1"/>
  <c r="N1063" i="1" s="1"/>
  <c r="N1073" i="1" s="1"/>
  <c r="N1083" i="1" s="1"/>
  <c r="N1093" i="1" s="1"/>
  <c r="N1103" i="1" s="1"/>
  <c r="N1113" i="1" s="1"/>
  <c r="F1003" i="1"/>
  <c r="E1003" i="1"/>
  <c r="E1013" i="1" s="1"/>
  <c r="N1002" i="1"/>
  <c r="N1012" i="1" s="1"/>
  <c r="N1022" i="1" s="1"/>
  <c r="N1032" i="1" s="1"/>
  <c r="N1042" i="1" s="1"/>
  <c r="N1052" i="1" s="1"/>
  <c r="N1062" i="1" s="1"/>
  <c r="N1072" i="1" s="1"/>
  <c r="N1082" i="1" s="1"/>
  <c r="N1092" i="1" s="1"/>
  <c r="N1102" i="1" s="1"/>
  <c r="N1112" i="1" s="1"/>
  <c r="F1002" i="1"/>
  <c r="A1002" i="1" s="1"/>
  <c r="E1002" i="1"/>
  <c r="N1001" i="1"/>
  <c r="N1011" i="1" s="1"/>
  <c r="N1021" i="1" s="1"/>
  <c r="N1031" i="1" s="1"/>
  <c r="N1041" i="1" s="1"/>
  <c r="N1051" i="1" s="1"/>
  <c r="N1061" i="1" s="1"/>
  <c r="N1071" i="1" s="1"/>
  <c r="N1081" i="1" s="1"/>
  <c r="N1091" i="1" s="1"/>
  <c r="N1101" i="1" s="1"/>
  <c r="N1111" i="1" s="1"/>
  <c r="F1001" i="1"/>
  <c r="A1001" i="1" s="1"/>
  <c r="E1001" i="1"/>
  <c r="E1011" i="1" s="1"/>
  <c r="N1000" i="1"/>
  <c r="F1000" i="1"/>
  <c r="F1010" i="1" s="1"/>
  <c r="F1020" i="1" s="1"/>
  <c r="F1030" i="1" s="1"/>
  <c r="F1040" i="1" s="1"/>
  <c r="F1050" i="1" s="1"/>
  <c r="F1060" i="1" s="1"/>
  <c r="F1070" i="1" s="1"/>
  <c r="F1080" i="1" s="1"/>
  <c r="F1090" i="1" s="1"/>
  <c r="F1100" i="1" s="1"/>
  <c r="F1110" i="1" s="1"/>
  <c r="F1120" i="1" s="1"/>
  <c r="F1130" i="1" s="1"/>
  <c r="F1140" i="1" s="1"/>
  <c r="F1150" i="1" s="1"/>
  <c r="F1160" i="1" s="1"/>
  <c r="F1170" i="1" s="1"/>
  <c r="F1180" i="1" s="1"/>
  <c r="E1000" i="1"/>
  <c r="N999" i="1"/>
  <c r="N1009" i="1" s="1"/>
  <c r="N1019" i="1" s="1"/>
  <c r="N1029" i="1" s="1"/>
  <c r="N1039" i="1" s="1"/>
  <c r="N1049" i="1" s="1"/>
  <c r="N1059" i="1" s="1"/>
  <c r="N1069" i="1" s="1"/>
  <c r="N1079" i="1" s="1"/>
  <c r="N1089" i="1" s="1"/>
  <c r="N1099" i="1" s="1"/>
  <c r="N1109" i="1" s="1"/>
  <c r="F999" i="1"/>
  <c r="F1009" i="1" s="1"/>
  <c r="F1019" i="1" s="1"/>
  <c r="F1029" i="1" s="1"/>
  <c r="F1039" i="1" s="1"/>
  <c r="F1049" i="1" s="1"/>
  <c r="F1059" i="1" s="1"/>
  <c r="F1069" i="1" s="1"/>
  <c r="F1079" i="1" s="1"/>
  <c r="F1089" i="1" s="1"/>
  <c r="F1099" i="1" s="1"/>
  <c r="F1109" i="1" s="1"/>
  <c r="F1119" i="1" s="1"/>
  <c r="F1129" i="1" s="1"/>
  <c r="F1139" i="1" s="1"/>
  <c r="F1149" i="1" s="1"/>
  <c r="F1159" i="1" s="1"/>
  <c r="F1169" i="1" s="1"/>
  <c r="F1179" i="1" s="1"/>
  <c r="E999" i="1"/>
  <c r="E1009" i="1" s="1"/>
  <c r="N998" i="1"/>
  <c r="N1008" i="1" s="1"/>
  <c r="N1018" i="1" s="1"/>
  <c r="N1028" i="1" s="1"/>
  <c r="N1038" i="1" s="1"/>
  <c r="N1048" i="1" s="1"/>
  <c r="N1058" i="1" s="1"/>
  <c r="N1068" i="1" s="1"/>
  <c r="N1078" i="1" s="1"/>
  <c r="N1088" i="1" s="1"/>
  <c r="N1098" i="1" s="1"/>
  <c r="N1108" i="1" s="1"/>
  <c r="F998" i="1"/>
  <c r="F1008" i="1" s="1"/>
  <c r="F1018" i="1" s="1"/>
  <c r="F1028" i="1" s="1"/>
  <c r="F1038" i="1" s="1"/>
  <c r="F1048" i="1" s="1"/>
  <c r="F1058" i="1" s="1"/>
  <c r="F1068" i="1" s="1"/>
  <c r="F1078" i="1" s="1"/>
  <c r="F1088" i="1" s="1"/>
  <c r="F1098" i="1" s="1"/>
  <c r="F1108" i="1" s="1"/>
  <c r="F1118" i="1" s="1"/>
  <c r="F1128" i="1" s="1"/>
  <c r="F1138" i="1" s="1"/>
  <c r="F1148" i="1" s="1"/>
  <c r="F1158" i="1" s="1"/>
  <c r="F1168" i="1" s="1"/>
  <c r="F1178" i="1" s="1"/>
  <c r="E998" i="1"/>
  <c r="N997" i="1"/>
  <c r="N1007" i="1" s="1"/>
  <c r="N1017" i="1" s="1"/>
  <c r="N1027" i="1" s="1"/>
  <c r="N1037" i="1" s="1"/>
  <c r="N1047" i="1" s="1"/>
  <c r="N1057" i="1" s="1"/>
  <c r="N1067" i="1" s="1"/>
  <c r="N1077" i="1" s="1"/>
  <c r="N1087" i="1" s="1"/>
  <c r="N1097" i="1" s="1"/>
  <c r="N1107" i="1" s="1"/>
  <c r="F997" i="1"/>
  <c r="F1007" i="1" s="1"/>
  <c r="F1017" i="1" s="1"/>
  <c r="F1027" i="1" s="1"/>
  <c r="F1037" i="1" s="1"/>
  <c r="F1047" i="1" s="1"/>
  <c r="F1057" i="1" s="1"/>
  <c r="F1067" i="1" s="1"/>
  <c r="F1077" i="1" s="1"/>
  <c r="F1087" i="1" s="1"/>
  <c r="F1097" i="1" s="1"/>
  <c r="F1107" i="1" s="1"/>
  <c r="F1117" i="1" s="1"/>
  <c r="F1127" i="1" s="1"/>
  <c r="F1137" i="1" s="1"/>
  <c r="F1147" i="1" s="1"/>
  <c r="F1157" i="1" s="1"/>
  <c r="F1167" i="1" s="1"/>
  <c r="F1177" i="1" s="1"/>
  <c r="E997" i="1"/>
  <c r="N996" i="1"/>
  <c r="N1006" i="1" s="1"/>
  <c r="N1016" i="1" s="1"/>
  <c r="N1026" i="1" s="1"/>
  <c r="N1036" i="1" s="1"/>
  <c r="N1046" i="1" s="1"/>
  <c r="N1056" i="1" s="1"/>
  <c r="N1066" i="1" s="1"/>
  <c r="N1076" i="1" s="1"/>
  <c r="N1086" i="1" s="1"/>
  <c r="N1096" i="1" s="1"/>
  <c r="N1106" i="1" s="1"/>
  <c r="F996" i="1"/>
  <c r="F1006" i="1" s="1"/>
  <c r="F1016" i="1" s="1"/>
  <c r="F1026" i="1" s="1"/>
  <c r="F1036" i="1" s="1"/>
  <c r="F1046" i="1" s="1"/>
  <c r="F1056" i="1" s="1"/>
  <c r="F1066" i="1" s="1"/>
  <c r="F1076" i="1" s="1"/>
  <c r="F1086" i="1" s="1"/>
  <c r="F1096" i="1" s="1"/>
  <c r="F1106" i="1" s="1"/>
  <c r="F1116" i="1" s="1"/>
  <c r="F1126" i="1" s="1"/>
  <c r="F1136" i="1" s="1"/>
  <c r="F1146" i="1" s="1"/>
  <c r="F1156" i="1" s="1"/>
  <c r="F1166" i="1" s="1"/>
  <c r="F1176" i="1" s="1"/>
  <c r="E996" i="1"/>
  <c r="E1006" i="1" s="1"/>
  <c r="N995" i="1"/>
  <c r="N1005" i="1" s="1"/>
  <c r="N1015" i="1" s="1"/>
  <c r="N1025" i="1" s="1"/>
  <c r="N1035" i="1" s="1"/>
  <c r="N1045" i="1" s="1"/>
  <c r="N1055" i="1" s="1"/>
  <c r="N1065" i="1" s="1"/>
  <c r="N1075" i="1" s="1"/>
  <c r="N1085" i="1" s="1"/>
  <c r="N1095" i="1" s="1"/>
  <c r="N1105" i="1" s="1"/>
  <c r="F995" i="1"/>
  <c r="A995" i="1" s="1"/>
  <c r="E995" i="1"/>
  <c r="E1005" i="1" s="1"/>
  <c r="E1015" i="1" s="1"/>
  <c r="E1025" i="1" s="1"/>
  <c r="A994" i="1"/>
  <c r="A11" i="5" s="1"/>
  <c r="A993" i="1"/>
  <c r="A10" i="5" s="1"/>
  <c r="A992" i="1"/>
  <c r="A991" i="1"/>
  <c r="A990" i="1"/>
  <c r="A7" i="5" s="1"/>
  <c r="A989" i="1"/>
  <c r="A6" i="5" s="1"/>
  <c r="A988" i="1"/>
  <c r="A5" i="5" s="1"/>
  <c r="A987" i="1"/>
  <c r="I986" i="1"/>
  <c r="A986" i="1"/>
  <c r="A3" i="5" s="1"/>
  <c r="A985" i="1"/>
  <c r="A2" i="5" s="1"/>
  <c r="A984" i="1"/>
  <c r="A983" i="1"/>
  <c r="A982" i="1"/>
  <c r="A60" i="4" s="1"/>
  <c r="A981" i="1"/>
  <c r="A59" i="4" s="1"/>
  <c r="A980" i="1"/>
  <c r="A58" i="4" s="1"/>
  <c r="A979" i="1"/>
  <c r="A978" i="1"/>
  <c r="A56" i="4" s="1"/>
  <c r="A977" i="1"/>
  <c r="A55" i="4" s="1"/>
  <c r="A976" i="1"/>
  <c r="A975" i="1"/>
  <c r="A974" i="1"/>
  <c r="A52" i="4" s="1"/>
  <c r="A973" i="1"/>
  <c r="A51" i="4" s="1"/>
  <c r="A972" i="1"/>
  <c r="A50" i="4" s="1"/>
  <c r="A971" i="1"/>
  <c r="A970" i="1"/>
  <c r="A48" i="4" s="1"/>
  <c r="A969" i="1"/>
  <c r="A47" i="4" s="1"/>
  <c r="A968" i="1"/>
  <c r="A967" i="1"/>
  <c r="A966" i="1"/>
  <c r="A44" i="4" s="1"/>
  <c r="A965" i="1"/>
  <c r="A43" i="4" s="1"/>
  <c r="A964" i="1"/>
  <c r="A42" i="4" s="1"/>
  <c r="A963" i="1"/>
  <c r="A962" i="1"/>
  <c r="A40" i="4" s="1"/>
  <c r="A961" i="1"/>
  <c r="A39" i="4" s="1"/>
  <c r="A960" i="1"/>
  <c r="A959" i="1"/>
  <c r="A958" i="1"/>
  <c r="A36" i="4" s="1"/>
  <c r="A957" i="1"/>
  <c r="A956" i="1"/>
  <c r="A34" i="4" s="1"/>
  <c r="A955" i="1"/>
  <c r="A954" i="1"/>
  <c r="A32" i="4" s="1"/>
  <c r="A953" i="1"/>
  <c r="A31" i="4" s="1"/>
  <c r="A952" i="1"/>
  <c r="A951" i="1"/>
  <c r="A950" i="1"/>
  <c r="A28" i="4" s="1"/>
  <c r="A949" i="1"/>
  <c r="A27" i="4" s="1"/>
  <c r="A948" i="1"/>
  <c r="A26" i="4" s="1"/>
  <c r="A947" i="1"/>
  <c r="A946" i="1"/>
  <c r="A24" i="4" s="1"/>
  <c r="A945" i="1"/>
  <c r="A23" i="4" s="1"/>
  <c r="A944" i="1"/>
  <c r="A943" i="1"/>
  <c r="A942" i="1"/>
  <c r="A20" i="4" s="1"/>
  <c r="A941" i="1"/>
  <c r="A940" i="1"/>
  <c r="A18" i="4" s="1"/>
  <c r="A939" i="1"/>
  <c r="A938" i="1"/>
  <c r="A16" i="4" s="1"/>
  <c r="A937" i="1"/>
  <c r="A15" i="4" s="1"/>
  <c r="A936" i="1"/>
  <c r="A935" i="1"/>
  <c r="A934" i="1"/>
  <c r="A12" i="4" s="1"/>
  <c r="A933" i="1"/>
  <c r="A11" i="4" s="1"/>
  <c r="A932" i="1"/>
  <c r="A10" i="4" s="1"/>
  <c r="A931" i="1"/>
  <c r="A930" i="1"/>
  <c r="A8" i="4" s="1"/>
  <c r="A929" i="1"/>
  <c r="A7" i="4" s="1"/>
  <c r="A928" i="1"/>
  <c r="A927" i="1"/>
  <c r="A926" i="1"/>
  <c r="A4" i="4" s="1"/>
  <c r="A925" i="1"/>
  <c r="A3" i="4" s="1"/>
  <c r="A924" i="1"/>
  <c r="A2" i="4" s="1"/>
  <c r="A923" i="1"/>
  <c r="A922" i="1"/>
  <c r="A120" i="3" s="1"/>
  <c r="A921" i="1"/>
  <c r="A119" i="3" s="1"/>
  <c r="A920" i="1"/>
  <c r="A919" i="1"/>
  <c r="A117" i="3" s="1"/>
  <c r="A918" i="1"/>
  <c r="A917" i="1"/>
  <c r="A916" i="1"/>
  <c r="A114" i="3" s="1"/>
  <c r="A915" i="1"/>
  <c r="A914" i="1"/>
  <c r="A112" i="3" s="1"/>
  <c r="A913" i="1"/>
  <c r="A111" i="3" s="1"/>
  <c r="A912" i="1"/>
  <c r="A911" i="1"/>
  <c r="A910" i="1"/>
  <c r="A108" i="3" s="1"/>
  <c r="A909" i="1"/>
  <c r="A908" i="1"/>
  <c r="A907" i="1"/>
  <c r="A906" i="1"/>
  <c r="A104" i="3" s="1"/>
  <c r="A905" i="1"/>
  <c r="A103" i="3" s="1"/>
  <c r="A904" i="1"/>
  <c r="A903" i="1"/>
  <c r="A902" i="1"/>
  <c r="A100" i="3" s="1"/>
  <c r="A901" i="1"/>
  <c r="A99" i="3" s="1"/>
  <c r="A900" i="1"/>
  <c r="A899" i="1"/>
  <c r="A898" i="1"/>
  <c r="A96" i="3" s="1"/>
  <c r="A897" i="1"/>
  <c r="A95" i="3" s="1"/>
  <c r="A896" i="1"/>
  <c r="A895" i="1"/>
  <c r="A93" i="3" s="1"/>
  <c r="A894" i="1"/>
  <c r="A92" i="3" s="1"/>
  <c r="A893" i="1"/>
  <c r="A91" i="3" s="1"/>
  <c r="A892" i="1"/>
  <c r="A891" i="1"/>
  <c r="A890" i="1"/>
  <c r="A88" i="3" s="1"/>
  <c r="A889" i="1"/>
  <c r="A87" i="3" s="1"/>
  <c r="A888" i="1"/>
  <c r="A887" i="1"/>
  <c r="A886" i="1"/>
  <c r="A84" i="3" s="1"/>
  <c r="A885" i="1"/>
  <c r="A83" i="3" s="1"/>
  <c r="A884" i="1"/>
  <c r="A82" i="3" s="1"/>
  <c r="A883" i="1"/>
  <c r="A882" i="1"/>
  <c r="A80" i="3" s="1"/>
  <c r="A881" i="1"/>
  <c r="A79" i="3" s="1"/>
  <c r="A880" i="1"/>
  <c r="A879" i="1"/>
  <c r="A77" i="3" s="1"/>
  <c r="A878" i="1"/>
  <c r="A877" i="1"/>
  <c r="A75" i="3" s="1"/>
  <c r="A876" i="1"/>
  <c r="A74" i="3" s="1"/>
  <c r="A875" i="1"/>
  <c r="A874" i="1"/>
  <c r="A72" i="3" s="1"/>
  <c r="A873" i="1"/>
  <c r="A71" i="3" s="1"/>
  <c r="A872" i="1"/>
  <c r="A871" i="1"/>
  <c r="A870" i="1"/>
  <c r="A68" i="3" s="1"/>
  <c r="A869" i="1"/>
  <c r="A868" i="1"/>
  <c r="A66" i="3" s="1"/>
  <c r="A867" i="1"/>
  <c r="A866" i="1"/>
  <c r="A865" i="1"/>
  <c r="A63" i="3" s="1"/>
  <c r="A864" i="1"/>
  <c r="A863" i="1"/>
  <c r="A862" i="1"/>
  <c r="A861" i="1"/>
  <c r="A59" i="3" s="1"/>
  <c r="A860" i="1"/>
  <c r="A859" i="1"/>
  <c r="A858" i="1"/>
  <c r="A857" i="1"/>
  <c r="A55" i="3" s="1"/>
  <c r="A856" i="1"/>
  <c r="A855" i="1"/>
  <c r="A53" i="3" s="1"/>
  <c r="A854" i="1"/>
  <c r="A853" i="1"/>
  <c r="A852" i="1"/>
  <c r="A50" i="3" s="1"/>
  <c r="A851" i="1"/>
  <c r="A850" i="1"/>
  <c r="A48" i="3" s="1"/>
  <c r="A849" i="1"/>
  <c r="A848" i="1"/>
  <c r="A847" i="1"/>
  <c r="A846" i="1"/>
  <c r="A44" i="3" s="1"/>
  <c r="A845" i="1"/>
  <c r="A844" i="1"/>
  <c r="A843" i="1"/>
  <c r="A41" i="3" s="1"/>
  <c r="A842" i="1"/>
  <c r="A841" i="1"/>
  <c r="A39" i="3" s="1"/>
  <c r="A840" i="1"/>
  <c r="A839" i="1"/>
  <c r="A37" i="3" s="1"/>
  <c r="A838" i="1"/>
  <c r="A36" i="3" s="1"/>
  <c r="A837" i="1"/>
  <c r="A35" i="3" s="1"/>
  <c r="A836" i="1"/>
  <c r="A34" i="3" s="1"/>
  <c r="A835" i="1"/>
  <c r="A33" i="3" s="1"/>
  <c r="A834" i="1"/>
  <c r="A32" i="3" s="1"/>
  <c r="A833" i="1"/>
  <c r="A31" i="3" s="1"/>
  <c r="A832" i="1"/>
  <c r="A831" i="1"/>
  <c r="A29" i="3" s="1"/>
  <c r="A830" i="1"/>
  <c r="A28" i="3" s="1"/>
  <c r="A829" i="1"/>
  <c r="A27" i="3" s="1"/>
  <c r="A828" i="1"/>
  <c r="A26" i="3" s="1"/>
  <c r="A827" i="1"/>
  <c r="A25" i="3" s="1"/>
  <c r="A826" i="1"/>
  <c r="A24" i="3" s="1"/>
  <c r="A825" i="1"/>
  <c r="A23" i="3" s="1"/>
  <c r="A824" i="1"/>
  <c r="A823" i="1"/>
  <c r="A21" i="3" s="1"/>
  <c r="A822" i="1"/>
  <c r="A20" i="3" s="1"/>
  <c r="A821" i="1"/>
  <c r="A19" i="3" s="1"/>
  <c r="A820" i="1"/>
  <c r="A18" i="3" s="1"/>
  <c r="A819" i="1"/>
  <c r="A17" i="3" s="1"/>
  <c r="A818" i="1"/>
  <c r="A817" i="1"/>
  <c r="A15" i="3" s="1"/>
  <c r="A816" i="1"/>
  <c r="A815" i="1"/>
  <c r="A13" i="3" s="1"/>
  <c r="A814" i="1"/>
  <c r="A12" i="3" s="1"/>
  <c r="A813" i="1"/>
  <c r="A11" i="3" s="1"/>
  <c r="A812" i="1"/>
  <c r="A10" i="3" s="1"/>
  <c r="A811" i="1"/>
  <c r="A9" i="3" s="1"/>
  <c r="A810" i="1"/>
  <c r="A809" i="1"/>
  <c r="A7" i="3" s="1"/>
  <c r="A808" i="1"/>
  <c r="A807" i="1"/>
  <c r="A5" i="3" s="1"/>
  <c r="A806" i="1"/>
  <c r="A4" i="3" s="1"/>
  <c r="A805" i="1"/>
  <c r="A3" i="3" s="1"/>
  <c r="A804" i="1"/>
  <c r="A2" i="3" s="1"/>
  <c r="D637" i="1"/>
  <c r="D677" i="1" s="1"/>
  <c r="D717" i="1" s="1"/>
  <c r="D757" i="1" s="1"/>
  <c r="D797" i="1" s="1"/>
  <c r="D633" i="1"/>
  <c r="D673" i="1" s="1"/>
  <c r="D713" i="1" s="1"/>
  <c r="D753" i="1" s="1"/>
  <c r="D793" i="1" s="1"/>
  <c r="C597" i="1"/>
  <c r="C637" i="1" s="1"/>
  <c r="C677" i="1" s="1"/>
  <c r="C717" i="1" s="1"/>
  <c r="C757" i="1" s="1"/>
  <c r="C797" i="1" s="1"/>
  <c r="F589" i="1"/>
  <c r="F629" i="1" s="1"/>
  <c r="F669" i="1" s="1"/>
  <c r="F709" i="1" s="1"/>
  <c r="F749" i="1" s="1"/>
  <c r="F789" i="1" s="1"/>
  <c r="D588" i="1"/>
  <c r="D628" i="1" s="1"/>
  <c r="D668" i="1" s="1"/>
  <c r="D708" i="1" s="1"/>
  <c r="D748" i="1" s="1"/>
  <c r="D788" i="1" s="1"/>
  <c r="F563" i="1"/>
  <c r="F603" i="1" s="1"/>
  <c r="F643" i="1" s="1"/>
  <c r="F683" i="1" s="1"/>
  <c r="F723" i="1" s="1"/>
  <c r="F763" i="1" s="1"/>
  <c r="F803" i="1" s="1"/>
  <c r="E563" i="1"/>
  <c r="E603" i="1" s="1"/>
  <c r="E643" i="1" s="1"/>
  <c r="E683" i="1" s="1"/>
  <c r="E723" i="1" s="1"/>
  <c r="E763" i="1" s="1"/>
  <c r="E803" i="1" s="1"/>
  <c r="D563" i="1"/>
  <c r="D603" i="1" s="1"/>
  <c r="D643" i="1" s="1"/>
  <c r="D683" i="1" s="1"/>
  <c r="D723" i="1" s="1"/>
  <c r="D763" i="1" s="1"/>
  <c r="D803" i="1" s="1"/>
  <c r="C563" i="1"/>
  <c r="C603" i="1" s="1"/>
  <c r="C643" i="1" s="1"/>
  <c r="C683" i="1" s="1"/>
  <c r="C723" i="1" s="1"/>
  <c r="C763" i="1" s="1"/>
  <c r="C803" i="1" s="1"/>
  <c r="B563" i="1"/>
  <c r="F562" i="1"/>
  <c r="F602" i="1" s="1"/>
  <c r="F642" i="1" s="1"/>
  <c r="F682" i="1" s="1"/>
  <c r="F722" i="1" s="1"/>
  <c r="F762" i="1" s="1"/>
  <c r="F802" i="1" s="1"/>
  <c r="E562" i="1"/>
  <c r="E602" i="1" s="1"/>
  <c r="E642" i="1" s="1"/>
  <c r="E682" i="1" s="1"/>
  <c r="E722" i="1" s="1"/>
  <c r="E762" i="1" s="1"/>
  <c r="E802" i="1" s="1"/>
  <c r="D562" i="1"/>
  <c r="D602" i="1" s="1"/>
  <c r="D642" i="1" s="1"/>
  <c r="D682" i="1" s="1"/>
  <c r="D722" i="1" s="1"/>
  <c r="D762" i="1" s="1"/>
  <c r="D802" i="1" s="1"/>
  <c r="C562" i="1"/>
  <c r="C602" i="1" s="1"/>
  <c r="C642" i="1" s="1"/>
  <c r="C682" i="1" s="1"/>
  <c r="C722" i="1" s="1"/>
  <c r="C762" i="1" s="1"/>
  <c r="C802" i="1" s="1"/>
  <c r="B562" i="1"/>
  <c r="B602" i="1" s="1"/>
  <c r="B642" i="1" s="1"/>
  <c r="F561" i="1"/>
  <c r="F601" i="1" s="1"/>
  <c r="F641" i="1" s="1"/>
  <c r="F681" i="1" s="1"/>
  <c r="F721" i="1" s="1"/>
  <c r="F761" i="1" s="1"/>
  <c r="F801" i="1" s="1"/>
  <c r="E561" i="1"/>
  <c r="E601" i="1" s="1"/>
  <c r="E641" i="1" s="1"/>
  <c r="E681" i="1" s="1"/>
  <c r="E721" i="1" s="1"/>
  <c r="E761" i="1" s="1"/>
  <c r="E801" i="1" s="1"/>
  <c r="D561" i="1"/>
  <c r="D601" i="1" s="1"/>
  <c r="D641" i="1" s="1"/>
  <c r="D681" i="1" s="1"/>
  <c r="D721" i="1" s="1"/>
  <c r="D761" i="1" s="1"/>
  <c r="D801" i="1" s="1"/>
  <c r="C561" i="1"/>
  <c r="C601" i="1" s="1"/>
  <c r="C641" i="1" s="1"/>
  <c r="C681" i="1" s="1"/>
  <c r="C721" i="1" s="1"/>
  <c r="C761" i="1" s="1"/>
  <c r="C801" i="1" s="1"/>
  <c r="B561" i="1"/>
  <c r="B601" i="1" s="1"/>
  <c r="F560" i="1"/>
  <c r="E560" i="1"/>
  <c r="E600" i="1" s="1"/>
  <c r="E640" i="1" s="1"/>
  <c r="E680" i="1" s="1"/>
  <c r="E720" i="1" s="1"/>
  <c r="E760" i="1" s="1"/>
  <c r="E800" i="1" s="1"/>
  <c r="D560" i="1"/>
  <c r="D600" i="1" s="1"/>
  <c r="D640" i="1" s="1"/>
  <c r="D680" i="1" s="1"/>
  <c r="D720" i="1" s="1"/>
  <c r="D760" i="1" s="1"/>
  <c r="D800" i="1" s="1"/>
  <c r="C560" i="1"/>
  <c r="C600" i="1" s="1"/>
  <c r="C640" i="1" s="1"/>
  <c r="C680" i="1" s="1"/>
  <c r="C720" i="1" s="1"/>
  <c r="C760" i="1" s="1"/>
  <c r="C800" i="1" s="1"/>
  <c r="B560" i="1"/>
  <c r="B600" i="1" s="1"/>
  <c r="F559" i="1"/>
  <c r="F599" i="1" s="1"/>
  <c r="F639" i="1" s="1"/>
  <c r="F679" i="1" s="1"/>
  <c r="F719" i="1" s="1"/>
  <c r="F759" i="1" s="1"/>
  <c r="F799" i="1" s="1"/>
  <c r="E559" i="1"/>
  <c r="E599" i="1" s="1"/>
  <c r="E639" i="1" s="1"/>
  <c r="E679" i="1" s="1"/>
  <c r="E719" i="1" s="1"/>
  <c r="E759" i="1" s="1"/>
  <c r="E799" i="1" s="1"/>
  <c r="D559" i="1"/>
  <c r="D599" i="1" s="1"/>
  <c r="D639" i="1" s="1"/>
  <c r="D679" i="1" s="1"/>
  <c r="D719" i="1" s="1"/>
  <c r="D759" i="1" s="1"/>
  <c r="D799" i="1" s="1"/>
  <c r="C559" i="1"/>
  <c r="C599" i="1" s="1"/>
  <c r="C639" i="1" s="1"/>
  <c r="C679" i="1" s="1"/>
  <c r="C719" i="1" s="1"/>
  <c r="C759" i="1" s="1"/>
  <c r="C799" i="1" s="1"/>
  <c r="B559" i="1"/>
  <c r="F558" i="1"/>
  <c r="F598" i="1" s="1"/>
  <c r="F638" i="1" s="1"/>
  <c r="F678" i="1" s="1"/>
  <c r="F718" i="1" s="1"/>
  <c r="F758" i="1" s="1"/>
  <c r="F798" i="1" s="1"/>
  <c r="E558" i="1"/>
  <c r="E598" i="1" s="1"/>
  <c r="E638" i="1" s="1"/>
  <c r="E678" i="1" s="1"/>
  <c r="E718" i="1" s="1"/>
  <c r="E758" i="1" s="1"/>
  <c r="E798" i="1" s="1"/>
  <c r="D558" i="1"/>
  <c r="D598" i="1" s="1"/>
  <c r="D638" i="1" s="1"/>
  <c r="D678" i="1" s="1"/>
  <c r="D718" i="1" s="1"/>
  <c r="D758" i="1" s="1"/>
  <c r="D798" i="1" s="1"/>
  <c r="C558" i="1"/>
  <c r="C598" i="1" s="1"/>
  <c r="C638" i="1" s="1"/>
  <c r="C678" i="1" s="1"/>
  <c r="C718" i="1" s="1"/>
  <c r="C758" i="1" s="1"/>
  <c r="C798" i="1" s="1"/>
  <c r="B558" i="1"/>
  <c r="B598" i="1" s="1"/>
  <c r="B638" i="1" s="1"/>
  <c r="F557" i="1"/>
  <c r="F597" i="1" s="1"/>
  <c r="F637" i="1" s="1"/>
  <c r="F677" i="1" s="1"/>
  <c r="F717" i="1" s="1"/>
  <c r="F757" i="1" s="1"/>
  <c r="F797" i="1" s="1"/>
  <c r="E557" i="1"/>
  <c r="E597" i="1" s="1"/>
  <c r="D557" i="1"/>
  <c r="D597" i="1" s="1"/>
  <c r="C557" i="1"/>
  <c r="B557" i="1"/>
  <c r="B597" i="1" s="1"/>
  <c r="B637" i="1" s="1"/>
  <c r="B677" i="1" s="1"/>
  <c r="F556" i="1"/>
  <c r="E556" i="1"/>
  <c r="E596" i="1" s="1"/>
  <c r="E636" i="1" s="1"/>
  <c r="E676" i="1" s="1"/>
  <c r="E716" i="1" s="1"/>
  <c r="E756" i="1" s="1"/>
  <c r="E796" i="1" s="1"/>
  <c r="D556" i="1"/>
  <c r="D596" i="1" s="1"/>
  <c r="D636" i="1" s="1"/>
  <c r="D676" i="1" s="1"/>
  <c r="D716" i="1" s="1"/>
  <c r="D756" i="1" s="1"/>
  <c r="D796" i="1" s="1"/>
  <c r="C556" i="1"/>
  <c r="C596" i="1" s="1"/>
  <c r="C636" i="1" s="1"/>
  <c r="C676" i="1" s="1"/>
  <c r="C716" i="1" s="1"/>
  <c r="C756" i="1" s="1"/>
  <c r="C796" i="1" s="1"/>
  <c r="B556" i="1"/>
  <c r="B596" i="1" s="1"/>
  <c r="F555" i="1"/>
  <c r="F595" i="1" s="1"/>
  <c r="F635" i="1" s="1"/>
  <c r="F675" i="1" s="1"/>
  <c r="F715" i="1" s="1"/>
  <c r="F755" i="1" s="1"/>
  <c r="F795" i="1" s="1"/>
  <c r="E555" i="1"/>
  <c r="E595" i="1" s="1"/>
  <c r="E635" i="1" s="1"/>
  <c r="E675" i="1" s="1"/>
  <c r="E715" i="1" s="1"/>
  <c r="E755" i="1" s="1"/>
  <c r="E795" i="1" s="1"/>
  <c r="D555" i="1"/>
  <c r="D595" i="1" s="1"/>
  <c r="D635" i="1" s="1"/>
  <c r="D675" i="1" s="1"/>
  <c r="D715" i="1" s="1"/>
  <c r="D755" i="1" s="1"/>
  <c r="D795" i="1" s="1"/>
  <c r="C555" i="1"/>
  <c r="C595" i="1" s="1"/>
  <c r="C635" i="1" s="1"/>
  <c r="C675" i="1" s="1"/>
  <c r="C715" i="1" s="1"/>
  <c r="C755" i="1" s="1"/>
  <c r="C795" i="1" s="1"/>
  <c r="B555" i="1"/>
  <c r="B595" i="1" s="1"/>
  <c r="F554" i="1"/>
  <c r="F594" i="1" s="1"/>
  <c r="F634" i="1" s="1"/>
  <c r="F674" i="1" s="1"/>
  <c r="F714" i="1" s="1"/>
  <c r="F754" i="1" s="1"/>
  <c r="F794" i="1" s="1"/>
  <c r="E554" i="1"/>
  <c r="E594" i="1" s="1"/>
  <c r="E634" i="1" s="1"/>
  <c r="E674" i="1" s="1"/>
  <c r="E714" i="1" s="1"/>
  <c r="E754" i="1" s="1"/>
  <c r="E794" i="1" s="1"/>
  <c r="D554" i="1"/>
  <c r="D594" i="1" s="1"/>
  <c r="D634" i="1" s="1"/>
  <c r="D674" i="1" s="1"/>
  <c r="D714" i="1" s="1"/>
  <c r="D754" i="1" s="1"/>
  <c r="D794" i="1" s="1"/>
  <c r="C554" i="1"/>
  <c r="C594" i="1" s="1"/>
  <c r="C634" i="1" s="1"/>
  <c r="C674" i="1" s="1"/>
  <c r="C714" i="1" s="1"/>
  <c r="C754" i="1" s="1"/>
  <c r="C794" i="1" s="1"/>
  <c r="B554" i="1"/>
  <c r="B594" i="1" s="1"/>
  <c r="B634" i="1" s="1"/>
  <c r="F553" i="1"/>
  <c r="F593" i="1" s="1"/>
  <c r="F633" i="1" s="1"/>
  <c r="F673" i="1" s="1"/>
  <c r="F713" i="1" s="1"/>
  <c r="F753" i="1" s="1"/>
  <c r="F793" i="1" s="1"/>
  <c r="E553" i="1"/>
  <c r="E593" i="1" s="1"/>
  <c r="E633" i="1" s="1"/>
  <c r="E673" i="1" s="1"/>
  <c r="E713" i="1" s="1"/>
  <c r="E753" i="1" s="1"/>
  <c r="E793" i="1" s="1"/>
  <c r="D553" i="1"/>
  <c r="D593" i="1" s="1"/>
  <c r="C553" i="1"/>
  <c r="C593" i="1" s="1"/>
  <c r="C633" i="1" s="1"/>
  <c r="C673" i="1" s="1"/>
  <c r="C713" i="1" s="1"/>
  <c r="C753" i="1" s="1"/>
  <c r="C793" i="1" s="1"/>
  <c r="B553" i="1"/>
  <c r="B593" i="1" s="1"/>
  <c r="F552" i="1"/>
  <c r="F592" i="1" s="1"/>
  <c r="F632" i="1" s="1"/>
  <c r="F672" i="1" s="1"/>
  <c r="F712" i="1" s="1"/>
  <c r="F752" i="1" s="1"/>
  <c r="F792" i="1" s="1"/>
  <c r="E552" i="1"/>
  <c r="E592" i="1" s="1"/>
  <c r="E632" i="1" s="1"/>
  <c r="E672" i="1" s="1"/>
  <c r="E712" i="1" s="1"/>
  <c r="E752" i="1" s="1"/>
  <c r="E792" i="1" s="1"/>
  <c r="D552" i="1"/>
  <c r="D592" i="1" s="1"/>
  <c r="D632" i="1" s="1"/>
  <c r="D672" i="1" s="1"/>
  <c r="D712" i="1" s="1"/>
  <c r="D752" i="1" s="1"/>
  <c r="D792" i="1" s="1"/>
  <c r="C552" i="1"/>
  <c r="C592" i="1" s="1"/>
  <c r="C632" i="1" s="1"/>
  <c r="C672" i="1" s="1"/>
  <c r="C712" i="1" s="1"/>
  <c r="C752" i="1" s="1"/>
  <c r="C792" i="1" s="1"/>
  <c r="B552" i="1"/>
  <c r="B592" i="1" s="1"/>
  <c r="F551" i="1"/>
  <c r="F591" i="1" s="1"/>
  <c r="F631" i="1" s="1"/>
  <c r="F671" i="1" s="1"/>
  <c r="F711" i="1" s="1"/>
  <c r="F751" i="1" s="1"/>
  <c r="F791" i="1" s="1"/>
  <c r="E551" i="1"/>
  <c r="E591" i="1" s="1"/>
  <c r="E631" i="1" s="1"/>
  <c r="E671" i="1" s="1"/>
  <c r="E711" i="1" s="1"/>
  <c r="E751" i="1" s="1"/>
  <c r="E791" i="1" s="1"/>
  <c r="D551" i="1"/>
  <c r="D591" i="1" s="1"/>
  <c r="D631" i="1" s="1"/>
  <c r="D671" i="1" s="1"/>
  <c r="D711" i="1" s="1"/>
  <c r="D751" i="1" s="1"/>
  <c r="D791" i="1" s="1"/>
  <c r="C551" i="1"/>
  <c r="C591" i="1" s="1"/>
  <c r="C631" i="1" s="1"/>
  <c r="C671" i="1" s="1"/>
  <c r="C711" i="1" s="1"/>
  <c r="C751" i="1" s="1"/>
  <c r="C791" i="1" s="1"/>
  <c r="B551" i="1"/>
  <c r="F550" i="1"/>
  <c r="F590" i="1" s="1"/>
  <c r="F630" i="1" s="1"/>
  <c r="F670" i="1" s="1"/>
  <c r="F710" i="1" s="1"/>
  <c r="F750" i="1" s="1"/>
  <c r="F790" i="1" s="1"/>
  <c r="E550" i="1"/>
  <c r="E590" i="1" s="1"/>
  <c r="E630" i="1" s="1"/>
  <c r="E670" i="1" s="1"/>
  <c r="E710" i="1" s="1"/>
  <c r="E750" i="1" s="1"/>
  <c r="E790" i="1" s="1"/>
  <c r="D550" i="1"/>
  <c r="D590" i="1" s="1"/>
  <c r="D630" i="1" s="1"/>
  <c r="D670" i="1" s="1"/>
  <c r="D710" i="1" s="1"/>
  <c r="D750" i="1" s="1"/>
  <c r="D790" i="1" s="1"/>
  <c r="C550" i="1"/>
  <c r="C590" i="1" s="1"/>
  <c r="C630" i="1" s="1"/>
  <c r="C670" i="1" s="1"/>
  <c r="C710" i="1" s="1"/>
  <c r="C750" i="1" s="1"/>
  <c r="C790" i="1" s="1"/>
  <c r="B550" i="1"/>
  <c r="B590" i="1" s="1"/>
  <c r="F549" i="1"/>
  <c r="E549" i="1"/>
  <c r="E589" i="1" s="1"/>
  <c r="E629" i="1" s="1"/>
  <c r="E669" i="1" s="1"/>
  <c r="E709" i="1" s="1"/>
  <c r="E749" i="1" s="1"/>
  <c r="E789" i="1" s="1"/>
  <c r="D549" i="1"/>
  <c r="D589" i="1" s="1"/>
  <c r="D629" i="1" s="1"/>
  <c r="D669" i="1" s="1"/>
  <c r="D709" i="1" s="1"/>
  <c r="D749" i="1" s="1"/>
  <c r="D789" i="1" s="1"/>
  <c r="C549" i="1"/>
  <c r="C589" i="1" s="1"/>
  <c r="C629" i="1" s="1"/>
  <c r="C669" i="1" s="1"/>
  <c r="C709" i="1" s="1"/>
  <c r="C749" i="1" s="1"/>
  <c r="C789" i="1" s="1"/>
  <c r="B549" i="1"/>
  <c r="B589" i="1" s="1"/>
  <c r="F548" i="1"/>
  <c r="F588" i="1" s="1"/>
  <c r="F628" i="1" s="1"/>
  <c r="F668" i="1" s="1"/>
  <c r="F708" i="1" s="1"/>
  <c r="F748" i="1" s="1"/>
  <c r="F788" i="1" s="1"/>
  <c r="E548" i="1"/>
  <c r="E588" i="1" s="1"/>
  <c r="E628" i="1" s="1"/>
  <c r="E668" i="1" s="1"/>
  <c r="E708" i="1" s="1"/>
  <c r="E748" i="1" s="1"/>
  <c r="E788" i="1" s="1"/>
  <c r="D548" i="1"/>
  <c r="C548" i="1"/>
  <c r="C588" i="1" s="1"/>
  <c r="C628" i="1" s="1"/>
  <c r="C668" i="1" s="1"/>
  <c r="C708" i="1" s="1"/>
  <c r="C748" i="1" s="1"/>
  <c r="C788" i="1" s="1"/>
  <c r="B548" i="1"/>
  <c r="B588" i="1" s="1"/>
  <c r="F547" i="1"/>
  <c r="F587" i="1" s="1"/>
  <c r="F627" i="1" s="1"/>
  <c r="F667" i="1" s="1"/>
  <c r="F707" i="1" s="1"/>
  <c r="F747" i="1" s="1"/>
  <c r="F787" i="1" s="1"/>
  <c r="E547" i="1"/>
  <c r="E587" i="1" s="1"/>
  <c r="E627" i="1" s="1"/>
  <c r="E667" i="1" s="1"/>
  <c r="E707" i="1" s="1"/>
  <c r="E747" i="1" s="1"/>
  <c r="E787" i="1" s="1"/>
  <c r="D547" i="1"/>
  <c r="D587" i="1" s="1"/>
  <c r="D627" i="1" s="1"/>
  <c r="D667" i="1" s="1"/>
  <c r="D707" i="1" s="1"/>
  <c r="D747" i="1" s="1"/>
  <c r="D787" i="1" s="1"/>
  <c r="C547" i="1"/>
  <c r="C587" i="1" s="1"/>
  <c r="C627" i="1" s="1"/>
  <c r="C667" i="1" s="1"/>
  <c r="C707" i="1" s="1"/>
  <c r="C747" i="1" s="1"/>
  <c r="C787" i="1" s="1"/>
  <c r="B547" i="1"/>
  <c r="F546" i="1"/>
  <c r="F586" i="1" s="1"/>
  <c r="F626" i="1" s="1"/>
  <c r="F666" i="1" s="1"/>
  <c r="F706" i="1" s="1"/>
  <c r="F746" i="1" s="1"/>
  <c r="F786" i="1" s="1"/>
  <c r="E546" i="1"/>
  <c r="D546" i="1"/>
  <c r="D586" i="1" s="1"/>
  <c r="D626" i="1" s="1"/>
  <c r="D666" i="1" s="1"/>
  <c r="D706" i="1" s="1"/>
  <c r="D746" i="1" s="1"/>
  <c r="D786" i="1" s="1"/>
  <c r="C546" i="1"/>
  <c r="C586" i="1" s="1"/>
  <c r="C626" i="1" s="1"/>
  <c r="C666" i="1" s="1"/>
  <c r="C706" i="1" s="1"/>
  <c r="C746" i="1" s="1"/>
  <c r="C786" i="1" s="1"/>
  <c r="B546" i="1"/>
  <c r="B586" i="1" s="1"/>
  <c r="F545" i="1"/>
  <c r="F585" i="1" s="1"/>
  <c r="F625" i="1" s="1"/>
  <c r="F665" i="1" s="1"/>
  <c r="F705" i="1" s="1"/>
  <c r="F745" i="1" s="1"/>
  <c r="F785" i="1" s="1"/>
  <c r="E545" i="1"/>
  <c r="E585" i="1" s="1"/>
  <c r="E625" i="1" s="1"/>
  <c r="E665" i="1" s="1"/>
  <c r="E705" i="1" s="1"/>
  <c r="E745" i="1" s="1"/>
  <c r="E785" i="1" s="1"/>
  <c r="D545" i="1"/>
  <c r="D585" i="1" s="1"/>
  <c r="D625" i="1" s="1"/>
  <c r="D665" i="1" s="1"/>
  <c r="D705" i="1" s="1"/>
  <c r="D745" i="1" s="1"/>
  <c r="D785" i="1" s="1"/>
  <c r="C545" i="1"/>
  <c r="C585" i="1" s="1"/>
  <c r="C625" i="1" s="1"/>
  <c r="C665" i="1" s="1"/>
  <c r="C705" i="1" s="1"/>
  <c r="C745" i="1" s="1"/>
  <c r="C785" i="1" s="1"/>
  <c r="B545" i="1"/>
  <c r="B585" i="1" s="1"/>
  <c r="B625" i="1" s="1"/>
  <c r="F544" i="1"/>
  <c r="F584" i="1" s="1"/>
  <c r="F624" i="1" s="1"/>
  <c r="F664" i="1" s="1"/>
  <c r="F704" i="1" s="1"/>
  <c r="F744" i="1" s="1"/>
  <c r="F784" i="1" s="1"/>
  <c r="E544" i="1"/>
  <c r="E584" i="1" s="1"/>
  <c r="E624" i="1" s="1"/>
  <c r="E664" i="1" s="1"/>
  <c r="E704" i="1" s="1"/>
  <c r="E744" i="1" s="1"/>
  <c r="E784" i="1" s="1"/>
  <c r="D544" i="1"/>
  <c r="D584" i="1" s="1"/>
  <c r="D624" i="1" s="1"/>
  <c r="D664" i="1" s="1"/>
  <c r="D704" i="1" s="1"/>
  <c r="D744" i="1" s="1"/>
  <c r="D784" i="1" s="1"/>
  <c r="C544" i="1"/>
  <c r="C584" i="1" s="1"/>
  <c r="C624" i="1" s="1"/>
  <c r="C664" i="1" s="1"/>
  <c r="C704" i="1" s="1"/>
  <c r="C744" i="1" s="1"/>
  <c r="C784" i="1" s="1"/>
  <c r="B544" i="1"/>
  <c r="B584" i="1" s="1"/>
  <c r="F543" i="1"/>
  <c r="F583" i="1" s="1"/>
  <c r="F623" i="1" s="1"/>
  <c r="F663" i="1" s="1"/>
  <c r="F703" i="1" s="1"/>
  <c r="F743" i="1" s="1"/>
  <c r="F783" i="1" s="1"/>
  <c r="E543" i="1"/>
  <c r="E583" i="1" s="1"/>
  <c r="E623" i="1" s="1"/>
  <c r="E663" i="1" s="1"/>
  <c r="E703" i="1" s="1"/>
  <c r="E743" i="1" s="1"/>
  <c r="E783" i="1" s="1"/>
  <c r="D543" i="1"/>
  <c r="D583" i="1" s="1"/>
  <c r="D623" i="1" s="1"/>
  <c r="D663" i="1" s="1"/>
  <c r="D703" i="1" s="1"/>
  <c r="D743" i="1" s="1"/>
  <c r="D783" i="1" s="1"/>
  <c r="C543" i="1"/>
  <c r="C583" i="1" s="1"/>
  <c r="C623" i="1" s="1"/>
  <c r="C663" i="1" s="1"/>
  <c r="C703" i="1" s="1"/>
  <c r="C743" i="1" s="1"/>
  <c r="C783" i="1" s="1"/>
  <c r="B543" i="1"/>
  <c r="F542" i="1"/>
  <c r="F582" i="1" s="1"/>
  <c r="F622" i="1" s="1"/>
  <c r="F662" i="1" s="1"/>
  <c r="F702" i="1" s="1"/>
  <c r="F742" i="1" s="1"/>
  <c r="F782" i="1" s="1"/>
  <c r="E542" i="1"/>
  <c r="E582" i="1" s="1"/>
  <c r="E622" i="1" s="1"/>
  <c r="E662" i="1" s="1"/>
  <c r="E702" i="1" s="1"/>
  <c r="E742" i="1" s="1"/>
  <c r="E782" i="1" s="1"/>
  <c r="D542" i="1"/>
  <c r="D582" i="1" s="1"/>
  <c r="D622" i="1" s="1"/>
  <c r="D662" i="1" s="1"/>
  <c r="D702" i="1" s="1"/>
  <c r="D742" i="1" s="1"/>
  <c r="D782" i="1" s="1"/>
  <c r="C542" i="1"/>
  <c r="C582" i="1" s="1"/>
  <c r="C622" i="1" s="1"/>
  <c r="C662" i="1" s="1"/>
  <c r="C702" i="1" s="1"/>
  <c r="C742" i="1" s="1"/>
  <c r="C782" i="1" s="1"/>
  <c r="B542" i="1"/>
  <c r="B582" i="1" s="1"/>
  <c r="F541" i="1"/>
  <c r="F581" i="1" s="1"/>
  <c r="F621" i="1" s="1"/>
  <c r="F661" i="1" s="1"/>
  <c r="F701" i="1" s="1"/>
  <c r="F741" i="1" s="1"/>
  <c r="F781" i="1" s="1"/>
  <c r="E541" i="1"/>
  <c r="E581" i="1" s="1"/>
  <c r="E621" i="1" s="1"/>
  <c r="E661" i="1" s="1"/>
  <c r="E701" i="1" s="1"/>
  <c r="E741" i="1" s="1"/>
  <c r="E781" i="1" s="1"/>
  <c r="D541" i="1"/>
  <c r="D581" i="1" s="1"/>
  <c r="D621" i="1" s="1"/>
  <c r="D661" i="1" s="1"/>
  <c r="D701" i="1" s="1"/>
  <c r="D741" i="1" s="1"/>
  <c r="D781" i="1" s="1"/>
  <c r="C541" i="1"/>
  <c r="C581" i="1" s="1"/>
  <c r="C621" i="1" s="1"/>
  <c r="C661" i="1" s="1"/>
  <c r="C701" i="1" s="1"/>
  <c r="C741" i="1" s="1"/>
  <c r="C781" i="1" s="1"/>
  <c r="B541" i="1"/>
  <c r="B581" i="1" s="1"/>
  <c r="F540" i="1"/>
  <c r="F580" i="1" s="1"/>
  <c r="F620" i="1" s="1"/>
  <c r="F660" i="1" s="1"/>
  <c r="F700" i="1" s="1"/>
  <c r="F740" i="1" s="1"/>
  <c r="F780" i="1" s="1"/>
  <c r="E540" i="1"/>
  <c r="E580" i="1" s="1"/>
  <c r="E620" i="1" s="1"/>
  <c r="E660" i="1" s="1"/>
  <c r="E700" i="1" s="1"/>
  <c r="E740" i="1" s="1"/>
  <c r="E780" i="1" s="1"/>
  <c r="D540" i="1"/>
  <c r="D580" i="1" s="1"/>
  <c r="D620" i="1" s="1"/>
  <c r="D660" i="1" s="1"/>
  <c r="D700" i="1" s="1"/>
  <c r="D740" i="1" s="1"/>
  <c r="D780" i="1" s="1"/>
  <c r="C540" i="1"/>
  <c r="C580" i="1" s="1"/>
  <c r="C620" i="1" s="1"/>
  <c r="C660" i="1" s="1"/>
  <c r="C700" i="1" s="1"/>
  <c r="C740" i="1" s="1"/>
  <c r="C780" i="1" s="1"/>
  <c r="B540" i="1"/>
  <c r="B580" i="1" s="1"/>
  <c r="F539" i="1"/>
  <c r="F579" i="1" s="1"/>
  <c r="F619" i="1" s="1"/>
  <c r="F659" i="1" s="1"/>
  <c r="F699" i="1" s="1"/>
  <c r="F739" i="1" s="1"/>
  <c r="F779" i="1" s="1"/>
  <c r="E539" i="1"/>
  <c r="E579" i="1" s="1"/>
  <c r="E619" i="1" s="1"/>
  <c r="E659" i="1" s="1"/>
  <c r="E699" i="1" s="1"/>
  <c r="E739" i="1" s="1"/>
  <c r="E779" i="1" s="1"/>
  <c r="D539" i="1"/>
  <c r="D579" i="1" s="1"/>
  <c r="D619" i="1" s="1"/>
  <c r="D659" i="1" s="1"/>
  <c r="D699" i="1" s="1"/>
  <c r="D739" i="1" s="1"/>
  <c r="D779" i="1" s="1"/>
  <c r="C539" i="1"/>
  <c r="C579" i="1" s="1"/>
  <c r="C619" i="1" s="1"/>
  <c r="C659" i="1" s="1"/>
  <c r="C699" i="1" s="1"/>
  <c r="C739" i="1" s="1"/>
  <c r="C779" i="1" s="1"/>
  <c r="B539" i="1"/>
  <c r="F538" i="1"/>
  <c r="F578" i="1" s="1"/>
  <c r="F618" i="1" s="1"/>
  <c r="F658" i="1" s="1"/>
  <c r="F698" i="1" s="1"/>
  <c r="F738" i="1" s="1"/>
  <c r="F778" i="1" s="1"/>
  <c r="E538" i="1"/>
  <c r="D538" i="1"/>
  <c r="D578" i="1" s="1"/>
  <c r="D618" i="1" s="1"/>
  <c r="D658" i="1" s="1"/>
  <c r="D698" i="1" s="1"/>
  <c r="D738" i="1" s="1"/>
  <c r="D778" i="1" s="1"/>
  <c r="C538" i="1"/>
  <c r="C578" i="1" s="1"/>
  <c r="C618" i="1" s="1"/>
  <c r="C658" i="1" s="1"/>
  <c r="C698" i="1" s="1"/>
  <c r="C738" i="1" s="1"/>
  <c r="C778" i="1" s="1"/>
  <c r="B538" i="1"/>
  <c r="B578" i="1" s="1"/>
  <c r="B618" i="1" s="1"/>
  <c r="F537" i="1"/>
  <c r="F577" i="1" s="1"/>
  <c r="F617" i="1" s="1"/>
  <c r="F657" i="1" s="1"/>
  <c r="F697" i="1" s="1"/>
  <c r="F737" i="1" s="1"/>
  <c r="F777" i="1" s="1"/>
  <c r="E537" i="1"/>
  <c r="E577" i="1" s="1"/>
  <c r="E617" i="1" s="1"/>
  <c r="E657" i="1" s="1"/>
  <c r="E697" i="1" s="1"/>
  <c r="E737" i="1" s="1"/>
  <c r="E777" i="1" s="1"/>
  <c r="D537" i="1"/>
  <c r="D577" i="1" s="1"/>
  <c r="D617" i="1" s="1"/>
  <c r="D657" i="1" s="1"/>
  <c r="D697" i="1" s="1"/>
  <c r="D737" i="1" s="1"/>
  <c r="D777" i="1" s="1"/>
  <c r="C537" i="1"/>
  <c r="C577" i="1" s="1"/>
  <c r="C617" i="1" s="1"/>
  <c r="C657" i="1" s="1"/>
  <c r="C697" i="1" s="1"/>
  <c r="C737" i="1" s="1"/>
  <c r="C777" i="1" s="1"/>
  <c r="B537" i="1"/>
  <c r="B577" i="1" s="1"/>
  <c r="F536" i="1"/>
  <c r="F576" i="1" s="1"/>
  <c r="F616" i="1" s="1"/>
  <c r="F656" i="1" s="1"/>
  <c r="F696" i="1" s="1"/>
  <c r="F736" i="1" s="1"/>
  <c r="F776" i="1" s="1"/>
  <c r="E536" i="1"/>
  <c r="E576" i="1" s="1"/>
  <c r="E616" i="1" s="1"/>
  <c r="E656" i="1" s="1"/>
  <c r="E696" i="1" s="1"/>
  <c r="E736" i="1" s="1"/>
  <c r="E776" i="1" s="1"/>
  <c r="D536" i="1"/>
  <c r="D576" i="1" s="1"/>
  <c r="D616" i="1" s="1"/>
  <c r="D656" i="1" s="1"/>
  <c r="D696" i="1" s="1"/>
  <c r="D736" i="1" s="1"/>
  <c r="D776" i="1" s="1"/>
  <c r="C536" i="1"/>
  <c r="C576" i="1" s="1"/>
  <c r="C616" i="1" s="1"/>
  <c r="C656" i="1" s="1"/>
  <c r="C696" i="1" s="1"/>
  <c r="C736" i="1" s="1"/>
  <c r="C776" i="1" s="1"/>
  <c r="B536" i="1"/>
  <c r="B576" i="1" s="1"/>
  <c r="F535" i="1"/>
  <c r="F575" i="1" s="1"/>
  <c r="F615" i="1" s="1"/>
  <c r="F655" i="1" s="1"/>
  <c r="F695" i="1" s="1"/>
  <c r="F735" i="1" s="1"/>
  <c r="F775" i="1" s="1"/>
  <c r="E535" i="1"/>
  <c r="E575" i="1" s="1"/>
  <c r="E615" i="1" s="1"/>
  <c r="E655" i="1" s="1"/>
  <c r="E695" i="1" s="1"/>
  <c r="E735" i="1" s="1"/>
  <c r="E775" i="1" s="1"/>
  <c r="D535" i="1"/>
  <c r="D575" i="1" s="1"/>
  <c r="D615" i="1" s="1"/>
  <c r="D655" i="1" s="1"/>
  <c r="D695" i="1" s="1"/>
  <c r="D735" i="1" s="1"/>
  <c r="D775" i="1" s="1"/>
  <c r="C535" i="1"/>
  <c r="C575" i="1" s="1"/>
  <c r="C615" i="1" s="1"/>
  <c r="C655" i="1" s="1"/>
  <c r="C695" i="1" s="1"/>
  <c r="C735" i="1" s="1"/>
  <c r="C775" i="1" s="1"/>
  <c r="B535" i="1"/>
  <c r="F534" i="1"/>
  <c r="F574" i="1" s="1"/>
  <c r="F614" i="1" s="1"/>
  <c r="F654" i="1" s="1"/>
  <c r="F694" i="1" s="1"/>
  <c r="F734" i="1" s="1"/>
  <c r="F774" i="1" s="1"/>
  <c r="E534" i="1"/>
  <c r="E574" i="1" s="1"/>
  <c r="E614" i="1" s="1"/>
  <c r="E654" i="1" s="1"/>
  <c r="E694" i="1" s="1"/>
  <c r="E734" i="1" s="1"/>
  <c r="E774" i="1" s="1"/>
  <c r="D534" i="1"/>
  <c r="D574" i="1" s="1"/>
  <c r="D614" i="1" s="1"/>
  <c r="D654" i="1" s="1"/>
  <c r="D694" i="1" s="1"/>
  <c r="D734" i="1" s="1"/>
  <c r="D774" i="1" s="1"/>
  <c r="C534" i="1"/>
  <c r="C574" i="1" s="1"/>
  <c r="C614" i="1" s="1"/>
  <c r="C654" i="1" s="1"/>
  <c r="C694" i="1" s="1"/>
  <c r="C734" i="1" s="1"/>
  <c r="C774" i="1" s="1"/>
  <c r="B534" i="1"/>
  <c r="F533" i="1"/>
  <c r="F573" i="1" s="1"/>
  <c r="F613" i="1" s="1"/>
  <c r="F653" i="1" s="1"/>
  <c r="F693" i="1" s="1"/>
  <c r="F733" i="1" s="1"/>
  <c r="F773" i="1" s="1"/>
  <c r="E533" i="1"/>
  <c r="E573" i="1" s="1"/>
  <c r="E613" i="1" s="1"/>
  <c r="E653" i="1" s="1"/>
  <c r="E693" i="1" s="1"/>
  <c r="E733" i="1" s="1"/>
  <c r="E773" i="1" s="1"/>
  <c r="D533" i="1"/>
  <c r="D573" i="1" s="1"/>
  <c r="D613" i="1" s="1"/>
  <c r="D653" i="1" s="1"/>
  <c r="D693" i="1" s="1"/>
  <c r="D733" i="1" s="1"/>
  <c r="D773" i="1" s="1"/>
  <c r="C533" i="1"/>
  <c r="C573" i="1" s="1"/>
  <c r="C613" i="1" s="1"/>
  <c r="C653" i="1" s="1"/>
  <c r="C693" i="1" s="1"/>
  <c r="C733" i="1" s="1"/>
  <c r="C773" i="1" s="1"/>
  <c r="B533" i="1"/>
  <c r="F532" i="1"/>
  <c r="F572" i="1" s="1"/>
  <c r="F612" i="1" s="1"/>
  <c r="F652" i="1" s="1"/>
  <c r="F692" i="1" s="1"/>
  <c r="F732" i="1" s="1"/>
  <c r="F772" i="1" s="1"/>
  <c r="E532" i="1"/>
  <c r="E572" i="1" s="1"/>
  <c r="E612" i="1" s="1"/>
  <c r="E652" i="1" s="1"/>
  <c r="E692" i="1" s="1"/>
  <c r="E732" i="1" s="1"/>
  <c r="E772" i="1" s="1"/>
  <c r="D532" i="1"/>
  <c r="D572" i="1" s="1"/>
  <c r="D612" i="1" s="1"/>
  <c r="D652" i="1" s="1"/>
  <c r="D692" i="1" s="1"/>
  <c r="D732" i="1" s="1"/>
  <c r="D772" i="1" s="1"/>
  <c r="C532" i="1"/>
  <c r="C572" i="1" s="1"/>
  <c r="C612" i="1" s="1"/>
  <c r="C652" i="1" s="1"/>
  <c r="C692" i="1" s="1"/>
  <c r="C732" i="1" s="1"/>
  <c r="C772" i="1" s="1"/>
  <c r="B532" i="1"/>
  <c r="B572" i="1" s="1"/>
  <c r="F531" i="1"/>
  <c r="F571" i="1" s="1"/>
  <c r="F611" i="1" s="1"/>
  <c r="F651" i="1" s="1"/>
  <c r="F691" i="1" s="1"/>
  <c r="F731" i="1" s="1"/>
  <c r="F771" i="1" s="1"/>
  <c r="E531" i="1"/>
  <c r="E571" i="1" s="1"/>
  <c r="E611" i="1" s="1"/>
  <c r="E651" i="1" s="1"/>
  <c r="E691" i="1" s="1"/>
  <c r="E731" i="1" s="1"/>
  <c r="E771" i="1" s="1"/>
  <c r="D531" i="1"/>
  <c r="D571" i="1" s="1"/>
  <c r="D611" i="1" s="1"/>
  <c r="D651" i="1" s="1"/>
  <c r="D691" i="1" s="1"/>
  <c r="D731" i="1" s="1"/>
  <c r="D771" i="1" s="1"/>
  <c r="C531" i="1"/>
  <c r="C571" i="1" s="1"/>
  <c r="C611" i="1" s="1"/>
  <c r="C651" i="1" s="1"/>
  <c r="C691" i="1" s="1"/>
  <c r="C731" i="1" s="1"/>
  <c r="C771" i="1" s="1"/>
  <c r="B531" i="1"/>
  <c r="F530" i="1"/>
  <c r="F570" i="1" s="1"/>
  <c r="F610" i="1" s="1"/>
  <c r="F650" i="1" s="1"/>
  <c r="F690" i="1" s="1"/>
  <c r="F730" i="1" s="1"/>
  <c r="F770" i="1" s="1"/>
  <c r="E530" i="1"/>
  <c r="E570" i="1" s="1"/>
  <c r="E610" i="1" s="1"/>
  <c r="E650" i="1" s="1"/>
  <c r="E690" i="1" s="1"/>
  <c r="E730" i="1" s="1"/>
  <c r="E770" i="1" s="1"/>
  <c r="D530" i="1"/>
  <c r="D570" i="1" s="1"/>
  <c r="D610" i="1" s="1"/>
  <c r="D650" i="1" s="1"/>
  <c r="D690" i="1" s="1"/>
  <c r="D730" i="1" s="1"/>
  <c r="D770" i="1" s="1"/>
  <c r="C530" i="1"/>
  <c r="C570" i="1" s="1"/>
  <c r="C610" i="1" s="1"/>
  <c r="C650" i="1" s="1"/>
  <c r="C690" i="1" s="1"/>
  <c r="C730" i="1" s="1"/>
  <c r="C770" i="1" s="1"/>
  <c r="B530" i="1"/>
  <c r="B570" i="1" s="1"/>
  <c r="F529" i="1"/>
  <c r="F569" i="1" s="1"/>
  <c r="F609" i="1" s="1"/>
  <c r="F649" i="1" s="1"/>
  <c r="F689" i="1" s="1"/>
  <c r="F729" i="1" s="1"/>
  <c r="F769" i="1" s="1"/>
  <c r="E529" i="1"/>
  <c r="E569" i="1" s="1"/>
  <c r="E609" i="1" s="1"/>
  <c r="E649" i="1" s="1"/>
  <c r="E689" i="1" s="1"/>
  <c r="E729" i="1" s="1"/>
  <c r="E769" i="1" s="1"/>
  <c r="D529" i="1"/>
  <c r="D569" i="1" s="1"/>
  <c r="D609" i="1" s="1"/>
  <c r="D649" i="1" s="1"/>
  <c r="D689" i="1" s="1"/>
  <c r="D729" i="1" s="1"/>
  <c r="D769" i="1" s="1"/>
  <c r="C529" i="1"/>
  <c r="C569" i="1" s="1"/>
  <c r="C609" i="1" s="1"/>
  <c r="C649" i="1" s="1"/>
  <c r="C689" i="1" s="1"/>
  <c r="C729" i="1" s="1"/>
  <c r="C769" i="1" s="1"/>
  <c r="B529" i="1"/>
  <c r="B569" i="1" s="1"/>
  <c r="F528" i="1"/>
  <c r="F568" i="1" s="1"/>
  <c r="F608" i="1" s="1"/>
  <c r="F648" i="1" s="1"/>
  <c r="F688" i="1" s="1"/>
  <c r="F728" i="1" s="1"/>
  <c r="F768" i="1" s="1"/>
  <c r="E528" i="1"/>
  <c r="E568" i="1" s="1"/>
  <c r="E608" i="1" s="1"/>
  <c r="E648" i="1" s="1"/>
  <c r="E688" i="1" s="1"/>
  <c r="E728" i="1" s="1"/>
  <c r="E768" i="1" s="1"/>
  <c r="D528" i="1"/>
  <c r="D568" i="1" s="1"/>
  <c r="D608" i="1" s="1"/>
  <c r="D648" i="1" s="1"/>
  <c r="D688" i="1" s="1"/>
  <c r="D728" i="1" s="1"/>
  <c r="D768" i="1" s="1"/>
  <c r="C528" i="1"/>
  <c r="C568" i="1" s="1"/>
  <c r="C608" i="1" s="1"/>
  <c r="C648" i="1" s="1"/>
  <c r="C688" i="1" s="1"/>
  <c r="C728" i="1" s="1"/>
  <c r="C768" i="1" s="1"/>
  <c r="B528" i="1"/>
  <c r="B568" i="1" s="1"/>
  <c r="F527" i="1"/>
  <c r="F567" i="1" s="1"/>
  <c r="F607" i="1" s="1"/>
  <c r="F647" i="1" s="1"/>
  <c r="F687" i="1" s="1"/>
  <c r="F727" i="1" s="1"/>
  <c r="F767" i="1" s="1"/>
  <c r="E527" i="1"/>
  <c r="E567" i="1" s="1"/>
  <c r="E607" i="1" s="1"/>
  <c r="E647" i="1" s="1"/>
  <c r="E687" i="1" s="1"/>
  <c r="E727" i="1" s="1"/>
  <c r="E767" i="1" s="1"/>
  <c r="D527" i="1"/>
  <c r="D567" i="1" s="1"/>
  <c r="D607" i="1" s="1"/>
  <c r="D647" i="1" s="1"/>
  <c r="D687" i="1" s="1"/>
  <c r="D727" i="1" s="1"/>
  <c r="D767" i="1" s="1"/>
  <c r="C527" i="1"/>
  <c r="C567" i="1" s="1"/>
  <c r="C607" i="1" s="1"/>
  <c r="C647" i="1" s="1"/>
  <c r="C687" i="1" s="1"/>
  <c r="C727" i="1" s="1"/>
  <c r="C767" i="1" s="1"/>
  <c r="B527" i="1"/>
  <c r="F526" i="1"/>
  <c r="E526" i="1"/>
  <c r="E566" i="1" s="1"/>
  <c r="E606" i="1" s="1"/>
  <c r="E646" i="1" s="1"/>
  <c r="E686" i="1" s="1"/>
  <c r="E726" i="1" s="1"/>
  <c r="E766" i="1" s="1"/>
  <c r="D526" i="1"/>
  <c r="D566" i="1" s="1"/>
  <c r="D606" i="1" s="1"/>
  <c r="D646" i="1" s="1"/>
  <c r="D686" i="1" s="1"/>
  <c r="D726" i="1" s="1"/>
  <c r="D766" i="1" s="1"/>
  <c r="C526" i="1"/>
  <c r="C566" i="1" s="1"/>
  <c r="C606" i="1" s="1"/>
  <c r="C646" i="1" s="1"/>
  <c r="C686" i="1" s="1"/>
  <c r="C726" i="1" s="1"/>
  <c r="C766" i="1" s="1"/>
  <c r="B526" i="1"/>
  <c r="B566" i="1" s="1"/>
  <c r="F525" i="1"/>
  <c r="F565" i="1" s="1"/>
  <c r="F605" i="1" s="1"/>
  <c r="F645" i="1" s="1"/>
  <c r="F685" i="1" s="1"/>
  <c r="F725" i="1" s="1"/>
  <c r="F765" i="1" s="1"/>
  <c r="E525" i="1"/>
  <c r="E565" i="1" s="1"/>
  <c r="E605" i="1" s="1"/>
  <c r="E645" i="1" s="1"/>
  <c r="E685" i="1" s="1"/>
  <c r="E725" i="1" s="1"/>
  <c r="E765" i="1" s="1"/>
  <c r="D525" i="1"/>
  <c r="D565" i="1" s="1"/>
  <c r="D605" i="1" s="1"/>
  <c r="D645" i="1" s="1"/>
  <c r="D685" i="1" s="1"/>
  <c r="D725" i="1" s="1"/>
  <c r="D765" i="1" s="1"/>
  <c r="C525" i="1"/>
  <c r="C565" i="1" s="1"/>
  <c r="C605" i="1" s="1"/>
  <c r="C645" i="1" s="1"/>
  <c r="C685" i="1" s="1"/>
  <c r="C725" i="1" s="1"/>
  <c r="C765" i="1" s="1"/>
  <c r="B525" i="1"/>
  <c r="B565" i="1" s="1"/>
  <c r="F524" i="1"/>
  <c r="F564" i="1" s="1"/>
  <c r="F604" i="1" s="1"/>
  <c r="F644" i="1" s="1"/>
  <c r="F684" i="1" s="1"/>
  <c r="F724" i="1" s="1"/>
  <c r="F764" i="1" s="1"/>
  <c r="E524" i="1"/>
  <c r="E564" i="1" s="1"/>
  <c r="E604" i="1" s="1"/>
  <c r="E644" i="1" s="1"/>
  <c r="E684" i="1" s="1"/>
  <c r="E724" i="1" s="1"/>
  <c r="E764" i="1" s="1"/>
  <c r="D524" i="1"/>
  <c r="D564" i="1" s="1"/>
  <c r="D604" i="1" s="1"/>
  <c r="D644" i="1" s="1"/>
  <c r="D684" i="1" s="1"/>
  <c r="D724" i="1" s="1"/>
  <c r="D764" i="1" s="1"/>
  <c r="C524" i="1"/>
  <c r="C564" i="1" s="1"/>
  <c r="C604" i="1" s="1"/>
  <c r="C644" i="1" s="1"/>
  <c r="C684" i="1" s="1"/>
  <c r="C724" i="1" s="1"/>
  <c r="C764" i="1" s="1"/>
  <c r="B524" i="1"/>
  <c r="B564" i="1" s="1"/>
  <c r="M523" i="1"/>
  <c r="M563" i="1" s="1"/>
  <c r="M603" i="1" s="1"/>
  <c r="M643" i="1" s="1"/>
  <c r="M683" i="1" s="1"/>
  <c r="M723" i="1" s="1"/>
  <c r="M763" i="1" s="1"/>
  <c r="M803" i="1" s="1"/>
  <c r="K523" i="1"/>
  <c r="K563" i="1" s="1"/>
  <c r="K603" i="1" s="1"/>
  <c r="K643" i="1" s="1"/>
  <c r="K683" i="1" s="1"/>
  <c r="K723" i="1" s="1"/>
  <c r="K763" i="1" s="1"/>
  <c r="K803" i="1" s="1"/>
  <c r="J523" i="1"/>
  <c r="J563" i="1" s="1"/>
  <c r="J603" i="1" s="1"/>
  <c r="J643" i="1" s="1"/>
  <c r="J683" i="1" s="1"/>
  <c r="J723" i="1" s="1"/>
  <c r="J763" i="1" s="1"/>
  <c r="J803" i="1" s="1"/>
  <c r="H523" i="1"/>
  <c r="H563" i="1" s="1"/>
  <c r="H603" i="1" s="1"/>
  <c r="H643" i="1" s="1"/>
  <c r="H683" i="1" s="1"/>
  <c r="H723" i="1" s="1"/>
  <c r="H763" i="1" s="1"/>
  <c r="H803" i="1" s="1"/>
  <c r="A523" i="1"/>
  <c r="M522" i="1"/>
  <c r="M562" i="1" s="1"/>
  <c r="M602" i="1" s="1"/>
  <c r="M642" i="1" s="1"/>
  <c r="M682" i="1" s="1"/>
  <c r="M722" i="1" s="1"/>
  <c r="M762" i="1" s="1"/>
  <c r="M802" i="1" s="1"/>
  <c r="K522" i="1"/>
  <c r="K562" i="1" s="1"/>
  <c r="K602" i="1" s="1"/>
  <c r="K642" i="1" s="1"/>
  <c r="K682" i="1" s="1"/>
  <c r="K722" i="1" s="1"/>
  <c r="K762" i="1" s="1"/>
  <c r="K802" i="1" s="1"/>
  <c r="J522" i="1"/>
  <c r="J562" i="1" s="1"/>
  <c r="J602" i="1" s="1"/>
  <c r="J642" i="1" s="1"/>
  <c r="J682" i="1" s="1"/>
  <c r="J722" i="1" s="1"/>
  <c r="J762" i="1" s="1"/>
  <c r="J802" i="1" s="1"/>
  <c r="H522" i="1"/>
  <c r="H562" i="1" s="1"/>
  <c r="H602" i="1" s="1"/>
  <c r="H642" i="1" s="1"/>
  <c r="H682" i="1" s="1"/>
  <c r="H722" i="1" s="1"/>
  <c r="H762" i="1" s="1"/>
  <c r="H802" i="1" s="1"/>
  <c r="A522" i="1"/>
  <c r="A520" i="2" s="1"/>
  <c r="M521" i="1"/>
  <c r="M561" i="1" s="1"/>
  <c r="M601" i="1" s="1"/>
  <c r="M641" i="1" s="1"/>
  <c r="M681" i="1" s="1"/>
  <c r="M721" i="1" s="1"/>
  <c r="M761" i="1" s="1"/>
  <c r="M801" i="1" s="1"/>
  <c r="K521" i="1"/>
  <c r="K561" i="1" s="1"/>
  <c r="K601" i="1" s="1"/>
  <c r="K641" i="1" s="1"/>
  <c r="K681" i="1" s="1"/>
  <c r="K721" i="1" s="1"/>
  <c r="K761" i="1" s="1"/>
  <c r="K801" i="1" s="1"/>
  <c r="J521" i="1"/>
  <c r="J561" i="1" s="1"/>
  <c r="J601" i="1" s="1"/>
  <c r="J641" i="1" s="1"/>
  <c r="J681" i="1" s="1"/>
  <c r="J721" i="1" s="1"/>
  <c r="J761" i="1" s="1"/>
  <c r="J801" i="1" s="1"/>
  <c r="H521" i="1"/>
  <c r="H561" i="1" s="1"/>
  <c r="H601" i="1" s="1"/>
  <c r="H641" i="1" s="1"/>
  <c r="H681" i="1" s="1"/>
  <c r="H721" i="1" s="1"/>
  <c r="H761" i="1" s="1"/>
  <c r="H801" i="1" s="1"/>
  <c r="A521" i="1"/>
  <c r="M520" i="1"/>
  <c r="M560" i="1" s="1"/>
  <c r="M600" i="1" s="1"/>
  <c r="M640" i="1" s="1"/>
  <c r="M680" i="1" s="1"/>
  <c r="M720" i="1" s="1"/>
  <c r="M760" i="1" s="1"/>
  <c r="M800" i="1" s="1"/>
  <c r="K520" i="1"/>
  <c r="K560" i="1" s="1"/>
  <c r="K600" i="1" s="1"/>
  <c r="K640" i="1" s="1"/>
  <c r="K680" i="1" s="1"/>
  <c r="K720" i="1" s="1"/>
  <c r="K760" i="1" s="1"/>
  <c r="K800" i="1" s="1"/>
  <c r="J520" i="1"/>
  <c r="J560" i="1" s="1"/>
  <c r="J600" i="1" s="1"/>
  <c r="J640" i="1" s="1"/>
  <c r="J680" i="1" s="1"/>
  <c r="J720" i="1" s="1"/>
  <c r="J760" i="1" s="1"/>
  <c r="J800" i="1" s="1"/>
  <c r="H520" i="1"/>
  <c r="H560" i="1" s="1"/>
  <c r="H600" i="1" s="1"/>
  <c r="H640" i="1" s="1"/>
  <c r="H680" i="1" s="1"/>
  <c r="H720" i="1" s="1"/>
  <c r="H760" i="1" s="1"/>
  <c r="H800" i="1" s="1"/>
  <c r="A520" i="1"/>
  <c r="A518" i="2" s="1"/>
  <c r="M519" i="1"/>
  <c r="M559" i="1" s="1"/>
  <c r="M599" i="1" s="1"/>
  <c r="M639" i="1" s="1"/>
  <c r="M679" i="1" s="1"/>
  <c r="M719" i="1" s="1"/>
  <c r="M759" i="1" s="1"/>
  <c r="M799" i="1" s="1"/>
  <c r="K519" i="1"/>
  <c r="K559" i="1" s="1"/>
  <c r="K599" i="1" s="1"/>
  <c r="K639" i="1" s="1"/>
  <c r="K679" i="1" s="1"/>
  <c r="K719" i="1" s="1"/>
  <c r="K759" i="1" s="1"/>
  <c r="K799" i="1" s="1"/>
  <c r="J519" i="1"/>
  <c r="J559" i="1" s="1"/>
  <c r="J599" i="1" s="1"/>
  <c r="J639" i="1" s="1"/>
  <c r="J679" i="1" s="1"/>
  <c r="J719" i="1" s="1"/>
  <c r="J759" i="1" s="1"/>
  <c r="J799" i="1" s="1"/>
  <c r="H519" i="1"/>
  <c r="H559" i="1" s="1"/>
  <c r="H599" i="1" s="1"/>
  <c r="H639" i="1" s="1"/>
  <c r="H679" i="1" s="1"/>
  <c r="H719" i="1" s="1"/>
  <c r="H759" i="1" s="1"/>
  <c r="H799" i="1" s="1"/>
  <c r="A519" i="1"/>
  <c r="A517" i="2" s="1"/>
  <c r="M518" i="1"/>
  <c r="M558" i="1" s="1"/>
  <c r="M598" i="1" s="1"/>
  <c r="M638" i="1" s="1"/>
  <c r="M678" i="1" s="1"/>
  <c r="M718" i="1" s="1"/>
  <c r="M758" i="1" s="1"/>
  <c r="M798" i="1" s="1"/>
  <c r="K518" i="1"/>
  <c r="K558" i="1" s="1"/>
  <c r="K598" i="1" s="1"/>
  <c r="K638" i="1" s="1"/>
  <c r="K678" i="1" s="1"/>
  <c r="K718" i="1" s="1"/>
  <c r="K758" i="1" s="1"/>
  <c r="K798" i="1" s="1"/>
  <c r="J518" i="1"/>
  <c r="J558" i="1" s="1"/>
  <c r="J598" i="1" s="1"/>
  <c r="J638" i="1" s="1"/>
  <c r="J678" i="1" s="1"/>
  <c r="J718" i="1" s="1"/>
  <c r="J758" i="1" s="1"/>
  <c r="J798" i="1" s="1"/>
  <c r="H518" i="1"/>
  <c r="H558" i="1" s="1"/>
  <c r="H598" i="1" s="1"/>
  <c r="H638" i="1" s="1"/>
  <c r="H678" i="1" s="1"/>
  <c r="H718" i="1" s="1"/>
  <c r="H758" i="1" s="1"/>
  <c r="H798" i="1" s="1"/>
  <c r="A518" i="1"/>
  <c r="A516" i="2" s="1"/>
  <c r="M517" i="1"/>
  <c r="M557" i="1" s="1"/>
  <c r="M597" i="1" s="1"/>
  <c r="M637" i="1" s="1"/>
  <c r="M677" i="1" s="1"/>
  <c r="M717" i="1" s="1"/>
  <c r="M757" i="1" s="1"/>
  <c r="M797" i="1" s="1"/>
  <c r="K517" i="1"/>
  <c r="K557" i="1" s="1"/>
  <c r="K597" i="1" s="1"/>
  <c r="K637" i="1" s="1"/>
  <c r="K677" i="1" s="1"/>
  <c r="K717" i="1" s="1"/>
  <c r="K757" i="1" s="1"/>
  <c r="K797" i="1" s="1"/>
  <c r="J517" i="1"/>
  <c r="J557" i="1" s="1"/>
  <c r="J597" i="1" s="1"/>
  <c r="J637" i="1" s="1"/>
  <c r="J677" i="1" s="1"/>
  <c r="J717" i="1" s="1"/>
  <c r="J757" i="1" s="1"/>
  <c r="J797" i="1" s="1"/>
  <c r="H517" i="1"/>
  <c r="H557" i="1" s="1"/>
  <c r="H597" i="1" s="1"/>
  <c r="H637" i="1" s="1"/>
  <c r="H677" i="1" s="1"/>
  <c r="H717" i="1" s="1"/>
  <c r="H757" i="1" s="1"/>
  <c r="H797" i="1" s="1"/>
  <c r="A517" i="1"/>
  <c r="A515" i="2" s="1"/>
  <c r="M516" i="1"/>
  <c r="M556" i="1" s="1"/>
  <c r="M596" i="1" s="1"/>
  <c r="M636" i="1" s="1"/>
  <c r="M676" i="1" s="1"/>
  <c r="M716" i="1" s="1"/>
  <c r="M756" i="1" s="1"/>
  <c r="M796" i="1" s="1"/>
  <c r="K516" i="1"/>
  <c r="K556" i="1" s="1"/>
  <c r="K596" i="1" s="1"/>
  <c r="K636" i="1" s="1"/>
  <c r="K676" i="1" s="1"/>
  <c r="K716" i="1" s="1"/>
  <c r="K756" i="1" s="1"/>
  <c r="K796" i="1" s="1"/>
  <c r="J516" i="1"/>
  <c r="J556" i="1" s="1"/>
  <c r="J596" i="1" s="1"/>
  <c r="J636" i="1" s="1"/>
  <c r="J676" i="1" s="1"/>
  <c r="J716" i="1" s="1"/>
  <c r="J756" i="1" s="1"/>
  <c r="J796" i="1" s="1"/>
  <c r="H516" i="1"/>
  <c r="H556" i="1" s="1"/>
  <c r="H596" i="1" s="1"/>
  <c r="H636" i="1" s="1"/>
  <c r="H676" i="1" s="1"/>
  <c r="H716" i="1" s="1"/>
  <c r="H756" i="1" s="1"/>
  <c r="H796" i="1" s="1"/>
  <c r="A516" i="1"/>
  <c r="M515" i="1"/>
  <c r="M555" i="1" s="1"/>
  <c r="M595" i="1" s="1"/>
  <c r="M635" i="1" s="1"/>
  <c r="M675" i="1" s="1"/>
  <c r="M715" i="1" s="1"/>
  <c r="M755" i="1" s="1"/>
  <c r="M795" i="1" s="1"/>
  <c r="K515" i="1"/>
  <c r="K555" i="1" s="1"/>
  <c r="K595" i="1" s="1"/>
  <c r="K635" i="1" s="1"/>
  <c r="K675" i="1" s="1"/>
  <c r="K715" i="1" s="1"/>
  <c r="K755" i="1" s="1"/>
  <c r="K795" i="1" s="1"/>
  <c r="J515" i="1"/>
  <c r="J555" i="1" s="1"/>
  <c r="J595" i="1" s="1"/>
  <c r="J635" i="1" s="1"/>
  <c r="J675" i="1" s="1"/>
  <c r="J715" i="1" s="1"/>
  <c r="J755" i="1" s="1"/>
  <c r="J795" i="1" s="1"/>
  <c r="H515" i="1"/>
  <c r="H555" i="1" s="1"/>
  <c r="H595" i="1" s="1"/>
  <c r="H635" i="1" s="1"/>
  <c r="H675" i="1" s="1"/>
  <c r="H715" i="1" s="1"/>
  <c r="H755" i="1" s="1"/>
  <c r="H795" i="1" s="1"/>
  <c r="A515" i="1"/>
  <c r="M514" i="1"/>
  <c r="M554" i="1" s="1"/>
  <c r="M594" i="1" s="1"/>
  <c r="M634" i="1" s="1"/>
  <c r="M674" i="1" s="1"/>
  <c r="M714" i="1" s="1"/>
  <c r="M754" i="1" s="1"/>
  <c r="M794" i="1" s="1"/>
  <c r="K514" i="1"/>
  <c r="K554" i="1" s="1"/>
  <c r="K594" i="1" s="1"/>
  <c r="K634" i="1" s="1"/>
  <c r="K674" i="1" s="1"/>
  <c r="K714" i="1" s="1"/>
  <c r="K754" i="1" s="1"/>
  <c r="K794" i="1" s="1"/>
  <c r="J514" i="1"/>
  <c r="J554" i="1" s="1"/>
  <c r="J594" i="1" s="1"/>
  <c r="J634" i="1" s="1"/>
  <c r="J674" i="1" s="1"/>
  <c r="J714" i="1" s="1"/>
  <c r="J754" i="1" s="1"/>
  <c r="J794" i="1" s="1"/>
  <c r="H514" i="1"/>
  <c r="H554" i="1" s="1"/>
  <c r="H594" i="1" s="1"/>
  <c r="H634" i="1" s="1"/>
  <c r="H674" i="1" s="1"/>
  <c r="H714" i="1" s="1"/>
  <c r="H754" i="1" s="1"/>
  <c r="H794" i="1" s="1"/>
  <c r="A514" i="1"/>
  <c r="A512" i="2" s="1"/>
  <c r="M513" i="1"/>
  <c r="M553" i="1" s="1"/>
  <c r="M593" i="1" s="1"/>
  <c r="M633" i="1" s="1"/>
  <c r="M673" i="1" s="1"/>
  <c r="M713" i="1" s="1"/>
  <c r="M753" i="1" s="1"/>
  <c r="M793" i="1" s="1"/>
  <c r="K513" i="1"/>
  <c r="K553" i="1" s="1"/>
  <c r="K593" i="1" s="1"/>
  <c r="K633" i="1" s="1"/>
  <c r="K673" i="1" s="1"/>
  <c r="K713" i="1" s="1"/>
  <c r="K753" i="1" s="1"/>
  <c r="K793" i="1" s="1"/>
  <c r="J513" i="1"/>
  <c r="J553" i="1" s="1"/>
  <c r="J593" i="1" s="1"/>
  <c r="J633" i="1" s="1"/>
  <c r="J673" i="1" s="1"/>
  <c r="J713" i="1" s="1"/>
  <c r="J753" i="1" s="1"/>
  <c r="J793" i="1" s="1"/>
  <c r="H513" i="1"/>
  <c r="H553" i="1" s="1"/>
  <c r="H593" i="1" s="1"/>
  <c r="H633" i="1" s="1"/>
  <c r="H673" i="1" s="1"/>
  <c r="H713" i="1" s="1"/>
  <c r="H753" i="1" s="1"/>
  <c r="H793" i="1" s="1"/>
  <c r="A513" i="1"/>
  <c r="A511" i="2" s="1"/>
  <c r="M512" i="1"/>
  <c r="M552" i="1" s="1"/>
  <c r="M592" i="1" s="1"/>
  <c r="M632" i="1" s="1"/>
  <c r="M672" i="1" s="1"/>
  <c r="M712" i="1" s="1"/>
  <c r="M752" i="1" s="1"/>
  <c r="M792" i="1" s="1"/>
  <c r="K512" i="1"/>
  <c r="K552" i="1" s="1"/>
  <c r="K592" i="1" s="1"/>
  <c r="K632" i="1" s="1"/>
  <c r="K672" i="1" s="1"/>
  <c r="K712" i="1" s="1"/>
  <c r="K752" i="1" s="1"/>
  <c r="K792" i="1" s="1"/>
  <c r="J512" i="1"/>
  <c r="J552" i="1" s="1"/>
  <c r="J592" i="1" s="1"/>
  <c r="J632" i="1" s="1"/>
  <c r="J672" i="1" s="1"/>
  <c r="J712" i="1" s="1"/>
  <c r="J752" i="1" s="1"/>
  <c r="J792" i="1" s="1"/>
  <c r="H512" i="1"/>
  <c r="H552" i="1" s="1"/>
  <c r="H592" i="1" s="1"/>
  <c r="H632" i="1" s="1"/>
  <c r="H672" i="1" s="1"/>
  <c r="H712" i="1" s="1"/>
  <c r="H752" i="1" s="1"/>
  <c r="H792" i="1" s="1"/>
  <c r="A512" i="1"/>
  <c r="M511" i="1"/>
  <c r="M551" i="1" s="1"/>
  <c r="M591" i="1" s="1"/>
  <c r="M631" i="1" s="1"/>
  <c r="M671" i="1" s="1"/>
  <c r="M711" i="1" s="1"/>
  <c r="M751" i="1" s="1"/>
  <c r="M791" i="1" s="1"/>
  <c r="K511" i="1"/>
  <c r="K551" i="1" s="1"/>
  <c r="K591" i="1" s="1"/>
  <c r="K631" i="1" s="1"/>
  <c r="K671" i="1" s="1"/>
  <c r="K711" i="1" s="1"/>
  <c r="K751" i="1" s="1"/>
  <c r="K791" i="1" s="1"/>
  <c r="J511" i="1"/>
  <c r="J551" i="1" s="1"/>
  <c r="J591" i="1" s="1"/>
  <c r="J631" i="1" s="1"/>
  <c r="J671" i="1" s="1"/>
  <c r="J711" i="1" s="1"/>
  <c r="J751" i="1" s="1"/>
  <c r="J791" i="1" s="1"/>
  <c r="H511" i="1"/>
  <c r="H551" i="1" s="1"/>
  <c r="H591" i="1" s="1"/>
  <c r="H631" i="1" s="1"/>
  <c r="H671" i="1" s="1"/>
  <c r="H711" i="1" s="1"/>
  <c r="H751" i="1" s="1"/>
  <c r="H791" i="1" s="1"/>
  <c r="A511" i="1"/>
  <c r="M510" i="1"/>
  <c r="M550" i="1" s="1"/>
  <c r="M590" i="1" s="1"/>
  <c r="M630" i="1" s="1"/>
  <c r="M670" i="1" s="1"/>
  <c r="M710" i="1" s="1"/>
  <c r="M750" i="1" s="1"/>
  <c r="M790" i="1" s="1"/>
  <c r="K510" i="1"/>
  <c r="K550" i="1" s="1"/>
  <c r="K590" i="1" s="1"/>
  <c r="K630" i="1" s="1"/>
  <c r="K670" i="1" s="1"/>
  <c r="K710" i="1" s="1"/>
  <c r="K750" i="1" s="1"/>
  <c r="K790" i="1" s="1"/>
  <c r="J510" i="1"/>
  <c r="J550" i="1" s="1"/>
  <c r="J590" i="1" s="1"/>
  <c r="J630" i="1" s="1"/>
  <c r="J670" i="1" s="1"/>
  <c r="J710" i="1" s="1"/>
  <c r="J750" i="1" s="1"/>
  <c r="J790" i="1" s="1"/>
  <c r="H510" i="1"/>
  <c r="H550" i="1" s="1"/>
  <c r="H590" i="1" s="1"/>
  <c r="H630" i="1" s="1"/>
  <c r="H670" i="1" s="1"/>
  <c r="H710" i="1" s="1"/>
  <c r="H750" i="1" s="1"/>
  <c r="H790" i="1" s="1"/>
  <c r="A510" i="1"/>
  <c r="A508" i="2" s="1"/>
  <c r="M509" i="1"/>
  <c r="M549" i="1" s="1"/>
  <c r="M589" i="1" s="1"/>
  <c r="M629" i="1" s="1"/>
  <c r="M669" i="1" s="1"/>
  <c r="M709" i="1" s="1"/>
  <c r="M749" i="1" s="1"/>
  <c r="M789" i="1" s="1"/>
  <c r="K509" i="1"/>
  <c r="K549" i="1" s="1"/>
  <c r="K589" i="1" s="1"/>
  <c r="K629" i="1" s="1"/>
  <c r="K669" i="1" s="1"/>
  <c r="K709" i="1" s="1"/>
  <c r="K749" i="1" s="1"/>
  <c r="K789" i="1" s="1"/>
  <c r="J509" i="1"/>
  <c r="J549" i="1" s="1"/>
  <c r="J589" i="1" s="1"/>
  <c r="J629" i="1" s="1"/>
  <c r="J669" i="1" s="1"/>
  <c r="J709" i="1" s="1"/>
  <c r="J749" i="1" s="1"/>
  <c r="J789" i="1" s="1"/>
  <c r="H509" i="1"/>
  <c r="H549" i="1" s="1"/>
  <c r="H589" i="1" s="1"/>
  <c r="H629" i="1" s="1"/>
  <c r="H669" i="1" s="1"/>
  <c r="H709" i="1" s="1"/>
  <c r="H749" i="1" s="1"/>
  <c r="H789" i="1" s="1"/>
  <c r="A509" i="1"/>
  <c r="A507" i="2" s="1"/>
  <c r="M508" i="1"/>
  <c r="M548" i="1" s="1"/>
  <c r="M588" i="1" s="1"/>
  <c r="M628" i="1" s="1"/>
  <c r="M668" i="1" s="1"/>
  <c r="M708" i="1" s="1"/>
  <c r="M748" i="1" s="1"/>
  <c r="M788" i="1" s="1"/>
  <c r="K508" i="1"/>
  <c r="K548" i="1" s="1"/>
  <c r="K588" i="1" s="1"/>
  <c r="K628" i="1" s="1"/>
  <c r="K668" i="1" s="1"/>
  <c r="K708" i="1" s="1"/>
  <c r="K748" i="1" s="1"/>
  <c r="K788" i="1" s="1"/>
  <c r="J508" i="1"/>
  <c r="J548" i="1" s="1"/>
  <c r="J588" i="1" s="1"/>
  <c r="J628" i="1" s="1"/>
  <c r="J668" i="1" s="1"/>
  <c r="J708" i="1" s="1"/>
  <c r="J748" i="1" s="1"/>
  <c r="J788" i="1" s="1"/>
  <c r="H508" i="1"/>
  <c r="H548" i="1" s="1"/>
  <c r="H588" i="1" s="1"/>
  <c r="H628" i="1" s="1"/>
  <c r="H668" i="1" s="1"/>
  <c r="H708" i="1" s="1"/>
  <c r="H748" i="1" s="1"/>
  <c r="H788" i="1" s="1"/>
  <c r="A508" i="1"/>
  <c r="M507" i="1"/>
  <c r="M547" i="1" s="1"/>
  <c r="M587" i="1" s="1"/>
  <c r="M627" i="1" s="1"/>
  <c r="M667" i="1" s="1"/>
  <c r="M707" i="1" s="1"/>
  <c r="M747" i="1" s="1"/>
  <c r="M787" i="1" s="1"/>
  <c r="K507" i="1"/>
  <c r="K547" i="1" s="1"/>
  <c r="K587" i="1" s="1"/>
  <c r="K627" i="1" s="1"/>
  <c r="K667" i="1" s="1"/>
  <c r="K707" i="1" s="1"/>
  <c r="K747" i="1" s="1"/>
  <c r="K787" i="1" s="1"/>
  <c r="J507" i="1"/>
  <c r="J547" i="1" s="1"/>
  <c r="J587" i="1" s="1"/>
  <c r="J627" i="1" s="1"/>
  <c r="J667" i="1" s="1"/>
  <c r="J707" i="1" s="1"/>
  <c r="J747" i="1" s="1"/>
  <c r="J787" i="1" s="1"/>
  <c r="H507" i="1"/>
  <c r="H547" i="1" s="1"/>
  <c r="H587" i="1" s="1"/>
  <c r="H627" i="1" s="1"/>
  <c r="H667" i="1" s="1"/>
  <c r="H707" i="1" s="1"/>
  <c r="H747" i="1" s="1"/>
  <c r="H787" i="1" s="1"/>
  <c r="A507" i="1"/>
  <c r="M506" i="1"/>
  <c r="M546" i="1" s="1"/>
  <c r="M586" i="1" s="1"/>
  <c r="M626" i="1" s="1"/>
  <c r="M666" i="1" s="1"/>
  <c r="M706" i="1" s="1"/>
  <c r="M746" i="1" s="1"/>
  <c r="M786" i="1" s="1"/>
  <c r="K506" i="1"/>
  <c r="K546" i="1" s="1"/>
  <c r="K586" i="1" s="1"/>
  <c r="K626" i="1" s="1"/>
  <c r="K666" i="1" s="1"/>
  <c r="K706" i="1" s="1"/>
  <c r="K746" i="1" s="1"/>
  <c r="K786" i="1" s="1"/>
  <c r="J506" i="1"/>
  <c r="J546" i="1" s="1"/>
  <c r="J586" i="1" s="1"/>
  <c r="J626" i="1" s="1"/>
  <c r="J666" i="1" s="1"/>
  <c r="J706" i="1" s="1"/>
  <c r="J746" i="1" s="1"/>
  <c r="J786" i="1" s="1"/>
  <c r="H506" i="1"/>
  <c r="H546" i="1" s="1"/>
  <c r="H586" i="1" s="1"/>
  <c r="H626" i="1" s="1"/>
  <c r="H666" i="1" s="1"/>
  <c r="H706" i="1" s="1"/>
  <c r="H746" i="1" s="1"/>
  <c r="H786" i="1" s="1"/>
  <c r="A506" i="1"/>
  <c r="A504" i="2" s="1"/>
  <c r="M505" i="1"/>
  <c r="M545" i="1" s="1"/>
  <c r="M585" i="1" s="1"/>
  <c r="M625" i="1" s="1"/>
  <c r="M665" i="1" s="1"/>
  <c r="M705" i="1" s="1"/>
  <c r="M745" i="1" s="1"/>
  <c r="M785" i="1" s="1"/>
  <c r="K505" i="1"/>
  <c r="K545" i="1" s="1"/>
  <c r="K585" i="1" s="1"/>
  <c r="K625" i="1" s="1"/>
  <c r="K665" i="1" s="1"/>
  <c r="K705" i="1" s="1"/>
  <c r="K745" i="1" s="1"/>
  <c r="K785" i="1" s="1"/>
  <c r="J505" i="1"/>
  <c r="J545" i="1" s="1"/>
  <c r="J585" i="1" s="1"/>
  <c r="J625" i="1" s="1"/>
  <c r="J665" i="1" s="1"/>
  <c r="J705" i="1" s="1"/>
  <c r="J745" i="1" s="1"/>
  <c r="J785" i="1" s="1"/>
  <c r="H505" i="1"/>
  <c r="H545" i="1" s="1"/>
  <c r="H585" i="1" s="1"/>
  <c r="H625" i="1" s="1"/>
  <c r="H665" i="1" s="1"/>
  <c r="H705" i="1" s="1"/>
  <c r="H745" i="1" s="1"/>
  <c r="H785" i="1" s="1"/>
  <c r="A505" i="1"/>
  <c r="M504" i="1"/>
  <c r="M544" i="1" s="1"/>
  <c r="M584" i="1" s="1"/>
  <c r="M624" i="1" s="1"/>
  <c r="M664" i="1" s="1"/>
  <c r="M704" i="1" s="1"/>
  <c r="M744" i="1" s="1"/>
  <c r="M784" i="1" s="1"/>
  <c r="K504" i="1"/>
  <c r="K544" i="1" s="1"/>
  <c r="K584" i="1" s="1"/>
  <c r="K624" i="1" s="1"/>
  <c r="K664" i="1" s="1"/>
  <c r="K704" i="1" s="1"/>
  <c r="K744" i="1" s="1"/>
  <c r="K784" i="1" s="1"/>
  <c r="J504" i="1"/>
  <c r="J544" i="1" s="1"/>
  <c r="J584" i="1" s="1"/>
  <c r="J624" i="1" s="1"/>
  <c r="J664" i="1" s="1"/>
  <c r="J704" i="1" s="1"/>
  <c r="J744" i="1" s="1"/>
  <c r="J784" i="1" s="1"/>
  <c r="H504" i="1"/>
  <c r="H544" i="1" s="1"/>
  <c r="H584" i="1" s="1"/>
  <c r="H624" i="1" s="1"/>
  <c r="H664" i="1" s="1"/>
  <c r="H704" i="1" s="1"/>
  <c r="H744" i="1" s="1"/>
  <c r="H784" i="1" s="1"/>
  <c r="A504" i="1"/>
  <c r="A502" i="2" s="1"/>
  <c r="M503" i="1"/>
  <c r="M543" i="1" s="1"/>
  <c r="M583" i="1" s="1"/>
  <c r="M623" i="1" s="1"/>
  <c r="M663" i="1" s="1"/>
  <c r="M703" i="1" s="1"/>
  <c r="M743" i="1" s="1"/>
  <c r="M783" i="1" s="1"/>
  <c r="J503" i="1"/>
  <c r="J543" i="1" s="1"/>
  <c r="J583" i="1" s="1"/>
  <c r="J623" i="1" s="1"/>
  <c r="J663" i="1" s="1"/>
  <c r="J703" i="1" s="1"/>
  <c r="J743" i="1" s="1"/>
  <c r="J783" i="1" s="1"/>
  <c r="H503" i="1"/>
  <c r="H543" i="1" s="1"/>
  <c r="H583" i="1" s="1"/>
  <c r="H623" i="1" s="1"/>
  <c r="H663" i="1" s="1"/>
  <c r="H703" i="1" s="1"/>
  <c r="H743" i="1" s="1"/>
  <c r="H783" i="1" s="1"/>
  <c r="A503" i="1"/>
  <c r="A501" i="2" s="1"/>
  <c r="M502" i="1"/>
  <c r="M542" i="1" s="1"/>
  <c r="M582" i="1" s="1"/>
  <c r="M622" i="1" s="1"/>
  <c r="M662" i="1" s="1"/>
  <c r="M702" i="1" s="1"/>
  <c r="M742" i="1" s="1"/>
  <c r="M782" i="1" s="1"/>
  <c r="J502" i="1"/>
  <c r="J542" i="1" s="1"/>
  <c r="J582" i="1" s="1"/>
  <c r="J622" i="1" s="1"/>
  <c r="J662" i="1" s="1"/>
  <c r="J702" i="1" s="1"/>
  <c r="J742" i="1" s="1"/>
  <c r="J782" i="1" s="1"/>
  <c r="H502" i="1"/>
  <c r="H542" i="1" s="1"/>
  <c r="H582" i="1" s="1"/>
  <c r="H622" i="1" s="1"/>
  <c r="H662" i="1" s="1"/>
  <c r="H702" i="1" s="1"/>
  <c r="H742" i="1" s="1"/>
  <c r="H782" i="1" s="1"/>
  <c r="A502" i="1"/>
  <c r="A500" i="2" s="1"/>
  <c r="M501" i="1"/>
  <c r="M541" i="1" s="1"/>
  <c r="M581" i="1" s="1"/>
  <c r="M621" i="1" s="1"/>
  <c r="M661" i="1" s="1"/>
  <c r="M701" i="1" s="1"/>
  <c r="M741" i="1" s="1"/>
  <c r="M781" i="1" s="1"/>
  <c r="J501" i="1"/>
  <c r="J541" i="1" s="1"/>
  <c r="J581" i="1" s="1"/>
  <c r="J621" i="1" s="1"/>
  <c r="J661" i="1" s="1"/>
  <c r="J701" i="1" s="1"/>
  <c r="J741" i="1" s="1"/>
  <c r="J781" i="1" s="1"/>
  <c r="H501" i="1"/>
  <c r="H541" i="1" s="1"/>
  <c r="H581" i="1" s="1"/>
  <c r="H621" i="1" s="1"/>
  <c r="H661" i="1" s="1"/>
  <c r="H701" i="1" s="1"/>
  <c r="H741" i="1" s="1"/>
  <c r="H781" i="1" s="1"/>
  <c r="A501" i="1"/>
  <c r="A499" i="2" s="1"/>
  <c r="M500" i="1"/>
  <c r="M540" i="1" s="1"/>
  <c r="M580" i="1" s="1"/>
  <c r="M620" i="1" s="1"/>
  <c r="M660" i="1" s="1"/>
  <c r="M700" i="1" s="1"/>
  <c r="M740" i="1" s="1"/>
  <c r="M780" i="1" s="1"/>
  <c r="J500" i="1"/>
  <c r="J540" i="1" s="1"/>
  <c r="J580" i="1" s="1"/>
  <c r="J620" i="1" s="1"/>
  <c r="J660" i="1" s="1"/>
  <c r="J700" i="1" s="1"/>
  <c r="J740" i="1" s="1"/>
  <c r="J780" i="1" s="1"/>
  <c r="H500" i="1"/>
  <c r="H540" i="1" s="1"/>
  <c r="H580" i="1" s="1"/>
  <c r="H620" i="1" s="1"/>
  <c r="H660" i="1" s="1"/>
  <c r="H700" i="1" s="1"/>
  <c r="H740" i="1" s="1"/>
  <c r="H780" i="1" s="1"/>
  <c r="A500" i="1"/>
  <c r="M499" i="1"/>
  <c r="M539" i="1" s="1"/>
  <c r="M579" i="1" s="1"/>
  <c r="M619" i="1" s="1"/>
  <c r="M659" i="1" s="1"/>
  <c r="M699" i="1" s="1"/>
  <c r="M739" i="1" s="1"/>
  <c r="M779" i="1" s="1"/>
  <c r="J499" i="1"/>
  <c r="J539" i="1" s="1"/>
  <c r="J579" i="1" s="1"/>
  <c r="J619" i="1" s="1"/>
  <c r="J659" i="1" s="1"/>
  <c r="J699" i="1" s="1"/>
  <c r="J739" i="1" s="1"/>
  <c r="J779" i="1" s="1"/>
  <c r="H499" i="1"/>
  <c r="H539" i="1" s="1"/>
  <c r="H579" i="1" s="1"/>
  <c r="H619" i="1" s="1"/>
  <c r="H659" i="1" s="1"/>
  <c r="H699" i="1" s="1"/>
  <c r="H739" i="1" s="1"/>
  <c r="H779" i="1" s="1"/>
  <c r="A499" i="1"/>
  <c r="M498" i="1"/>
  <c r="M538" i="1" s="1"/>
  <c r="M578" i="1" s="1"/>
  <c r="M618" i="1" s="1"/>
  <c r="M658" i="1" s="1"/>
  <c r="M698" i="1" s="1"/>
  <c r="M738" i="1" s="1"/>
  <c r="M778" i="1" s="1"/>
  <c r="J498" i="1"/>
  <c r="J538" i="1" s="1"/>
  <c r="J578" i="1" s="1"/>
  <c r="J618" i="1" s="1"/>
  <c r="J658" i="1" s="1"/>
  <c r="J698" i="1" s="1"/>
  <c r="J738" i="1" s="1"/>
  <c r="J778" i="1" s="1"/>
  <c r="H498" i="1"/>
  <c r="H538" i="1" s="1"/>
  <c r="H578" i="1" s="1"/>
  <c r="H618" i="1" s="1"/>
  <c r="H658" i="1" s="1"/>
  <c r="H698" i="1" s="1"/>
  <c r="H738" i="1" s="1"/>
  <c r="H778" i="1" s="1"/>
  <c r="A498" i="1"/>
  <c r="A496" i="2" s="1"/>
  <c r="M497" i="1"/>
  <c r="M537" i="1" s="1"/>
  <c r="M577" i="1" s="1"/>
  <c r="M617" i="1" s="1"/>
  <c r="M657" i="1" s="1"/>
  <c r="M697" i="1" s="1"/>
  <c r="M737" i="1" s="1"/>
  <c r="M777" i="1" s="1"/>
  <c r="J497" i="1"/>
  <c r="J537" i="1" s="1"/>
  <c r="J577" i="1" s="1"/>
  <c r="J617" i="1" s="1"/>
  <c r="J657" i="1" s="1"/>
  <c r="J697" i="1" s="1"/>
  <c r="J737" i="1" s="1"/>
  <c r="J777" i="1" s="1"/>
  <c r="H497" i="1"/>
  <c r="H537" i="1" s="1"/>
  <c r="H577" i="1" s="1"/>
  <c r="H617" i="1" s="1"/>
  <c r="H657" i="1" s="1"/>
  <c r="H697" i="1" s="1"/>
  <c r="H737" i="1" s="1"/>
  <c r="H777" i="1" s="1"/>
  <c r="A497" i="1"/>
  <c r="A495" i="2" s="1"/>
  <c r="M496" i="1"/>
  <c r="M536" i="1" s="1"/>
  <c r="M576" i="1" s="1"/>
  <c r="M616" i="1" s="1"/>
  <c r="M656" i="1" s="1"/>
  <c r="M696" i="1" s="1"/>
  <c r="M736" i="1" s="1"/>
  <c r="M776" i="1" s="1"/>
  <c r="J496" i="1"/>
  <c r="J536" i="1" s="1"/>
  <c r="J576" i="1" s="1"/>
  <c r="J616" i="1" s="1"/>
  <c r="J656" i="1" s="1"/>
  <c r="J696" i="1" s="1"/>
  <c r="J736" i="1" s="1"/>
  <c r="J776" i="1" s="1"/>
  <c r="H496" i="1"/>
  <c r="H536" i="1" s="1"/>
  <c r="H576" i="1" s="1"/>
  <c r="H616" i="1" s="1"/>
  <c r="H656" i="1" s="1"/>
  <c r="H696" i="1" s="1"/>
  <c r="H736" i="1" s="1"/>
  <c r="H776" i="1" s="1"/>
  <c r="A496" i="1"/>
  <c r="M495" i="1"/>
  <c r="M535" i="1" s="1"/>
  <c r="M575" i="1" s="1"/>
  <c r="M615" i="1" s="1"/>
  <c r="M655" i="1" s="1"/>
  <c r="M695" i="1" s="1"/>
  <c r="M735" i="1" s="1"/>
  <c r="M775" i="1" s="1"/>
  <c r="J495" i="1"/>
  <c r="J535" i="1" s="1"/>
  <c r="J575" i="1" s="1"/>
  <c r="J615" i="1" s="1"/>
  <c r="J655" i="1" s="1"/>
  <c r="J695" i="1" s="1"/>
  <c r="J735" i="1" s="1"/>
  <c r="J775" i="1" s="1"/>
  <c r="H495" i="1"/>
  <c r="H535" i="1" s="1"/>
  <c r="H575" i="1" s="1"/>
  <c r="H615" i="1" s="1"/>
  <c r="H655" i="1" s="1"/>
  <c r="H695" i="1" s="1"/>
  <c r="H735" i="1" s="1"/>
  <c r="H775" i="1" s="1"/>
  <c r="A495" i="1"/>
  <c r="A493" i="2" s="1"/>
  <c r="M494" i="1"/>
  <c r="M534" i="1" s="1"/>
  <c r="M574" i="1" s="1"/>
  <c r="M614" i="1" s="1"/>
  <c r="M654" i="1" s="1"/>
  <c r="M694" i="1" s="1"/>
  <c r="M734" i="1" s="1"/>
  <c r="M774" i="1" s="1"/>
  <c r="J494" i="1"/>
  <c r="J534" i="1" s="1"/>
  <c r="J574" i="1" s="1"/>
  <c r="J614" i="1" s="1"/>
  <c r="J654" i="1" s="1"/>
  <c r="J694" i="1" s="1"/>
  <c r="J734" i="1" s="1"/>
  <c r="J774" i="1" s="1"/>
  <c r="H494" i="1"/>
  <c r="H534" i="1" s="1"/>
  <c r="H574" i="1" s="1"/>
  <c r="H614" i="1" s="1"/>
  <c r="H654" i="1" s="1"/>
  <c r="H694" i="1" s="1"/>
  <c r="H734" i="1" s="1"/>
  <c r="H774" i="1" s="1"/>
  <c r="A494" i="1"/>
  <c r="A492" i="2" s="1"/>
  <c r="M493" i="1"/>
  <c r="M533" i="1" s="1"/>
  <c r="M573" i="1" s="1"/>
  <c r="M613" i="1" s="1"/>
  <c r="M653" i="1" s="1"/>
  <c r="M693" i="1" s="1"/>
  <c r="M733" i="1" s="1"/>
  <c r="M773" i="1" s="1"/>
  <c r="J493" i="1"/>
  <c r="J533" i="1" s="1"/>
  <c r="J573" i="1" s="1"/>
  <c r="J613" i="1" s="1"/>
  <c r="J653" i="1" s="1"/>
  <c r="J693" i="1" s="1"/>
  <c r="J733" i="1" s="1"/>
  <c r="J773" i="1" s="1"/>
  <c r="H493" i="1"/>
  <c r="H533" i="1" s="1"/>
  <c r="H573" i="1" s="1"/>
  <c r="H613" i="1" s="1"/>
  <c r="H653" i="1" s="1"/>
  <c r="H693" i="1" s="1"/>
  <c r="H733" i="1" s="1"/>
  <c r="H773" i="1" s="1"/>
  <c r="A493" i="1"/>
  <c r="M492" i="1"/>
  <c r="M532" i="1" s="1"/>
  <c r="M572" i="1" s="1"/>
  <c r="M612" i="1" s="1"/>
  <c r="M652" i="1" s="1"/>
  <c r="M692" i="1" s="1"/>
  <c r="M732" i="1" s="1"/>
  <c r="M772" i="1" s="1"/>
  <c r="J492" i="1"/>
  <c r="J532" i="1" s="1"/>
  <c r="J572" i="1" s="1"/>
  <c r="J612" i="1" s="1"/>
  <c r="J652" i="1" s="1"/>
  <c r="J692" i="1" s="1"/>
  <c r="J732" i="1" s="1"/>
  <c r="J772" i="1" s="1"/>
  <c r="H492" i="1"/>
  <c r="H532" i="1" s="1"/>
  <c r="H572" i="1" s="1"/>
  <c r="H612" i="1" s="1"/>
  <c r="H652" i="1" s="1"/>
  <c r="H692" i="1" s="1"/>
  <c r="H732" i="1" s="1"/>
  <c r="H772" i="1" s="1"/>
  <c r="A492" i="1"/>
  <c r="M491" i="1"/>
  <c r="M531" i="1" s="1"/>
  <c r="M571" i="1" s="1"/>
  <c r="M611" i="1" s="1"/>
  <c r="M651" i="1" s="1"/>
  <c r="M691" i="1" s="1"/>
  <c r="M731" i="1" s="1"/>
  <c r="M771" i="1" s="1"/>
  <c r="J491" i="1"/>
  <c r="J531" i="1" s="1"/>
  <c r="J571" i="1" s="1"/>
  <c r="J611" i="1" s="1"/>
  <c r="J651" i="1" s="1"/>
  <c r="J691" i="1" s="1"/>
  <c r="J731" i="1" s="1"/>
  <c r="J771" i="1" s="1"/>
  <c r="H491" i="1"/>
  <c r="H531" i="1" s="1"/>
  <c r="H571" i="1" s="1"/>
  <c r="H611" i="1" s="1"/>
  <c r="H651" i="1" s="1"/>
  <c r="H691" i="1" s="1"/>
  <c r="H731" i="1" s="1"/>
  <c r="H771" i="1" s="1"/>
  <c r="A491" i="1"/>
  <c r="A489" i="2" s="1"/>
  <c r="M490" i="1"/>
  <c r="M530" i="1" s="1"/>
  <c r="M570" i="1" s="1"/>
  <c r="M610" i="1" s="1"/>
  <c r="M650" i="1" s="1"/>
  <c r="M690" i="1" s="1"/>
  <c r="M730" i="1" s="1"/>
  <c r="M770" i="1" s="1"/>
  <c r="J490" i="1"/>
  <c r="J530" i="1" s="1"/>
  <c r="J570" i="1" s="1"/>
  <c r="J610" i="1" s="1"/>
  <c r="J650" i="1" s="1"/>
  <c r="J690" i="1" s="1"/>
  <c r="J730" i="1" s="1"/>
  <c r="J770" i="1" s="1"/>
  <c r="H490" i="1"/>
  <c r="H530" i="1" s="1"/>
  <c r="H570" i="1" s="1"/>
  <c r="H610" i="1" s="1"/>
  <c r="H650" i="1" s="1"/>
  <c r="H690" i="1" s="1"/>
  <c r="H730" i="1" s="1"/>
  <c r="H770" i="1" s="1"/>
  <c r="A490" i="1"/>
  <c r="A488" i="2" s="1"/>
  <c r="M489" i="1"/>
  <c r="M529" i="1" s="1"/>
  <c r="M569" i="1" s="1"/>
  <c r="M609" i="1" s="1"/>
  <c r="M649" i="1" s="1"/>
  <c r="M689" i="1" s="1"/>
  <c r="M729" i="1" s="1"/>
  <c r="M769" i="1" s="1"/>
  <c r="J489" i="1"/>
  <c r="J529" i="1" s="1"/>
  <c r="J569" i="1" s="1"/>
  <c r="J609" i="1" s="1"/>
  <c r="J649" i="1" s="1"/>
  <c r="J689" i="1" s="1"/>
  <c r="J729" i="1" s="1"/>
  <c r="J769" i="1" s="1"/>
  <c r="H489" i="1"/>
  <c r="H529" i="1" s="1"/>
  <c r="H569" i="1" s="1"/>
  <c r="H609" i="1" s="1"/>
  <c r="H649" i="1" s="1"/>
  <c r="H689" i="1" s="1"/>
  <c r="H729" i="1" s="1"/>
  <c r="H769" i="1" s="1"/>
  <c r="A489" i="1"/>
  <c r="M488" i="1"/>
  <c r="M528" i="1" s="1"/>
  <c r="M568" i="1" s="1"/>
  <c r="M608" i="1" s="1"/>
  <c r="M648" i="1" s="1"/>
  <c r="M688" i="1" s="1"/>
  <c r="M728" i="1" s="1"/>
  <c r="M768" i="1" s="1"/>
  <c r="J488" i="1"/>
  <c r="J528" i="1" s="1"/>
  <c r="J568" i="1" s="1"/>
  <c r="J608" i="1" s="1"/>
  <c r="J648" i="1" s="1"/>
  <c r="J688" i="1" s="1"/>
  <c r="J728" i="1" s="1"/>
  <c r="J768" i="1" s="1"/>
  <c r="H488" i="1"/>
  <c r="H528" i="1" s="1"/>
  <c r="H568" i="1" s="1"/>
  <c r="H608" i="1" s="1"/>
  <c r="H648" i="1" s="1"/>
  <c r="H688" i="1" s="1"/>
  <c r="H728" i="1" s="1"/>
  <c r="H768" i="1" s="1"/>
  <c r="A488" i="1"/>
  <c r="M487" i="1"/>
  <c r="M527" i="1" s="1"/>
  <c r="M567" i="1" s="1"/>
  <c r="M607" i="1" s="1"/>
  <c r="M647" i="1" s="1"/>
  <c r="M687" i="1" s="1"/>
  <c r="M727" i="1" s="1"/>
  <c r="M767" i="1" s="1"/>
  <c r="J487" i="1"/>
  <c r="J527" i="1" s="1"/>
  <c r="J567" i="1" s="1"/>
  <c r="J607" i="1" s="1"/>
  <c r="J647" i="1" s="1"/>
  <c r="J687" i="1" s="1"/>
  <c r="J727" i="1" s="1"/>
  <c r="J767" i="1" s="1"/>
  <c r="H487" i="1"/>
  <c r="H527" i="1" s="1"/>
  <c r="H567" i="1" s="1"/>
  <c r="H607" i="1" s="1"/>
  <c r="H647" i="1" s="1"/>
  <c r="H687" i="1" s="1"/>
  <c r="H727" i="1" s="1"/>
  <c r="H767" i="1" s="1"/>
  <c r="A487" i="1"/>
  <c r="A485" i="2" s="1"/>
  <c r="M486" i="1"/>
  <c r="M526" i="1" s="1"/>
  <c r="M566" i="1" s="1"/>
  <c r="M606" i="1" s="1"/>
  <c r="M646" i="1" s="1"/>
  <c r="M686" i="1" s="1"/>
  <c r="M726" i="1" s="1"/>
  <c r="M766" i="1" s="1"/>
  <c r="J486" i="1"/>
  <c r="J526" i="1" s="1"/>
  <c r="J566" i="1" s="1"/>
  <c r="J606" i="1" s="1"/>
  <c r="J646" i="1" s="1"/>
  <c r="J686" i="1" s="1"/>
  <c r="J726" i="1" s="1"/>
  <c r="J766" i="1" s="1"/>
  <c r="H486" i="1"/>
  <c r="H526" i="1" s="1"/>
  <c r="H566" i="1" s="1"/>
  <c r="H606" i="1" s="1"/>
  <c r="H646" i="1" s="1"/>
  <c r="H686" i="1" s="1"/>
  <c r="H726" i="1" s="1"/>
  <c r="H766" i="1" s="1"/>
  <c r="A486" i="1"/>
  <c r="A484" i="2" s="1"/>
  <c r="M485" i="1"/>
  <c r="M525" i="1" s="1"/>
  <c r="M565" i="1" s="1"/>
  <c r="M605" i="1" s="1"/>
  <c r="M645" i="1" s="1"/>
  <c r="M685" i="1" s="1"/>
  <c r="M725" i="1" s="1"/>
  <c r="M765" i="1" s="1"/>
  <c r="J485" i="1"/>
  <c r="J525" i="1" s="1"/>
  <c r="J565" i="1" s="1"/>
  <c r="J605" i="1" s="1"/>
  <c r="J645" i="1" s="1"/>
  <c r="J685" i="1" s="1"/>
  <c r="J725" i="1" s="1"/>
  <c r="J765" i="1" s="1"/>
  <c r="H485" i="1"/>
  <c r="H525" i="1" s="1"/>
  <c r="H565" i="1" s="1"/>
  <c r="H605" i="1" s="1"/>
  <c r="H645" i="1" s="1"/>
  <c r="H685" i="1" s="1"/>
  <c r="H725" i="1" s="1"/>
  <c r="H765" i="1" s="1"/>
  <c r="A485" i="1"/>
  <c r="A483" i="2" s="1"/>
  <c r="M484" i="1"/>
  <c r="M524" i="1" s="1"/>
  <c r="M564" i="1" s="1"/>
  <c r="M604" i="1" s="1"/>
  <c r="M644" i="1" s="1"/>
  <c r="M684" i="1" s="1"/>
  <c r="M724" i="1" s="1"/>
  <c r="M764" i="1" s="1"/>
  <c r="J484" i="1"/>
  <c r="J524" i="1" s="1"/>
  <c r="J564" i="1" s="1"/>
  <c r="J604" i="1" s="1"/>
  <c r="J644" i="1" s="1"/>
  <c r="J684" i="1" s="1"/>
  <c r="J724" i="1" s="1"/>
  <c r="J764" i="1" s="1"/>
  <c r="H484" i="1"/>
  <c r="H524" i="1" s="1"/>
  <c r="H564" i="1" s="1"/>
  <c r="H604" i="1" s="1"/>
  <c r="H644" i="1" s="1"/>
  <c r="H684" i="1" s="1"/>
  <c r="H724" i="1" s="1"/>
  <c r="H764" i="1" s="1"/>
  <c r="A484" i="1"/>
  <c r="A482" i="2" s="1"/>
  <c r="A483" i="1"/>
  <c r="A481" i="2" s="1"/>
  <c r="A482" i="1"/>
  <c r="A480" i="2" s="1"/>
  <c r="A481" i="1"/>
  <c r="A479" i="2" s="1"/>
  <c r="A480" i="1"/>
  <c r="A478" i="2" s="1"/>
  <c r="A479" i="1"/>
  <c r="A477" i="2" s="1"/>
  <c r="A478" i="1"/>
  <c r="A477" i="1"/>
  <c r="A475" i="2" s="1"/>
  <c r="A476" i="1"/>
  <c r="A474" i="2" s="1"/>
  <c r="A475" i="1"/>
  <c r="A474" i="1"/>
  <c r="A472" i="2" s="1"/>
  <c r="A473" i="1"/>
  <c r="A471" i="2" s="1"/>
  <c r="A472" i="1"/>
  <c r="A470" i="2" s="1"/>
  <c r="A471" i="1"/>
  <c r="A469" i="2" s="1"/>
  <c r="A470" i="1"/>
  <c r="A469" i="1"/>
  <c r="A467" i="2" s="1"/>
  <c r="A468" i="1"/>
  <c r="A466" i="2" s="1"/>
  <c r="A467" i="1"/>
  <c r="A465" i="2" s="1"/>
  <c r="A466" i="1"/>
  <c r="A465" i="1"/>
  <c r="A463" i="2" s="1"/>
  <c r="A464" i="1"/>
  <c r="A462" i="2" s="1"/>
  <c r="A463" i="1"/>
  <c r="A461" i="2" s="1"/>
  <c r="A462" i="1"/>
  <c r="A460" i="2" s="1"/>
  <c r="A461" i="1"/>
  <c r="A459" i="2" s="1"/>
  <c r="A460" i="1"/>
  <c r="A458" i="2" s="1"/>
  <c r="A459" i="1"/>
  <c r="A458" i="1"/>
  <c r="A456" i="2" s="1"/>
  <c r="A457" i="1"/>
  <c r="A455" i="2" s="1"/>
  <c r="A456" i="1"/>
  <c r="A454" i="2" s="1"/>
  <c r="A455" i="1"/>
  <c r="A453" i="2" s="1"/>
  <c r="A454" i="1"/>
  <c r="A453" i="1"/>
  <c r="A451" i="2" s="1"/>
  <c r="A452" i="1"/>
  <c r="A451" i="1"/>
  <c r="A449" i="2" s="1"/>
  <c r="A450" i="1"/>
  <c r="A448" i="2" s="1"/>
  <c r="A449" i="1"/>
  <c r="A447" i="2" s="1"/>
  <c r="A448" i="1"/>
  <c r="A446" i="2" s="1"/>
  <c r="A447" i="1"/>
  <c r="A446" i="1"/>
  <c r="A444" i="2" s="1"/>
  <c r="A445" i="1"/>
  <c r="A444" i="1"/>
  <c r="A442" i="2" s="1"/>
  <c r="A443" i="1"/>
  <c r="A441" i="2" s="1"/>
  <c r="A442" i="1"/>
  <c r="A440" i="2" s="1"/>
  <c r="A441" i="1"/>
  <c r="A439" i="2" s="1"/>
  <c r="A440" i="1"/>
  <c r="A438" i="2" s="1"/>
  <c r="A439" i="1"/>
  <c r="A437" i="2" s="1"/>
  <c r="A438" i="1"/>
  <c r="A437" i="1"/>
  <c r="A435" i="2" s="1"/>
  <c r="A436" i="1"/>
  <c r="A434" i="2" s="1"/>
  <c r="A435" i="1"/>
  <c r="A433" i="2" s="1"/>
  <c r="A434" i="1"/>
  <c r="A432" i="2" s="1"/>
  <c r="A433" i="1"/>
  <c r="A431" i="2" s="1"/>
  <c r="A432" i="1"/>
  <c r="A430" i="2" s="1"/>
  <c r="A431" i="1"/>
  <c r="A429" i="2" s="1"/>
  <c r="A430" i="1"/>
  <c r="A428" i="2" s="1"/>
  <c r="A429" i="1"/>
  <c r="A427" i="2" s="1"/>
  <c r="A428" i="1"/>
  <c r="A426" i="2" s="1"/>
  <c r="A427" i="1"/>
  <c r="A425" i="2" s="1"/>
  <c r="A426" i="1"/>
  <c r="A424" i="2" s="1"/>
  <c r="A425" i="1"/>
  <c r="A423" i="2" s="1"/>
  <c r="A424" i="1"/>
  <c r="A422" i="2" s="1"/>
  <c r="A423" i="1"/>
  <c r="A421" i="2" s="1"/>
  <c r="A422" i="1"/>
  <c r="A421" i="1"/>
  <c r="A419" i="2" s="1"/>
  <c r="A420" i="1"/>
  <c r="A418" i="2" s="1"/>
  <c r="A419" i="1"/>
  <c r="A418" i="1"/>
  <c r="A416" i="2" s="1"/>
  <c r="A417" i="1"/>
  <c r="A415" i="2" s="1"/>
  <c r="A416" i="1"/>
  <c r="A414" i="2" s="1"/>
  <c r="A415" i="1"/>
  <c r="A413" i="2" s="1"/>
  <c r="A414" i="1"/>
  <c r="A412" i="2" s="1"/>
  <c r="A413" i="1"/>
  <c r="A411" i="2" s="1"/>
  <c r="A412" i="1"/>
  <c r="A410" i="2" s="1"/>
  <c r="A411" i="1"/>
  <c r="A409" i="2" s="1"/>
  <c r="A410" i="1"/>
  <c r="A408" i="2" s="1"/>
  <c r="A409" i="1"/>
  <c r="A407" i="2" s="1"/>
  <c r="A408" i="1"/>
  <c r="A407" i="1"/>
  <c r="A405" i="2" s="1"/>
  <c r="A406" i="1"/>
  <c r="A405" i="1"/>
  <c r="A403" i="2" s="1"/>
  <c r="A404" i="1"/>
  <c r="A402" i="2" s="1"/>
  <c r="A403" i="1"/>
  <c r="A401" i="2" s="1"/>
  <c r="A402" i="1"/>
  <c r="A400" i="2" s="1"/>
  <c r="A401" i="1"/>
  <c r="A399" i="2" s="1"/>
  <c r="A400" i="1"/>
  <c r="A398" i="2" s="1"/>
  <c r="A399" i="1"/>
  <c r="A397" i="2" s="1"/>
  <c r="A398" i="1"/>
  <c r="A396" i="2" s="1"/>
  <c r="A397" i="1"/>
  <c r="A396" i="1"/>
  <c r="A394" i="2" s="1"/>
  <c r="A395" i="1"/>
  <c r="A393" i="2" s="1"/>
  <c r="A394" i="1"/>
  <c r="A392" i="2" s="1"/>
  <c r="A393" i="1"/>
  <c r="A391" i="2" s="1"/>
  <c r="A392" i="1"/>
  <c r="A390" i="2" s="1"/>
  <c r="A391" i="1"/>
  <c r="A389" i="2" s="1"/>
  <c r="A390" i="1"/>
  <c r="A389" i="1"/>
  <c r="A388" i="1"/>
  <c r="A386" i="2" s="1"/>
  <c r="A387" i="1"/>
  <c r="A385" i="2" s="1"/>
  <c r="A386" i="1"/>
  <c r="A384" i="2" s="1"/>
  <c r="A385" i="1"/>
  <c r="A383" i="2" s="1"/>
  <c r="A384" i="1"/>
  <c r="A382" i="2" s="1"/>
  <c r="A383" i="1"/>
  <c r="A381" i="2" s="1"/>
  <c r="A382" i="1"/>
  <c r="A380" i="2" s="1"/>
  <c r="A381" i="1"/>
  <c r="A379" i="2" s="1"/>
  <c r="A380" i="1"/>
  <c r="A378" i="2" s="1"/>
  <c r="A379" i="1"/>
  <c r="A377" i="2" s="1"/>
  <c r="A378" i="1"/>
  <c r="A377" i="1"/>
  <c r="A375" i="2" s="1"/>
  <c r="A376" i="1"/>
  <c r="A374" i="2" s="1"/>
  <c r="A375" i="1"/>
  <c r="A373" i="2" s="1"/>
  <c r="A374" i="1"/>
  <c r="A373" i="1"/>
  <c r="A371" i="2" s="1"/>
  <c r="A372" i="1"/>
  <c r="A370" i="2" s="1"/>
  <c r="A371" i="1"/>
  <c r="A369" i="2" s="1"/>
  <c r="A370" i="1"/>
  <c r="A368" i="2" s="1"/>
  <c r="A369" i="1"/>
  <c r="A367" i="2" s="1"/>
  <c r="A368" i="1"/>
  <c r="A366" i="2" s="1"/>
  <c r="A367" i="1"/>
  <c r="A366" i="1"/>
  <c r="A364" i="2" s="1"/>
  <c r="A365" i="1"/>
  <c r="A363" i="2" s="1"/>
  <c r="A364" i="1"/>
  <c r="A362" i="2" s="1"/>
  <c r="A363" i="1"/>
  <c r="A361" i="2" s="1"/>
  <c r="A362" i="1"/>
  <c r="A360" i="2" s="1"/>
  <c r="A361" i="1"/>
  <c r="A359" i="2" s="1"/>
  <c r="A360" i="1"/>
  <c r="A358" i="2" s="1"/>
  <c r="A359" i="1"/>
  <c r="A357" i="2" s="1"/>
  <c r="A358" i="1"/>
  <c r="A357" i="1"/>
  <c r="A355" i="2" s="1"/>
  <c r="A356" i="1"/>
  <c r="A355" i="1"/>
  <c r="A353" i="2" s="1"/>
  <c r="A354" i="1"/>
  <c r="A352" i="2" s="1"/>
  <c r="A353" i="1"/>
  <c r="A351" i="2" s="1"/>
  <c r="A352" i="1"/>
  <c r="A350" i="2" s="1"/>
  <c r="A351" i="1"/>
  <c r="A349" i="2" s="1"/>
  <c r="A350" i="1"/>
  <c r="A348" i="2" s="1"/>
  <c r="A349" i="1"/>
  <c r="A347" i="2" s="1"/>
  <c r="A348" i="1"/>
  <c r="A346" i="2" s="1"/>
  <c r="A347" i="1"/>
  <c r="A345" i="2" s="1"/>
  <c r="A346" i="1"/>
  <c r="A344" i="2" s="1"/>
  <c r="A345" i="1"/>
  <c r="A343" i="2" s="1"/>
  <c r="A344" i="1"/>
  <c r="A342" i="2" s="1"/>
  <c r="A343" i="1"/>
  <c r="A341" i="2" s="1"/>
  <c r="K342" i="1"/>
  <c r="K347" i="1" s="1"/>
  <c r="K352" i="1" s="1"/>
  <c r="K357" i="1" s="1"/>
  <c r="K362" i="1" s="1"/>
  <c r="K367" i="1" s="1"/>
  <c r="K372" i="1" s="1"/>
  <c r="K377" i="1" s="1"/>
  <c r="K382" i="1" s="1"/>
  <c r="K387" i="1" s="1"/>
  <c r="K392" i="1" s="1"/>
  <c r="K397" i="1" s="1"/>
  <c r="K402" i="1" s="1"/>
  <c r="K407" i="1" s="1"/>
  <c r="K412" i="1" s="1"/>
  <c r="K417" i="1" s="1"/>
  <c r="K422" i="1" s="1"/>
  <c r="K427" i="1" s="1"/>
  <c r="K432" i="1" s="1"/>
  <c r="K437" i="1" s="1"/>
  <c r="K442" i="1" s="1"/>
  <c r="K447" i="1" s="1"/>
  <c r="A342" i="1"/>
  <c r="A341" i="1"/>
  <c r="A339" i="2" s="1"/>
  <c r="A340" i="1"/>
  <c r="A339" i="1"/>
  <c r="A337" i="2" s="1"/>
  <c r="K338" i="1"/>
  <c r="K343" i="1" s="1"/>
  <c r="K348" i="1" s="1"/>
  <c r="K353" i="1" s="1"/>
  <c r="K358" i="1" s="1"/>
  <c r="K363" i="1" s="1"/>
  <c r="K368" i="1" s="1"/>
  <c r="K373" i="1" s="1"/>
  <c r="K378" i="1" s="1"/>
  <c r="K383" i="1" s="1"/>
  <c r="K388" i="1" s="1"/>
  <c r="K393" i="1" s="1"/>
  <c r="K398" i="1" s="1"/>
  <c r="K403" i="1" s="1"/>
  <c r="K408" i="1" s="1"/>
  <c r="K413" i="1" s="1"/>
  <c r="K418" i="1" s="1"/>
  <c r="K423" i="1" s="1"/>
  <c r="K428" i="1" s="1"/>
  <c r="K433" i="1" s="1"/>
  <c r="K438" i="1" s="1"/>
  <c r="K443" i="1" s="1"/>
  <c r="K448" i="1" s="1"/>
  <c r="A338" i="1"/>
  <c r="A336" i="2" s="1"/>
  <c r="K337" i="1"/>
  <c r="A337" i="1"/>
  <c r="A335" i="2" s="1"/>
  <c r="K336" i="1"/>
  <c r="K341" i="1" s="1"/>
  <c r="K346" i="1" s="1"/>
  <c r="K351" i="1" s="1"/>
  <c r="K356" i="1" s="1"/>
  <c r="K361" i="1" s="1"/>
  <c r="K366" i="1" s="1"/>
  <c r="K371" i="1" s="1"/>
  <c r="K376" i="1" s="1"/>
  <c r="K381" i="1" s="1"/>
  <c r="K386" i="1" s="1"/>
  <c r="K391" i="1" s="1"/>
  <c r="K396" i="1" s="1"/>
  <c r="K401" i="1" s="1"/>
  <c r="K406" i="1" s="1"/>
  <c r="K411" i="1" s="1"/>
  <c r="K416" i="1" s="1"/>
  <c r="K421" i="1" s="1"/>
  <c r="K426" i="1" s="1"/>
  <c r="K431" i="1" s="1"/>
  <c r="K436" i="1" s="1"/>
  <c r="K441" i="1" s="1"/>
  <c r="K446" i="1" s="1"/>
  <c r="A336" i="1"/>
  <c r="A334" i="2" s="1"/>
  <c r="K335" i="1"/>
  <c r="K340" i="1" s="1"/>
  <c r="K345" i="1" s="1"/>
  <c r="K350" i="1" s="1"/>
  <c r="K355" i="1" s="1"/>
  <c r="K360" i="1" s="1"/>
  <c r="K365" i="1" s="1"/>
  <c r="K370" i="1" s="1"/>
  <c r="K375" i="1" s="1"/>
  <c r="K380" i="1" s="1"/>
  <c r="K385" i="1" s="1"/>
  <c r="K390" i="1" s="1"/>
  <c r="K395" i="1" s="1"/>
  <c r="K400" i="1" s="1"/>
  <c r="K405" i="1" s="1"/>
  <c r="K410" i="1" s="1"/>
  <c r="K415" i="1" s="1"/>
  <c r="K420" i="1" s="1"/>
  <c r="K425" i="1" s="1"/>
  <c r="K430" i="1" s="1"/>
  <c r="K435" i="1" s="1"/>
  <c r="K440" i="1" s="1"/>
  <c r="K445" i="1" s="1"/>
  <c r="A335" i="1"/>
  <c r="A333" i="2" s="1"/>
  <c r="K334" i="1"/>
  <c r="K339" i="1" s="1"/>
  <c r="K344" i="1" s="1"/>
  <c r="K349" i="1" s="1"/>
  <c r="K354" i="1" s="1"/>
  <c r="K359" i="1" s="1"/>
  <c r="K364" i="1" s="1"/>
  <c r="K369" i="1" s="1"/>
  <c r="K374" i="1" s="1"/>
  <c r="K379" i="1" s="1"/>
  <c r="K384" i="1" s="1"/>
  <c r="K389" i="1" s="1"/>
  <c r="K394" i="1" s="1"/>
  <c r="K399" i="1" s="1"/>
  <c r="K404" i="1" s="1"/>
  <c r="K409" i="1" s="1"/>
  <c r="K414" i="1" s="1"/>
  <c r="K419" i="1" s="1"/>
  <c r="K424" i="1" s="1"/>
  <c r="K429" i="1" s="1"/>
  <c r="K434" i="1" s="1"/>
  <c r="K439" i="1" s="1"/>
  <c r="K444" i="1" s="1"/>
  <c r="A334" i="1"/>
  <c r="A332" i="2" s="1"/>
  <c r="A333" i="1"/>
  <c r="A331" i="2" s="1"/>
  <c r="A332" i="1"/>
  <c r="A330" i="2" s="1"/>
  <c r="A331" i="1"/>
  <c r="A329" i="2" s="1"/>
  <c r="A330" i="1"/>
  <c r="A329" i="1"/>
  <c r="A327" i="2" s="1"/>
  <c r="A328" i="1"/>
  <c r="A326" i="2" s="1"/>
  <c r="A327" i="1"/>
  <c r="A326" i="1"/>
  <c r="A324" i="2" s="1"/>
  <c r="A325" i="1"/>
  <c r="A323" i="2" s="1"/>
  <c r="A324" i="1"/>
  <c r="A322" i="2" s="1"/>
  <c r="F192" i="1"/>
  <c r="F232" i="1" s="1"/>
  <c r="F272" i="1" s="1"/>
  <c r="F312" i="1" s="1"/>
  <c r="F160" i="1"/>
  <c r="F200" i="1" s="1"/>
  <c r="F240" i="1" s="1"/>
  <c r="F280" i="1" s="1"/>
  <c r="F320" i="1" s="1"/>
  <c r="F154" i="1"/>
  <c r="F194" i="1" s="1"/>
  <c r="F234" i="1" s="1"/>
  <c r="F274" i="1" s="1"/>
  <c r="F314" i="1" s="1"/>
  <c r="F152" i="1"/>
  <c r="E145" i="1"/>
  <c r="A145" i="1" s="1"/>
  <c r="E138" i="1"/>
  <c r="E178" i="1" s="1"/>
  <c r="F123" i="1"/>
  <c r="F163" i="1" s="1"/>
  <c r="F203" i="1" s="1"/>
  <c r="F243" i="1" s="1"/>
  <c r="F283" i="1" s="1"/>
  <c r="F323" i="1" s="1"/>
  <c r="E123" i="1"/>
  <c r="E163" i="1" s="1"/>
  <c r="E203" i="1" s="1"/>
  <c r="E243" i="1" s="1"/>
  <c r="E283" i="1" s="1"/>
  <c r="E323" i="1" s="1"/>
  <c r="F122" i="1"/>
  <c r="F162" i="1" s="1"/>
  <c r="E122" i="1"/>
  <c r="E162" i="1" s="1"/>
  <c r="E202" i="1" s="1"/>
  <c r="E242" i="1" s="1"/>
  <c r="F121" i="1"/>
  <c r="F161" i="1" s="1"/>
  <c r="F201" i="1" s="1"/>
  <c r="F241" i="1" s="1"/>
  <c r="F281" i="1" s="1"/>
  <c r="F321" i="1" s="1"/>
  <c r="E121" i="1"/>
  <c r="E161" i="1" s="1"/>
  <c r="F120" i="1"/>
  <c r="E120" i="1"/>
  <c r="E160" i="1" s="1"/>
  <c r="F119" i="1"/>
  <c r="F159" i="1" s="1"/>
  <c r="E119" i="1"/>
  <c r="E159" i="1" s="1"/>
  <c r="E199" i="1" s="1"/>
  <c r="E239" i="1" s="1"/>
  <c r="E279" i="1" s="1"/>
  <c r="E319" i="1" s="1"/>
  <c r="F118" i="1"/>
  <c r="F158" i="1" s="1"/>
  <c r="F198" i="1" s="1"/>
  <c r="F238" i="1" s="1"/>
  <c r="F278" i="1" s="1"/>
  <c r="F318" i="1" s="1"/>
  <c r="E118" i="1"/>
  <c r="F117" i="1"/>
  <c r="F157" i="1" s="1"/>
  <c r="F197" i="1" s="1"/>
  <c r="F237" i="1" s="1"/>
  <c r="E117" i="1"/>
  <c r="A117" i="1" s="1"/>
  <c r="F116" i="1"/>
  <c r="F156" i="1" s="1"/>
  <c r="E116" i="1"/>
  <c r="A116" i="1" s="1"/>
  <c r="A114" i="2" s="1"/>
  <c r="F115" i="1"/>
  <c r="F155" i="1" s="1"/>
  <c r="E115" i="1"/>
  <c r="E155" i="1" s="1"/>
  <c r="E195" i="1" s="1"/>
  <c r="E235" i="1" s="1"/>
  <c r="E275" i="1" s="1"/>
  <c r="E315" i="1" s="1"/>
  <c r="F114" i="1"/>
  <c r="E114" i="1"/>
  <c r="E154" i="1" s="1"/>
  <c r="F113" i="1"/>
  <c r="F153" i="1" s="1"/>
  <c r="F193" i="1" s="1"/>
  <c r="E113" i="1"/>
  <c r="E153" i="1" s="1"/>
  <c r="F112" i="1"/>
  <c r="E112" i="1"/>
  <c r="E152" i="1" s="1"/>
  <c r="F111" i="1"/>
  <c r="E111" i="1"/>
  <c r="E151" i="1" s="1"/>
  <c r="E191" i="1" s="1"/>
  <c r="E231" i="1" s="1"/>
  <c r="E271" i="1" s="1"/>
  <c r="E311" i="1" s="1"/>
  <c r="F110" i="1"/>
  <c r="F150" i="1" s="1"/>
  <c r="F190" i="1" s="1"/>
  <c r="F230" i="1" s="1"/>
  <c r="F270" i="1" s="1"/>
  <c r="F310" i="1" s="1"/>
  <c r="E110" i="1"/>
  <c r="E150" i="1" s="1"/>
  <c r="A110" i="1"/>
  <c r="A108" i="2" s="1"/>
  <c r="F109" i="1"/>
  <c r="F149" i="1" s="1"/>
  <c r="F189" i="1" s="1"/>
  <c r="F229" i="1" s="1"/>
  <c r="F269" i="1" s="1"/>
  <c r="F309" i="1" s="1"/>
  <c r="E109" i="1"/>
  <c r="E149" i="1" s="1"/>
  <c r="F108" i="1"/>
  <c r="F148" i="1" s="1"/>
  <c r="F188" i="1" s="1"/>
  <c r="F228" i="1" s="1"/>
  <c r="F268" i="1" s="1"/>
  <c r="F308" i="1" s="1"/>
  <c r="E108" i="1"/>
  <c r="E148" i="1" s="1"/>
  <c r="F107" i="1"/>
  <c r="F147" i="1" s="1"/>
  <c r="F187" i="1" s="1"/>
  <c r="E107" i="1"/>
  <c r="E147" i="1" s="1"/>
  <c r="E187" i="1" s="1"/>
  <c r="E227" i="1" s="1"/>
  <c r="E267" i="1" s="1"/>
  <c r="E307" i="1" s="1"/>
  <c r="F106" i="1"/>
  <c r="F146" i="1" s="1"/>
  <c r="F186" i="1" s="1"/>
  <c r="F226" i="1" s="1"/>
  <c r="F266" i="1" s="1"/>
  <c r="F306" i="1" s="1"/>
  <c r="E106" i="1"/>
  <c r="E146" i="1" s="1"/>
  <c r="F105" i="1"/>
  <c r="F145" i="1" s="1"/>
  <c r="F185" i="1" s="1"/>
  <c r="F225" i="1" s="1"/>
  <c r="F265" i="1" s="1"/>
  <c r="F305" i="1" s="1"/>
  <c r="E105" i="1"/>
  <c r="F104" i="1"/>
  <c r="F144" i="1" s="1"/>
  <c r="F184" i="1" s="1"/>
  <c r="F224" i="1" s="1"/>
  <c r="F264" i="1" s="1"/>
  <c r="F304" i="1" s="1"/>
  <c r="E104" i="1"/>
  <c r="E144" i="1" s="1"/>
  <c r="F103" i="1"/>
  <c r="F143" i="1" s="1"/>
  <c r="F183" i="1" s="1"/>
  <c r="F223" i="1" s="1"/>
  <c r="E103" i="1"/>
  <c r="E143" i="1" s="1"/>
  <c r="E183" i="1" s="1"/>
  <c r="E223" i="1" s="1"/>
  <c r="E263" i="1" s="1"/>
  <c r="E303" i="1" s="1"/>
  <c r="F102" i="1"/>
  <c r="F142" i="1" s="1"/>
  <c r="F182" i="1" s="1"/>
  <c r="F222" i="1" s="1"/>
  <c r="F262" i="1" s="1"/>
  <c r="F302" i="1" s="1"/>
  <c r="E102" i="1"/>
  <c r="E142" i="1" s="1"/>
  <c r="A142" i="1" s="1"/>
  <c r="F101" i="1"/>
  <c r="F141" i="1" s="1"/>
  <c r="F181" i="1" s="1"/>
  <c r="F221" i="1" s="1"/>
  <c r="F261" i="1" s="1"/>
  <c r="F301" i="1" s="1"/>
  <c r="E101" i="1"/>
  <c r="E141" i="1" s="1"/>
  <c r="F100" i="1"/>
  <c r="F140" i="1" s="1"/>
  <c r="F180" i="1" s="1"/>
  <c r="F220" i="1" s="1"/>
  <c r="F260" i="1" s="1"/>
  <c r="F300" i="1" s="1"/>
  <c r="E100" i="1"/>
  <c r="E140" i="1" s="1"/>
  <c r="F99" i="1"/>
  <c r="F139" i="1" s="1"/>
  <c r="F179" i="1" s="1"/>
  <c r="F219" i="1" s="1"/>
  <c r="E99" i="1"/>
  <c r="E139" i="1" s="1"/>
  <c r="E179" i="1" s="1"/>
  <c r="E219" i="1" s="1"/>
  <c r="E259" i="1" s="1"/>
  <c r="E299" i="1" s="1"/>
  <c r="F98" i="1"/>
  <c r="E98" i="1"/>
  <c r="F97" i="1"/>
  <c r="F137" i="1" s="1"/>
  <c r="F177" i="1" s="1"/>
  <c r="F217" i="1" s="1"/>
  <c r="F257" i="1" s="1"/>
  <c r="F297" i="1" s="1"/>
  <c r="E97" i="1"/>
  <c r="E137" i="1" s="1"/>
  <c r="F96" i="1"/>
  <c r="F136" i="1" s="1"/>
  <c r="F176" i="1" s="1"/>
  <c r="F216" i="1" s="1"/>
  <c r="F256" i="1" s="1"/>
  <c r="F296" i="1" s="1"/>
  <c r="E96" i="1"/>
  <c r="E136" i="1" s="1"/>
  <c r="F95" i="1"/>
  <c r="F135" i="1" s="1"/>
  <c r="F175" i="1" s="1"/>
  <c r="F215" i="1" s="1"/>
  <c r="F255" i="1" s="1"/>
  <c r="E95" i="1"/>
  <c r="E135" i="1" s="1"/>
  <c r="E175" i="1" s="1"/>
  <c r="E215" i="1" s="1"/>
  <c r="E255" i="1" s="1"/>
  <c r="E295" i="1" s="1"/>
  <c r="F94" i="1"/>
  <c r="F134" i="1" s="1"/>
  <c r="F174" i="1" s="1"/>
  <c r="F214" i="1" s="1"/>
  <c r="F254" i="1" s="1"/>
  <c r="F294" i="1" s="1"/>
  <c r="E94" i="1"/>
  <c r="A94" i="1" s="1"/>
  <c r="F93" i="1"/>
  <c r="F133" i="1" s="1"/>
  <c r="F173" i="1" s="1"/>
  <c r="F213" i="1" s="1"/>
  <c r="F253" i="1" s="1"/>
  <c r="F293" i="1" s="1"/>
  <c r="E93" i="1"/>
  <c r="E133" i="1" s="1"/>
  <c r="F92" i="1"/>
  <c r="F132" i="1" s="1"/>
  <c r="E92" i="1"/>
  <c r="F91" i="1"/>
  <c r="F131" i="1" s="1"/>
  <c r="F171" i="1" s="1"/>
  <c r="F211" i="1" s="1"/>
  <c r="E91" i="1"/>
  <c r="E131" i="1" s="1"/>
  <c r="E171" i="1" s="1"/>
  <c r="E211" i="1" s="1"/>
  <c r="E251" i="1" s="1"/>
  <c r="E291" i="1" s="1"/>
  <c r="F90" i="1"/>
  <c r="F130" i="1" s="1"/>
  <c r="F170" i="1" s="1"/>
  <c r="F210" i="1" s="1"/>
  <c r="F250" i="1" s="1"/>
  <c r="F290" i="1" s="1"/>
  <c r="E90" i="1"/>
  <c r="E130" i="1" s="1"/>
  <c r="F89" i="1"/>
  <c r="F129" i="1" s="1"/>
  <c r="F169" i="1" s="1"/>
  <c r="F209" i="1" s="1"/>
  <c r="F249" i="1" s="1"/>
  <c r="F289" i="1" s="1"/>
  <c r="E89" i="1"/>
  <c r="E129" i="1" s="1"/>
  <c r="F88" i="1"/>
  <c r="F128" i="1" s="1"/>
  <c r="F168" i="1" s="1"/>
  <c r="F208" i="1" s="1"/>
  <c r="F248" i="1" s="1"/>
  <c r="F288" i="1" s="1"/>
  <c r="E88" i="1"/>
  <c r="E128" i="1" s="1"/>
  <c r="F87" i="1"/>
  <c r="F127" i="1" s="1"/>
  <c r="F167" i="1" s="1"/>
  <c r="F207" i="1" s="1"/>
  <c r="E87" i="1"/>
  <c r="E127" i="1" s="1"/>
  <c r="E167" i="1" s="1"/>
  <c r="E207" i="1" s="1"/>
  <c r="E247" i="1" s="1"/>
  <c r="E287" i="1" s="1"/>
  <c r="F86" i="1"/>
  <c r="F126" i="1" s="1"/>
  <c r="F166" i="1" s="1"/>
  <c r="F206" i="1" s="1"/>
  <c r="F246" i="1" s="1"/>
  <c r="F286" i="1" s="1"/>
  <c r="E86" i="1"/>
  <c r="E126" i="1" s="1"/>
  <c r="F85" i="1"/>
  <c r="E85" i="1"/>
  <c r="E125" i="1" s="1"/>
  <c r="E165" i="1" s="1"/>
  <c r="E205" i="1" s="1"/>
  <c r="E245" i="1" s="1"/>
  <c r="F84" i="1"/>
  <c r="F124" i="1" s="1"/>
  <c r="F164" i="1" s="1"/>
  <c r="F204" i="1" s="1"/>
  <c r="F244" i="1" s="1"/>
  <c r="F284" i="1" s="1"/>
  <c r="E84" i="1"/>
  <c r="A83" i="1"/>
  <c r="A81" i="2" s="1"/>
  <c r="A82" i="1"/>
  <c r="A81" i="1"/>
  <c r="A79" i="2" s="1"/>
  <c r="A80" i="1"/>
  <c r="A78" i="2" s="1"/>
  <c r="A79" i="1"/>
  <c r="A78" i="1"/>
  <c r="A76" i="2" s="1"/>
  <c r="A77" i="1"/>
  <c r="A75" i="2" s="1"/>
  <c r="A76" i="1"/>
  <c r="A74" i="2" s="1"/>
  <c r="A75" i="1"/>
  <c r="A73" i="2" s="1"/>
  <c r="A74" i="1"/>
  <c r="A72" i="2" s="1"/>
  <c r="A73" i="1"/>
  <c r="A71" i="2" s="1"/>
  <c r="A72" i="1"/>
  <c r="A70" i="2" s="1"/>
  <c r="A71" i="1"/>
  <c r="A70" i="1"/>
  <c r="A68" i="2" s="1"/>
  <c r="A69" i="1"/>
  <c r="A67" i="2" s="1"/>
  <c r="A68" i="1"/>
  <c r="A66" i="2" s="1"/>
  <c r="A67" i="1"/>
  <c r="A65" i="2" s="1"/>
  <c r="A66" i="1"/>
  <c r="A64" i="2" s="1"/>
  <c r="A65" i="1"/>
  <c r="A63" i="2" s="1"/>
  <c r="A64" i="1"/>
  <c r="A62" i="2" s="1"/>
  <c r="A63" i="1"/>
  <c r="A62" i="1"/>
  <c r="A60" i="2" s="1"/>
  <c r="A61" i="1"/>
  <c r="A59" i="2" s="1"/>
  <c r="A60" i="1"/>
  <c r="A58" i="2" s="1"/>
  <c r="A59" i="1"/>
  <c r="A57" i="2" s="1"/>
  <c r="A58" i="1"/>
  <c r="A56" i="2" s="1"/>
  <c r="A57" i="1"/>
  <c r="A55" i="2" s="1"/>
  <c r="A56" i="1"/>
  <c r="A54" i="2" s="1"/>
  <c r="A55" i="1"/>
  <c r="A54" i="1"/>
  <c r="A52" i="2" s="1"/>
  <c r="A53" i="1"/>
  <c r="A51" i="2" s="1"/>
  <c r="A52" i="1"/>
  <c r="A50" i="2" s="1"/>
  <c r="A51" i="1"/>
  <c r="A49" i="2" s="1"/>
  <c r="A50" i="1"/>
  <c r="A48" i="2" s="1"/>
  <c r="A49" i="1"/>
  <c r="A47" i="2" s="1"/>
  <c r="A48" i="1"/>
  <c r="A46" i="2" s="1"/>
  <c r="A47" i="1"/>
  <c r="A46" i="1"/>
  <c r="A44" i="2" s="1"/>
  <c r="A45" i="1"/>
  <c r="A43" i="2" s="1"/>
  <c r="A44" i="1"/>
  <c r="A42" i="2" s="1"/>
  <c r="A43" i="1"/>
  <c r="A41" i="2" s="1"/>
  <c r="A42" i="1"/>
  <c r="A40" i="2" s="1"/>
  <c r="A41" i="1"/>
  <c r="A39" i="2" s="1"/>
  <c r="A40" i="1"/>
  <c r="A38" i="2" s="1"/>
  <c r="A39" i="1"/>
  <c r="A38" i="1"/>
  <c r="A36" i="2" s="1"/>
  <c r="A37" i="1"/>
  <c r="A35" i="2" s="1"/>
  <c r="A36" i="1"/>
  <c r="A34" i="2" s="1"/>
  <c r="A35" i="1"/>
  <c r="A33" i="2" s="1"/>
  <c r="A34" i="1"/>
  <c r="A32" i="2" s="1"/>
  <c r="A33" i="1"/>
  <c r="A31" i="2" s="1"/>
  <c r="A32" i="1"/>
  <c r="A30" i="2" s="1"/>
  <c r="A31" i="1"/>
  <c r="A30" i="1"/>
  <c r="A28" i="2" s="1"/>
  <c r="A29" i="1"/>
  <c r="A27" i="2" s="1"/>
  <c r="A28" i="1"/>
  <c r="A26" i="2" s="1"/>
  <c r="A27" i="1"/>
  <c r="A25" i="2" s="1"/>
  <c r="A26" i="1"/>
  <c r="A24" i="2" s="1"/>
  <c r="A25" i="1"/>
  <c r="A23" i="2" s="1"/>
  <c r="A24" i="1"/>
  <c r="A22" i="2" s="1"/>
  <c r="A23" i="1"/>
  <c r="A22" i="1"/>
  <c r="A20" i="2" s="1"/>
  <c r="A21" i="1"/>
  <c r="A19" i="2" s="1"/>
  <c r="A20" i="1"/>
  <c r="A18" i="2" s="1"/>
  <c r="A19" i="1"/>
  <c r="A17" i="2" s="1"/>
  <c r="A18" i="1"/>
  <c r="A16" i="2" s="1"/>
  <c r="A17" i="1"/>
  <c r="A15" i="2" s="1"/>
  <c r="A16" i="1"/>
  <c r="A14" i="2" s="1"/>
  <c r="A15" i="1"/>
  <c r="A14" i="1"/>
  <c r="A12" i="2" s="1"/>
  <c r="A13" i="1"/>
  <c r="A11" i="2" s="1"/>
  <c r="A12" i="1"/>
  <c r="A10" i="2" s="1"/>
  <c r="A11" i="1"/>
  <c r="A9" i="2" s="1"/>
  <c r="A10" i="1"/>
  <c r="A8" i="2" s="1"/>
  <c r="A9" i="1"/>
  <c r="A7" i="2" s="1"/>
  <c r="A8" i="1"/>
  <c r="A6" i="2" s="1"/>
  <c r="A7" i="1"/>
  <c r="A6" i="1"/>
  <c r="A4" i="2" s="1"/>
  <c r="A5" i="1"/>
  <c r="A3" i="2" s="1"/>
  <c r="I6" i="1" s="1"/>
  <c r="A4" i="1"/>
  <c r="A2" i="2" s="1"/>
  <c r="A554" i="1" l="1"/>
  <c r="A557" i="1"/>
  <c r="A84" i="1"/>
  <c r="A92" i="1"/>
  <c r="A123" i="1"/>
  <c r="A121" i="2" s="1"/>
  <c r="I805" i="1"/>
  <c r="A542" i="1"/>
  <c r="F1011" i="1"/>
  <c r="F1021" i="1" s="1"/>
  <c r="F1031" i="1" s="1"/>
  <c r="F1041" i="1" s="1"/>
  <c r="F1051" i="1" s="1"/>
  <c r="F1061" i="1" s="1"/>
  <c r="F1071" i="1" s="1"/>
  <c r="F1081" i="1" s="1"/>
  <c r="F1091" i="1" s="1"/>
  <c r="F1101" i="1" s="1"/>
  <c r="F1111" i="1" s="1"/>
  <c r="F1121" i="1" s="1"/>
  <c r="F1131" i="1" s="1"/>
  <c r="F1141" i="1" s="1"/>
  <c r="F1151" i="1" s="1"/>
  <c r="F1161" i="1" s="1"/>
  <c r="F1171" i="1" s="1"/>
  <c r="F1181" i="1" s="1"/>
  <c r="A85" i="1"/>
  <c r="E132" i="1"/>
  <c r="E172" i="1" s="1"/>
  <c r="E212" i="1" s="1"/>
  <c r="A1006" i="1"/>
  <c r="A23" i="5" s="1"/>
  <c r="A561" i="1"/>
  <c r="A118" i="1"/>
  <c r="A997" i="1"/>
  <c r="A14" i="5" s="1"/>
  <c r="A136" i="1"/>
  <c r="A104" i="1"/>
  <c r="A102" i="2" s="1"/>
  <c r="A105" i="1"/>
  <c r="A525" i="1"/>
  <c r="A999" i="1"/>
  <c r="A16" i="5" s="1"/>
  <c r="A1004" i="1"/>
  <c r="A21" i="5" s="1"/>
  <c r="B628" i="1"/>
  <c r="A588" i="1"/>
  <c r="F199" i="1"/>
  <c r="F239" i="1" s="1"/>
  <c r="F279" i="1" s="1"/>
  <c r="F319" i="1" s="1"/>
  <c r="A319" i="1" s="1"/>
  <c r="A159" i="1"/>
  <c r="A157" i="2" s="1"/>
  <c r="A153" i="1"/>
  <c r="E193" i="1"/>
  <c r="E233" i="1" s="1"/>
  <c r="E201" i="1"/>
  <c r="A201" i="1" s="1"/>
  <c r="A161" i="1"/>
  <c r="A87" i="1"/>
  <c r="A85" i="2" s="1"/>
  <c r="A93" i="1"/>
  <c r="A91" i="2" s="1"/>
  <c r="A99" i="1"/>
  <c r="A97" i="2" s="1"/>
  <c r="A311" i="1"/>
  <c r="A309" i="2" s="1"/>
  <c r="A530" i="1"/>
  <c r="A998" i="1"/>
  <c r="A111" i="1"/>
  <c r="A109" i="2" s="1"/>
  <c r="A127" i="1"/>
  <c r="A125" i="2" s="1"/>
  <c r="F151" i="1"/>
  <c r="F191" i="1" s="1"/>
  <c r="F231" i="1" s="1"/>
  <c r="F271" i="1" s="1"/>
  <c r="F311" i="1" s="1"/>
  <c r="A544" i="1"/>
  <c r="A542" i="2" s="1"/>
  <c r="A546" i="1"/>
  <c r="A549" i="1"/>
  <c r="A100" i="1"/>
  <c r="A98" i="2" s="1"/>
  <c r="A106" i="1"/>
  <c r="A104" i="2" s="1"/>
  <c r="A119" i="1"/>
  <c r="A117" i="2" s="1"/>
  <c r="I804" i="1"/>
  <c r="A89" i="1"/>
  <c r="A87" i="2" s="1"/>
  <c r="A95" i="1"/>
  <c r="A93" i="2" s="1"/>
  <c r="A113" i="1"/>
  <c r="A111" i="2" s="1"/>
  <c r="F1012" i="1"/>
  <c r="F1022" i="1" s="1"/>
  <c r="F1032" i="1" s="1"/>
  <c r="F1042" i="1" s="1"/>
  <c r="F1052" i="1" s="1"/>
  <c r="F1062" i="1" s="1"/>
  <c r="F1072" i="1" s="1"/>
  <c r="F1082" i="1" s="1"/>
  <c r="F1092" i="1" s="1"/>
  <c r="F1102" i="1" s="1"/>
  <c r="F1112" i="1" s="1"/>
  <c r="F1122" i="1" s="1"/>
  <c r="F1132" i="1" s="1"/>
  <c r="F1142" i="1" s="1"/>
  <c r="F1152" i="1" s="1"/>
  <c r="F1162" i="1" s="1"/>
  <c r="F1172" i="1" s="1"/>
  <c r="F1182" i="1" s="1"/>
  <c r="A107" i="1"/>
  <c r="A105" i="2" s="1"/>
  <c r="E156" i="1"/>
  <c r="E196" i="1" s="1"/>
  <c r="E236" i="1" s="1"/>
  <c r="A90" i="1"/>
  <c r="A88" i="2" s="1"/>
  <c r="A96" i="1"/>
  <c r="A94" i="2" s="1"/>
  <c r="A102" i="1"/>
  <c r="A100" i="2" s="1"/>
  <c r="E157" i="1"/>
  <c r="A545" i="1"/>
  <c r="I806" i="1"/>
  <c r="A108" i="1"/>
  <c r="A106" i="2" s="1"/>
  <c r="A121" i="1"/>
  <c r="A119" i="2" s="1"/>
  <c r="E1016" i="1"/>
  <c r="A534" i="1"/>
  <c r="A532" i="2" s="1"/>
  <c r="A548" i="1"/>
  <c r="A546" i="2" s="1"/>
  <c r="A553" i="1"/>
  <c r="E1007" i="1"/>
  <c r="A91" i="1"/>
  <c r="A89" i="2" s="1"/>
  <c r="A97" i="1"/>
  <c r="A95" i="2" s="1"/>
  <c r="A103" i="1"/>
  <c r="A101" i="2" s="1"/>
  <c r="A122" i="1"/>
  <c r="A120" i="2" s="1"/>
  <c r="A558" i="1"/>
  <c r="I985" i="1"/>
  <c r="E1008" i="1"/>
  <c r="A1008" i="1" s="1"/>
  <c r="A25" i="5" s="1"/>
  <c r="A98" i="1"/>
  <c r="A524" i="1"/>
  <c r="A522" i="2" s="1"/>
  <c r="A143" i="2"/>
  <c r="A116" i="2"/>
  <c r="K453" i="1"/>
  <c r="K488" i="1"/>
  <c r="K528" i="1" s="1"/>
  <c r="K568" i="1" s="1"/>
  <c r="K608" i="1" s="1"/>
  <c r="K648" i="1" s="1"/>
  <c r="K688" i="1" s="1"/>
  <c r="K728" i="1" s="1"/>
  <c r="K768" i="1" s="1"/>
  <c r="A140" i="1"/>
  <c r="E180" i="1"/>
  <c r="A146" i="1"/>
  <c r="E186" i="1"/>
  <c r="A223" i="1"/>
  <c r="F263" i="1"/>
  <c r="F303" i="1" s="1"/>
  <c r="A303" i="1" s="1"/>
  <c r="A151" i="2"/>
  <c r="E169" i="1"/>
  <c r="A129" i="1"/>
  <c r="A141" i="1"/>
  <c r="E181" i="1"/>
  <c r="F251" i="1"/>
  <c r="A211" i="1"/>
  <c r="E273" i="1"/>
  <c r="A255" i="1"/>
  <c r="F295" i="1"/>
  <c r="A295" i="1" s="1"/>
  <c r="A193" i="1"/>
  <c r="F233" i="1"/>
  <c r="F273" i="1" s="1"/>
  <c r="F313" i="1" s="1"/>
  <c r="A160" i="1"/>
  <c r="E200" i="1"/>
  <c r="E276" i="1"/>
  <c r="K486" i="1"/>
  <c r="K526" i="1" s="1"/>
  <c r="K566" i="1" s="1"/>
  <c r="K606" i="1" s="1"/>
  <c r="K646" i="1" s="1"/>
  <c r="K686" i="1" s="1"/>
  <c r="K726" i="1" s="1"/>
  <c r="K766" i="1" s="1"/>
  <c r="K451" i="1"/>
  <c r="A92" i="2"/>
  <c r="E192" i="1"/>
  <c r="A152" i="1"/>
  <c r="A187" i="1"/>
  <c r="F227" i="1"/>
  <c r="F267" i="1" s="1"/>
  <c r="F307" i="1" s="1"/>
  <c r="A307" i="1" s="1"/>
  <c r="A154" i="1"/>
  <c r="E194" i="1"/>
  <c r="A130" i="1"/>
  <c r="E170" i="1"/>
  <c r="A134" i="2"/>
  <c r="K485" i="1"/>
  <c r="K525" i="1" s="1"/>
  <c r="K565" i="1" s="1"/>
  <c r="K605" i="1" s="1"/>
  <c r="K645" i="1" s="1"/>
  <c r="K685" i="1" s="1"/>
  <c r="K725" i="1" s="1"/>
  <c r="K765" i="1" s="1"/>
  <c r="K450" i="1"/>
  <c r="E173" i="1"/>
  <c r="A133" i="1"/>
  <c r="A82" i="2"/>
  <c r="A148" i="1"/>
  <c r="E188" i="1"/>
  <c r="F277" i="1"/>
  <c r="F317" i="1" s="1"/>
  <c r="K484" i="1"/>
  <c r="K524" i="1" s="1"/>
  <c r="K564" i="1" s="1"/>
  <c r="K604" i="1" s="1"/>
  <c r="K644" i="1" s="1"/>
  <c r="K684" i="1" s="1"/>
  <c r="K724" i="1" s="1"/>
  <c r="K764" i="1" s="1"/>
  <c r="K449" i="1"/>
  <c r="A155" i="1"/>
  <c r="F195" i="1"/>
  <c r="A317" i="2"/>
  <c r="A219" i="1"/>
  <c r="F259" i="1"/>
  <c r="F299" i="1" s="1"/>
  <c r="A299" i="1" s="1"/>
  <c r="A137" i="1"/>
  <c r="E177" i="1"/>
  <c r="A149" i="1"/>
  <c r="E189" i="1"/>
  <c r="E218" i="1"/>
  <c r="E282" i="1"/>
  <c r="K487" i="1"/>
  <c r="K527" i="1" s="1"/>
  <c r="K567" i="1" s="1"/>
  <c r="K607" i="1" s="1"/>
  <c r="K647" i="1" s="1"/>
  <c r="K687" i="1" s="1"/>
  <c r="K727" i="1" s="1"/>
  <c r="K767" i="1" s="1"/>
  <c r="K452" i="1"/>
  <c r="A83" i="2"/>
  <c r="A162" i="1"/>
  <c r="F202" i="1"/>
  <c r="F242" i="1" s="1"/>
  <c r="F282" i="1" s="1"/>
  <c r="F322" i="1" s="1"/>
  <c r="E285" i="1"/>
  <c r="A103" i="2"/>
  <c r="A128" i="1"/>
  <c r="E168" i="1"/>
  <c r="A207" i="1"/>
  <c r="F247" i="1"/>
  <c r="F287" i="1" s="1"/>
  <c r="A287" i="1" s="1"/>
  <c r="A126" i="1"/>
  <c r="E166" i="1"/>
  <c r="A90" i="2"/>
  <c r="F196" i="1"/>
  <c r="A140" i="2"/>
  <c r="A132" i="1"/>
  <c r="F172" i="1"/>
  <c r="F212" i="1" s="1"/>
  <c r="F252" i="1" s="1"/>
  <c r="F292" i="1" s="1"/>
  <c r="A96" i="2"/>
  <c r="A144" i="1"/>
  <c r="E184" i="1"/>
  <c r="A150" i="1"/>
  <c r="E190" i="1"/>
  <c r="A323" i="1"/>
  <c r="A491" i="2"/>
  <c r="A526" i="1"/>
  <c r="F566" i="1"/>
  <c r="F606" i="1" s="1"/>
  <c r="F646" i="1" s="1"/>
  <c r="F686" i="1" s="1"/>
  <c r="F726" i="1" s="1"/>
  <c r="F766" i="1" s="1"/>
  <c r="A86" i="1"/>
  <c r="A120" i="1"/>
  <c r="E124" i="1"/>
  <c r="A147" i="1"/>
  <c r="A179" i="1"/>
  <c r="A243" i="1"/>
  <c r="A356" i="2"/>
  <c r="A468" i="2"/>
  <c r="A338" i="2"/>
  <c r="A77" i="2"/>
  <c r="A159" i="2"/>
  <c r="A325" i="2"/>
  <c r="A486" i="2"/>
  <c r="A494" i="2"/>
  <c r="B635" i="1"/>
  <c r="A595" i="1"/>
  <c r="A69" i="2"/>
  <c r="A112" i="1"/>
  <c r="F138" i="1"/>
  <c r="F178" i="1" s="1"/>
  <c r="F218" i="1" s="1"/>
  <c r="F258" i="1" s="1"/>
  <c r="F298" i="1" s="1"/>
  <c r="A143" i="1"/>
  <c r="A175" i="1"/>
  <c r="A239" i="1"/>
  <c r="A271" i="1"/>
  <c r="A417" i="2"/>
  <c r="A61" i="2"/>
  <c r="E134" i="1"/>
  <c r="A387" i="2"/>
  <c r="B610" i="1"/>
  <c r="A570" i="1"/>
  <c r="A53" i="2"/>
  <c r="A139" i="1"/>
  <c r="A171" i="1"/>
  <c r="A203" i="1"/>
  <c r="A340" i="2"/>
  <c r="A406" i="2"/>
  <c r="A505" i="2"/>
  <c r="I4" i="1"/>
  <c r="A45" i="2"/>
  <c r="A115" i="2"/>
  <c r="F125" i="1"/>
  <c r="A376" i="2"/>
  <c r="A388" i="2"/>
  <c r="B573" i="1"/>
  <c r="A533" i="1"/>
  <c r="A37" i="2"/>
  <c r="A80" i="2"/>
  <c r="A135" i="1"/>
  <c r="A167" i="1"/>
  <c r="E176" i="1"/>
  <c r="E185" i="1"/>
  <c r="A199" i="1"/>
  <c r="A231" i="1"/>
  <c r="A328" i="2"/>
  <c r="A436" i="2"/>
  <c r="A513" i="2"/>
  <c r="B605" i="1"/>
  <c r="A565" i="1"/>
  <c r="E578" i="1"/>
  <c r="A538" i="1"/>
  <c r="I5" i="1"/>
  <c r="A29" i="2"/>
  <c r="A109" i="1"/>
  <c r="E158" i="1"/>
  <c r="A395" i="2"/>
  <c r="A443" i="2"/>
  <c r="A585" i="1"/>
  <c r="A21" i="2"/>
  <c r="A88" i="1"/>
  <c r="A131" i="1"/>
  <c r="A163" i="1"/>
  <c r="A365" i="2"/>
  <c r="A473" i="2"/>
  <c r="A498" i="2"/>
  <c r="A521" i="2"/>
  <c r="A13" i="2"/>
  <c r="A101" i="1"/>
  <c r="A114" i="1"/>
  <c r="A450" i="2"/>
  <c r="A464" i="2"/>
  <c r="A490" i="2"/>
  <c r="A544" i="2"/>
  <c r="A5" i="2"/>
  <c r="I40" i="1" s="1"/>
  <c r="I7" i="1"/>
  <c r="A191" i="1"/>
  <c r="A372" i="2"/>
  <c r="A420" i="2"/>
  <c r="E182" i="1"/>
  <c r="A354" i="2"/>
  <c r="B606" i="1"/>
  <c r="A540" i="2"/>
  <c r="A283" i="1"/>
  <c r="A445" i="2"/>
  <c r="A514" i="2"/>
  <c r="A582" i="1"/>
  <c r="B622" i="1"/>
  <c r="A115" i="1"/>
  <c r="A476" i="2"/>
  <c r="A509" i="2"/>
  <c r="A151" i="1"/>
  <c r="A183" i="1"/>
  <c r="A215" i="1"/>
  <c r="A279" i="1"/>
  <c r="A452" i="2"/>
  <c r="B575" i="1"/>
  <c r="A535" i="1"/>
  <c r="B624" i="1"/>
  <c r="A584" i="1"/>
  <c r="E637" i="1"/>
  <c r="E677" i="1" s="1"/>
  <c r="E717" i="1" s="1"/>
  <c r="E757" i="1" s="1"/>
  <c r="E797" i="1" s="1"/>
  <c r="A597" i="1"/>
  <c r="B665" i="1"/>
  <c r="A625" i="1"/>
  <c r="B632" i="1"/>
  <c r="A592" i="1"/>
  <c r="B640" i="1"/>
  <c r="A523" i="2"/>
  <c r="A528" i="2"/>
  <c r="A552" i="1"/>
  <c r="E586" i="1"/>
  <c r="E626" i="1" s="1"/>
  <c r="E666" i="1" s="1"/>
  <c r="E706" i="1" s="1"/>
  <c r="E746" i="1" s="1"/>
  <c r="E786" i="1" s="1"/>
  <c r="A457" i="2"/>
  <c r="A487" i="2"/>
  <c r="A497" i="2"/>
  <c r="A532" i="1"/>
  <c r="A537" i="1"/>
  <c r="A550" i="1"/>
  <c r="B636" i="1"/>
  <c r="A562" i="1"/>
  <c r="A519" i="2"/>
  <c r="B612" i="1"/>
  <c r="A572" i="1"/>
  <c r="A577" i="1"/>
  <c r="B617" i="1"/>
  <c r="B626" i="1"/>
  <c r="B630" i="1"/>
  <c r="A590" i="1"/>
  <c r="A552" i="2"/>
  <c r="B682" i="1"/>
  <c r="A642" i="1"/>
  <c r="B574" i="1"/>
  <c r="B567" i="1"/>
  <c r="A527" i="1"/>
  <c r="A539" i="1"/>
  <c r="B579" i="1"/>
  <c r="B674" i="1"/>
  <c r="A634" i="1"/>
  <c r="A556" i="2"/>
  <c r="B678" i="1"/>
  <c r="A638" i="1"/>
  <c r="A560" i="1"/>
  <c r="F600" i="1"/>
  <c r="F640" i="1" s="1"/>
  <c r="F680" i="1" s="1"/>
  <c r="F720" i="1" s="1"/>
  <c r="F760" i="1" s="1"/>
  <c r="F800" i="1" s="1"/>
  <c r="F596" i="1"/>
  <c r="F636" i="1" s="1"/>
  <c r="F676" i="1" s="1"/>
  <c r="F716" i="1" s="1"/>
  <c r="F756" i="1" s="1"/>
  <c r="F796" i="1" s="1"/>
  <c r="A556" i="1"/>
  <c r="A586" i="2"/>
  <c r="A510" i="2"/>
  <c r="A564" i="1"/>
  <c r="B604" i="1"/>
  <c r="A529" i="1"/>
  <c r="A536" i="1"/>
  <c r="A541" i="1"/>
  <c r="A543" i="1"/>
  <c r="B583" i="1"/>
  <c r="A628" i="1"/>
  <c r="B668" i="1"/>
  <c r="A503" i="2"/>
  <c r="A569" i="1"/>
  <c r="B609" i="1"/>
  <c r="B616" i="1"/>
  <c r="A576" i="1"/>
  <c r="B621" i="1"/>
  <c r="A581" i="1"/>
  <c r="A563" i="1"/>
  <c r="B603" i="1"/>
  <c r="A543" i="2"/>
  <c r="A547" i="1"/>
  <c r="B587" i="1"/>
  <c r="A547" i="2"/>
  <c r="A559" i="2"/>
  <c r="B571" i="1"/>
  <c r="A531" i="1"/>
  <c r="A589" i="1"/>
  <c r="B629" i="1"/>
  <c r="A551" i="2"/>
  <c r="A559" i="1"/>
  <c r="B599" i="1"/>
  <c r="A601" i="1"/>
  <c r="B641" i="1"/>
  <c r="A551" i="1"/>
  <c r="B591" i="1"/>
  <c r="B633" i="1"/>
  <c r="A593" i="1"/>
  <c r="A555" i="1"/>
  <c r="A555" i="2"/>
  <c r="A404" i="2"/>
  <c r="A506" i="2"/>
  <c r="A528" i="1"/>
  <c r="A540" i="1"/>
  <c r="A568" i="1"/>
  <c r="B608" i="1"/>
  <c r="B658" i="1"/>
  <c r="B620" i="1"/>
  <c r="A580" i="1"/>
  <c r="B717" i="1"/>
  <c r="A602" i="1"/>
  <c r="A594" i="1"/>
  <c r="A637" i="1"/>
  <c r="A598" i="1"/>
  <c r="A64" i="3"/>
  <c r="A90" i="3"/>
  <c r="E1026" i="1"/>
  <c r="A1016" i="1"/>
  <c r="A51" i="3"/>
  <c r="A65" i="3"/>
  <c r="A52" i="3"/>
  <c r="A109" i="3"/>
  <c r="A19" i="4"/>
  <c r="A14" i="3"/>
  <c r="A40" i="3"/>
  <c r="A16" i="3"/>
  <c r="A56" i="3"/>
  <c r="A42" i="3"/>
  <c r="A85" i="3"/>
  <c r="I807" i="1"/>
  <c r="A30" i="3"/>
  <c r="A45" i="3"/>
  <c r="A22" i="3"/>
  <c r="A76" i="3"/>
  <c r="A1031" i="1"/>
  <c r="A98" i="3"/>
  <c r="A110" i="3"/>
  <c r="A43" i="3"/>
  <c r="A54" i="3"/>
  <c r="A5" i="4"/>
  <c r="I927" i="1" s="1"/>
  <c r="A17" i="4"/>
  <c r="A57" i="4"/>
  <c r="A15" i="5"/>
  <c r="A19" i="5"/>
  <c r="A67" i="3"/>
  <c r="A78" i="3"/>
  <c r="A1021" i="1"/>
  <c r="A6" i="3"/>
  <c r="I817" i="1" s="1"/>
  <c r="A46" i="4"/>
  <c r="E1023" i="1"/>
  <c r="E1061" i="1"/>
  <c r="A1051" i="1"/>
  <c r="F1013" i="1"/>
  <c r="F1023" i="1" s="1"/>
  <c r="F1033" i="1" s="1"/>
  <c r="F1043" i="1" s="1"/>
  <c r="F1053" i="1" s="1"/>
  <c r="F1063" i="1" s="1"/>
  <c r="F1073" i="1" s="1"/>
  <c r="F1083" i="1" s="1"/>
  <c r="F1093" i="1" s="1"/>
  <c r="F1103" i="1" s="1"/>
  <c r="F1113" i="1" s="1"/>
  <c r="F1123" i="1" s="1"/>
  <c r="F1133" i="1" s="1"/>
  <c r="F1143" i="1" s="1"/>
  <c r="F1153" i="1" s="1"/>
  <c r="F1163" i="1" s="1"/>
  <c r="F1173" i="1" s="1"/>
  <c r="F1183" i="1" s="1"/>
  <c r="A1003" i="1"/>
  <c r="A69" i="3"/>
  <c r="A101" i="3"/>
  <c r="A115" i="3"/>
  <c r="E1019" i="1"/>
  <c r="A1009" i="1"/>
  <c r="A8" i="3"/>
  <c r="A46" i="3"/>
  <c r="A58" i="3"/>
  <c r="A70" i="3"/>
  <c r="A116" i="3"/>
  <c r="A47" i="3"/>
  <c r="A81" i="3"/>
  <c r="A9" i="4"/>
  <c r="A35" i="4"/>
  <c r="A12" i="5"/>
  <c r="E1024" i="1"/>
  <c r="A1014" i="1"/>
  <c r="A1012" i="1"/>
  <c r="E1032" i="1"/>
  <c r="A1022" i="1"/>
  <c r="E1035" i="1"/>
  <c r="A1041" i="1"/>
  <c r="A60" i="3"/>
  <c r="A118" i="3"/>
  <c r="A996" i="1"/>
  <c r="A61" i="3"/>
  <c r="A106" i="3"/>
  <c r="A25" i="4"/>
  <c r="A37" i="4"/>
  <c r="A38" i="3"/>
  <c r="A62" i="3"/>
  <c r="A73" i="3"/>
  <c r="A107" i="3"/>
  <c r="A38" i="4"/>
  <c r="A29" i="4"/>
  <c r="A49" i="4"/>
  <c r="E1010" i="1"/>
  <c r="A1000" i="1"/>
  <c r="A102" i="3"/>
  <c r="A30" i="4"/>
  <c r="A8" i="5"/>
  <c r="A57" i="3"/>
  <c r="A121" i="3"/>
  <c r="A9" i="5"/>
  <c r="E1018" i="1"/>
  <c r="A94" i="3"/>
  <c r="A21" i="4"/>
  <c r="A41" i="4"/>
  <c r="A18" i="5"/>
  <c r="A49" i="3"/>
  <c r="A113" i="3"/>
  <c r="I924" i="1"/>
  <c r="A22" i="4"/>
  <c r="A61" i="4"/>
  <c r="A86" i="3"/>
  <c r="A62" i="4"/>
  <c r="A105" i="3"/>
  <c r="I925" i="1"/>
  <c r="A13" i="4"/>
  <c r="A33" i="4"/>
  <c r="F1005" i="1"/>
  <c r="A14" i="4"/>
  <c r="A53" i="4"/>
  <c r="A97" i="3"/>
  <c r="I926" i="1"/>
  <c r="A54" i="4"/>
  <c r="A89" i="3"/>
  <c r="A6" i="4"/>
  <c r="I939" i="1" s="1"/>
  <c r="A45" i="4"/>
  <c r="A4" i="5"/>
  <c r="I990" i="1" s="1"/>
  <c r="I868" i="1" l="1"/>
  <c r="A586" i="1"/>
  <c r="I844" i="1"/>
  <c r="A202" i="1"/>
  <c r="I818" i="1"/>
  <c r="E241" i="1"/>
  <c r="I828" i="1"/>
  <c r="A677" i="1"/>
  <c r="I815" i="1"/>
  <c r="I8" i="1"/>
  <c r="I10" i="1"/>
  <c r="A1011" i="1"/>
  <c r="A28" i="5" s="1"/>
  <c r="I77" i="1"/>
  <c r="I993" i="1"/>
  <c r="I869" i="1"/>
  <c r="I971" i="1"/>
  <c r="I934" i="1"/>
  <c r="I940" i="1"/>
  <c r="I909" i="1"/>
  <c r="A1007" i="1"/>
  <c r="A24" i="5" s="1"/>
  <c r="E1017" i="1"/>
  <c r="I918" i="1"/>
  <c r="A247" i="1"/>
  <c r="A138" i="1"/>
  <c r="I946" i="1"/>
  <c r="I930" i="1"/>
  <c r="I846" i="1"/>
  <c r="I808" i="1"/>
  <c r="I874" i="1"/>
  <c r="I809" i="1"/>
  <c r="I811" i="1"/>
  <c r="A156" i="1"/>
  <c r="A154" i="2" s="1"/>
  <c r="I973" i="1"/>
  <c r="I839" i="1"/>
  <c r="A596" i="1"/>
  <c r="I970" i="1"/>
  <c r="I933" i="1"/>
  <c r="I829" i="1"/>
  <c r="I813" i="1"/>
  <c r="E197" i="1"/>
  <c r="A157" i="1"/>
  <c r="A155" i="2" s="1"/>
  <c r="I885" i="1"/>
  <c r="I816" i="1"/>
  <c r="I907" i="1"/>
  <c r="A263" i="1"/>
  <c r="A261" i="2" s="1"/>
  <c r="A297" i="2"/>
  <c r="A293" i="2"/>
  <c r="A305" i="2"/>
  <c r="A610" i="1"/>
  <c r="B650" i="1"/>
  <c r="I953" i="1"/>
  <c r="I886" i="1"/>
  <c r="E1029" i="1"/>
  <c r="A1019" i="1"/>
  <c r="I979" i="1"/>
  <c r="I966" i="1"/>
  <c r="I879" i="1"/>
  <c r="I867" i="1"/>
  <c r="A526" i="2"/>
  <c r="A579" i="2"/>
  <c r="A604" i="1"/>
  <c r="B644" i="1"/>
  <c r="A579" i="1"/>
  <c r="B619" i="1"/>
  <c r="A612" i="1"/>
  <c r="B652" i="1"/>
  <c r="A550" i="2"/>
  <c r="A575" i="1"/>
  <c r="B615" i="1"/>
  <c r="I42" i="1"/>
  <c r="I74" i="1"/>
  <c r="E618" i="1"/>
  <c r="A578" i="1"/>
  <c r="I56" i="1"/>
  <c r="I71" i="1"/>
  <c r="I44" i="1"/>
  <c r="A168" i="1"/>
  <c r="E208" i="1"/>
  <c r="A128" i="2"/>
  <c r="A212" i="1"/>
  <c r="E252" i="1"/>
  <c r="A127" i="2"/>
  <c r="A29" i="5"/>
  <c r="I956" i="1"/>
  <c r="I983" i="1"/>
  <c r="I943" i="1"/>
  <c r="I877" i="1"/>
  <c r="A17" i="5"/>
  <c r="I947" i="1"/>
  <c r="E1045" i="1"/>
  <c r="I849" i="1"/>
  <c r="I969" i="1"/>
  <c r="I912" i="1"/>
  <c r="I887" i="1"/>
  <c r="I890" i="1"/>
  <c r="A596" i="2"/>
  <c r="B661" i="1"/>
  <c r="A621" i="1"/>
  <c r="A562" i="2"/>
  <c r="A537" i="2"/>
  <c r="I25" i="1"/>
  <c r="A112" i="2"/>
  <c r="I57" i="1"/>
  <c r="A563" i="2"/>
  <c r="I39" i="1"/>
  <c r="I79" i="1"/>
  <c r="I27" i="1"/>
  <c r="A130" i="2"/>
  <c r="A126" i="2"/>
  <c r="K489" i="1"/>
  <c r="K529" i="1" s="1"/>
  <c r="K569" i="1" s="1"/>
  <c r="K609" i="1" s="1"/>
  <c r="K649" i="1" s="1"/>
  <c r="K689" i="1" s="1"/>
  <c r="K729" i="1" s="1"/>
  <c r="K769" i="1" s="1"/>
  <c r="K454" i="1"/>
  <c r="A172" i="1"/>
  <c r="A169" i="1"/>
  <c r="E209" i="1"/>
  <c r="A1010" i="1"/>
  <c r="E1020" i="1"/>
  <c r="A39" i="5"/>
  <c r="I917" i="1"/>
  <c r="I857" i="1"/>
  <c r="I853" i="1"/>
  <c r="B669" i="1"/>
  <c r="A629" i="1"/>
  <c r="A574" i="2"/>
  <c r="A525" i="2"/>
  <c r="A99" i="2"/>
  <c r="A605" i="1"/>
  <c r="B645" i="1"/>
  <c r="I62" i="1"/>
  <c r="A189" i="1"/>
  <c r="E229" i="1"/>
  <c r="A194" i="1"/>
  <c r="E234" i="1"/>
  <c r="A200" i="1"/>
  <c r="E240" i="1"/>
  <c r="I859" i="1"/>
  <c r="I875" i="1"/>
  <c r="I908" i="1"/>
  <c r="E1042" i="1"/>
  <c r="A1032" i="1"/>
  <c r="I900" i="1"/>
  <c r="I870" i="1"/>
  <c r="A635" i="2"/>
  <c r="A587" i="2"/>
  <c r="A616" i="1"/>
  <c r="B656" i="1"/>
  <c r="A567" i="1"/>
  <c r="B607" i="1"/>
  <c r="A560" i="2"/>
  <c r="I60" i="1"/>
  <c r="A182" i="1"/>
  <c r="E222" i="1"/>
  <c r="I75" i="1"/>
  <c r="I58" i="1"/>
  <c r="I41" i="1"/>
  <c r="I24" i="1"/>
  <c r="I66" i="1"/>
  <c r="I49" i="1"/>
  <c r="I32" i="1"/>
  <c r="I52" i="1"/>
  <c r="I80" i="1"/>
  <c r="I54" i="1"/>
  <c r="I37" i="1"/>
  <c r="I20" i="1"/>
  <c r="I18" i="1"/>
  <c r="I70" i="1"/>
  <c r="I53" i="1"/>
  <c r="I36" i="1"/>
  <c r="I19" i="1"/>
  <c r="I35" i="1"/>
  <c r="I69" i="1"/>
  <c r="I15" i="1"/>
  <c r="I23" i="1"/>
  <c r="A229" i="2"/>
  <c r="I30" i="1"/>
  <c r="A568" i="2"/>
  <c r="I45" i="1"/>
  <c r="A152" i="2"/>
  <c r="I899" i="1"/>
  <c r="I896" i="1"/>
  <c r="A592" i="2"/>
  <c r="A529" i="2"/>
  <c r="B649" i="1"/>
  <c r="A609" i="1"/>
  <c r="B614" i="1"/>
  <c r="A574" i="1"/>
  <c r="I43" i="1"/>
  <c r="I13" i="1"/>
  <c r="I72" i="1"/>
  <c r="I841" i="1"/>
  <c r="I864" i="1"/>
  <c r="I863" i="1"/>
  <c r="A31" i="5"/>
  <c r="I910" i="1"/>
  <c r="I881" i="1"/>
  <c r="I825" i="1"/>
  <c r="I865" i="1"/>
  <c r="I876" i="1"/>
  <c r="I812" i="1"/>
  <c r="I836" i="1"/>
  <c r="I835" i="1"/>
  <c r="I929" i="1"/>
  <c r="I937" i="1"/>
  <c r="I949" i="1"/>
  <c r="A48" i="5"/>
  <c r="I830" i="1"/>
  <c r="I837" i="1"/>
  <c r="A1026" i="1"/>
  <c r="E1036" i="1"/>
  <c r="A600" i="2"/>
  <c r="A571" i="1"/>
  <c r="B611" i="1"/>
  <c r="A567" i="2"/>
  <c r="A640" i="2"/>
  <c r="A636" i="1"/>
  <c r="B676" i="1"/>
  <c r="B680" i="1"/>
  <c r="A640" i="1"/>
  <c r="I26" i="1"/>
  <c r="I14" i="1"/>
  <c r="A158" i="1"/>
  <c r="E198" i="1"/>
  <c r="A185" i="1"/>
  <c r="E225" i="1"/>
  <c r="A531" i="2"/>
  <c r="A125" i="1"/>
  <c r="F165" i="1"/>
  <c r="I55" i="1"/>
  <c r="I11" i="1"/>
  <c r="A199" i="2"/>
  <c r="A177" i="1"/>
  <c r="E217" i="1"/>
  <c r="E228" i="1"/>
  <c r="A188" i="1"/>
  <c r="A185" i="2"/>
  <c r="A191" i="2"/>
  <c r="A221" i="2"/>
  <c r="I28" i="1"/>
  <c r="I975" i="1"/>
  <c r="I964" i="1"/>
  <c r="E1028" i="1"/>
  <c r="A1018" i="1"/>
  <c r="I961" i="1"/>
  <c r="A1024" i="1"/>
  <c r="E1034" i="1"/>
  <c r="I872" i="1"/>
  <c r="I871" i="1"/>
  <c r="A38" i="5"/>
  <c r="I856" i="1"/>
  <c r="I858" i="1"/>
  <c r="I882" i="1"/>
  <c r="I855" i="1"/>
  <c r="I977" i="1"/>
  <c r="A675" i="2"/>
  <c r="A554" i="2"/>
  <c r="B722" i="1"/>
  <c r="A682" i="1"/>
  <c r="A548" i="2"/>
  <c r="A600" i="1"/>
  <c r="I9" i="1"/>
  <c r="A113" i="2"/>
  <c r="I67" i="1"/>
  <c r="A583" i="2"/>
  <c r="A107" i="2"/>
  <c r="A176" i="1"/>
  <c r="E216" i="1"/>
  <c r="A573" i="1"/>
  <c r="B613" i="1"/>
  <c r="A593" i="2"/>
  <c r="A241" i="2"/>
  <c r="A135" i="2"/>
  <c r="A146" i="2"/>
  <c r="A150" i="2"/>
  <c r="A186" i="1"/>
  <c r="E226" i="1"/>
  <c r="I987" i="1"/>
  <c r="I954" i="1"/>
  <c r="I915" i="1"/>
  <c r="I991" i="1"/>
  <c r="I951" i="1"/>
  <c r="I840" i="1"/>
  <c r="A13" i="5"/>
  <c r="I999" i="1" s="1"/>
  <c r="I901" i="1"/>
  <c r="I878" i="1"/>
  <c r="I893" i="1"/>
  <c r="I827" i="1"/>
  <c r="I892" i="1"/>
  <c r="B757" i="1"/>
  <c r="A717" i="1"/>
  <c r="A553" i="2"/>
  <c r="A535" i="2"/>
  <c r="A590" i="2"/>
  <c r="A566" i="1"/>
  <c r="I50" i="1"/>
  <c r="A165" i="2"/>
  <c r="I46" i="1"/>
  <c r="B675" i="1"/>
  <c r="A635" i="1"/>
  <c r="A200" i="2"/>
  <c r="A160" i="2"/>
  <c r="I84" i="1"/>
  <c r="A192" i="1"/>
  <c r="E232" i="1"/>
  <c r="A144" i="2"/>
  <c r="A241" i="1"/>
  <c r="E281" i="1"/>
  <c r="I989" i="1"/>
  <c r="I936" i="1"/>
  <c r="I992" i="1"/>
  <c r="I958" i="1"/>
  <c r="I995" i="1"/>
  <c r="I860" i="1"/>
  <c r="A20" i="5"/>
  <c r="I880" i="1"/>
  <c r="I845" i="1"/>
  <c r="A578" i="2"/>
  <c r="A591" i="2"/>
  <c r="B708" i="1"/>
  <c r="A668" i="1"/>
  <c r="A530" i="2"/>
  <c r="B672" i="1"/>
  <c r="A632" i="1"/>
  <c r="I68" i="1"/>
  <c r="B646" i="1"/>
  <c r="A606" i="1"/>
  <c r="I33" i="1"/>
  <c r="A133" i="2"/>
  <c r="I29" i="1"/>
  <c r="A269" i="2"/>
  <c r="A177" i="2"/>
  <c r="I85" i="1"/>
  <c r="A253" i="2"/>
  <c r="A180" i="1"/>
  <c r="E220" i="1"/>
  <c r="I903" i="1"/>
  <c r="I967" i="1"/>
  <c r="I906" i="1"/>
  <c r="I851" i="1"/>
  <c r="I981" i="1"/>
  <c r="I948" i="1"/>
  <c r="I905" i="1"/>
  <c r="I920" i="1"/>
  <c r="I824" i="1"/>
  <c r="I820" i="1"/>
  <c r="I941" i="1"/>
  <c r="I823" i="1"/>
  <c r="A620" i="1"/>
  <c r="B660" i="1"/>
  <c r="B673" i="1"/>
  <c r="A633" i="1"/>
  <c r="A626" i="2"/>
  <c r="A558" i="2"/>
  <c r="A588" i="2"/>
  <c r="A623" i="2"/>
  <c r="I51" i="1"/>
  <c r="A281" i="2"/>
  <c r="I16" i="1"/>
  <c r="A259" i="1"/>
  <c r="I65" i="1"/>
  <c r="I81" i="1"/>
  <c r="I12" i="1"/>
  <c r="A134" i="1"/>
  <c r="E174" i="1"/>
  <c r="A237" i="2"/>
  <c r="A145" i="2"/>
  <c r="A321" i="2"/>
  <c r="A196" i="1"/>
  <c r="F236" i="1"/>
  <c r="A217" i="2"/>
  <c r="A131" i="2"/>
  <c r="A273" i="1"/>
  <c r="E313" i="1"/>
  <c r="A313" i="1" s="1"/>
  <c r="A138" i="2"/>
  <c r="F1015" i="1"/>
  <c r="A1005" i="1"/>
  <c r="I897" i="1"/>
  <c r="I972" i="1"/>
  <c r="I952" i="1"/>
  <c r="I852" i="1"/>
  <c r="I914" i="1"/>
  <c r="I848" i="1"/>
  <c r="A68" i="5"/>
  <c r="I988" i="1"/>
  <c r="I902" i="1"/>
  <c r="B698" i="1"/>
  <c r="B631" i="1"/>
  <c r="A591" i="1"/>
  <c r="B627" i="1"/>
  <c r="A587" i="1"/>
  <c r="A636" i="2"/>
  <c r="B670" i="1"/>
  <c r="A630" i="1"/>
  <c r="B705" i="1"/>
  <c r="A665" i="1"/>
  <c r="I34" i="1"/>
  <c r="A227" i="1"/>
  <c r="I48" i="1"/>
  <c r="I64" i="1"/>
  <c r="I63" i="1"/>
  <c r="A173" i="2"/>
  <c r="A136" i="2"/>
  <c r="A190" i="1"/>
  <c r="E230" i="1"/>
  <c r="K457" i="1"/>
  <c r="K492" i="1"/>
  <c r="K532" i="1" s="1"/>
  <c r="K572" i="1" s="1"/>
  <c r="K612" i="1" s="1"/>
  <c r="K652" i="1" s="1"/>
  <c r="K692" i="1" s="1"/>
  <c r="K732" i="1" s="1"/>
  <c r="K772" i="1" s="1"/>
  <c r="A173" i="1"/>
  <c r="E213" i="1"/>
  <c r="A233" i="1"/>
  <c r="A301" i="2"/>
  <c r="I928" i="1"/>
  <c r="I974" i="1"/>
  <c r="I888" i="1"/>
  <c r="I962" i="1"/>
  <c r="I831" i="1"/>
  <c r="I916" i="1"/>
  <c r="I894" i="1"/>
  <c r="I957" i="1"/>
  <c r="E1071" i="1"/>
  <c r="A1061" i="1"/>
  <c r="I847" i="1"/>
  <c r="I842" i="1"/>
  <c r="I838" i="1"/>
  <c r="I911" i="1"/>
  <c r="I866" i="1"/>
  <c r="A549" i="2"/>
  <c r="A545" i="2"/>
  <c r="A583" i="1"/>
  <c r="B623" i="1"/>
  <c r="B718" i="1"/>
  <c r="A678" i="1"/>
  <c r="A584" i="2"/>
  <c r="A595" i="2"/>
  <c r="A277" i="2"/>
  <c r="I17" i="1"/>
  <c r="A161" i="2"/>
  <c r="I31" i="1"/>
  <c r="I47" i="1"/>
  <c r="A141" i="2"/>
  <c r="E164" i="1"/>
  <c r="A124" i="1"/>
  <c r="A148" i="2"/>
  <c r="K490" i="1"/>
  <c r="K530" i="1" s="1"/>
  <c r="K570" i="1" s="1"/>
  <c r="K610" i="1" s="1"/>
  <c r="K650" i="1" s="1"/>
  <c r="K690" i="1" s="1"/>
  <c r="K730" i="1" s="1"/>
  <c r="K770" i="1" s="1"/>
  <c r="K455" i="1"/>
  <c r="A209" i="2"/>
  <c r="K458" i="1"/>
  <c r="K493" i="1"/>
  <c r="K533" i="1" s="1"/>
  <c r="K573" i="1" s="1"/>
  <c r="K613" i="1" s="1"/>
  <c r="K653" i="1" s="1"/>
  <c r="K693" i="1" s="1"/>
  <c r="K733" i="1" s="1"/>
  <c r="K773" i="1" s="1"/>
  <c r="I955" i="1"/>
  <c r="I942" i="1"/>
  <c r="I932" i="1"/>
  <c r="I822" i="1"/>
  <c r="I884" i="1"/>
  <c r="I819" i="1"/>
  <c r="A1013" i="1"/>
  <c r="I978" i="1"/>
  <c r="I861" i="1"/>
  <c r="A608" i="1"/>
  <c r="B648" i="1"/>
  <c r="B681" i="1"/>
  <c r="A641" i="1"/>
  <c r="A541" i="2"/>
  <c r="A626" i="1"/>
  <c r="B666" i="1"/>
  <c r="A245" i="2"/>
  <c r="B662" i="1"/>
  <c r="A622" i="1"/>
  <c r="A129" i="2"/>
  <c r="A267" i="1"/>
  <c r="A118" i="2"/>
  <c r="E224" i="1"/>
  <c r="A184" i="1"/>
  <c r="A166" i="1"/>
  <c r="E206" i="1"/>
  <c r="A282" i="1"/>
  <c r="E322" i="1"/>
  <c r="A322" i="1" s="1"/>
  <c r="A195" i="1"/>
  <c r="F235" i="1"/>
  <c r="K491" i="1"/>
  <c r="K531" i="1" s="1"/>
  <c r="K571" i="1" s="1"/>
  <c r="K611" i="1" s="1"/>
  <c r="K651" i="1" s="1"/>
  <c r="K691" i="1" s="1"/>
  <c r="K731" i="1" s="1"/>
  <c r="K771" i="1" s="1"/>
  <c r="K456" i="1"/>
  <c r="A251" i="1"/>
  <c r="F291" i="1"/>
  <c r="A291" i="1" s="1"/>
  <c r="A158" i="2"/>
  <c r="I984" i="1"/>
  <c r="A524" i="2"/>
  <c r="I891" i="1"/>
  <c r="I834" i="1"/>
  <c r="I982" i="1"/>
  <c r="I923" i="1"/>
  <c r="I922" i="1"/>
  <c r="I960" i="1"/>
  <c r="I862" i="1"/>
  <c r="I931" i="1"/>
  <c r="I810" i="1"/>
  <c r="A1023" i="1"/>
  <c r="E1033" i="1"/>
  <c r="I950" i="1"/>
  <c r="I821" i="1"/>
  <c r="I833" i="1"/>
  <c r="I873" i="1"/>
  <c r="I854" i="1"/>
  <c r="I898" i="1"/>
  <c r="A566" i="2"/>
  <c r="A599" i="2"/>
  <c r="A539" i="2"/>
  <c r="B657" i="1"/>
  <c r="A617" i="1"/>
  <c r="A582" i="2"/>
  <c r="A213" i="2"/>
  <c r="A580" i="2"/>
  <c r="I22" i="1"/>
  <c r="I82" i="1"/>
  <c r="I38" i="1"/>
  <c r="A201" i="2"/>
  <c r="A110" i="2"/>
  <c r="A84" i="2"/>
  <c r="I86" i="1" s="1"/>
  <c r="A142" i="2"/>
  <c r="A124" i="2"/>
  <c r="A242" i="1"/>
  <c r="A153" i="2"/>
  <c r="A181" i="1"/>
  <c r="E221" i="1"/>
  <c r="I945" i="1"/>
  <c r="I826" i="1"/>
  <c r="I963" i="1"/>
  <c r="I913" i="1"/>
  <c r="I994" i="1"/>
  <c r="I980" i="1"/>
  <c r="I938" i="1"/>
  <c r="I832" i="1"/>
  <c r="I843" i="1"/>
  <c r="I919" i="1"/>
  <c r="A599" i="1"/>
  <c r="B639" i="1"/>
  <c r="A603" i="1"/>
  <c r="B643" i="1"/>
  <c r="A534" i="2"/>
  <c r="A632" i="2"/>
  <c r="A575" i="2"/>
  <c r="A624" i="1"/>
  <c r="B664" i="1"/>
  <c r="A181" i="2"/>
  <c r="I76" i="1"/>
  <c r="A86" i="2"/>
  <c r="I21" i="1"/>
  <c r="A169" i="2"/>
  <c r="I78" i="1"/>
  <c r="A285" i="2"/>
  <c r="A218" i="1"/>
  <c r="E258" i="1"/>
  <c r="E316" i="1"/>
  <c r="A139" i="2"/>
  <c r="A147" i="2"/>
  <c r="I944" i="1"/>
  <c r="A33" i="5"/>
  <c r="A594" i="2"/>
  <c r="A197" i="2"/>
  <c r="I976" i="1"/>
  <c r="I935" i="1"/>
  <c r="I895" i="1"/>
  <c r="I904" i="1"/>
  <c r="I921" i="1"/>
  <c r="I959" i="1"/>
  <c r="A58" i="5"/>
  <c r="I883" i="1"/>
  <c r="A26" i="5"/>
  <c r="I968" i="1"/>
  <c r="I965" i="1"/>
  <c r="I889" i="1"/>
  <c r="I850" i="1"/>
  <c r="I814" i="1"/>
  <c r="A538" i="2"/>
  <c r="A557" i="2"/>
  <c r="A561" i="2"/>
  <c r="A527" i="2"/>
  <c r="A674" i="1"/>
  <c r="B714" i="1"/>
  <c r="A570" i="2"/>
  <c r="A533" i="2"/>
  <c r="A149" i="2"/>
  <c r="I59" i="1"/>
  <c r="A189" i="2"/>
  <c r="I83" i="1"/>
  <c r="A536" i="2"/>
  <c r="I73" i="1"/>
  <c r="A137" i="2"/>
  <c r="I61" i="1"/>
  <c r="A205" i="2"/>
  <c r="A178" i="1"/>
  <c r="E210" i="1"/>
  <c r="A170" i="1"/>
  <c r="I91" i="1" l="1"/>
  <c r="I88" i="1"/>
  <c r="I109" i="1"/>
  <c r="I110" i="1"/>
  <c r="I100" i="1"/>
  <c r="E237" i="1"/>
  <c r="A197" i="1"/>
  <c r="A195" i="2" s="1"/>
  <c r="I106" i="1"/>
  <c r="E1027" i="1"/>
  <c r="A1017" i="1"/>
  <c r="A34" i="5" s="1"/>
  <c r="I98" i="1"/>
  <c r="I107" i="1"/>
  <c r="A622" i="2"/>
  <c r="B720" i="1"/>
  <c r="A680" i="1"/>
  <c r="I998" i="1"/>
  <c r="A235" i="1"/>
  <c r="F275" i="1"/>
  <c r="A663" i="2"/>
  <c r="A666" i="2"/>
  <c r="A633" i="2"/>
  <c r="I996" i="1"/>
  <c r="A186" i="2"/>
  <c r="B716" i="1"/>
  <c r="A676" i="1"/>
  <c r="E1052" i="1"/>
  <c r="A1042" i="1"/>
  <c r="A669" i="1"/>
  <c r="B709" i="1"/>
  <c r="E292" i="1"/>
  <c r="A292" i="1" s="1"/>
  <c r="A252" i="1"/>
  <c r="A576" i="2"/>
  <c r="A652" i="1"/>
  <c r="B692" i="1"/>
  <c r="A36" i="5"/>
  <c r="B762" i="1"/>
  <c r="A722" i="1"/>
  <c r="A320" i="2"/>
  <c r="A231" i="2"/>
  <c r="A628" i="2"/>
  <c r="I94" i="1"/>
  <c r="I87" i="1"/>
  <c r="A41" i="5"/>
  <c r="A217" i="1"/>
  <c r="E257" i="1"/>
  <c r="E265" i="1"/>
  <c r="A225" i="1"/>
  <c r="I116" i="1"/>
  <c r="B659" i="1"/>
  <c r="A619" i="1"/>
  <c r="A627" i="2"/>
  <c r="A193" i="2"/>
  <c r="E1044" i="1"/>
  <c r="A1034" i="1"/>
  <c r="A634" i="2"/>
  <c r="E1039" i="1"/>
  <c r="A1029" i="1"/>
  <c r="A714" i="1"/>
  <c r="B754" i="1"/>
  <c r="A176" i="2"/>
  <c r="A672" i="2"/>
  <c r="I111" i="1"/>
  <c r="A280" i="2"/>
  <c r="A639" i="2"/>
  <c r="B710" i="1"/>
  <c r="A670" i="1"/>
  <c r="I113" i="1"/>
  <c r="A281" i="1"/>
  <c r="E321" i="1"/>
  <c r="A321" i="1" s="1"/>
  <c r="A175" i="2"/>
  <c r="A183" i="2"/>
  <c r="I102" i="1"/>
  <c r="A577" i="2"/>
  <c r="A123" i="2"/>
  <c r="A210" i="2"/>
  <c r="A258" i="1"/>
  <c r="E298" i="1"/>
  <c r="A298" i="1" s="1"/>
  <c r="A206" i="1"/>
  <c r="E246" i="1"/>
  <c r="B721" i="1"/>
  <c r="A681" i="1"/>
  <c r="K498" i="1"/>
  <c r="K538" i="1" s="1"/>
  <c r="K578" i="1" s="1"/>
  <c r="K618" i="1" s="1"/>
  <c r="K658" i="1" s="1"/>
  <c r="K698" i="1" s="1"/>
  <c r="K738" i="1" s="1"/>
  <c r="K778" i="1" s="1"/>
  <c r="K463" i="1"/>
  <c r="K503" i="1" s="1"/>
  <c r="K543" i="1" s="1"/>
  <c r="K583" i="1" s="1"/>
  <c r="K623" i="1" s="1"/>
  <c r="K663" i="1" s="1"/>
  <c r="K703" i="1" s="1"/>
  <c r="K743" i="1" s="1"/>
  <c r="K783" i="1" s="1"/>
  <c r="I108" i="1"/>
  <c r="A213" i="1"/>
  <c r="E253" i="1"/>
  <c r="F276" i="1"/>
  <c r="A236" i="1"/>
  <c r="A239" i="2"/>
  <c r="I93" i="1"/>
  <c r="I119" i="1"/>
  <c r="B647" i="1"/>
  <c r="A607" i="1"/>
  <c r="E1055" i="1"/>
  <c r="I122" i="1"/>
  <c r="B684" i="1"/>
  <c r="A644" i="1"/>
  <c r="B690" i="1"/>
  <c r="A650" i="1"/>
  <c r="A164" i="2"/>
  <c r="A648" i="1"/>
  <c r="B688" i="1"/>
  <c r="A78" i="5"/>
  <c r="A171" i="2"/>
  <c r="A194" i="2"/>
  <c r="I1004" i="1"/>
  <c r="A35" i="5"/>
  <c r="E238" i="1"/>
  <c r="A198" i="1"/>
  <c r="A565" i="2"/>
  <c r="A240" i="1"/>
  <c r="E280" i="1"/>
  <c r="A208" i="1"/>
  <c r="E248" i="1"/>
  <c r="A602" i="2"/>
  <c r="A608" i="2"/>
  <c r="A216" i="2"/>
  <c r="B683" i="1"/>
  <c r="A643" i="1"/>
  <c r="I112" i="1"/>
  <c r="A182" i="2"/>
  <c r="A606" i="2"/>
  <c r="A676" i="2"/>
  <c r="E1081" i="1"/>
  <c r="A1071" i="1"/>
  <c r="E1038" i="1"/>
  <c r="A1028" i="1"/>
  <c r="A156" i="2"/>
  <c r="B651" i="1"/>
  <c r="A611" i="1"/>
  <c r="A656" i="1"/>
  <c r="B696" i="1"/>
  <c r="A198" i="2"/>
  <c r="A1020" i="1"/>
  <c r="E1030" i="1"/>
  <c r="I1000" i="1"/>
  <c r="A166" i="2"/>
  <c r="I97" i="1"/>
  <c r="B715" i="1"/>
  <c r="A675" i="1"/>
  <c r="A601" i="2"/>
  <c r="A224" i="1"/>
  <c r="E264" i="1"/>
  <c r="I89" i="1"/>
  <c r="K495" i="1"/>
  <c r="K535" i="1" s="1"/>
  <c r="K575" i="1" s="1"/>
  <c r="K615" i="1" s="1"/>
  <c r="K655" i="1" s="1"/>
  <c r="K695" i="1" s="1"/>
  <c r="K735" i="1" s="1"/>
  <c r="K775" i="1" s="1"/>
  <c r="K460" i="1"/>
  <c r="K500" i="1" s="1"/>
  <c r="K540" i="1" s="1"/>
  <c r="K580" i="1" s="1"/>
  <c r="K620" i="1" s="1"/>
  <c r="K660" i="1" s="1"/>
  <c r="K700" i="1" s="1"/>
  <c r="K740" i="1" s="1"/>
  <c r="K780" i="1" s="1"/>
  <c r="B758" i="1"/>
  <c r="A718" i="1"/>
  <c r="A585" i="2"/>
  <c r="A257" i="2"/>
  <c r="A604" i="2"/>
  <c r="A232" i="1"/>
  <c r="E272" i="1"/>
  <c r="I115" i="1"/>
  <c r="A569" i="2"/>
  <c r="A572" i="2"/>
  <c r="A614" i="2"/>
  <c r="E274" i="1"/>
  <c r="A234" i="1"/>
  <c r="B685" i="1"/>
  <c r="A645" i="1"/>
  <c r="A27" i="5"/>
  <c r="A178" i="2"/>
  <c r="A228" i="1"/>
  <c r="E268" i="1"/>
  <c r="I120" i="1"/>
  <c r="A620" i="2"/>
  <c r="B663" i="1"/>
  <c r="A623" i="1"/>
  <c r="K497" i="1"/>
  <c r="K537" i="1" s="1"/>
  <c r="K577" i="1" s="1"/>
  <c r="K617" i="1" s="1"/>
  <c r="K657" i="1" s="1"/>
  <c r="K697" i="1" s="1"/>
  <c r="K737" i="1" s="1"/>
  <c r="K777" i="1" s="1"/>
  <c r="K462" i="1"/>
  <c r="K502" i="1" s="1"/>
  <c r="K542" i="1" s="1"/>
  <c r="K582" i="1" s="1"/>
  <c r="K622" i="1" s="1"/>
  <c r="K662" i="1" s="1"/>
  <c r="K702" i="1" s="1"/>
  <c r="K742" i="1" s="1"/>
  <c r="K782" i="1" s="1"/>
  <c r="A225" i="2"/>
  <c r="B667" i="1"/>
  <c r="A627" i="1"/>
  <c r="B686" i="1"/>
  <c r="A646" i="1"/>
  <c r="A190" i="2"/>
  <c r="A614" i="1"/>
  <c r="B654" i="1"/>
  <c r="I99" i="1"/>
  <c r="A192" i="2"/>
  <c r="A603" i="2"/>
  <c r="A209" i="1"/>
  <c r="E249" i="1"/>
  <c r="A271" i="2"/>
  <c r="E658" i="1"/>
  <c r="A618" i="1"/>
  <c r="I90" i="1"/>
  <c r="A597" i="2"/>
  <c r="A179" i="2"/>
  <c r="A662" i="1"/>
  <c r="B702" i="1"/>
  <c r="I1002" i="1"/>
  <c r="A581" i="2"/>
  <c r="I92" i="1"/>
  <c r="A589" i="2"/>
  <c r="A22" i="5"/>
  <c r="I1003" i="1"/>
  <c r="I104" i="1"/>
  <c r="A715" i="2"/>
  <c r="A226" i="1"/>
  <c r="E266" i="1"/>
  <c r="I117" i="1"/>
  <c r="A607" i="2"/>
  <c r="E269" i="1"/>
  <c r="A229" i="1"/>
  <c r="I101" i="1"/>
  <c r="A167" i="2"/>
  <c r="A619" i="2"/>
  <c r="B745" i="1"/>
  <c r="A705" i="1"/>
  <c r="A610" i="2"/>
  <c r="A210" i="1"/>
  <c r="E250" i="1"/>
  <c r="B679" i="1"/>
  <c r="A639" i="1"/>
  <c r="A221" i="1"/>
  <c r="E261" i="1"/>
  <c r="A30" i="5"/>
  <c r="A230" i="1"/>
  <c r="E270" i="1"/>
  <c r="B671" i="1"/>
  <c r="A631" i="1"/>
  <c r="F1025" i="1"/>
  <c r="A1015" i="1"/>
  <c r="A631" i="2"/>
  <c r="A757" i="1"/>
  <c r="B797" i="1"/>
  <c r="A797" i="1" s="1"/>
  <c r="A184" i="2"/>
  <c r="B653" i="1"/>
  <c r="A613" i="1"/>
  <c r="B689" i="1"/>
  <c r="A649" i="1"/>
  <c r="I103" i="1"/>
  <c r="I96" i="1"/>
  <c r="A187" i="2"/>
  <c r="A170" i="2"/>
  <c r="B701" i="1"/>
  <c r="A661" i="1"/>
  <c r="B748" i="1"/>
  <c r="A708" i="1"/>
  <c r="I997" i="1"/>
  <c r="E1043" i="1"/>
  <c r="A1033" i="1"/>
  <c r="I118" i="1"/>
  <c r="A122" i="2"/>
  <c r="A188" i="2"/>
  <c r="B713" i="1"/>
  <c r="A673" i="1"/>
  <c r="A571" i="2"/>
  <c r="A598" i="2"/>
  <c r="E1046" i="1"/>
  <c r="A1036" i="1"/>
  <c r="I105" i="1"/>
  <c r="K459" i="1"/>
  <c r="K499" i="1" s="1"/>
  <c r="K539" i="1" s="1"/>
  <c r="K579" i="1" s="1"/>
  <c r="K619" i="1" s="1"/>
  <c r="K659" i="1" s="1"/>
  <c r="K699" i="1" s="1"/>
  <c r="K739" i="1" s="1"/>
  <c r="K779" i="1" s="1"/>
  <c r="K494" i="1"/>
  <c r="K534" i="1" s="1"/>
  <c r="K574" i="1" s="1"/>
  <c r="K614" i="1" s="1"/>
  <c r="K654" i="1" s="1"/>
  <c r="K694" i="1" s="1"/>
  <c r="K734" i="1" s="1"/>
  <c r="K774" i="1" s="1"/>
  <c r="I114" i="1"/>
  <c r="I123" i="1"/>
  <c r="A40" i="5"/>
  <c r="A289" i="2"/>
  <c r="A164" i="1"/>
  <c r="E204" i="1"/>
  <c r="I1001" i="1"/>
  <c r="B738" i="1"/>
  <c r="A660" i="1"/>
  <c r="B700" i="1"/>
  <c r="A630" i="2"/>
  <c r="E256" i="1"/>
  <c r="A216" i="1"/>
  <c r="A43" i="5"/>
  <c r="A222" i="1"/>
  <c r="E262" i="1"/>
  <c r="I121" i="1"/>
  <c r="B655" i="1"/>
  <c r="A615" i="1"/>
  <c r="A49" i="5"/>
  <c r="A615" i="2"/>
  <c r="A249" i="2"/>
  <c r="A666" i="1"/>
  <c r="B706" i="1"/>
  <c r="A174" i="1"/>
  <c r="E214" i="1"/>
  <c r="A618" i="2"/>
  <c r="I95" i="1"/>
  <c r="B712" i="1"/>
  <c r="A672" i="1"/>
  <c r="A564" i="2"/>
  <c r="A174" i="2"/>
  <c r="A180" i="2"/>
  <c r="A573" i="2"/>
  <c r="A168" i="2"/>
  <c r="A240" i="2"/>
  <c r="A664" i="1"/>
  <c r="B704" i="1"/>
  <c r="B697" i="1"/>
  <c r="A657" i="1"/>
  <c r="K496" i="1"/>
  <c r="K536" i="1" s="1"/>
  <c r="K576" i="1" s="1"/>
  <c r="K616" i="1" s="1"/>
  <c r="K656" i="1" s="1"/>
  <c r="K696" i="1" s="1"/>
  <c r="K736" i="1" s="1"/>
  <c r="K776" i="1" s="1"/>
  <c r="K461" i="1"/>
  <c r="K501" i="1" s="1"/>
  <c r="K541" i="1" s="1"/>
  <c r="K581" i="1" s="1"/>
  <c r="K621" i="1" s="1"/>
  <c r="K661" i="1" s="1"/>
  <c r="K701" i="1" s="1"/>
  <c r="K741" i="1" s="1"/>
  <c r="K781" i="1" s="1"/>
  <c r="A265" i="2"/>
  <c r="A624" i="2"/>
  <c r="A311" i="2"/>
  <c r="A132" i="2"/>
  <c r="I148" i="1" s="1"/>
  <c r="E260" i="1"/>
  <c r="A220" i="1"/>
  <c r="A680" i="2"/>
  <c r="F205" i="1"/>
  <c r="A165" i="1"/>
  <c r="A638" i="2"/>
  <c r="I140" i="1" l="1"/>
  <c r="I153" i="1"/>
  <c r="I128" i="1"/>
  <c r="I146" i="1"/>
  <c r="I156" i="1"/>
  <c r="I155" i="1"/>
  <c r="E1037" i="1"/>
  <c r="A1027" i="1"/>
  <c r="A44" i="5" s="1"/>
  <c r="I158" i="1"/>
  <c r="I143" i="1"/>
  <c r="I147" i="1"/>
  <c r="I126" i="1"/>
  <c r="E277" i="1"/>
  <c r="A237" i="1"/>
  <c r="A235" i="2" s="1"/>
  <c r="I129" i="1"/>
  <c r="I133" i="1"/>
  <c r="I162" i="1"/>
  <c r="I127" i="1"/>
  <c r="A214" i="1"/>
  <c r="E254" i="1"/>
  <c r="A226" i="2"/>
  <c r="A716" i="2"/>
  <c r="A205" i="1"/>
  <c r="F245" i="1"/>
  <c r="A172" i="2"/>
  <c r="A650" i="2"/>
  <c r="B798" i="1"/>
  <c r="A798" i="1" s="1"/>
  <c r="A758" i="1"/>
  <c r="I1006" i="1"/>
  <c r="B740" i="1"/>
  <c r="A700" i="1"/>
  <c r="A706" i="2"/>
  <c r="B729" i="1"/>
  <c r="A689" i="1"/>
  <c r="I136" i="1"/>
  <c r="I1009" i="1"/>
  <c r="A625" i="2"/>
  <c r="A648" i="2"/>
  <c r="A204" i="2"/>
  <c r="A162" i="2"/>
  <c r="I169" i="1" s="1"/>
  <c r="I164" i="1"/>
  <c r="A721" i="1"/>
  <c r="B761" i="1"/>
  <c r="I176" i="1"/>
  <c r="B746" i="1"/>
  <c r="A706" i="1"/>
  <c r="E302" i="1"/>
  <c r="A302" i="1" s="1"/>
  <c r="A262" i="1"/>
  <c r="A658" i="2"/>
  <c r="B788" i="1"/>
  <c r="A788" i="1" s="1"/>
  <c r="A748" i="1"/>
  <c r="A32" i="5"/>
  <c r="E306" i="1"/>
  <c r="A306" i="1" s="1"/>
  <c r="A266" i="1"/>
  <c r="A616" i="2"/>
  <c r="B694" i="1"/>
  <c r="A654" i="1"/>
  <c r="A667" i="1"/>
  <c r="B707" i="1"/>
  <c r="A45" i="5"/>
  <c r="B730" i="1"/>
  <c r="A690" i="1"/>
  <c r="A296" i="2"/>
  <c r="A51" i="5"/>
  <c r="A223" i="2"/>
  <c r="A250" i="2"/>
  <c r="B691" i="1"/>
  <c r="A651" i="1"/>
  <c r="A679" i="2"/>
  <c r="B785" i="1"/>
  <c r="A785" i="1" s="1"/>
  <c r="A745" i="1"/>
  <c r="A664" i="2"/>
  <c r="F1035" i="1"/>
  <c r="A1025" i="1"/>
  <c r="A224" i="2"/>
  <c r="E698" i="1"/>
  <c r="A658" i="1"/>
  <c r="A612" i="2"/>
  <c r="A1038" i="1"/>
  <c r="E1048" i="1"/>
  <c r="A642" i="2"/>
  <c r="A234" i="2"/>
  <c r="A256" i="2"/>
  <c r="E1054" i="1"/>
  <c r="A1044" i="1"/>
  <c r="A265" i="1"/>
  <c r="E305" i="1"/>
  <c r="A305" i="1" s="1"/>
  <c r="A290" i="2"/>
  <c r="A671" i="2"/>
  <c r="A713" i="1"/>
  <c r="B753" i="1"/>
  <c r="A703" i="2"/>
  <c r="B756" i="1"/>
  <c r="A716" i="1"/>
  <c r="A647" i="2"/>
  <c r="I150" i="1"/>
  <c r="I1010" i="1"/>
  <c r="E1040" i="1"/>
  <c r="A1030" i="1"/>
  <c r="A684" i="1"/>
  <c r="B724" i="1"/>
  <c r="F316" i="1"/>
  <c r="A316" i="1" s="1"/>
  <c r="A276" i="1"/>
  <c r="I195" i="1"/>
  <c r="E297" i="1"/>
  <c r="A297" i="1" s="1"/>
  <c r="A257" i="1"/>
  <c r="F315" i="1"/>
  <c r="A315" i="1" s="1"/>
  <c r="A275" i="1"/>
  <c r="B695" i="1"/>
  <c r="A655" i="1"/>
  <c r="A88" i="5"/>
  <c r="A692" i="1"/>
  <c r="B732" i="1"/>
  <c r="B687" i="1"/>
  <c r="A647" i="1"/>
  <c r="A1039" i="1"/>
  <c r="E1049" i="1"/>
  <c r="A655" i="2"/>
  <c r="I1014" i="1"/>
  <c r="A659" i="2"/>
  <c r="I1017" i="1"/>
  <c r="B711" i="1"/>
  <c r="A671" i="1"/>
  <c r="A264" i="1"/>
  <c r="E304" i="1"/>
  <c r="A304" i="1" s="1"/>
  <c r="A37" i="5"/>
  <c r="A215" i="2"/>
  <c r="B749" i="1"/>
  <c r="A709" i="1"/>
  <c r="A233" i="2"/>
  <c r="A163" i="2"/>
  <c r="I174" i="1" s="1"/>
  <c r="I165" i="1"/>
  <c r="A609" i="2"/>
  <c r="E1091" i="1"/>
  <c r="A1081" i="1"/>
  <c r="A668" i="2"/>
  <c r="A1046" i="1"/>
  <c r="E1056" i="1"/>
  <c r="A629" i="2"/>
  <c r="B737" i="1"/>
  <c r="A697" i="1"/>
  <c r="A643" i="2"/>
  <c r="A272" i="1"/>
  <c r="E312" i="1"/>
  <c r="A312" i="1" s="1"/>
  <c r="A222" i="2"/>
  <c r="A196" i="2"/>
  <c r="A253" i="1"/>
  <c r="E293" i="1"/>
  <c r="A293" i="1" s="1"/>
  <c r="I125" i="1"/>
  <c r="A667" i="2"/>
  <c r="A715" i="1"/>
  <c r="B755" i="1"/>
  <c r="A605" i="2"/>
  <c r="A674" i="2"/>
  <c r="B778" i="1"/>
  <c r="B741" i="1"/>
  <c r="A701" i="1"/>
  <c r="A260" i="1"/>
  <c r="E300" i="1"/>
  <c r="A300" i="1" s="1"/>
  <c r="I159" i="1"/>
  <c r="I124" i="1"/>
  <c r="A611" i="2"/>
  <c r="A270" i="1"/>
  <c r="E310" i="1"/>
  <c r="A310" i="1" s="1"/>
  <c r="E301" i="1"/>
  <c r="A301" i="1" s="1"/>
  <c r="A261" i="1"/>
  <c r="A660" i="2"/>
  <c r="A621" i="2"/>
  <c r="B725" i="1"/>
  <c r="A685" i="1"/>
  <c r="A230" i="2"/>
  <c r="I179" i="1"/>
  <c r="E288" i="1"/>
  <c r="A288" i="1" s="1"/>
  <c r="A248" i="1"/>
  <c r="A238" i="1"/>
  <c r="E278" i="1"/>
  <c r="E1065" i="1"/>
  <c r="A211" i="2"/>
  <c r="A678" i="2"/>
  <c r="A46" i="5"/>
  <c r="A53" i="5"/>
  <c r="A218" i="2"/>
  <c r="B742" i="1"/>
  <c r="A702" i="1"/>
  <c r="I134" i="1"/>
  <c r="B744" i="1"/>
  <c r="A704" i="1"/>
  <c r="A670" i="2"/>
  <c r="I193" i="1"/>
  <c r="I138" i="1"/>
  <c r="I149" i="1"/>
  <c r="I139" i="1"/>
  <c r="I151" i="1"/>
  <c r="I161" i="1"/>
  <c r="I154" i="1"/>
  <c r="I191" i="1"/>
  <c r="I137" i="1"/>
  <c r="I132" i="1"/>
  <c r="I141" i="1"/>
  <c r="I135" i="1"/>
  <c r="I142" i="1"/>
  <c r="I144" i="1"/>
  <c r="I199" i="1"/>
  <c r="I172" i="1"/>
  <c r="B693" i="1"/>
  <c r="A653" i="1"/>
  <c r="A228" i="2"/>
  <c r="A219" i="2"/>
  <c r="I160" i="1"/>
  <c r="B703" i="1"/>
  <c r="A663" i="1"/>
  <c r="A232" i="2"/>
  <c r="B736" i="1"/>
  <c r="A696" i="1"/>
  <c r="A641" i="2"/>
  <c r="A206" i="2"/>
  <c r="I1008" i="1"/>
  <c r="I157" i="1"/>
  <c r="A617" i="2"/>
  <c r="A59" i="5"/>
  <c r="I1007" i="1"/>
  <c r="B760" i="1"/>
  <c r="A720" i="1"/>
  <c r="B750" i="1"/>
  <c r="A710" i="1"/>
  <c r="A220" i="2"/>
  <c r="A662" i="2"/>
  <c r="I182" i="1"/>
  <c r="A712" i="1"/>
  <c r="B752" i="1"/>
  <c r="I186" i="1"/>
  <c r="A637" i="2"/>
  <c r="A227" i="2"/>
  <c r="A249" i="1"/>
  <c r="E289" i="1"/>
  <c r="A289" i="1" s="1"/>
  <c r="I192" i="1"/>
  <c r="I163" i="1"/>
  <c r="A274" i="1"/>
  <c r="E314" i="1"/>
  <c r="A314" i="1" s="1"/>
  <c r="A654" i="2"/>
  <c r="B723" i="1"/>
  <c r="A683" i="1"/>
  <c r="B728" i="1"/>
  <c r="A688" i="1"/>
  <c r="A319" i="2"/>
  <c r="I131" i="1"/>
  <c r="B699" i="1"/>
  <c r="A659" i="1"/>
  <c r="E1062" i="1"/>
  <c r="A1052" i="1"/>
  <c r="I171" i="1"/>
  <c r="A214" i="2"/>
  <c r="I189" i="1"/>
  <c r="A679" i="1"/>
  <c r="B719" i="1"/>
  <c r="A269" i="1"/>
  <c r="E309" i="1"/>
  <c r="A309" i="1" s="1"/>
  <c r="I181" i="1"/>
  <c r="A207" i="2"/>
  <c r="A646" i="2"/>
  <c r="A279" i="2"/>
  <c r="I178" i="1"/>
  <c r="I130" i="1"/>
  <c r="A720" i="2"/>
  <c r="A1043" i="1"/>
  <c r="E1053" i="1"/>
  <c r="A268" i="1"/>
  <c r="E308" i="1"/>
  <c r="A308" i="1" s="1"/>
  <c r="A238" i="2"/>
  <c r="A712" i="2"/>
  <c r="I1012" i="1"/>
  <c r="A246" i="1"/>
  <c r="E286" i="1"/>
  <c r="A286" i="1" s="1"/>
  <c r="I145" i="1"/>
  <c r="A256" i="1"/>
  <c r="E296" i="1"/>
  <c r="A296" i="1" s="1"/>
  <c r="I152" i="1"/>
  <c r="A795" i="2"/>
  <c r="I1013" i="1"/>
  <c r="A250" i="1"/>
  <c r="E290" i="1"/>
  <c r="A290" i="1" s="1"/>
  <c r="A644" i="2"/>
  <c r="B802" i="1"/>
  <c r="A802" i="1" s="1"/>
  <c r="A762" i="1"/>
  <c r="A613" i="2"/>
  <c r="I197" i="1"/>
  <c r="A204" i="1"/>
  <c r="E244" i="1"/>
  <c r="A50" i="5"/>
  <c r="A755" i="2"/>
  <c r="A208" i="2"/>
  <c r="I1005" i="1"/>
  <c r="A686" i="1"/>
  <c r="B726" i="1"/>
  <c r="A673" i="2"/>
  <c r="E320" i="1"/>
  <c r="A320" i="1" s="1"/>
  <c r="A280" i="1"/>
  <c r="I166" i="1"/>
  <c r="B794" i="1"/>
  <c r="A794" i="1" s="1"/>
  <c r="A754" i="1"/>
  <c r="I1011" i="1"/>
  <c r="I1019" i="1"/>
  <c r="I188" i="1" l="1"/>
  <c r="I183" i="1"/>
  <c r="A277" i="1"/>
  <c r="A275" i="2" s="1"/>
  <c r="E317" i="1"/>
  <c r="A317" i="1" s="1"/>
  <c r="A315" i="2" s="1"/>
  <c r="I168" i="1"/>
  <c r="A1037" i="1"/>
  <c r="A54" i="5" s="1"/>
  <c r="E1047" i="1"/>
  <c r="I1015" i="1"/>
  <c r="A761" i="1"/>
  <c r="B801" i="1"/>
  <c r="A801" i="1" s="1"/>
  <c r="E1059" i="1"/>
  <c r="A1049" i="1"/>
  <c r="A645" i="2"/>
  <c r="A719" i="2"/>
  <c r="B790" i="1"/>
  <c r="A790" i="1" s="1"/>
  <c r="A750" i="1"/>
  <c r="I1018" i="1"/>
  <c r="A251" i="2"/>
  <c r="A1091" i="1"/>
  <c r="E1101" i="1"/>
  <c r="B727" i="1"/>
  <c r="A687" i="1"/>
  <c r="A42" i="5"/>
  <c r="I1025" i="1"/>
  <c r="B743" i="1"/>
  <c r="A703" i="1"/>
  <c r="A683" i="2"/>
  <c r="B763" i="1"/>
  <c r="A723" i="1"/>
  <c r="A708" i="2"/>
  <c r="B765" i="1"/>
  <c r="A765" i="1" s="1"/>
  <c r="A725" i="1"/>
  <c r="A291" i="2"/>
  <c r="A98" i="5"/>
  <c r="A684" i="2"/>
  <c r="A69" i="5"/>
  <c r="A718" i="2"/>
  <c r="A732" i="1"/>
  <c r="B772" i="1"/>
  <c r="A772" i="1" s="1"/>
  <c r="I177" i="1"/>
  <c r="I173" i="1"/>
  <c r="F1045" i="1"/>
  <c r="A1035" i="1"/>
  <c r="A746" i="2"/>
  <c r="I203" i="1"/>
  <c r="I180" i="1"/>
  <c r="I187" i="1"/>
  <c r="I196" i="1"/>
  <c r="I194" i="1"/>
  <c r="F285" i="1"/>
  <c r="A285" i="1" s="1"/>
  <c r="A245" i="1"/>
  <c r="B769" i="1"/>
  <c r="A769" i="1" s="1"/>
  <c r="A729" i="1"/>
  <c r="A792" i="2"/>
  <c r="A56" i="5"/>
  <c r="B766" i="1"/>
  <c r="A766" i="1" s="1"/>
  <c r="A726" i="1"/>
  <c r="A248" i="2"/>
  <c r="I1022" i="1"/>
  <c r="A306" i="2"/>
  <c r="E1072" i="1"/>
  <c r="A1062" i="1"/>
  <c r="B800" i="1"/>
  <c r="A800" i="1" s="1"/>
  <c r="A760" i="1"/>
  <c r="I201" i="1"/>
  <c r="I202" i="1"/>
  <c r="I198" i="1"/>
  <c r="A690" i="2"/>
  <c r="A786" i="2"/>
  <c r="I175" i="1"/>
  <c r="I1023" i="1"/>
  <c r="A203" i="2"/>
  <c r="A698" i="2"/>
  <c r="A258" i="2"/>
  <c r="B795" i="1"/>
  <c r="A795" i="1" s="1"/>
  <c r="A755" i="1"/>
  <c r="A737" i="1"/>
  <c r="B777" i="1"/>
  <c r="A777" i="1" s="1"/>
  <c r="I1020" i="1"/>
  <c r="A314" i="2"/>
  <c r="I190" i="1"/>
  <c r="A263" i="2"/>
  <c r="E1058" i="1"/>
  <c r="A1048" i="1"/>
  <c r="A665" i="2"/>
  <c r="B780" i="1"/>
  <c r="A780" i="1" s="1"/>
  <c r="A740" i="1"/>
  <c r="A288" i="2"/>
  <c r="A266" i="2"/>
  <c r="E1075" i="1"/>
  <c r="A303" i="2"/>
  <c r="A657" i="2"/>
  <c r="A294" i="2"/>
  <c r="I1027" i="1"/>
  <c r="A267" i="2"/>
  <c r="B739" i="1"/>
  <c r="A699" i="1"/>
  <c r="A272" i="2"/>
  <c r="A713" i="2"/>
  <c r="A653" i="2"/>
  <c r="B764" i="1"/>
  <c r="A764" i="1" s="1"/>
  <c r="A724" i="1"/>
  <c r="A61" i="5"/>
  <c r="A55" i="5"/>
  <c r="A652" i="2"/>
  <c r="A681" i="2"/>
  <c r="A278" i="2"/>
  <c r="A254" i="2"/>
  <c r="B759" i="1"/>
  <c r="A719" i="1"/>
  <c r="B792" i="1"/>
  <c r="A792" i="1" s="1"/>
  <c r="A752" i="1"/>
  <c r="A694" i="2"/>
  <c r="A651" i="2"/>
  <c r="A278" i="1"/>
  <c r="E318" i="1"/>
  <c r="A318" i="1" s="1"/>
  <c r="A259" i="2"/>
  <c r="A699" i="2"/>
  <c r="I167" i="1"/>
  <c r="A302" i="2"/>
  <c r="B735" i="1"/>
  <c r="A695" i="1"/>
  <c r="A682" i="2"/>
  <c r="E1064" i="1"/>
  <c r="A1054" i="1"/>
  <c r="A743" i="2"/>
  <c r="I185" i="1"/>
  <c r="B734" i="1"/>
  <c r="A694" i="1"/>
  <c r="A298" i="2"/>
  <c r="A695" i="2"/>
  <c r="A274" i="2"/>
  <c r="B747" i="1"/>
  <c r="A707" i="1"/>
  <c r="A307" i="2"/>
  <c r="A312" i="2"/>
  <c r="A318" i="2"/>
  <c r="I1016" i="1"/>
  <c r="E1063" i="1"/>
  <c r="A1053" i="1"/>
  <c r="A677" i="2"/>
  <c r="A710" i="2"/>
  <c r="A736" i="1"/>
  <c r="B776" i="1"/>
  <c r="A776" i="1" s="1"/>
  <c r="B733" i="1"/>
  <c r="A693" i="1"/>
  <c r="A236" i="2"/>
  <c r="A299" i="2"/>
  <c r="B781" i="1"/>
  <c r="A781" i="1" s="1"/>
  <c r="A741" i="1"/>
  <c r="I200" i="1"/>
  <c r="A1056" i="1"/>
  <c r="E1066" i="1"/>
  <c r="A262" i="2"/>
  <c r="A273" i="2"/>
  <c r="A714" i="2"/>
  <c r="A783" i="2"/>
  <c r="A260" i="2"/>
  <c r="I1021" i="1"/>
  <c r="A254" i="1"/>
  <c r="E294" i="1"/>
  <c r="A294" i="1" s="1"/>
  <c r="A60" i="5"/>
  <c r="A287" i="2"/>
  <c r="A702" i="2"/>
  <c r="I1029" i="1"/>
  <c r="A246" i="2"/>
  <c r="A308" i="2"/>
  <c r="A63" i="5"/>
  <c r="A707" i="2"/>
  <c r="A313" i="2"/>
  <c r="B796" i="1"/>
  <c r="A796" i="1" s="1"/>
  <c r="A756" i="1"/>
  <c r="A300" i="2"/>
  <c r="I170" i="1"/>
  <c r="A212" i="2"/>
  <c r="I227" i="1" s="1"/>
  <c r="A752" i="2"/>
  <c r="B782" i="1"/>
  <c r="A782" i="1" s="1"/>
  <c r="A742" i="1"/>
  <c r="A247" i="2"/>
  <c r="B784" i="1"/>
  <c r="A784" i="1" s="1"/>
  <c r="A744" i="1"/>
  <c r="A286" i="2"/>
  <c r="A268" i="2"/>
  <c r="B789" i="1"/>
  <c r="A789" i="1" s="1"/>
  <c r="A749" i="1"/>
  <c r="I184" i="1"/>
  <c r="A704" i="2"/>
  <c r="A202" i="2"/>
  <c r="I1024" i="1"/>
  <c r="A310" i="2"/>
  <c r="A656" i="2"/>
  <c r="A649" i="2"/>
  <c r="A688" i="2"/>
  <c r="A264" i="2"/>
  <c r="B786" i="1"/>
  <c r="A786" i="1" s="1"/>
  <c r="A746" i="1"/>
  <c r="A760" i="2"/>
  <c r="A284" i="2"/>
  <c r="A686" i="2"/>
  <c r="I1026" i="1"/>
  <c r="A270" i="2"/>
  <c r="A669" i="2"/>
  <c r="A255" i="2"/>
  <c r="A47" i="5"/>
  <c r="B793" i="1"/>
  <c r="A793" i="1" s="1"/>
  <c r="A753" i="1"/>
  <c r="E738" i="1"/>
  <c r="A698" i="1"/>
  <c r="A691" i="1"/>
  <c r="B731" i="1"/>
  <c r="B770" i="1"/>
  <c r="A770" i="1" s="1"/>
  <c r="A730" i="1"/>
  <c r="A304" i="2"/>
  <c r="A756" i="2"/>
  <c r="A244" i="1"/>
  <c r="E284" i="1"/>
  <c r="A284" i="1" s="1"/>
  <c r="A800" i="2"/>
  <c r="A244" i="2"/>
  <c r="A728" i="1"/>
  <c r="B768" i="1"/>
  <c r="A768" i="1" s="1"/>
  <c r="A661" i="2"/>
  <c r="A700" i="2"/>
  <c r="B751" i="1"/>
  <c r="A711" i="1"/>
  <c r="A295" i="2"/>
  <c r="A1040" i="1"/>
  <c r="E1050" i="1"/>
  <c r="A711" i="2"/>
  <c r="A687" i="2"/>
  <c r="A796" i="2"/>
  <c r="I223" i="1" l="1"/>
  <c r="I239" i="1"/>
  <c r="E1057" i="1"/>
  <c r="A1047" i="1"/>
  <c r="A64" i="5" s="1"/>
  <c r="I1031" i="1"/>
  <c r="A759" i="1"/>
  <c r="B799" i="1"/>
  <c r="A799" i="1" s="1"/>
  <c r="A762" i="2"/>
  <c r="A775" i="2"/>
  <c r="A727" i="2"/>
  <c r="A763" i="2"/>
  <c r="A282" i="2"/>
  <c r="A751" i="2"/>
  <c r="I204" i="1"/>
  <c r="A787" i="2"/>
  <c r="I224" i="1"/>
  <c r="I219" i="1"/>
  <c r="A735" i="2"/>
  <c r="A767" i="2"/>
  <c r="A243" i="2"/>
  <c r="A685" i="2"/>
  <c r="A66" i="5"/>
  <c r="I1030" i="1"/>
  <c r="A70" i="5"/>
  <c r="B787" i="1"/>
  <c r="A787" i="1" s="1"/>
  <c r="A747" i="1"/>
  <c r="A316" i="2"/>
  <c r="A697" i="2"/>
  <c r="A753" i="2"/>
  <c r="A283" i="2"/>
  <c r="A721" i="2"/>
  <c r="B767" i="1"/>
  <c r="A767" i="1" s="1"/>
  <c r="A727" i="1"/>
  <c r="A748" i="2"/>
  <c r="A1059" i="1"/>
  <c r="E1069" i="1"/>
  <c r="I228" i="1"/>
  <c r="A71" i="5"/>
  <c r="A276" i="2"/>
  <c r="I231" i="1"/>
  <c r="A763" i="1"/>
  <c r="B803" i="1"/>
  <c r="A803" i="1" s="1"/>
  <c r="A788" i="2"/>
  <c r="A791" i="2"/>
  <c r="E1073" i="1"/>
  <c r="A1063" i="1"/>
  <c r="I235" i="1"/>
  <c r="B779" i="1"/>
  <c r="A779" i="1" s="1"/>
  <c r="A739" i="1"/>
  <c r="A793" i="2"/>
  <c r="B791" i="1"/>
  <c r="A791" i="1" s="1"/>
  <c r="A751" i="1"/>
  <c r="I222" i="1"/>
  <c r="E1074" i="1"/>
  <c r="A1064" i="1"/>
  <c r="A799" i="2"/>
  <c r="I229" i="1"/>
  <c r="I206" i="1"/>
  <c r="A754" i="2"/>
  <c r="A292" i="2"/>
  <c r="I1034" i="1"/>
  <c r="I207" i="1"/>
  <c r="A1101" i="1"/>
  <c r="E1111" i="1"/>
  <c r="A759" i="2"/>
  <c r="A766" i="2"/>
  <c r="A65" i="5"/>
  <c r="I242" i="1"/>
  <c r="A52" i="5"/>
  <c r="A701" i="2"/>
  <c r="A108" i="5"/>
  <c r="A57" i="5"/>
  <c r="I1041" i="1" s="1"/>
  <c r="I233" i="1"/>
  <c r="A794" i="2"/>
  <c r="A252" i="2"/>
  <c r="A726" i="2"/>
  <c r="A742" i="2"/>
  <c r="A693" i="2"/>
  <c r="E1068" i="1"/>
  <c r="A1058" i="1"/>
  <c r="F1055" i="1"/>
  <c r="A1045" i="1"/>
  <c r="A743" i="1"/>
  <c r="B783" i="1"/>
  <c r="A783" i="1" s="1"/>
  <c r="I209" i="1"/>
  <c r="I216" i="1"/>
  <c r="A782" i="2"/>
  <c r="A740" i="2"/>
  <c r="A691" i="2"/>
  <c r="B775" i="1"/>
  <c r="A775" i="1" s="1"/>
  <c r="A735" i="1"/>
  <c r="E1085" i="1"/>
  <c r="I221" i="1"/>
  <c r="E778" i="1"/>
  <c r="A778" i="1" s="1"/>
  <c r="A738" i="1"/>
  <c r="I212" i="1"/>
  <c r="A758" i="2"/>
  <c r="A724" i="2"/>
  <c r="I208" i="1"/>
  <c r="I240" i="1"/>
  <c r="A747" i="2"/>
  <c r="A242" i="2"/>
  <c r="I697" i="1" s="1"/>
  <c r="I271" i="1"/>
  <c r="I234" i="1"/>
  <c r="I237" i="1"/>
  <c r="I210" i="1"/>
  <c r="I243" i="1"/>
  <c r="I211" i="1"/>
  <c r="I238" i="1"/>
  <c r="A709" i="2"/>
  <c r="A780" i="2"/>
  <c r="I232" i="1"/>
  <c r="I215" i="1"/>
  <c r="A73" i="5"/>
  <c r="A774" i="2"/>
  <c r="I287" i="1"/>
  <c r="A798" i="2"/>
  <c r="A764" i="2"/>
  <c r="I225" i="1"/>
  <c r="I236" i="1"/>
  <c r="A705" i="2"/>
  <c r="A1066" i="1"/>
  <c r="E1076" i="1"/>
  <c r="A733" i="1"/>
  <c r="B773" i="1"/>
  <c r="A773" i="1" s="1"/>
  <c r="A728" i="2"/>
  <c r="A744" i="2"/>
  <c r="I226" i="1"/>
  <c r="I246" i="1"/>
  <c r="A768" i="2"/>
  <c r="A784" i="2"/>
  <c r="A734" i="2"/>
  <c r="I241" i="1"/>
  <c r="I218" i="1"/>
  <c r="A770" i="2"/>
  <c r="I213" i="1"/>
  <c r="I217" i="1"/>
  <c r="A731" i="1"/>
  <c r="B771" i="1"/>
  <c r="A771" i="1" s="1"/>
  <c r="I266" i="1"/>
  <c r="I214" i="1"/>
  <c r="A750" i="2"/>
  <c r="A79" i="5"/>
  <c r="A730" i="2"/>
  <c r="I1033" i="1"/>
  <c r="I1028" i="1"/>
  <c r="I220" i="1"/>
  <c r="A739" i="2"/>
  <c r="A692" i="2"/>
  <c r="A790" i="2"/>
  <c r="I230" i="1"/>
  <c r="A738" i="2"/>
  <c r="I205" i="1"/>
  <c r="A1072" i="1"/>
  <c r="E1082" i="1"/>
  <c r="A689" i="2"/>
  <c r="A1050" i="1"/>
  <c r="E1060" i="1"/>
  <c r="A696" i="2"/>
  <c r="A779" i="2"/>
  <c r="B774" i="1"/>
  <c r="A774" i="1" s="1"/>
  <c r="A734" i="1"/>
  <c r="A717" i="2"/>
  <c r="A722" i="2"/>
  <c r="A778" i="2"/>
  <c r="A723" i="2"/>
  <c r="I244" i="1" l="1"/>
  <c r="I565" i="1"/>
  <c r="I262" i="1"/>
  <c r="I685" i="1"/>
  <c r="I575" i="1"/>
  <c r="I283" i="1"/>
  <c r="I1040" i="1"/>
  <c r="I530" i="1"/>
  <c r="I649" i="1"/>
  <c r="I273" i="1"/>
  <c r="I259" i="1"/>
  <c r="I270" i="1"/>
  <c r="I267" i="1"/>
  <c r="I250" i="1"/>
  <c r="I584" i="1"/>
  <c r="I247" i="1"/>
  <c r="I272" i="1"/>
  <c r="I249" i="1"/>
  <c r="I480" i="1"/>
  <c r="I265" i="1"/>
  <c r="I261" i="1"/>
  <c r="I532" i="1"/>
  <c r="I573" i="1"/>
  <c r="I495" i="1"/>
  <c r="I361" i="1"/>
  <c r="I330" i="1"/>
  <c r="I1037" i="1"/>
  <c r="I1039" i="1"/>
  <c r="I511" i="1"/>
  <c r="I293" i="1"/>
  <c r="I280" i="1"/>
  <c r="I615" i="1"/>
  <c r="I465" i="1"/>
  <c r="I1044" i="1"/>
  <c r="I264" i="1"/>
  <c r="I592" i="1"/>
  <c r="I316" i="1"/>
  <c r="I282" i="1"/>
  <c r="I441" i="1"/>
  <c r="I710" i="1"/>
  <c r="I482" i="1"/>
  <c r="I444" i="1"/>
  <c r="I484" i="1"/>
  <c r="I277" i="1"/>
  <c r="I1042" i="1"/>
  <c r="I253" i="1"/>
  <c r="I252" i="1"/>
  <c r="I1038" i="1"/>
  <c r="E1067" i="1"/>
  <c r="A1057" i="1"/>
  <c r="A74" i="5" s="1"/>
  <c r="I393" i="1"/>
  <c r="I303" i="1"/>
  <c r="I623" i="1"/>
  <c r="I672" i="1"/>
  <c r="I622" i="1"/>
  <c r="I341" i="1"/>
  <c r="I483" i="1"/>
  <c r="I337" i="1"/>
  <c r="I334" i="1"/>
  <c r="I602" i="1"/>
  <c r="F1065" i="1"/>
  <c r="A1055" i="1"/>
  <c r="I406" i="1"/>
  <c r="I279" i="1"/>
  <c r="I703" i="1"/>
  <c r="I494" i="1"/>
  <c r="I684" i="1"/>
  <c r="I423" i="1"/>
  <c r="A81" i="5"/>
  <c r="A789" i="2"/>
  <c r="I345" i="1"/>
  <c r="I285" i="1"/>
  <c r="A745" i="2"/>
  <c r="I485" i="1"/>
  <c r="I577" i="1"/>
  <c r="I656" i="1"/>
  <c r="I505" i="1"/>
  <c r="I370" i="1"/>
  <c r="I394" i="1"/>
  <c r="I431" i="1"/>
  <c r="I371" i="1"/>
  <c r="I596" i="1"/>
  <c r="I527" i="1"/>
  <c r="I332" i="1"/>
  <c r="I591" i="1"/>
  <c r="I470" i="1"/>
  <c r="I251" i="1"/>
  <c r="I554" i="1"/>
  <c r="I461" i="1"/>
  <c r="I513" i="1"/>
  <c r="E1084" i="1"/>
  <c r="A1074" i="1"/>
  <c r="I689" i="1"/>
  <c r="A801" i="2"/>
  <c r="I716" i="1"/>
  <c r="A785" i="2"/>
  <c r="I687" i="1"/>
  <c r="I518" i="1"/>
  <c r="I263" i="1"/>
  <c r="I297" i="1"/>
  <c r="I308" i="1"/>
  <c r="I357" i="1"/>
  <c r="I635" i="1"/>
  <c r="I669" i="1"/>
  <c r="I359" i="1"/>
  <c r="I625" i="1"/>
  <c r="A771" i="2"/>
  <c r="I304" i="1"/>
  <c r="I396" i="1"/>
  <c r="I376" i="1"/>
  <c r="I347" i="1"/>
  <c r="I568" i="1"/>
  <c r="I553" i="1"/>
  <c r="I427" i="1"/>
  <c r="I551" i="1"/>
  <c r="I676" i="1"/>
  <c r="I268" i="1"/>
  <c r="I717" i="1"/>
  <c r="I567" i="1"/>
  <c r="I704" i="1"/>
  <c r="I559" i="1"/>
  <c r="I506" i="1"/>
  <c r="I552" i="1"/>
  <c r="I326" i="1"/>
  <c r="I558" i="1"/>
  <c r="I544" i="1"/>
  <c r="I276" i="1"/>
  <c r="A761" i="2"/>
  <c r="E1079" i="1"/>
  <c r="A1069" i="1"/>
  <c r="I456" i="1"/>
  <c r="I339" i="1"/>
  <c r="I679" i="1"/>
  <c r="I647" i="1"/>
  <c r="I607" i="1"/>
  <c r="A62" i="5"/>
  <c r="I1045" i="1" s="1"/>
  <c r="I690" i="1"/>
  <c r="I290" i="1"/>
  <c r="I634" i="1"/>
  <c r="I720" i="1"/>
  <c r="I400" i="1"/>
  <c r="I571" i="1"/>
  <c r="I340" i="1"/>
  <c r="I620" i="1"/>
  <c r="I686" i="1"/>
  <c r="A76" i="5"/>
  <c r="I335" i="1"/>
  <c r="I496" i="1"/>
  <c r="I391" i="1"/>
  <c r="I351" i="1"/>
  <c r="I385" i="1"/>
  <c r="A731" i="2"/>
  <c r="I616" i="1"/>
  <c r="I403" i="1"/>
  <c r="I336" i="1"/>
  <c r="I563" i="1"/>
  <c r="I386" i="1"/>
  <c r="I538" i="1"/>
  <c r="I721" i="1"/>
  <c r="I445" i="1"/>
  <c r="E1086" i="1"/>
  <c r="A1076" i="1"/>
  <c r="I430" i="1"/>
  <c r="I503" i="1"/>
  <c r="I603" i="1"/>
  <c r="I546" i="1"/>
  <c r="I722" i="1"/>
  <c r="I416" i="1"/>
  <c r="A736" i="2"/>
  <c r="I540" i="1"/>
  <c r="I626" i="1"/>
  <c r="I455" i="1"/>
  <c r="I254" i="1"/>
  <c r="I1035" i="1"/>
  <c r="I520" i="1"/>
  <c r="I515" i="1"/>
  <c r="I576" i="1"/>
  <c r="I305" i="1"/>
  <c r="I449" i="1"/>
  <c r="I595" i="1"/>
  <c r="I502" i="1"/>
  <c r="I633" i="1"/>
  <c r="I698" i="1"/>
  <c r="I657" i="1"/>
  <c r="I724" i="1"/>
  <c r="I464" i="1"/>
  <c r="I604" i="1"/>
  <c r="I294" i="1"/>
  <c r="I509" i="1"/>
  <c r="I411" i="1"/>
  <c r="I434" i="1"/>
  <c r="E1070" i="1"/>
  <c r="A1060" i="1"/>
  <c r="I309" i="1"/>
  <c r="I328" i="1"/>
  <c r="I709" i="1"/>
  <c r="I322" i="1"/>
  <c r="A83" i="5"/>
  <c r="I665" i="1"/>
  <c r="I561" i="1"/>
  <c r="I600" i="1"/>
  <c r="I643" i="1"/>
  <c r="I650" i="1"/>
  <c r="I521" i="1"/>
  <c r="I377" i="1"/>
  <c r="A776" i="2"/>
  <c r="E1095" i="1"/>
  <c r="I413" i="1"/>
  <c r="I637" i="1"/>
  <c r="I454" i="1"/>
  <c r="I490" i="1"/>
  <c r="I608" i="1"/>
  <c r="I275" i="1"/>
  <c r="A737" i="2"/>
  <c r="I310" i="1"/>
  <c r="I424" i="1"/>
  <c r="I302" i="1"/>
  <c r="I475" i="1"/>
  <c r="I719" i="1"/>
  <c r="A67" i="5"/>
  <c r="I1050" i="1" s="1"/>
  <c r="E1092" i="1"/>
  <c r="A1082" i="1"/>
  <c r="I712" i="1"/>
  <c r="I628" i="1"/>
  <c r="I627" i="1"/>
  <c r="I395" i="1"/>
  <c r="I368" i="1"/>
  <c r="I299" i="1"/>
  <c r="I469" i="1"/>
  <c r="I624" i="1"/>
  <c r="I462" i="1"/>
  <c r="I597" i="1"/>
  <c r="I674" i="1"/>
  <c r="I458" i="1"/>
  <c r="I292" i="1"/>
  <c r="I542" i="1"/>
  <c r="I306" i="1"/>
  <c r="I632" i="1"/>
  <c r="I448" i="1"/>
  <c r="I468" i="1"/>
  <c r="I537" i="1"/>
  <c r="I248" i="1"/>
  <c r="A777" i="2"/>
  <c r="I598" i="1"/>
  <c r="A725" i="2"/>
  <c r="I667" i="1"/>
  <c r="I681" i="1"/>
  <c r="I581" i="1"/>
  <c r="I677" i="1"/>
  <c r="A118" i="5"/>
  <c r="A749" i="2"/>
  <c r="I594" i="1"/>
  <c r="I488" i="1"/>
  <c r="I398" i="1"/>
  <c r="I349" i="1"/>
  <c r="I410" i="1"/>
  <c r="I476" i="1"/>
  <c r="I638" i="1"/>
  <c r="I572" i="1"/>
  <c r="I437" i="1"/>
  <c r="I504" i="1"/>
  <c r="I296" i="1"/>
  <c r="I428" i="1"/>
  <c r="I353" i="1"/>
  <c r="I443" i="1"/>
  <c r="I1043" i="1"/>
  <c r="I516" i="1"/>
  <c r="I255" i="1"/>
  <c r="I508" i="1"/>
  <c r="I1047" i="1"/>
  <c r="I519" i="1"/>
  <c r="A765" i="2"/>
  <c r="I352" i="1"/>
  <c r="I338" i="1"/>
  <c r="I510" i="1"/>
  <c r="I493" i="1"/>
  <c r="I683" i="1"/>
  <c r="I589" i="1"/>
  <c r="I298" i="1"/>
  <c r="I711" i="1"/>
  <c r="I583" i="1"/>
  <c r="I664" i="1"/>
  <c r="A89" i="5"/>
  <c r="I612" i="1"/>
  <c r="I314" i="1"/>
  <c r="I389" i="1"/>
  <c r="I609" i="1"/>
  <c r="I705" i="1"/>
  <c r="I392" i="1"/>
  <c r="I446" i="1"/>
  <c r="I372" i="1"/>
  <c r="I543" i="1"/>
  <c r="I457" i="1"/>
  <c r="I585" i="1"/>
  <c r="I378" i="1"/>
  <c r="I360" i="1"/>
  <c r="I675" i="1"/>
  <c r="I678" i="1"/>
  <c r="I487" i="1"/>
  <c r="I640" i="1"/>
  <c r="I610" i="1"/>
  <c r="I412" i="1"/>
  <c r="I671" i="1"/>
  <c r="I706" i="1"/>
  <c r="I499" i="1"/>
  <c r="I614" i="1"/>
  <c r="I541" i="1"/>
  <c r="I288" i="1"/>
  <c r="I564" i="1"/>
  <c r="I646" i="1"/>
  <c r="A80" i="5"/>
  <c r="I435" i="1"/>
  <c r="I723" i="1"/>
  <c r="I699" i="1"/>
  <c r="I545" i="1"/>
  <c r="I549" i="1"/>
  <c r="A797" i="2"/>
  <c r="I363" i="1"/>
  <c r="I691" i="1"/>
  <c r="I580" i="1"/>
  <c r="A732" i="2"/>
  <c r="I514" i="1"/>
  <c r="I404" i="1"/>
  <c r="I450" i="1"/>
  <c r="I489" i="1"/>
  <c r="I641" i="1"/>
  <c r="I517" i="1"/>
  <c r="I652" i="1"/>
  <c r="I601" i="1"/>
  <c r="I605" i="1"/>
  <c r="I348" i="1"/>
  <c r="I281" i="1"/>
  <c r="A733" i="2"/>
  <c r="I1036" i="1"/>
  <c r="I590" i="1"/>
  <c r="I307" i="1"/>
  <c r="I313" i="1"/>
  <c r="I260" i="1"/>
  <c r="I295" i="1"/>
  <c r="E1083" i="1"/>
  <c r="A1073" i="1"/>
  <c r="I500" i="1"/>
  <c r="I599" i="1"/>
  <c r="I327" i="1"/>
  <c r="I611" i="1"/>
  <c r="A757" i="2"/>
  <c r="I418" i="1"/>
  <c r="I420" i="1"/>
  <c r="I566" i="1"/>
  <c r="I447" i="1"/>
  <c r="I629" i="1"/>
  <c r="I618" i="1"/>
  <c r="I533" i="1"/>
  <c r="I593" i="1"/>
  <c r="I714" i="1"/>
  <c r="I419" i="1"/>
  <c r="I477" i="1"/>
  <c r="I323" i="1"/>
  <c r="I682" i="1"/>
  <c r="A773" i="2"/>
  <c r="A75" i="5"/>
  <c r="I579" i="1"/>
  <c r="I666" i="1"/>
  <c r="I460" i="1"/>
  <c r="I258" i="1"/>
  <c r="I425" i="1"/>
  <c r="I380" i="1"/>
  <c r="I507" i="1"/>
  <c r="I658" i="1"/>
  <c r="I245" i="1"/>
  <c r="I651" i="1"/>
  <c r="I291" i="1"/>
  <c r="I471" i="1"/>
  <c r="I659" i="1"/>
  <c r="I694" i="1"/>
  <c r="I343" i="1"/>
  <c r="I535" i="1"/>
  <c r="I539" i="1"/>
  <c r="I534" i="1"/>
  <c r="I725" i="1"/>
  <c r="I606" i="1"/>
  <c r="I701" i="1"/>
  <c r="I399" i="1"/>
  <c r="A772" i="2"/>
  <c r="I390" i="1"/>
  <c r="I325" i="1"/>
  <c r="I696" i="1"/>
  <c r="I498" i="1"/>
  <c r="I569" i="1"/>
  <c r="I436" i="1"/>
  <c r="I524" i="1"/>
  <c r="I680" i="1"/>
  <c r="I512" i="1"/>
  <c r="I324" i="1"/>
  <c r="I320" i="1"/>
  <c r="A781" i="2"/>
  <c r="E1078" i="1"/>
  <c r="A1068" i="1"/>
  <c r="I557" i="1"/>
  <c r="I621" i="1"/>
  <c r="I269" i="1"/>
  <c r="I286" i="1"/>
  <c r="I472" i="1"/>
  <c r="I617" i="1"/>
  <c r="I317" i="1"/>
  <c r="I688" i="1"/>
  <c r="I492" i="1"/>
  <c r="I329" i="1"/>
  <c r="I387" i="1"/>
  <c r="I374" i="1"/>
  <c r="I630" i="1"/>
  <c r="I529" i="1"/>
  <c r="A769" i="2"/>
  <c r="I350" i="1"/>
  <c r="I473" i="1"/>
  <c r="I536" i="1"/>
  <c r="A729" i="2"/>
  <c r="I707" i="1"/>
  <c r="I300" i="1"/>
  <c r="I639" i="1"/>
  <c r="I366" i="1"/>
  <c r="I587" i="1"/>
  <c r="I661" i="1"/>
  <c r="I333" i="1"/>
  <c r="I673" i="1"/>
  <c r="I388" i="1"/>
  <c r="I726" i="1"/>
  <c r="I331" i="1"/>
  <c r="I693" i="1"/>
  <c r="A741" i="2"/>
  <c r="I653" i="1"/>
  <c r="I645" i="1"/>
  <c r="I588" i="1"/>
  <c r="I526" i="1"/>
  <c r="I631" i="1"/>
  <c r="I257" i="1"/>
  <c r="I278" i="1"/>
  <c r="I346" i="1"/>
  <c r="I256" i="1"/>
  <c r="I274" i="1"/>
  <c r="I562" i="1"/>
  <c r="I426" i="1"/>
  <c r="I342" i="1"/>
  <c r="I619" i="1"/>
  <c r="I702" i="1"/>
  <c r="I354" i="1"/>
  <c r="I692" i="1"/>
  <c r="I397" i="1"/>
  <c r="I479" i="1"/>
  <c r="I344" i="1"/>
  <c r="I375" i="1"/>
  <c r="I478" i="1"/>
  <c r="I501" i="1"/>
  <c r="I570" i="1"/>
  <c r="I481" i="1"/>
  <c r="I644" i="1"/>
  <c r="I695" i="1"/>
  <c r="I715" i="1"/>
  <c r="I668" i="1"/>
  <c r="I383" i="1"/>
  <c r="I474" i="1"/>
  <c r="I660" i="1"/>
  <c r="I547" i="1"/>
  <c r="I642" i="1"/>
  <c r="I708" i="1"/>
  <c r="I318" i="1"/>
  <c r="I578" i="1"/>
  <c r="I655" i="1"/>
  <c r="I636" i="1"/>
  <c r="I439" i="1"/>
  <c r="I713" i="1"/>
  <c r="I700" i="1"/>
  <c r="I312" i="1"/>
  <c r="I718" i="1"/>
  <c r="I459" i="1"/>
  <c r="I367" i="1"/>
  <c r="I670" i="1"/>
  <c r="I586" i="1"/>
  <c r="I467" i="1"/>
  <c r="I433" i="1"/>
  <c r="I663" i="1"/>
  <c r="I365" i="1"/>
  <c r="I414" i="1"/>
  <c r="I289" i="1"/>
  <c r="I613" i="1"/>
  <c r="I301" i="1"/>
  <c r="I321" i="1"/>
  <c r="I582" i="1"/>
  <c r="I315" i="1"/>
  <c r="I654" i="1"/>
  <c r="I662" i="1"/>
  <c r="A1111" i="1"/>
  <c r="E1121" i="1"/>
  <c r="I421" i="1"/>
  <c r="I548" i="1"/>
  <c r="I1054" i="1"/>
  <c r="I463" i="1"/>
  <c r="I373" i="1"/>
  <c r="I429" i="1"/>
  <c r="I466" i="1"/>
  <c r="I440" i="1"/>
  <c r="I401" i="1"/>
  <c r="I415" i="1"/>
  <c r="I452" i="1"/>
  <c r="I432" i="1"/>
  <c r="I422" i="1"/>
  <c r="I438" i="1"/>
  <c r="I491" i="1"/>
  <c r="I369" i="1"/>
  <c r="I453" i="1"/>
  <c r="I311" i="1"/>
  <c r="I356" i="1"/>
  <c r="I486" i="1"/>
  <c r="I319" i="1"/>
  <c r="I442" i="1"/>
  <c r="I417" i="1"/>
  <c r="I355" i="1"/>
  <c r="I381" i="1"/>
  <c r="I409" i="1"/>
  <c r="I362" i="1"/>
  <c r="I407" i="1"/>
  <c r="I358" i="1"/>
  <c r="I405" i="1"/>
  <c r="I384" i="1"/>
  <c r="I364" i="1"/>
  <c r="I408" i="1"/>
  <c r="I402" i="1"/>
  <c r="I379" i="1"/>
  <c r="I451" i="1"/>
  <c r="I648" i="1"/>
  <c r="I284" i="1"/>
  <c r="I574" i="1"/>
  <c r="I382" i="1"/>
  <c r="I753" i="1" l="1"/>
  <c r="E1077" i="1"/>
  <c r="A1067" i="1"/>
  <c r="A84" i="5" s="1"/>
  <c r="I791" i="1"/>
  <c r="I799" i="1"/>
  <c r="I765" i="1"/>
  <c r="A91" i="5"/>
  <c r="A128" i="5"/>
  <c r="I783" i="1"/>
  <c r="I550" i="1"/>
  <c r="I556" i="1"/>
  <c r="I555" i="1"/>
  <c r="I531" i="1"/>
  <c r="I528" i="1"/>
  <c r="I522" i="1"/>
  <c r="I523" i="1"/>
  <c r="I560" i="1"/>
  <c r="I497" i="1"/>
  <c r="I525" i="1"/>
  <c r="A99" i="5"/>
  <c r="I756" i="1"/>
  <c r="E1094" i="1"/>
  <c r="A1084" i="1"/>
  <c r="A1078" i="1"/>
  <c r="E1088" i="1"/>
  <c r="I758" i="1"/>
  <c r="I797" i="1"/>
  <c r="E1102" i="1"/>
  <c r="A1092" i="1"/>
  <c r="A90" i="5"/>
  <c r="I737" i="1"/>
  <c r="I1053" i="1"/>
  <c r="I745" i="1"/>
  <c r="A72" i="5"/>
  <c r="I1055" i="1"/>
  <c r="I741" i="1"/>
  <c r="E1093" i="1"/>
  <c r="A1083" i="1"/>
  <c r="I767" i="1"/>
  <c r="I738" i="1"/>
  <c r="F1075" i="1"/>
  <c r="A1065" i="1"/>
  <c r="I730" i="1"/>
  <c r="I731" i="1"/>
  <c r="I727" i="1"/>
  <c r="I744" i="1"/>
  <c r="A86" i="5"/>
  <c r="I747" i="1"/>
  <c r="I768" i="1"/>
  <c r="E1089" i="1"/>
  <c r="A1079" i="1"/>
  <c r="I746" i="1"/>
  <c r="I760" i="1"/>
  <c r="I743" i="1"/>
  <c r="I764" i="1"/>
  <c r="I733" i="1"/>
  <c r="I763" i="1"/>
  <c r="I793" i="1"/>
  <c r="I779" i="1"/>
  <c r="I755" i="1"/>
  <c r="I784" i="1"/>
  <c r="I752" i="1"/>
  <c r="I762" i="1"/>
  <c r="I785" i="1"/>
  <c r="I757" i="1"/>
  <c r="I769" i="1"/>
  <c r="E1105" i="1"/>
  <c r="I794" i="1"/>
  <c r="I750" i="1"/>
  <c r="I795" i="1"/>
  <c r="I742" i="1"/>
  <c r="I780" i="1"/>
  <c r="I786" i="1"/>
  <c r="I729" i="1"/>
  <c r="I749" i="1"/>
  <c r="I782" i="1"/>
  <c r="I798" i="1"/>
  <c r="I771" i="1"/>
  <c r="I728" i="1"/>
  <c r="I734" i="1"/>
  <c r="I778" i="1"/>
  <c r="A77" i="5"/>
  <c r="I1062" i="1" s="1"/>
  <c r="I777" i="1"/>
  <c r="I770" i="1"/>
  <c r="I787" i="1"/>
  <c r="I766" i="1"/>
  <c r="I801" i="1"/>
  <c r="I802" i="1"/>
  <c r="I735" i="1"/>
  <c r="I792" i="1"/>
  <c r="E1080" i="1"/>
  <c r="A1070" i="1"/>
  <c r="I776" i="1"/>
  <c r="I800" i="1"/>
  <c r="I751" i="1"/>
  <c r="I754" i="1"/>
  <c r="I748" i="1"/>
  <c r="I790" i="1"/>
  <c r="I740" i="1"/>
  <c r="I761" i="1"/>
  <c r="I775" i="1"/>
  <c r="I759" i="1"/>
  <c r="I736" i="1"/>
  <c r="I732" i="1"/>
  <c r="I739" i="1"/>
  <c r="A93" i="5"/>
  <c r="I803" i="1"/>
  <c r="E1131" i="1"/>
  <c r="A1121" i="1"/>
  <c r="I772" i="1"/>
  <c r="E1096" i="1"/>
  <c r="A1086" i="1"/>
  <c r="I1049" i="1"/>
  <c r="I1046" i="1"/>
  <c r="I1056" i="1"/>
  <c r="I1057" i="1"/>
  <c r="I1048" i="1"/>
  <c r="I1052" i="1"/>
  <c r="I773" i="1"/>
  <c r="I781" i="1"/>
  <c r="A85" i="5"/>
  <c r="I774" i="1"/>
  <c r="I789" i="1"/>
  <c r="I796" i="1"/>
  <c r="I788" i="1"/>
  <c r="E1087" i="1" l="1"/>
  <c r="A1077" i="1"/>
  <c r="A94" i="5" s="1"/>
  <c r="A109" i="5"/>
  <c r="A82" i="5"/>
  <c r="I1065" i="1"/>
  <c r="E1112" i="1"/>
  <c r="A1102" i="1"/>
  <c r="I1060" i="1"/>
  <c r="F1085" i="1"/>
  <c r="A1075" i="1"/>
  <c r="A103" i="5"/>
  <c r="E1115" i="1"/>
  <c r="A1088" i="1"/>
  <c r="E1098" i="1"/>
  <c r="A100" i="5"/>
  <c r="A95" i="5"/>
  <c r="E1103" i="1"/>
  <c r="A1093" i="1"/>
  <c r="A101" i="5"/>
  <c r="E1106" i="1"/>
  <c r="A1096" i="1"/>
  <c r="A138" i="5"/>
  <c r="I1068" i="1"/>
  <c r="E1141" i="1"/>
  <c r="A1131" i="1"/>
  <c r="A96" i="5"/>
  <c r="A1094" i="1"/>
  <c r="E1104" i="1"/>
  <c r="E1099" i="1"/>
  <c r="A1089" i="1"/>
  <c r="I1074" i="1"/>
  <c r="A87" i="5"/>
  <c r="I1072" i="1" s="1"/>
  <c r="E1090" i="1"/>
  <c r="A1080" i="1"/>
  <c r="I1058" i="1"/>
  <c r="I1063" i="1"/>
  <c r="I1059" i="1"/>
  <c r="I1069" i="1"/>
  <c r="I1064" i="1"/>
  <c r="I1070" i="1" l="1"/>
  <c r="A1087" i="1"/>
  <c r="A104" i="5" s="1"/>
  <c r="E1097" i="1"/>
  <c r="A148" i="5"/>
  <c r="A92" i="5"/>
  <c r="I1078" i="1" s="1"/>
  <c r="I1075" i="1"/>
  <c r="A1141" i="1"/>
  <c r="E1151" i="1"/>
  <c r="A97" i="5"/>
  <c r="I1082" i="1" s="1"/>
  <c r="I1080" i="1"/>
  <c r="E1116" i="1"/>
  <c r="A1106" i="1"/>
  <c r="A119" i="5"/>
  <c r="A106" i="5"/>
  <c r="A110" i="5"/>
  <c r="E1122" i="1"/>
  <c r="A1112" i="1"/>
  <c r="E1108" i="1"/>
  <c r="A1098" i="1"/>
  <c r="E1125" i="1"/>
  <c r="E1100" i="1"/>
  <c r="A1090" i="1"/>
  <c r="E1109" i="1"/>
  <c r="A1099" i="1"/>
  <c r="E1113" i="1"/>
  <c r="A1103" i="1"/>
  <c r="A113" i="5"/>
  <c r="A1104" i="1"/>
  <c r="E1114" i="1"/>
  <c r="I1067" i="1"/>
  <c r="I1071" i="1"/>
  <c r="I1073" i="1"/>
  <c r="F1095" i="1"/>
  <c r="A1085" i="1"/>
  <c r="A111" i="5"/>
  <c r="A105" i="5"/>
  <c r="I1079" i="1"/>
  <c r="I1066" i="1"/>
  <c r="I1081" i="1" l="1"/>
  <c r="A1097" i="1"/>
  <c r="A114" i="5" s="1"/>
  <c r="E1107" i="1"/>
  <c r="E1110" i="1"/>
  <c r="A1100" i="1"/>
  <c r="A1116" i="1"/>
  <c r="E1126" i="1"/>
  <c r="E1135" i="1"/>
  <c r="A120" i="5"/>
  <c r="A116" i="5"/>
  <c r="A123" i="5"/>
  <c r="A115" i="5"/>
  <c r="E1161" i="1"/>
  <c r="A1151" i="1"/>
  <c r="E1123" i="1"/>
  <c r="A1113" i="1"/>
  <c r="E1124" i="1"/>
  <c r="A1114" i="1"/>
  <c r="E1118" i="1"/>
  <c r="A1108" i="1"/>
  <c r="A158" i="5"/>
  <c r="A1109" i="1"/>
  <c r="E1119" i="1"/>
  <c r="F1105" i="1"/>
  <c r="A1095" i="1"/>
  <c r="A107" i="5"/>
  <c r="I1090" i="1"/>
  <c r="I1083" i="1"/>
  <c r="E1132" i="1"/>
  <c r="A1122" i="1"/>
  <c r="I1084" i="1"/>
  <c r="I1076" i="1"/>
  <c r="I1077" i="1"/>
  <c r="A102" i="5"/>
  <c r="I1085" i="1"/>
  <c r="A121" i="5"/>
  <c r="A129" i="5"/>
  <c r="E1117" i="1" l="1"/>
  <c r="A1107" i="1"/>
  <c r="A124" i="5" s="1"/>
  <c r="I1094" i="1"/>
  <c r="I1087" i="1"/>
  <c r="I1089" i="1"/>
  <c r="I1092" i="1"/>
  <c r="E1171" i="1"/>
  <c r="A1161" i="1"/>
  <c r="A126" i="5"/>
  <c r="F1115" i="1"/>
  <c r="A1105" i="1"/>
  <c r="I1103" i="1"/>
  <c r="I1086" i="1"/>
  <c r="E1129" i="1"/>
  <c r="A1119" i="1"/>
  <c r="A125" i="5"/>
  <c r="E1145" i="1"/>
  <c r="I1088" i="1"/>
  <c r="I1097" i="1"/>
  <c r="A1118" i="1"/>
  <c r="E1128" i="1"/>
  <c r="A131" i="5"/>
  <c r="E1136" i="1"/>
  <c r="A1126" i="1"/>
  <c r="A139" i="5"/>
  <c r="E1134" i="1"/>
  <c r="A1124" i="1"/>
  <c r="A133" i="5"/>
  <c r="A1132" i="1"/>
  <c r="E1142" i="1"/>
  <c r="A130" i="5"/>
  <c r="A117" i="5"/>
  <c r="I1100" i="1" s="1"/>
  <c r="A112" i="5"/>
  <c r="I1098" i="1" s="1"/>
  <c r="I1095" i="1"/>
  <c r="A1123" i="1"/>
  <c r="E1133" i="1"/>
  <c r="A1110" i="1"/>
  <c r="E1120" i="1"/>
  <c r="A168" i="5"/>
  <c r="I1093" i="1"/>
  <c r="I1099" i="1" l="1"/>
  <c r="I1096" i="1"/>
  <c r="I1104" i="1"/>
  <c r="A1117" i="1"/>
  <c r="A134" i="5" s="1"/>
  <c r="E1127" i="1"/>
  <c r="A149" i="5"/>
  <c r="E1155" i="1"/>
  <c r="F1125" i="1"/>
  <c r="A1115" i="1"/>
  <c r="A140" i="5"/>
  <c r="A178" i="5"/>
  <c r="A122" i="5"/>
  <c r="I1105" i="1"/>
  <c r="E1181" i="1"/>
  <c r="A1181" i="1" s="1"/>
  <c r="A1171" i="1"/>
  <c r="A127" i="5"/>
  <c r="I1112" i="1" s="1"/>
  <c r="I1102" i="1"/>
  <c r="A1120" i="1"/>
  <c r="E1130" i="1"/>
  <c r="A143" i="5"/>
  <c r="A1136" i="1"/>
  <c r="E1146" i="1"/>
  <c r="A136" i="5"/>
  <c r="E1138" i="1"/>
  <c r="A1128" i="1"/>
  <c r="A135" i="5"/>
  <c r="A141" i="5"/>
  <c r="A1134" i="1"/>
  <c r="E1144" i="1"/>
  <c r="E1143" i="1"/>
  <c r="A1133" i="1"/>
  <c r="E1139" i="1"/>
  <c r="A1129" i="1"/>
  <c r="E1152" i="1"/>
  <c r="A1142" i="1"/>
  <c r="I1110" i="1" l="1"/>
  <c r="A1127" i="1"/>
  <c r="A144" i="5" s="1"/>
  <c r="E1137" i="1"/>
  <c r="A145" i="5"/>
  <c r="E1148" i="1"/>
  <c r="A1138" i="1"/>
  <c r="A188" i="5"/>
  <c r="I1113" i="1"/>
  <c r="A132" i="5"/>
  <c r="I1117" i="1" s="1"/>
  <c r="I1115" i="1"/>
  <c r="A1143" i="1"/>
  <c r="E1153" i="1"/>
  <c r="F1135" i="1"/>
  <c r="A1125" i="1"/>
  <c r="A198" i="5"/>
  <c r="A1139" i="1"/>
  <c r="E1149" i="1"/>
  <c r="I1114" i="1"/>
  <c r="I1109" i="1"/>
  <c r="I1111" i="1"/>
  <c r="I1106" i="1"/>
  <c r="I1108" i="1"/>
  <c r="I1116" i="1"/>
  <c r="I1122" i="1"/>
  <c r="A1130" i="1"/>
  <c r="E1140" i="1"/>
  <c r="A1146" i="1"/>
  <c r="E1156" i="1"/>
  <c r="A153" i="5"/>
  <c r="A150" i="5"/>
  <c r="E1154" i="1"/>
  <c r="A1144" i="1"/>
  <c r="A151" i="5"/>
  <c r="A137" i="5"/>
  <c r="E1165" i="1"/>
  <c r="A146" i="5"/>
  <c r="A159" i="5"/>
  <c r="A1152" i="1"/>
  <c r="E1162" i="1"/>
  <c r="I1107" i="1"/>
  <c r="E1147" i="1" l="1"/>
  <c r="A1137" i="1"/>
  <c r="A154" i="5" s="1"/>
  <c r="A147" i="5"/>
  <c r="A160" i="5"/>
  <c r="A1162" i="1"/>
  <c r="E1172" i="1"/>
  <c r="A169" i="5"/>
  <c r="I1032" i="1"/>
  <c r="I1061" i="1"/>
  <c r="I1051" i="1"/>
  <c r="I1091" i="1"/>
  <c r="I1101" i="1"/>
  <c r="I1121" i="1"/>
  <c r="I1118" i="1"/>
  <c r="I1131" i="1"/>
  <c r="A163" i="5"/>
  <c r="E1166" i="1"/>
  <c r="A1156" i="1"/>
  <c r="E1164" i="1"/>
  <c r="A1154" i="1"/>
  <c r="I1124" i="1"/>
  <c r="A155" i="5"/>
  <c r="E1159" i="1"/>
  <c r="A1149" i="1"/>
  <c r="A1148" i="1"/>
  <c r="E1158" i="1"/>
  <c r="E1163" i="1"/>
  <c r="A1153" i="1"/>
  <c r="I1123" i="1"/>
  <c r="E1175" i="1"/>
  <c r="A156" i="5"/>
  <c r="I1120" i="1"/>
  <c r="I1119" i="1"/>
  <c r="A142" i="5"/>
  <c r="I1130" i="1" s="1"/>
  <c r="I1125" i="1"/>
  <c r="F1145" i="1"/>
  <c r="A1135" i="1"/>
  <c r="A161" i="5"/>
  <c r="I1127" i="1"/>
  <c r="E1150" i="1"/>
  <c r="A1140" i="1"/>
  <c r="I1126" i="1"/>
  <c r="E1157" i="1" l="1"/>
  <c r="A1147" i="1"/>
  <c r="A164" i="5" s="1"/>
  <c r="A165" i="5"/>
  <c r="E1182" i="1"/>
  <c r="A1182" i="1" s="1"/>
  <c r="A1172" i="1"/>
  <c r="I1128" i="1"/>
  <c r="A173" i="5"/>
  <c r="A179" i="5"/>
  <c r="A1150" i="1"/>
  <c r="E1160" i="1"/>
  <c r="A171" i="5"/>
  <c r="A157" i="5"/>
  <c r="I1142" i="1" s="1"/>
  <c r="A1164" i="1"/>
  <c r="E1174" i="1"/>
  <c r="A152" i="5"/>
  <c r="I1135" i="1"/>
  <c r="I1129" i="1"/>
  <c r="E1176" i="1"/>
  <c r="A1176" i="1" s="1"/>
  <c r="A1166" i="1"/>
  <c r="F1155" i="1"/>
  <c r="A1145" i="1"/>
  <c r="A170" i="5"/>
  <c r="A1159" i="1"/>
  <c r="E1169" i="1"/>
  <c r="E1173" i="1"/>
  <c r="A1163" i="1"/>
  <c r="A166" i="5"/>
  <c r="I1141" i="1"/>
  <c r="I1133" i="1"/>
  <c r="I1137" i="1"/>
  <c r="I1136" i="1"/>
  <c r="I1134" i="1"/>
  <c r="E1168" i="1"/>
  <c r="A1158" i="1"/>
  <c r="I1132" i="1"/>
  <c r="I1144" i="1" l="1"/>
  <c r="I1143" i="1"/>
  <c r="E1167" i="1"/>
  <c r="A1157" i="1"/>
  <c r="A174" i="5" s="1"/>
  <c r="A162" i="5"/>
  <c r="I1145" i="1"/>
  <c r="A193" i="5"/>
  <c r="A183" i="5"/>
  <c r="E1178" i="1"/>
  <c r="A1178" i="1" s="1"/>
  <c r="A1168" i="1"/>
  <c r="E1184" i="1"/>
  <c r="A1184" i="1" s="1"/>
  <c r="A1174" i="1"/>
  <c r="I1140" i="1"/>
  <c r="A189" i="5"/>
  <c r="E1179" i="1"/>
  <c r="A1179" i="1" s="1"/>
  <c r="A1169" i="1"/>
  <c r="A199" i="5"/>
  <c r="A180" i="5"/>
  <c r="E1183" i="1"/>
  <c r="A1183" i="1" s="1"/>
  <c r="A1173" i="1"/>
  <c r="A176" i="5"/>
  <c r="F1165" i="1"/>
  <c r="A1155" i="1"/>
  <c r="I1138" i="1"/>
  <c r="I1139" i="1"/>
  <c r="I1147" i="1"/>
  <c r="A181" i="5"/>
  <c r="E1170" i="1"/>
  <c r="A1160" i="1"/>
  <c r="A175" i="5"/>
  <c r="A167" i="5"/>
  <c r="I1150" i="1" s="1"/>
  <c r="I1152" i="1" l="1"/>
  <c r="A1167" i="1"/>
  <c r="A184" i="5" s="1"/>
  <c r="E1177" i="1"/>
  <c r="A1177" i="1" s="1"/>
  <c r="A194" i="5" s="1"/>
  <c r="A172" i="5"/>
  <c r="I1155" i="1"/>
  <c r="I1159" i="1"/>
  <c r="F1175" i="1"/>
  <c r="A1175" i="1" s="1"/>
  <c r="A1165" i="1"/>
  <c r="I1153" i="1"/>
  <c r="A190" i="5"/>
  <c r="A200" i="5"/>
  <c r="A196" i="5"/>
  <c r="A177" i="5"/>
  <c r="I1162" i="1" s="1"/>
  <c r="I1160" i="1"/>
  <c r="E1180" i="1"/>
  <c r="A1180" i="1" s="1"/>
  <c r="A1170" i="1"/>
  <c r="I1151" i="1"/>
  <c r="I1154" i="1"/>
  <c r="A195" i="5"/>
  <c r="I1146" i="1"/>
  <c r="I1149" i="1"/>
  <c r="I1156" i="1"/>
  <c r="A186" i="5"/>
  <c r="I1158" i="1"/>
  <c r="A191" i="5"/>
  <c r="A201" i="5"/>
  <c r="A185" i="5"/>
  <c r="I1148" i="1"/>
  <c r="A182" i="5" l="1"/>
  <c r="I1165" i="1"/>
  <c r="A192" i="5"/>
  <c r="I1166" i="1"/>
  <c r="I1161" i="1"/>
  <c r="I1163" i="1"/>
  <c r="I1164" i="1"/>
  <c r="A187" i="5"/>
  <c r="I1173" i="1" s="1"/>
  <c r="I1157" i="1"/>
  <c r="I1172" i="1"/>
  <c r="A197" i="5"/>
  <c r="I1180" i="1"/>
  <c r="I1171" i="1" l="1"/>
  <c r="I1174" i="1"/>
  <c r="I1179" i="1"/>
  <c r="I1175" i="1"/>
  <c r="I1181" i="1"/>
  <c r="I1177" i="1"/>
  <c r="I1176" i="1"/>
  <c r="I1182" i="1"/>
  <c r="I1184" i="1"/>
  <c r="I1170" i="1"/>
  <c r="I1169" i="1"/>
  <c r="I1178" i="1"/>
  <c r="I1168" i="1"/>
  <c r="I1167" i="1"/>
  <c r="I1183" i="1"/>
</calcChain>
</file>

<file path=xl/comments1.xml><?xml version="1.0" encoding="utf-8"?>
<comments xmlns="http://schemas.openxmlformats.org/spreadsheetml/2006/main">
  <authors>
    <author>马超</author>
    <author>46646</author>
  </authors>
  <commentList>
    <comment ref="B1" authorId="0">
      <text>
        <r>
          <rPr>
            <b/>
            <sz val="9"/>
            <rFont val="宋体"/>
            <charset val="134"/>
          </rPr>
          <t>马超:</t>
        </r>
        <r>
          <rPr>
            <sz val="9"/>
            <rFont val="宋体"/>
            <charset val="134"/>
          </rPr>
          <t xml:space="preserve">
14：代表战役地图
15：代表首领地图
16：代表试炼地图
17：代表遗迹地图
18：代表行会地图
19：代表一战到底副本</t>
        </r>
      </text>
    </comment>
    <comment ref="H1" authorId="1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配置单位为秒</t>
        </r>
      </text>
    </comment>
  </commentList>
</comments>
</file>

<file path=xl/sharedStrings.xml><?xml version="1.0" encoding="utf-8"?>
<sst xmlns="http://schemas.openxmlformats.org/spreadsheetml/2006/main" count="12300" uniqueCount="1230">
  <si>
    <t>唯一ID</t>
  </si>
  <si>
    <t>副本类型</t>
  </si>
  <si>
    <t>战力限制</t>
  </si>
  <si>
    <t>等级限制</t>
  </si>
  <si>
    <t>章节</t>
  </si>
  <si>
    <t>闯关层数</t>
  </si>
  <si>
    <t>刷怪配置</t>
  </si>
  <si>
    <t>挑战时间</t>
  </si>
  <si>
    <t>结算奖励</t>
  </si>
  <si>
    <t>产出预览</t>
  </si>
  <si>
    <t>展示怪形象</t>
  </si>
  <si>
    <t>章节奖励</t>
  </si>
  <si>
    <t>星级奖励</t>
  </si>
  <si>
    <t>地图ID</t>
  </si>
  <si>
    <t>章节标记</t>
  </si>
  <si>
    <t>int32</t>
  </si>
  <si>
    <t>json</t>
  </si>
  <si>
    <t>UID</t>
  </si>
  <si>
    <t>Copytype</t>
  </si>
  <si>
    <t>Powerlimit</t>
  </si>
  <si>
    <t>Levellimit</t>
  </si>
  <si>
    <t>Chapter</t>
  </si>
  <si>
    <t>Layers</t>
  </si>
  <si>
    <t>Monster</t>
  </si>
  <si>
    <t>Timelimit</t>
  </si>
  <si>
    <t>Settlement</t>
  </si>
  <si>
    <t>Preview</t>
  </si>
  <si>
    <t>MonsterShow</t>
  </si>
  <si>
    <t>ChapterAward</t>
  </si>
  <si>
    <t>StarAward</t>
  </si>
  <si>
    <t>MapID</t>
  </si>
  <si>
    <t>MapMark</t>
  </si>
  <si>
    <t>[{"id":1,"num":2,"point":{"x":24,"y":37}}, {"id":2001, "num":2,"point":{"x":15,"y":35}}, {"id":1, "num":2,"point":{"x":33,"y":33}}]</t>
  </si>
  <si>
    <t>[14,2,1]</t>
  </si>
  <si>
    <t>[{"id":1,"num":3,"point":{"x":24,"y":37}}, {"id":2001, "num":2,"point":{"x":15,"y":35}}, {"id":1, "num":2,"point":{"x":33,"y":33}}]</t>
  </si>
  <si>
    <t>[{"id":1,"num":3,"point":{"x":16,"y":38}}, {"id":2001, "num":3,"point":{"x":35,"y":35}}, {"id":1, "num":3,"point":{"x":23,"y":12}}]</t>
  </si>
  <si>
    <t>[{"id":1,"num":4,"point":{"x":16,"y":38}}, {"id":2001, "num":3,"point":{"x":35,"y":35}}, {"id":1, "num":3,"point":{"x":23,"y":12}}]</t>
  </si>
  <si>
    <t>[{"id":1,"num":4,"point":{"x":16,"y":20}}, {"id":2001, "num":4,"point":{"x":25,"y":37}}, {"id":1, "num":4,"point":{"x":33,"y":16}}]</t>
  </si>
  <si>
    <t>[{"id":1,"num":5,"point":{"x":16,"y":20}}, {"id":2001, "num":4,"point":{"x":25,"y":37}}, {"id":1, "num":4,"point":{"x":33,"y":16}}]</t>
  </si>
  <si>
    <t>[{"id":1,"num":5,"point":{"x":25,"y":35}}, {"id":2001, "num":5,"point":{"x":33,"y":33}}, {"id":1, "num":5,"point":{"x":20,"y":18}}]</t>
  </si>
  <si>
    <t>[{"id":1,"num":6,"point":{"x":25,"y":35}}, {"id":2001, "num":5,"point":{"x":33,"y":33}}, {"id":1, "num":5,"point":{"x":20,"y":18}}]</t>
  </si>
  <si>
    <t>[{"id":1,"num":6,"point":{"x":15,"y":35}}, {"id":2001, "num":6,"point":{"x":26,"y":39}}, {"id":1, "num":5,"point":{"x":36,"y":37}}]</t>
  </si>
  <si>
    <t>[{"id":1,"num":6,"point":{"x":15,"y":35}}, {"id":2001, "num":6,"point":{"x":26,"y":39}}, {"id":1, "num":5,"point":{"x":36,"y":37}}, {"id":31, "num":1,"point":{"x":25,"y":42}}]</t>
  </si>
  <si>
    <t>[{"id":2,"num":2,"point":{"x":24,"y":37}}, {"id":2002, "num":2,"point":{"x":15,"y":35}}, {"id":2, "num":2,"point":{"x":33,"y":33}}]</t>
  </si>
  <si>
    <t>[{"id":2,"num":3,"point":{"x":24,"y":37}}, {"id":2002, "num":2,"point":{"x":15,"y":35}}, {"id":2, "num":2,"point":{"x":33,"y":33}}]</t>
  </si>
  <si>
    <t>[{"id":2,"num":3,"point":{"x":16,"y":38}}, {"id":2002, "num":3,"point":{"x":35,"y":35}}, {"id":2, "num":3,"point":{"x":23,"y":12}}]</t>
  </si>
  <si>
    <t>[{"id":2,"num":4,"point":{"x":16,"y":38}}, {"id":2002, "num":3,"point":{"x":35,"y":35}}, {"id":2, "num":3,"point":{"x":23,"y":12}}]</t>
  </si>
  <si>
    <t>[{"id":2,"num":4,"point":{"x":16,"y":20}}, {"id":2002, "num":4,"point":{"x":25,"y":37}}, {"id":2, "num":4,"point":{"x":33,"y":16}}]</t>
  </si>
  <si>
    <t>[{"id":2,"num":5,"point":{"x":16,"y":20}}, {"id":2002, "num":4,"point":{"x":25,"y":37}}, {"id":2, "num":4,"point":{"x":33,"y":16}}]</t>
  </si>
  <si>
    <t>[{"id":2,"num":5,"point":{"x":25,"y":35}}, {"id":2002, "num":5,"point":{"x":33,"y":33}}, {"id":2, "num":5,"point":{"x":20,"y":18}}]</t>
  </si>
  <si>
    <t>[{"id":2,"num":6,"point":{"x":25,"y":35}}, {"id":2002, "num":5,"point":{"x":33,"y":33}}, {"id":2, "num":5,"point":{"x":20,"y":18}}]</t>
  </si>
  <si>
    <t>[{"id":2,"num":6,"point":{"x":15,"y":35}}, {"id":2002, "num":6,"point":{"x":26,"y":39}}, {"id":2, "num":5,"point":{"x":36,"y":37}}]</t>
  </si>
  <si>
    <t>[{"id":2,"num":6,"point":{"x":15,"y":35}}, {"id":2002, "num":6,"point":{"x":26,"y":39}}, {"id":2, "num":5,"point":{"x":36,"y":37}}, {"id":32, "num":1,"point":{"x":25,"y":42}}]</t>
  </si>
  <si>
    <t>[{"id":3,"num":2,"point":{"x":24,"y":37}}, {"id":2003, "num":2,"point":{"x":15,"y":35}}, {"id":3, "num":2,"point":{"x":33,"y":33}}]</t>
  </si>
  <si>
    <t>[{"id":3,"num":3,"point":{"x":24,"y":37}}, {"id":2003, "num":2,"point":{"x":15,"y":35}}, {"id":3, "num":2,"point":{"x":33,"y":33}}]</t>
  </si>
  <si>
    <t>[{"id":3,"num":3,"point":{"x":16,"y":38}}, {"id":2003, "num":3,"point":{"x":35,"y":35}}, {"id":3, "num":3,"point":{"x":23,"y":12}}]</t>
  </si>
  <si>
    <t>[{"id":3,"num":4,"point":{"x":16,"y":38}}, {"id":2003, "num":3,"point":{"x":35,"y":35}}, {"id":3, "num":3,"point":{"x":23,"y":12}}]</t>
  </si>
  <si>
    <t>[{"id":3,"num":4,"point":{"x":16,"y":20}}, {"id":2003, "num":4,"point":{"x":25,"y":37}}, {"id":3, "num":4,"point":{"x":33,"y":16}}]</t>
  </si>
  <si>
    <t>[{"id":3,"num":5,"point":{"x":16,"y":20}}, {"id":2003, "num":4,"point":{"x":25,"y":37}}, {"id":3, "num":4,"point":{"x":33,"y":16}}]</t>
  </si>
  <si>
    <t>[{"id":3,"num":5,"point":{"x":25,"y":35}}, {"id":2003, "num":5,"point":{"x":33,"y":33}}, {"id":3, "num":5,"point":{"x":20,"y":18}}]</t>
  </si>
  <si>
    <t>[{"id":3,"num":6,"point":{"x":25,"y":35}}, {"id":2003, "num":5,"point":{"x":33,"y":33}}, {"id":3, "num":5,"point":{"x":20,"y":18}}]</t>
  </si>
  <si>
    <t>[{"id":3,"num":6,"point":{"x":15,"y":35}}, {"id":2003, "num":6,"point":{"x":26,"y":39}}, {"id":3, "num":5,"point":{"x":36,"y":37}}]</t>
  </si>
  <si>
    <t>[{"id":3,"num":6,"point":{"x":15,"y":35}}, {"id":2003, "num":6,"point":{"x":26,"y":39}}, {"id":3, "num":5,"point":{"x":36,"y":37}}, {"id":33, "num":1,"point":{"x":25,"y":42}}]</t>
  </si>
  <si>
    <t>[{"id":4,"num":2,"point":{"x":24,"y":37}}, {"id":2004, "num":2,"point":{"x":15,"y":35}}, {"id":4, "num":2,"point":{"x":33,"y":33}}]</t>
  </si>
  <si>
    <t>[{"id":4,"num":3,"point":{"x":24,"y":37}}, {"id":2004, "num":2,"point":{"x":15,"y":35}}, {"id":4, "num":2,"point":{"x":33,"y":33}}]</t>
  </si>
  <si>
    <t>[{"id":4,"num":3,"point":{"x":16,"y":38}}, {"id":2004, "num":3,"point":{"x":35,"y":35}}, {"id":4, "num":3,"point":{"x":23,"y":12}}]</t>
  </si>
  <si>
    <t>[{"id":4,"num":4,"point":{"x":16,"y":38}}, {"id":2004, "num":3,"point":{"x":35,"y":35}}, {"id":4, "num":3,"point":{"x":23,"y":12}}]</t>
  </si>
  <si>
    <t>[{"id":4,"num":4,"point":{"x":16,"y":20}}, {"id":2004, "num":4,"point":{"x":25,"y":37}}, {"id":4, "num":4,"point":{"x":33,"y":16}}]</t>
  </si>
  <si>
    <t>[{"id":4,"num":5,"point":{"x":16,"y":20}}, {"id":2004, "num":4,"point":{"x":25,"y":37}}, {"id":4, "num":4,"point":{"x":33,"y":16}}]</t>
  </si>
  <si>
    <t>[{"id":4,"num":5,"point":{"x":25,"y":35}}, {"id":2004, "num":5,"point":{"x":33,"y":33}}, {"id":4, "num":5,"point":{"x":20,"y":18}}]</t>
  </si>
  <si>
    <t>[{"id":4,"num":6,"point":{"x":25,"y":35}}, {"id":2004, "num":5,"point":{"x":33,"y":33}}, {"id":4, "num":5,"point":{"x":20,"y":18}}]</t>
  </si>
  <si>
    <t>[{"id":4,"num":6,"point":{"x":15,"y":35}}, {"id":2004, "num":6,"point":{"x":26,"y":39}}, {"id":4, "num":5,"point":{"x":36,"y":37}}]</t>
  </si>
  <si>
    <t>[{"id":4,"num":6,"point":{"x":15,"y":35}}, {"id":2004, "num":6,"point":{"x":26,"y":39}}, {"id":4, "num":5,"point":{"x":36,"y":37}}, {"id":34, "num":1,"point":{"x":25,"y":42}}]</t>
  </si>
  <si>
    <t>[{"id":5,"num":2,"point":{"x":24,"y":37}}, {"id":2005, "num":2,"point":{"x":15,"y":35}}, {"id":5, "num":2,"point":{"x":33,"y":33}}]</t>
  </si>
  <si>
    <t>[{"id":5,"num":3,"point":{"x":24,"y":37}}, {"id":2005, "num":2,"point":{"x":15,"y":35}}, {"id":5, "num":2,"point":{"x":33,"y":33}}]</t>
  </si>
  <si>
    <t>[{"id":5,"num":3,"point":{"x":16,"y":38}}, {"id":2005, "num":3,"point":{"x":35,"y":35}}, {"id":5, "num":3,"point":{"x":23,"y":12}}]</t>
  </si>
  <si>
    <t>[{"id":5,"num":4,"point":{"x":16,"y":38}}, {"id":2005, "num":3,"point":{"x":35,"y":35}}, {"id":5, "num":3,"point":{"x":23,"y":12}}]</t>
  </si>
  <si>
    <t>[{"id":5,"num":4,"point":{"x":16,"y":20}}, {"id":2005, "num":4,"point":{"x":25,"y":37}}, {"id":5, "num":4,"point":{"x":33,"y":16}}]</t>
  </si>
  <si>
    <t>[{"id":5,"num":5,"point":{"x":16,"y":20}}, {"id":2005, "num":4,"point":{"x":25,"y":37}}, {"id":5, "num":4,"point":{"x":33,"y":16}}]</t>
  </si>
  <si>
    <t>[{"id":5,"num":5,"point":{"x":25,"y":35}}, {"id":2005, "num":5,"point":{"x":33,"y":33}}, {"id":5, "num":5,"point":{"x":20,"y":18}}]</t>
  </si>
  <si>
    <t>[{"id":5,"num":6,"point":{"x":25,"y":35}}, {"id":2005, "num":5,"point":{"x":33,"y":33}}, {"id":5, "num":5,"point":{"x":20,"y":18}}]</t>
  </si>
  <si>
    <t>[{"id":5,"num":6,"point":{"x":15,"y":35}}, {"id":2005, "num":6,"point":{"x":26,"y":39}}, {"id":5, "num":5,"point":{"x":36,"y":37}}]</t>
  </si>
  <si>
    <t>[{"id":5,"num":6,"point":{"x":15,"y":35}}, {"id":2005, "num":6,"point":{"x":26,"y":39}}, {"id":5, "num":5,"point":{"x":36,"y":37}}, {"id":35, "num":1,"point":{"x":25,"y":42}}]</t>
  </si>
  <si>
    <t>[{"id":6,"num":2,"point":{"x":24,"y":37}}, {"id":2006, "num":2,"point":{"x":15,"y":35}}, {"id":6, "num":2,"point":{"x":33,"y":33}}]</t>
  </si>
  <si>
    <t>[{"id":6,"num":3,"point":{"x":24,"y":37}}, {"id":2006, "num":2,"point":{"x":15,"y":35}}, {"id":6, "num":2,"point":{"x":33,"y":33}}]</t>
  </si>
  <si>
    <t>[{"id":6,"num":3,"point":{"x":16,"y":38}}, {"id":2006, "num":3,"point":{"x":35,"y":35}}, {"id":6, "num":3,"point":{"x":23,"y":12}}]</t>
  </si>
  <si>
    <t>[{"id":6,"num":4,"point":{"x":16,"y":38}}, {"id":2006, "num":3,"point":{"x":35,"y":35}}, {"id":6, "num":3,"point":{"x":23,"y":12}}]</t>
  </si>
  <si>
    <t>[{"id":6,"num":4,"point":{"x":16,"y":20}}, {"id":2006, "num":4,"point":{"x":25,"y":37}}, {"id":6, "num":4,"point":{"x":33,"y":16}}]</t>
  </si>
  <si>
    <t>[{"id":6,"num":5,"point":{"x":16,"y":20}}, {"id":2006, "num":4,"point":{"x":25,"y":37}}, {"id":6, "num":4,"point":{"x":33,"y":16}}]</t>
  </si>
  <si>
    <t>[{"id":6,"num":5,"point":{"x":25,"y":35}}, {"id":2006, "num":5,"point":{"x":33,"y":33}}, {"id":6, "num":5,"point":{"x":20,"y":18}}]</t>
  </si>
  <si>
    <t>[{"id":6,"num":6,"point":{"x":25,"y":35}}, {"id":2006, "num":5,"point":{"x":33,"y":33}}, {"id":6, "num":5,"point":{"x":20,"y":18}}]</t>
  </si>
  <si>
    <t>[{"id":6,"num":6,"point":{"x":15,"y":35}}, {"id":2006, "num":6,"point":{"x":26,"y":39}}, {"id":6, "num":5,"point":{"x":36,"y":37}}]</t>
  </si>
  <si>
    <t>[{"id":6,"num":6,"point":{"x":15,"y":35}}, {"id":2006, "num":6,"point":{"x":26,"y":39}}, {"id":6, "num":5,"point":{"x":36,"y":37}}, {"id":36, "num":1,"point":{"x":25,"y":42}}]</t>
  </si>
  <si>
    <t>[{"id":7,"num":2,"point":{"x":24,"y":37}}, {"id":2007, "num":2,"point":{"x":15,"y":35}}, {"id":7, "num":2,"point":{"x":33,"y":33}}]</t>
  </si>
  <si>
    <t>[{"id":7,"num":3,"point":{"x":24,"y":37}}, {"id":2007, "num":2,"point":{"x":15,"y":35}}, {"id":7, "num":2,"point":{"x":33,"y":33}}]</t>
  </si>
  <si>
    <t>[{"id":7,"num":3,"point":{"x":16,"y":38}}, {"id":2007, "num":3,"point":{"x":35,"y":35}}, {"id":7, "num":3,"point":{"x":23,"y":12}}]</t>
  </si>
  <si>
    <t>[{"id":7,"num":4,"point":{"x":16,"y":38}}, {"id":2007, "num":3,"point":{"x":35,"y":35}}, {"id":7, "num":3,"point":{"x":23,"y":12}}]</t>
  </si>
  <si>
    <t>[{"id":7,"num":4,"point":{"x":16,"y":20}}, {"id":2007, "num":4,"point":{"x":25,"y":37}}, {"id":7, "num":4,"point":{"x":33,"y":16}}]</t>
  </si>
  <si>
    <t>[{"id":7,"num":5,"point":{"x":16,"y":20}}, {"id":2007, "num":4,"point":{"x":25,"y":37}}, {"id":7, "num":4,"point":{"x":33,"y":16}}]</t>
  </si>
  <si>
    <t>[{"id":7,"num":5,"point":{"x":25,"y":35}}, {"id":2007, "num":5,"point":{"x":33,"y":33}}, {"id":7, "num":5,"point":{"x":20,"y":18}}]</t>
  </si>
  <si>
    <t>[{"id":7,"num":6,"point":{"x":25,"y":35}}, {"id":2007, "num":5,"point":{"x":33,"y":33}}, {"id":7, "num":5,"point":{"x":20,"y":18}}]</t>
  </si>
  <si>
    <t>[{"id":7,"num":6,"point":{"x":15,"y":35}}, {"id":2007, "num":6,"point":{"x":26,"y":39}}, {"id":7, "num":5,"point":{"x":36,"y":37}}]</t>
  </si>
  <si>
    <t>[{"id":7,"num":6,"point":{"x":15,"y":35}}, {"id":2007, "num":6,"point":{"x":26,"y":39}}, {"id":7, "num":5,"point":{"x":36,"y":37}}, {"id":37, "num":1,"point":{"x":25,"y":42}}]</t>
  </si>
  <si>
    <t>[{"id":8,"num":2,"point":{"x":24,"y":37}}, {"id":8, "num":2,"point":{"x":15,"y":35}}, {"id":8, "num":2,"point":{"x":33,"y":33}}]</t>
  </si>
  <si>
    <t>[{"id":8,"num":3,"point":{"x":24,"y":37}}, {"id":8, "num":2,"point":{"x":15,"y":35}}, {"id":8, "num":2,"point":{"x":33,"y":33}}]</t>
  </si>
  <si>
    <t>[{"id":8,"num":3,"point":{"x":16,"y":38}}, {"id":8, "num":3,"point":{"x":35,"y":35}}, {"id":8, "num":3,"point":{"x":23,"y":12}}]</t>
  </si>
  <si>
    <t>[{"id":8,"num":4,"point":{"x":16,"y":38}}, {"id":8, "num":3,"point":{"x":35,"y":35}}, {"id":8, "num":3,"point":{"x":23,"y":12}}]</t>
  </si>
  <si>
    <t>[{"id":8,"num":4,"point":{"x":16,"y":20}}, {"id":8, "num":4,"point":{"x":25,"y":37}}, {"id":8, "num":4,"point":{"x":33,"y":16}}]</t>
  </si>
  <si>
    <t>[{"id":8,"num":5,"point":{"x":16,"y":20}}, {"id":8, "num":4,"point":{"x":25,"y":37}}, {"id":8, "num":4,"point":{"x":33,"y":16}}]</t>
  </si>
  <si>
    <t>[{"id":8,"num":5,"point":{"x":25,"y":35}}, {"id":8, "num":5,"point":{"x":33,"y":33}}, {"id":8, "num":5,"point":{"x":20,"y":18}}]</t>
  </si>
  <si>
    <t>[{"id":8,"num":6,"point":{"x":25,"y":35}}, {"id":8, "num":5,"point":{"x":33,"y":33}}, {"id":8, "num":5,"point":{"x":20,"y":18}}]</t>
  </si>
  <si>
    <t>[{"id":8,"num":6,"point":{"x":15,"y":35}}, {"id":8, "num":6,"point":{"x":26,"y":39}}, {"id":8, "num":5,"point":{"x":36,"y":37}}]</t>
  </si>
  <si>
    <t>[{"id":8,"num":6,"point":{"x":15,"y":35}}, {"id":8, "num":6,"point":{"x":26,"y":39}}, {"id":8, "num":5,"point":{"x":36,"y":37}}, {"id":38, "num":1,"point":{"x":25,"y":42}}]</t>
  </si>
  <si>
    <t>[{"id":9,"num":2,"point":{"x":24,"y":37}}, {"id":9, "num":2,"point":{"x":15,"y":35}}, {"id":9, "num":2,"point":{"x":33,"y":33}}]</t>
  </si>
  <si>
    <t>[{"id":9,"num":3,"point":{"x":24,"y":37}}, {"id":9, "num":2,"point":{"x":15,"y":35}}, {"id":9, "num":2,"point":{"x":33,"y":33}}]</t>
  </si>
  <si>
    <t>[{"id":9,"num":3,"point":{"x":16,"y":38}}, {"id":9, "num":3,"point":{"x":35,"y":35}}, {"id":9, "num":3,"point":{"x":23,"y":12}}]</t>
  </si>
  <si>
    <t>[{"id":9,"num":4,"point":{"x":16,"y":38}}, {"id":9, "num":3,"point":{"x":35,"y":35}}, {"id":9, "num":3,"point":{"x":23,"y":12}}]</t>
  </si>
  <si>
    <t>[{"id":9,"num":4,"point":{"x":16,"y":20}}, {"id":9, "num":4,"point":{"x":25,"y":37}}, {"id":9, "num":4,"point":{"x":33,"y":16}}]</t>
  </si>
  <si>
    <t>[{"id":9,"num":5,"point":{"x":16,"y":20}}, {"id":9, "num":4,"point":{"x":25,"y":37}}, {"id":9, "num":4,"point":{"x":33,"y":16}}]</t>
  </si>
  <si>
    <t>[{"id":9,"num":5,"point":{"x":25,"y":35}}, {"id":9, "num":5,"point":{"x":33,"y":33}}, {"id":9, "num":5,"point":{"x":20,"y":18}}]</t>
  </si>
  <si>
    <t>[{"id":9,"num":6,"point":{"x":25,"y":35}}, {"id":9, "num":5,"point":{"x":33,"y":33}}, {"id":9, "num":5,"point":{"x":20,"y":18}}]</t>
  </si>
  <si>
    <t>[{"id":9,"num":6,"point":{"x":15,"y":35}}, {"id":9, "num":6,"point":{"x":26,"y":39}}, {"id":9, "num":5,"point":{"x":36,"y":37}}]</t>
  </si>
  <si>
    <t>[{"id":9,"num":6,"point":{"x":15,"y":35}}, {"id":9, "num":6,"point":{"x":26,"y":39}}, {"id":9, "num":5,"point":{"x":36,"y":37}}, {"id":39, "num":1,"point":{"x":25,"y":42}}]</t>
  </si>
  <si>
    <t>[{"id":10,"num":2,"point":{"x":24,"y":37}}, {"id":10, "num":2,"point":{"x":15,"y":35}}, {"id":10, "num":2,"point":{"x":33,"y":33}}]</t>
  </si>
  <si>
    <t>[{"id":10,"num":3,"point":{"x":24,"y":37}}, {"id":10, "num":2,"point":{"x":15,"y":35}}, {"id":10, "num":2,"point":{"x":33,"y":33}}]</t>
  </si>
  <si>
    <t>[{"id":10,"num":3,"point":{"x":16,"y":38}}, {"id":10, "num":3,"point":{"x":35,"y":35}}, {"id":10, "num":3,"point":{"x":23,"y":12}}]</t>
  </si>
  <si>
    <t>[{"id":10,"num":4,"point":{"x":16,"y":38}}, {"id":10, "num":3,"point":{"x":35,"y":35}}, {"id":10, "num":3,"point":{"x":23,"y":12}}]</t>
  </si>
  <si>
    <t>[{"id":10,"num":4,"point":{"x":16,"y":20}}, {"id":10, "num":4,"point":{"x":25,"y":37}}, {"id":10, "num":4,"point":{"x":33,"y":16}}]</t>
  </si>
  <si>
    <t>[{"id":10,"num":5,"point":{"x":16,"y":20}}, {"id":10, "num":4,"point":{"x":25,"y":37}}, {"id":10, "num":4,"point":{"x":33,"y":16}}]</t>
  </si>
  <si>
    <t>[{"id":10,"num":5,"point":{"x":25,"y":35}}, {"id":10, "num":5,"point":{"x":33,"y":33}}, {"id":10, "num":5,"point":{"x":20,"y":18}}]</t>
  </si>
  <si>
    <t>[{"id":10,"num":6,"point":{"x":25,"y":35}}, {"id":10, "num":5,"point":{"x":33,"y":33}}, {"id":10, "num":5,"point":{"x":20,"y":18}}]</t>
  </si>
  <si>
    <t>[{"id":10,"num":6,"point":{"x":15,"y":35}}, {"id":10, "num":6,"point":{"x":26,"y":39}}, {"id":10, "num":5,"point":{"x":36,"y":37}}]</t>
  </si>
  <si>
    <t>[{"id":10,"num":6,"point":{"x":15,"y":35}}, {"id":10, "num":6,"point":{"x":26,"y":39}}, {"id":10, "num":5,"point":{"x":36,"y":37}}, {"id":40, "num":1,"point":{"x":25,"y":42}}]</t>
  </si>
  <si>
    <t>[{"id":11,"num":2,"point":{"x":24,"y":37}}, {"id":11, "num":2,"point":{"x":15,"y":35}}, {"id":11, "num":2,"point":{"x":33,"y":33}}]</t>
  </si>
  <si>
    <t>[{"id":11,"num":3,"point":{"x":24,"y":37}}, {"id":11, "num":2,"point":{"x":15,"y":35}}, {"id":11, "num":2,"point":{"x":33,"y":33}}]</t>
  </si>
  <si>
    <t>[{"id":11,"num":3,"point":{"x":16,"y":38}}, {"id":11, "num":3,"point":{"x":35,"y":35}}, {"id":11, "num":3,"point":{"x":23,"y":12}}]</t>
  </si>
  <si>
    <t>[{"id":11,"num":4,"point":{"x":16,"y":38}}, {"id":11, "num":3,"point":{"x":35,"y":35}}, {"id":11, "num":3,"point":{"x":23,"y":12}}]</t>
  </si>
  <si>
    <t>[{"id":11,"num":4,"point":{"x":16,"y":20}}, {"id":11, "num":4,"point":{"x":25,"y":37}}, {"id":11, "num":4,"point":{"x":33,"y":16}}]</t>
  </si>
  <si>
    <t>[{"id":11,"num":5,"point":{"x":16,"y":20}}, {"id":11, "num":4,"point":{"x":25,"y":37}}, {"id":11, "num":4,"point":{"x":33,"y":16}}]</t>
  </si>
  <si>
    <t>[{"id":11,"num":5,"point":{"x":25,"y":35}}, {"id":11, "num":5,"point":{"x":33,"y":33}}, {"id":11, "num":5,"point":{"x":20,"y":18}}]</t>
  </si>
  <si>
    <t>[{"id":11,"num":6,"point":{"x":25,"y":35}}, {"id":11, "num":5,"point":{"x":33,"y":33}}, {"id":11, "num":5,"point":{"x":20,"y":18}}]</t>
  </si>
  <si>
    <t>[{"id":11,"num":6,"point":{"x":15,"y":35}}, {"id":11, "num":6,"point":{"x":26,"y":39}}, {"id":11, "num":5,"point":{"x":36,"y":37}}]</t>
  </si>
  <si>
    <t>[{"id":11,"num":6,"point":{"x":15,"y":35}}, {"id":11, "num":6,"point":{"x":26,"y":39}}, {"id":11, "num":5,"point":{"x":36,"y":37}}, {"id":41, "num":1,"point":{"x":25,"y":42}}]</t>
  </si>
  <si>
    <t>[{"id":12,"num":2,"point":{"x":24,"y":37}}, {"id":12, "num":2,"point":{"x":15,"y":35}}, {"id":12, "num":2,"point":{"x":33,"y":33}}]</t>
  </si>
  <si>
    <t>[{"id":12,"num":3,"point":{"x":24,"y":37}}, {"id":12, "num":2,"point":{"x":15,"y":35}}, {"id":12, "num":2,"point":{"x":33,"y":33}}]</t>
  </si>
  <si>
    <t>[{"id":12,"num":3,"point":{"x":16,"y":38}}, {"id":12, "num":3,"point":{"x":35,"y":35}}, {"id":12, "num":3,"point":{"x":23,"y":12}}]</t>
  </si>
  <si>
    <t>[{"id":12,"num":4,"point":{"x":16,"y":38}}, {"id":12, "num":3,"point":{"x":35,"y":35}}, {"id":12, "num":3,"point":{"x":23,"y":12}}]</t>
  </si>
  <si>
    <t>[{"id":12,"num":4,"point":{"x":16,"y":20}}, {"id":12, "num":4,"point":{"x":25,"y":37}}, {"id":12, "num":4,"point":{"x":33,"y":16}}]</t>
  </si>
  <si>
    <t>[{"id":12,"num":5,"point":{"x":16,"y":20}}, {"id":12, "num":4,"point":{"x":25,"y":37}}, {"id":12, "num":4,"point":{"x":33,"y":16}}]</t>
  </si>
  <si>
    <t>[{"id":12,"num":5,"point":{"x":25,"y":35}}, {"id":12, "num":5,"point":{"x":33,"y":33}}, {"id":12, "num":5,"point":{"x":20,"y":18}}]</t>
  </si>
  <si>
    <t>[{"id":12,"num":6,"point":{"x":25,"y":35}}, {"id":12, "num":5,"point":{"x":33,"y":33}}, {"id":12, "num":5,"point":{"x":20,"y":18}}]</t>
  </si>
  <si>
    <t>[{"id":12,"num":6,"point":{"x":15,"y":35}}, {"id":12, "num":6,"point":{"x":26,"y":39}}, {"id":12, "num":5,"point":{"x":36,"y":37}}]</t>
  </si>
  <si>
    <t>[{"id":12,"num":6,"point":{"x":15,"y":35}}, {"id":12, "num":6,"point":{"x":26,"y":39}}, {"id":12, "num":5,"point":{"x":36,"y":37}}, {"id":42, "num":1,"point":{"x":25,"y":42}}]</t>
  </si>
  <si>
    <t>[{"id":13,"num":2,"point":{"x":24,"y":37}}, {"id":13, "num":2,"point":{"x":15,"y":35}}, {"id":13, "num":2,"point":{"x":33,"y":33}}]</t>
  </si>
  <si>
    <t>[{"id":13,"num":3,"point":{"x":24,"y":37}}, {"id":13, "num":2,"point":{"x":15,"y":35}}, {"id":13, "num":2,"point":{"x":33,"y":33}}]</t>
  </si>
  <si>
    <t>[{"id":13,"num":3,"point":{"x":16,"y":38}}, {"id":13, "num":3,"point":{"x":35,"y":35}}, {"id":13, "num":3,"point":{"x":23,"y":12}}]</t>
  </si>
  <si>
    <t>[{"id":13,"num":4,"point":{"x":16,"y":38}}, {"id":13, "num":3,"point":{"x":35,"y":35}}, {"id":13, "num":3,"point":{"x":23,"y":12}}]</t>
  </si>
  <si>
    <t>[{"id":13,"num":4,"point":{"x":16,"y":20}}, {"id":13, "num":4,"point":{"x":25,"y":37}}, {"id":13, "num":4,"point":{"x":33,"y":16}}]</t>
  </si>
  <si>
    <t>[{"id":13,"num":5,"point":{"x":16,"y":20}}, {"id":13, "num":4,"point":{"x":25,"y":37}}, {"id":13, "num":4,"point":{"x":33,"y":16}}]</t>
  </si>
  <si>
    <t>[{"id":13,"num":5,"point":{"x":25,"y":35}}, {"id":13, "num":5,"point":{"x":33,"y":33}}, {"id":13, "num":5,"point":{"x":20,"y":18}}]</t>
  </si>
  <si>
    <t>[{"id":13,"num":6,"point":{"x":25,"y":35}}, {"id":13, "num":5,"point":{"x":33,"y":33}}, {"id":13, "num":5,"point":{"x":20,"y":18}}]</t>
  </si>
  <si>
    <t>[{"id":13,"num":6,"point":{"x":15,"y":35}}, {"id":13, "num":6,"point":{"x":26,"y":39}}, {"id":13, "num":5,"point":{"x":36,"y":37}}]</t>
  </si>
  <si>
    <t>[{"id":13,"num":6,"point":{"x":15,"y":35}}, {"id":13, "num":6,"point":{"x":26,"y":39}}, {"id":13, "num":5,"point":{"x":36,"y":37}}, {"id":43, "num":1,"point":{"x":25,"y":42}}]</t>
  </si>
  <si>
    <t>[{"id":14,"num":2,"point":{"x":24,"y":37}}, {"id":14, "num":2,"point":{"x":15,"y":35}}, {"id":14, "num":2,"point":{"x":33,"y":33}}]</t>
  </si>
  <si>
    <t>[{"id":14,"num":3,"point":{"x":24,"y":37}}, {"id":14, "num":2,"point":{"x":15,"y":35}}, {"id":14, "num":2,"point":{"x":33,"y":33}}]</t>
  </si>
  <si>
    <t>[{"id":14,"num":3,"point":{"x":16,"y":38}}, {"id":14, "num":3,"point":{"x":35,"y":35}}, {"id":14, "num":3,"point":{"x":23,"y":12}}]</t>
  </si>
  <si>
    <t>[{"id":14,"num":4,"point":{"x":16,"y":38}}, {"id":14, "num":3,"point":{"x":35,"y":35}}, {"id":14, "num":3,"point":{"x":23,"y":12}}]</t>
  </si>
  <si>
    <t>[{"id":14,"num":4,"point":{"x":16,"y":20}}, {"id":14, "num":4,"point":{"x":25,"y":37}}, {"id":14, "num":4,"point":{"x":33,"y":16}}]</t>
  </si>
  <si>
    <t>[{"id":14,"num":5,"point":{"x":16,"y":20}}, {"id":14, "num":4,"point":{"x":25,"y":37}}, {"id":14, "num":4,"point":{"x":33,"y":16}}]</t>
  </si>
  <si>
    <t>[{"id":14,"num":5,"point":{"x":25,"y":35}}, {"id":14, "num":5,"point":{"x":33,"y":33}}, {"id":14, "num":5,"point":{"x":20,"y":18}}]</t>
  </si>
  <si>
    <t>[{"id":14,"num":6,"point":{"x":25,"y":35}}, {"id":14, "num":5,"point":{"x":33,"y":33}}, {"id":14, "num":5,"point":{"x":20,"y":18}}]</t>
  </si>
  <si>
    <t>[{"id":14,"num":6,"point":{"x":15,"y":35}}, {"id":14, "num":6,"point":{"x":26,"y":39}}, {"id":14, "num":5,"point":{"x":36,"y":37}}]</t>
  </si>
  <si>
    <t>[{"id":14,"num":6,"point":{"x":15,"y":35}}, {"id":14, "num":6,"point":{"x":26,"y":39}}, {"id":14, "num":5,"point":{"x":36,"y":37}}, {"id":44, "num":1,"point":{"x":25,"y":42}}]</t>
  </si>
  <si>
    <t>[{"id":15,"num":2,"point":{"x":24,"y":37}}, {"id":15, "num":2,"point":{"x":15,"y":35}}, {"id":15, "num":2,"point":{"x":33,"y":33}}]</t>
  </si>
  <si>
    <t>[{"id":15,"num":3,"point":{"x":24,"y":37}}, {"id":15, "num":2,"point":{"x":15,"y":35}}, {"id":15, "num":2,"point":{"x":33,"y":33}}]</t>
  </si>
  <si>
    <t>[{"id":15,"num":3,"point":{"x":16,"y":38}}, {"id":15, "num":3,"point":{"x":35,"y":35}}, {"id":15, "num":3,"point":{"x":23,"y":12}}]</t>
  </si>
  <si>
    <t>[{"id":15,"num":4,"point":{"x":16,"y":38}}, {"id":15, "num":3,"point":{"x":35,"y":35}}, {"id":15, "num":3,"point":{"x":23,"y":12}}]</t>
  </si>
  <si>
    <t>[{"id":15,"num":4,"point":{"x":16,"y":20}}, {"id":15, "num":4,"point":{"x":25,"y":37}}, {"id":15, "num":4,"point":{"x":33,"y":16}}]</t>
  </si>
  <si>
    <t>[{"id":15,"num":5,"point":{"x":16,"y":20}}, {"id":15, "num":4,"point":{"x":25,"y":37}}, {"id":15, "num":4,"point":{"x":33,"y":16}}]</t>
  </si>
  <si>
    <t>[{"id":15,"num":5,"point":{"x":25,"y":35}}, {"id":15, "num":5,"point":{"x":33,"y":33}}, {"id":15, "num":5,"point":{"x":20,"y":18}}]</t>
  </si>
  <si>
    <t>[{"id":15,"num":6,"point":{"x":25,"y":35}}, {"id":15, "num":5,"point":{"x":33,"y":33}}, {"id":15, "num":5,"point":{"x":20,"y":18}}]</t>
  </si>
  <si>
    <t>[{"id":15,"num":6,"point":{"x":15,"y":35}}, {"id":15, "num":6,"point":{"x":26,"y":39}}, {"id":15, "num":5,"point":{"x":36,"y":37}}]</t>
  </si>
  <si>
    <t>[{"id":15,"num":6,"point":{"x":15,"y":35}}, {"id":15, "num":6,"point":{"x":26,"y":39}}, {"id":15, "num":5,"point":{"x":36,"y":37}}, {"id":45, "num":1,"point":{"x":25,"y":42}}]</t>
  </si>
  <si>
    <t>[{"id":16,"num":2,"point":{"x":24,"y":37}}, {"id":16, "num":2,"point":{"x":15,"y":35}}, {"id":16, "num":2,"point":{"x":33,"y":33}}]</t>
  </si>
  <si>
    <t>[{"id":16,"num":3,"point":{"x":24,"y":37}}, {"id":16, "num":2,"point":{"x":15,"y":35}}, {"id":16, "num":2,"point":{"x":33,"y":33}}]</t>
  </si>
  <si>
    <t>[{"id":16,"num":3,"point":{"x":16,"y":38}}, {"id":16, "num":3,"point":{"x":35,"y":35}}, {"id":16, "num":3,"point":{"x":23,"y":12}}]</t>
  </si>
  <si>
    <t>[{"id":16,"num":4,"point":{"x":16,"y":38}}, {"id":16, "num":3,"point":{"x":35,"y":35}}, {"id":16, "num":3,"point":{"x":23,"y":12}}]</t>
  </si>
  <si>
    <t>[{"id":16,"num":4,"point":{"x":16,"y":20}}, {"id":16, "num":4,"point":{"x":25,"y":37}}, {"id":16, "num":4,"point":{"x":33,"y":16}}]</t>
  </si>
  <si>
    <t>[{"id":16,"num":5,"point":{"x":16,"y":20}}, {"id":16, "num":4,"point":{"x":25,"y":37}}, {"id":16, "num":4,"point":{"x":33,"y":16}}]</t>
  </si>
  <si>
    <t>[{"id":16,"num":5,"point":{"x":25,"y":35}}, {"id":16, "num":5,"point":{"x":33,"y":33}}, {"id":16, "num":5,"point":{"x":20,"y":18}}]</t>
  </si>
  <si>
    <t>[{"id":16,"num":6,"point":{"x":25,"y":35}}, {"id":16, "num":5,"point":{"x":33,"y":33}}, {"id":16, "num":5,"point":{"x":20,"y":18}}]</t>
  </si>
  <si>
    <t>[{"id":16,"num":6,"point":{"x":15,"y":35}}, {"id":16, "num":6,"point":{"x":26,"y":39}}, {"id":16, "num":5,"point":{"x":36,"y":37}}]</t>
  </si>
  <si>
    <t>[{"id":16,"num":6,"point":{"x":15,"y":35}}, {"id":16, "num":6,"point":{"x":26,"y":39}}, {"id":16, "num":5,"point":{"x":36,"y":37}}, {"id":46, "num":1,"point":{"x":25,"y":42}}]</t>
  </si>
  <si>
    <t>[{"id":17,"num":2,"point":{"x":24,"y":37}}, {"id":17, "num":2,"point":{"x":15,"y":35}}, {"id":17, "num":2,"point":{"x":33,"y":33}}]</t>
  </si>
  <si>
    <t>[{"id":17,"num":3,"point":{"x":24,"y":37}}, {"id":17, "num":2,"point":{"x":15,"y":35}}, {"id":17, "num":2,"point":{"x":33,"y":33}}]</t>
  </si>
  <si>
    <t>[{"id":17,"num":3,"point":{"x":16,"y":38}}, {"id":17, "num":3,"point":{"x":35,"y":35}}, {"id":17, "num":3,"point":{"x":23,"y":12}}]</t>
  </si>
  <si>
    <t>[{"id":17,"num":4,"point":{"x":16,"y":38}}, {"id":17, "num":3,"point":{"x":35,"y":35}}, {"id":17, "num":3,"point":{"x":23,"y":12}}]</t>
  </si>
  <si>
    <t>[{"id":17,"num":4,"point":{"x":16,"y":20}}, {"id":17, "num":4,"point":{"x":25,"y":37}}, {"id":17, "num":4,"point":{"x":33,"y":16}}]</t>
  </si>
  <si>
    <t>[{"id":17,"num":5,"point":{"x":16,"y":20}}, {"id":17, "num":4,"point":{"x":25,"y":37}}, {"id":17, "num":4,"point":{"x":33,"y":16}}]</t>
  </si>
  <si>
    <t>[{"id":17,"num":5,"point":{"x":25,"y":35}}, {"id":17, "num":5,"point":{"x":33,"y":33}}, {"id":17, "num":5,"point":{"x":20,"y":18}}]</t>
  </si>
  <si>
    <t>[{"id":17,"num":6,"point":{"x":25,"y":35}}, {"id":17, "num":5,"point":{"x":33,"y":33}}, {"id":17, "num":5,"point":{"x":20,"y":18}}]</t>
  </si>
  <si>
    <t>[{"id":17,"num":6,"point":{"x":15,"y":35}}, {"id":17, "num":6,"point":{"x":26,"y":39}}, {"id":17, "num":5,"point":{"x":36,"y":37}}]</t>
  </si>
  <si>
    <t>[{"id":17,"num":6,"point":{"x":15,"y":35}}, {"id":17, "num":6,"point":{"x":26,"y":39}}, {"id":17, "num":5,"point":{"x":36,"y":37}}, {"id":47, "num":1,"point":{"x":25,"y":42}}]</t>
  </si>
  <si>
    <t>[{"id":18,"num":2,"point":{"x":24,"y":37}}, {"id":18, "num":2,"point":{"x":15,"y":35}}, {"id":18, "num":2,"point":{"x":33,"y":33}}]</t>
  </si>
  <si>
    <t>[{"id":18,"num":3,"point":{"x":24,"y":37}}, {"id":18, "num":2,"point":{"x":15,"y":35}}, {"id":18, "num":2,"point":{"x":33,"y":33}}]</t>
  </si>
  <si>
    <t>[{"id":18,"num":3,"point":{"x":16,"y":38}}, {"id":18, "num":3,"point":{"x":35,"y":35}}, {"id":18, "num":3,"point":{"x":23,"y":12}}]</t>
  </si>
  <si>
    <t>[{"id":18,"num":4,"point":{"x":16,"y":38}}, {"id":18, "num":3,"point":{"x":35,"y":35}}, {"id":18, "num":3,"point":{"x":23,"y":12}}]</t>
  </si>
  <si>
    <t>[{"id":18,"num":4,"point":{"x":16,"y":20}}, {"id":18, "num":4,"point":{"x":25,"y":37}}, {"id":18, "num":4,"point":{"x":33,"y":16}}]</t>
  </si>
  <si>
    <t>[{"id":18,"num":5,"point":{"x":16,"y":20}}, {"id":18, "num":4,"point":{"x":25,"y":37}}, {"id":18, "num":4,"point":{"x":33,"y":16}}]</t>
  </si>
  <si>
    <t>[{"id":18,"num":5,"point":{"x":25,"y":35}}, {"id":18, "num":5,"point":{"x":33,"y":33}}, {"id":18, "num":5,"point":{"x":20,"y":18}}]</t>
  </si>
  <si>
    <t>[{"id":18,"num":6,"point":{"x":25,"y":35}}, {"id":18, "num":5,"point":{"x":33,"y":33}}, {"id":18, "num":5,"point":{"x":20,"y":18}}]</t>
  </si>
  <si>
    <t>[{"id":18,"num":6,"point":{"x":15,"y":35}}, {"id":18, "num":6,"point":{"x":26,"y":39}}, {"id":18, "num":5,"point":{"x":36,"y":37}}]</t>
  </si>
  <si>
    <t>[{"id":18,"num":6,"point":{"x":15,"y":35}}, {"id":18, "num":6,"point":{"x":26,"y":39}}, {"id":18, "num":5,"point":{"x":36,"y":37}}, {"id":48, "num":1,"point":{"x":25,"y":42}}]</t>
  </si>
  <si>
    <t>[{"id":19,"num":2,"point":{"x":24,"y":37}}, {"id":19, "num":2,"point":{"x":15,"y":35}}, {"id":19, "num":2,"point":{"x":33,"y":33}}]</t>
  </si>
  <si>
    <t>[{"id":19,"num":3,"point":{"x":24,"y":37}}, {"id":19, "num":2,"point":{"x":15,"y":35}}, {"id":19, "num":2,"point":{"x":33,"y":33}}]</t>
  </si>
  <si>
    <t>[{"id":19,"num":3,"point":{"x":16,"y":38}}, {"id":19, "num":3,"point":{"x":35,"y":35}}, {"id":19, "num":3,"point":{"x":23,"y":12}}]</t>
  </si>
  <si>
    <t>[{"id":19,"num":4,"point":{"x":16,"y":38}}, {"id":19, "num":3,"point":{"x":35,"y":35}}, {"id":19, "num":3,"point":{"x":23,"y":12}}]</t>
  </si>
  <si>
    <t>[{"id":19,"num":4,"point":{"x":16,"y":20}}, {"id":19, "num":4,"point":{"x":25,"y":37}}, {"id":19, "num":4,"point":{"x":33,"y":16}}]</t>
  </si>
  <si>
    <t>[{"id":19,"num":5,"point":{"x":16,"y":20}}, {"id":19, "num":4,"point":{"x":25,"y":37}}, {"id":19, "num":4,"point":{"x":33,"y":16}}]</t>
  </si>
  <si>
    <t>[{"id":19,"num":5,"point":{"x":25,"y":35}}, {"id":19, "num":5,"point":{"x":33,"y":33}}, {"id":19, "num":5,"point":{"x":20,"y":18}}]</t>
  </si>
  <si>
    <t>[{"id":19,"num":6,"point":{"x":25,"y":35}}, {"id":19, "num":5,"point":{"x":33,"y":33}}, {"id":19, "num":5,"point":{"x":20,"y":18}}]</t>
  </si>
  <si>
    <t>[{"id":19,"num":6,"point":{"x":15,"y":35}}, {"id":19, "num":6,"point":{"x":26,"y":39}}, {"id":19, "num":5,"point":{"x":36,"y":37}}]</t>
  </si>
  <si>
    <t>[{"id":19,"num":6,"point":{"x":15,"y":35}}, {"id":19, "num":6,"point":{"x":26,"y":39}}, {"id":19, "num":5,"point":{"x":36,"y":37}}, {"id":49, "num":1,"point":{"x":25,"y":42}}]</t>
  </si>
  <si>
    <t>[{"id":20,"num":2,"point":{"x":24,"y":37}}, {"id":20, "num":2,"point":{"x":15,"y":35}}, {"id":20, "num":2,"point":{"x":33,"y":33}}]</t>
  </si>
  <si>
    <t>[{"id":20,"num":3,"point":{"x":24,"y":37}}, {"id":20, "num":2,"point":{"x":15,"y":35}}, {"id":20, "num":2,"point":{"x":33,"y":33}}]</t>
  </si>
  <si>
    <t>[{"id":20,"num":3,"point":{"x":16,"y":38}}, {"id":20, "num":3,"point":{"x":35,"y":35}}, {"id":20, "num":3,"point":{"x":23,"y":12}}]</t>
  </si>
  <si>
    <t>[{"id":20,"num":4,"point":{"x":16,"y":38}}, {"id":20, "num":3,"point":{"x":35,"y":35}}, {"id":20, "num":3,"point":{"x":23,"y":12}}]</t>
  </si>
  <si>
    <t>[{"id":20,"num":4,"point":{"x":16,"y":20}}, {"id":20, "num":4,"point":{"x":25,"y":37}}, {"id":20, "num":4,"point":{"x":33,"y":16}}]</t>
  </si>
  <si>
    <t>[{"id":20,"num":5,"point":{"x":16,"y":20}}, {"id":20, "num":4,"point":{"x":25,"y":37}}, {"id":20, "num":4,"point":{"x":33,"y":16}}]</t>
  </si>
  <si>
    <t>[{"id":20,"num":5,"point":{"x":25,"y":35}}, {"id":20, "num":5,"point":{"x":33,"y":33}}, {"id":20, "num":5,"point":{"x":20,"y":18}}]</t>
  </si>
  <si>
    <t>[{"id":20,"num":6,"point":{"x":25,"y":35}}, {"id":20, "num":5,"point":{"x":33,"y":33}}, {"id":20, "num":5,"point":{"x":20,"y":18}}]</t>
  </si>
  <si>
    <t>[{"id":20,"num":6,"point":{"x":15,"y":35}}, {"id":20, "num":6,"point":{"x":26,"y":39}}, {"id":20, "num":5,"point":{"x":36,"y":37}}]</t>
  </si>
  <si>
    <t>[{"id":20,"num":6,"point":{"x":15,"y":35}}, {"id":20, "num":6,"point":{"x":26,"y":39}}, {"id":20, "num":5,"point":{"x":36,"y":37}}, {"id":50, "num":1,"point":{"x":25,"y":42}}]</t>
  </si>
  <si>
    <t>[{"id":21,"num":2,"point":{"x":24,"y":37}}, {"id":21, "num":2,"point":{"x":15,"y":35}}, {"id":21, "num":2,"point":{"x":33,"y":33}}]</t>
  </si>
  <si>
    <t>[{"id":21,"num":3,"point":{"x":24,"y":37}}, {"id":21, "num":2,"point":{"x":15,"y":35}}, {"id":21, "num":2,"point":{"x":33,"y":33}}]</t>
  </si>
  <si>
    <t>[{"id":21,"num":3,"point":{"x":16,"y":38}}, {"id":21, "num":3,"point":{"x":35,"y":35}}, {"id":21, "num":3,"point":{"x":23,"y":12}}]</t>
  </si>
  <si>
    <t>[{"id":21,"num":4,"point":{"x":16,"y":38}}, {"id":21, "num":3,"point":{"x":35,"y":35}}, {"id":21, "num":3,"point":{"x":23,"y":12}}]</t>
  </si>
  <si>
    <t>[{"id":21,"num":4,"point":{"x":16,"y":20}}, {"id":21, "num":4,"point":{"x":25,"y":37}}, {"id":21, "num":4,"point":{"x":33,"y":16}}]</t>
  </si>
  <si>
    <t>[{"id":21,"num":5,"point":{"x":16,"y":20}}, {"id":21, "num":4,"point":{"x":25,"y":37}}, {"id":21, "num":4,"point":{"x":33,"y":16}}]</t>
  </si>
  <si>
    <t>[{"id":21,"num":5,"point":{"x":25,"y":35}}, {"id":21, "num":5,"point":{"x":33,"y":33}}, {"id":21, "num":5,"point":{"x":20,"y":18}}]</t>
  </si>
  <si>
    <t>[{"id":21,"num":6,"point":{"x":25,"y":35}}, {"id":21, "num":5,"point":{"x":33,"y":33}}, {"id":21, "num":5,"point":{"x":20,"y":18}}]</t>
  </si>
  <si>
    <t>[{"id":21,"num":6,"point":{"x":15,"y":35}}, {"id":21, "num":6,"point":{"x":26,"y":39}}, {"id":21, "num":5,"point":{"x":36,"y":37}}]</t>
  </si>
  <si>
    <t>[{"id":21,"num":6,"point":{"x":15,"y":35}}, {"id":21, "num":6,"point":{"x":26,"y":39}}, {"id":21, "num":5,"point":{"x":36,"y":37}}, {"id":51, "num":1,"point":{"x":25,"y":42}}]</t>
  </si>
  <si>
    <t>[{"id":22,"num":2,"point":{"x":24,"y":37}}, {"id":22, "num":2,"point":{"x":15,"y":35}}, {"id":22, "num":2,"point":{"x":33,"y":33}}]</t>
  </si>
  <si>
    <t>[{"id":22,"num":3,"point":{"x":24,"y":37}}, {"id":22, "num":2,"point":{"x":15,"y":35}}, {"id":22, "num":2,"point":{"x":33,"y":33}}]</t>
  </si>
  <si>
    <t>[{"id":22,"num":3,"point":{"x":16,"y":38}}, {"id":22, "num":3,"point":{"x":35,"y":35}}, {"id":22, "num":3,"point":{"x":23,"y":12}}]</t>
  </si>
  <si>
    <t>[{"id":22,"num":4,"point":{"x":16,"y":38}}, {"id":22, "num":3,"point":{"x":35,"y":35}}, {"id":22, "num":3,"point":{"x":23,"y":12}}]</t>
  </si>
  <si>
    <t>[{"id":22,"num":4,"point":{"x":16,"y":20}}, {"id":22, "num":4,"point":{"x":25,"y":37}}, {"id":22, "num":4,"point":{"x":33,"y":16}}]</t>
  </si>
  <si>
    <t>[{"id":22,"num":5,"point":{"x":16,"y":20}}, {"id":22, "num":4,"point":{"x":25,"y":37}}, {"id":22, "num":4,"point":{"x":33,"y":16}}]</t>
  </si>
  <si>
    <t>[{"id":22,"num":5,"point":{"x":25,"y":35}}, {"id":22, "num":5,"point":{"x":33,"y":33}}, {"id":22, "num":5,"point":{"x":20,"y":18}}]</t>
  </si>
  <si>
    <t>[{"id":22,"num":6,"point":{"x":25,"y":35}}, {"id":22, "num":5,"point":{"x":33,"y":33}}, {"id":22, "num":5,"point":{"x":20,"y":18}}]</t>
  </si>
  <si>
    <t>[{"id":22,"num":6,"point":{"x":15,"y":35}}, {"id":22, "num":6,"point":{"x":26,"y":39}}, {"id":22, "num":5,"point":{"x":36,"y":37}}]</t>
  </si>
  <si>
    <t>[{"id":22,"num":6,"point":{"x":15,"y":35}}, {"id":22, "num":6,"point":{"x":26,"y":39}}, {"id":22, "num":5,"point":{"x":36,"y":37}}, {"id":52, "num":1,"point":{"x":25,"y":42}}]</t>
  </si>
  <si>
    <t>[{"id":23,"num":2,"point":{"x":24,"y":37}}, {"id":23, "num":2,"point":{"x":15,"y":35}}, {"id":23, "num":2,"point":{"x":33,"y":33}}]</t>
  </si>
  <si>
    <t>[{"id":23,"num":3,"point":{"x":24,"y":37}}, {"id":23, "num":2,"point":{"x":15,"y":35}}, {"id":23, "num":2,"point":{"x":33,"y":33}}]</t>
  </si>
  <si>
    <t>[{"id":23,"num":3,"point":{"x":16,"y":38}}, {"id":23, "num":3,"point":{"x":35,"y":35}}, {"id":23, "num":3,"point":{"x":23,"y":12}}]</t>
  </si>
  <si>
    <t>[{"id":23,"num":4,"point":{"x":16,"y":38}}, {"id":23, "num":3,"point":{"x":35,"y":35}}, {"id":23, "num":3,"point":{"x":23,"y":12}}]</t>
  </si>
  <si>
    <t>[{"id":23,"num":4,"point":{"x":16,"y":20}}, {"id":23, "num":4,"point":{"x":25,"y":37}}, {"id":23, "num":4,"point":{"x":33,"y":16}}]</t>
  </si>
  <si>
    <t>[{"id":23,"num":5,"point":{"x":16,"y":20}}, {"id":23, "num":4,"point":{"x":25,"y":37}}, {"id":23, "num":4,"point":{"x":33,"y":16}}]</t>
  </si>
  <si>
    <t>[{"id":23,"num":5,"point":{"x":25,"y":35}}, {"id":23, "num":5,"point":{"x":33,"y":33}}, {"id":23, "num":5,"point":{"x":20,"y":18}}]</t>
  </si>
  <si>
    <t>[{"id":23,"num":6,"point":{"x":25,"y":35}}, {"id":23, "num":5,"point":{"x":33,"y":33}}, {"id":23, "num":5,"point":{"x":20,"y":18}}]</t>
  </si>
  <si>
    <t>[{"id":23,"num":6,"point":{"x":15,"y":35}}, {"id":23, "num":6,"point":{"x":26,"y":39}}, {"id":23, "num":5,"point":{"x":36,"y":37}}]</t>
  </si>
  <si>
    <t>[{"id":23,"num":6,"point":{"x":15,"y":35}}, {"id":23, "num":6,"point":{"x":26,"y":39}}, {"id":23, "num":5,"point":{"x":36,"y":37}}, {"id":53, "num":1,"point":{"x":25,"y":42}}]</t>
  </si>
  <si>
    <t>[{"id":24,"num":2,"point":{"x":24,"y":37}}, {"id":24, "num":2,"point":{"x":15,"y":35}}, {"id":24, "num":2,"point":{"x":33,"y":33}}]</t>
  </si>
  <si>
    <t>[{"id":24,"num":3,"point":{"x":24,"y":37}}, {"id":24, "num":2,"point":{"x":15,"y":35}}, {"id":24, "num":2,"point":{"x":33,"y":33}}]</t>
  </si>
  <si>
    <t>[{"id":24,"num":3,"point":{"x":16,"y":38}}, {"id":24, "num":3,"point":{"x":35,"y":35}}, {"id":24, "num":3,"point":{"x":23,"y":12}}]</t>
  </si>
  <si>
    <t>[{"id":24,"num":4,"point":{"x":16,"y":38}}, {"id":24, "num":3,"point":{"x":35,"y":35}}, {"id":24, "num":3,"point":{"x":23,"y":12}}]</t>
  </si>
  <si>
    <t>[{"id":24,"num":4,"point":{"x":16,"y":20}}, {"id":24, "num":4,"point":{"x":25,"y":37}}, {"id":24, "num":4,"point":{"x":33,"y":16}}]</t>
  </si>
  <si>
    <t>[{"id":24,"num":5,"point":{"x":16,"y":20}}, {"id":24, "num":4,"point":{"x":25,"y":37}}, {"id":24, "num":4,"point":{"x":33,"y":16}}]</t>
  </si>
  <si>
    <t>[{"id":24,"num":5,"point":{"x":25,"y":35}}, {"id":24, "num":5,"point":{"x":33,"y":33}}, {"id":24, "num":5,"point":{"x":20,"y":18}}]</t>
  </si>
  <si>
    <t>[{"id":24,"num":6,"point":{"x":25,"y":35}}, {"id":24, "num":5,"point":{"x":33,"y":33}}, {"id":24, "num":5,"point":{"x":20,"y":18}}]</t>
  </si>
  <si>
    <t>[{"id":24,"num":6,"point":{"x":15,"y":35}}, {"id":24, "num":6,"point":{"x":26,"y":39}}, {"id":24, "num":5,"point":{"x":36,"y":37}}]</t>
  </si>
  <si>
    <t>[{"id":24,"num":6,"point":{"x":15,"y":35}}, {"id":24, "num":6,"point":{"x":26,"y":39}}, {"id":24, "num":5,"point":{"x":36,"y":37}}, {"id":54, "num":1,"point":{"x":25,"y":42}}]</t>
  </si>
  <si>
    <t>[{"id":25,"num":2,"point":{"x":24,"y":37}}, {"id":25, "num":2,"point":{"x":15,"y":35}}, {"id":25, "num":2,"point":{"x":33,"y":33}}]</t>
  </si>
  <si>
    <t>[{"id":25,"num":3,"point":{"x":24,"y":37}}, {"id":25, "num":2,"point":{"x":15,"y":35}}, {"id":25, "num":2,"point":{"x":33,"y":33}}]</t>
  </si>
  <si>
    <t>[{"id":25,"num":3,"point":{"x":16,"y":38}}, {"id":25, "num":3,"point":{"x":35,"y":35}}, {"id":25, "num":3,"point":{"x":23,"y":12}}]</t>
  </si>
  <si>
    <t>[{"id":25,"num":4,"point":{"x":16,"y":38}}, {"id":25, "num":3,"point":{"x":35,"y":35}}, {"id":25, "num":3,"point":{"x":23,"y":12}}]</t>
  </si>
  <si>
    <t>[{"id":25,"num":4,"point":{"x":16,"y":20}}, {"id":25, "num":4,"point":{"x":25,"y":37}}, {"id":25, "num":4,"point":{"x":33,"y":16}}]</t>
  </si>
  <si>
    <t>[{"id":25,"num":5,"point":{"x":16,"y":20}}, {"id":25, "num":4,"point":{"x":25,"y":37}}, {"id":25, "num":4,"point":{"x":33,"y":16}}]</t>
  </si>
  <si>
    <t>[{"id":25,"num":5,"point":{"x":25,"y":35}}, {"id":25, "num":5,"point":{"x":33,"y":33}}, {"id":25, "num":5,"point":{"x":20,"y":18}}]</t>
  </si>
  <si>
    <t>[{"id":25,"num":6,"point":{"x":25,"y":35}}, {"id":25, "num":5,"point":{"x":33,"y":33}}, {"id":25, "num":5,"point":{"x":20,"y":18}}]</t>
  </si>
  <si>
    <t>[{"id":25,"num":6,"point":{"x":15,"y":35}}, {"id":25, "num":6,"point":{"x":26,"y":39}}, {"id":25, "num":5,"point":{"x":36,"y":37}}]</t>
  </si>
  <si>
    <t>[{"id":25,"num":6,"point":{"x":15,"y":35}}, {"id":25, "num":6,"point":{"x":26,"y":39}}, {"id":25, "num":5,"point":{"x":36,"y":37}}, {"id":55, "num":1,"point":{"x":25,"y":42}}]</t>
  </si>
  <si>
    <t>[{"id":26,"num":2,"point":{"x":24,"y":37}}, {"id":26, "num":2,"point":{"x":15,"y":35}}, {"id":26, "num":2,"point":{"x":33,"y":33}}]</t>
  </si>
  <si>
    <t>[{"id":26,"num":3,"point":{"x":24,"y":37}}, {"id":26, "num":2,"point":{"x":15,"y":35}}, {"id":26, "num":2,"point":{"x":33,"y":33}}]</t>
  </si>
  <si>
    <t>[{"id":26,"num":3,"point":{"x":16,"y":38}}, {"id":26, "num":3,"point":{"x":35,"y":35}}, {"id":26, "num":3,"point":{"x":23,"y":12}}]</t>
  </si>
  <si>
    <t>[{"id":26,"num":4,"point":{"x":16,"y":38}}, {"id":26, "num":3,"point":{"x":35,"y":35}}, {"id":26, "num":3,"point":{"x":23,"y":12}}]</t>
  </si>
  <si>
    <t>[{"id":26,"num":4,"point":{"x":16,"y":20}}, {"id":26, "num":4,"point":{"x":25,"y":37}}, {"id":26, "num":4,"point":{"x":33,"y":16}}]</t>
  </si>
  <si>
    <t>[{"id":26,"num":5,"point":{"x":16,"y":20}}, {"id":26, "num":4,"point":{"x":25,"y":37}}, {"id":26, "num":4,"point":{"x":33,"y":16}}]</t>
  </si>
  <si>
    <t>[{"id":26,"num":5,"point":{"x":25,"y":35}}, {"id":26, "num":5,"point":{"x":33,"y":33}}, {"id":26, "num":5,"point":{"x":20,"y":18}}]</t>
  </si>
  <si>
    <t>[{"id":26,"num":6,"point":{"x":25,"y":35}}, {"id":26, "num":5,"point":{"x":33,"y":33}}, {"id":26, "num":5,"point":{"x":20,"y":18}}]</t>
  </si>
  <si>
    <t>[{"id":26,"num":6,"point":{"x":15,"y":35}}, {"id":26, "num":6,"point":{"x":26,"y":39}}, {"id":26, "num":5,"point":{"x":36,"y":37}}]</t>
  </si>
  <si>
    <t>[{"id":26,"num":6,"point":{"x":15,"y":35}}, {"id":26, "num":6,"point":{"x":26,"y":39}}, {"id":26, "num":5,"point":{"x":36,"y":37}}, {"id":56, "num":1,"point":{"x":25,"y":42}}]</t>
  </si>
  <si>
    <t>[{"id":27,"num":2,"point":{"x":24,"y":37}}, {"id":27, "num":2,"point":{"x":15,"y":35}}, {"id":27, "num":2,"point":{"x":33,"y":33}}]</t>
  </si>
  <si>
    <t>[{"id":27,"num":3,"point":{"x":24,"y":37}}, {"id":27, "num":2,"point":{"x":15,"y":35}}, {"id":27, "num":2,"point":{"x":33,"y":33}}]</t>
  </si>
  <si>
    <t>[{"id":27,"num":3,"point":{"x":16,"y":38}}, {"id":27, "num":3,"point":{"x":35,"y":35}}, {"id":27, "num":3,"point":{"x":23,"y":12}}]</t>
  </si>
  <si>
    <t>[{"id":27,"num":4,"point":{"x":16,"y":38}}, {"id":27, "num":3,"point":{"x":35,"y":35}}, {"id":27, "num":3,"point":{"x":23,"y":12}}]</t>
  </si>
  <si>
    <t>[{"id":27,"num":4,"point":{"x":16,"y":20}}, {"id":27, "num":4,"point":{"x":25,"y":37}}, {"id":27, "num":4,"point":{"x":33,"y":16}}]</t>
  </si>
  <si>
    <t>[{"id":27,"num":5,"point":{"x":16,"y":20}}, {"id":27, "num":4,"point":{"x":25,"y":37}}, {"id":27, "num":4,"point":{"x":33,"y":16}}]</t>
  </si>
  <si>
    <t>[{"id":27,"num":5,"point":{"x":25,"y":35}}, {"id":27, "num":5,"point":{"x":33,"y":33}}, {"id":27, "num":5,"point":{"x":20,"y":18}}]</t>
  </si>
  <si>
    <t>[{"id":27,"num":6,"point":{"x":25,"y":35}}, {"id":27, "num":5,"point":{"x":33,"y":33}}, {"id":27, "num":5,"point":{"x":20,"y":18}}]</t>
  </si>
  <si>
    <t>[{"id":27,"num":6,"point":{"x":15,"y":35}}, {"id":27, "num":6,"point":{"x":26,"y":39}}, {"id":27, "num":5,"point":{"x":36,"y":37}}]</t>
  </si>
  <si>
    <t>[{"id":27,"num":6,"point":{"x":15,"y":35}}, {"id":27, "num":6,"point":{"x":26,"y":39}}, {"id":27, "num":5,"point":{"x":36,"y":37}}, {"id":57, "num":1,"point":{"x":25,"y":42}}]</t>
  </si>
  <si>
    <t>[{"id":28,"num":2,"point":{"x":24,"y":37}}, {"id":28, "num":2,"point":{"x":15,"y":35}}, {"id":28, "num":2,"point":{"x":33,"y":33}}]</t>
  </si>
  <si>
    <t>[{"id":28,"num":3,"point":{"x":24,"y":37}}, {"id":28, "num":2,"point":{"x":15,"y":35}}, {"id":28, "num":2,"point":{"x":33,"y":33}}]</t>
  </si>
  <si>
    <t>[{"id":28,"num":3,"point":{"x":16,"y":38}}, {"id":28, "num":3,"point":{"x":35,"y":35}}, {"id":28, "num":3,"point":{"x":23,"y":12}}]</t>
  </si>
  <si>
    <t>[{"id":28,"num":4,"point":{"x":16,"y":38}}, {"id":28, "num":3,"point":{"x":35,"y":35}}, {"id":28, "num":3,"point":{"x":23,"y":12}}]</t>
  </si>
  <si>
    <t>[{"id":28,"num":4,"point":{"x":16,"y":20}}, {"id":28, "num":4,"point":{"x":25,"y":37}}, {"id":28, "num":4,"point":{"x":33,"y":16}}]</t>
  </si>
  <si>
    <t>[{"id":28,"num":5,"point":{"x":16,"y":20}}, {"id":28, "num":4,"point":{"x":25,"y":37}}, {"id":28, "num":4,"point":{"x":33,"y":16}}]</t>
  </si>
  <si>
    <t>[{"id":28,"num":5,"point":{"x":25,"y":35}}, {"id":28, "num":5,"point":{"x":33,"y":33}}, {"id":28, "num":5,"point":{"x":20,"y":18}}]</t>
  </si>
  <si>
    <t>[{"id":28,"num":6,"point":{"x":25,"y":35}}, {"id":28, "num":5,"point":{"x":33,"y":33}}, {"id":28, "num":5,"point":{"x":20,"y":18}}]</t>
  </si>
  <si>
    <t>[{"id":28,"num":6,"point":{"x":15,"y":35}}, {"id":28, "num":6,"point":{"x":26,"y":39}}, {"id":28, "num":5,"point":{"x":36,"y":37}}]</t>
  </si>
  <si>
    <t>[{"id":28,"num":6,"point":{"x":15,"y":35}}, {"id":28, "num":6,"point":{"x":26,"y":39}}, {"id":28, "num":5,"point":{"x":36,"y":37}}, {"id":58, "num":1,"point":{"x":25,"y":42}}]</t>
  </si>
  <si>
    <t>[{"id":29,"num":2,"point":{"x":24,"y":37}}, {"id":29, "num":2,"point":{"x":15,"y":35}}, {"id":29, "num":2,"point":{"x":33,"y":33}}]</t>
  </si>
  <si>
    <t>[{"id":29,"num":3,"point":{"x":24,"y":37}}, {"id":29, "num":2,"point":{"x":15,"y":35}}, {"id":29, "num":2,"point":{"x":33,"y":33}}]</t>
  </si>
  <si>
    <t>[{"id":29,"num":3,"point":{"x":16,"y":38}}, {"id":29, "num":3,"point":{"x":35,"y":35}}, {"id":29, "num":3,"point":{"x":23,"y":12}}]</t>
  </si>
  <si>
    <t>[{"id":29,"num":4,"point":{"x":16,"y":38}}, {"id":29, "num":3,"point":{"x":35,"y":35}}, {"id":29, "num":3,"point":{"x":23,"y":12}}]</t>
  </si>
  <si>
    <t>[{"id":29,"num":4,"point":{"x":16,"y":20}}, {"id":29, "num":4,"point":{"x":25,"y":37}}, {"id":29, "num":4,"point":{"x":33,"y":16}}]</t>
  </si>
  <si>
    <t>[{"id":29,"num":5,"point":{"x":16,"y":20}}, {"id":29, "num":4,"point":{"x":25,"y":37}}, {"id":29, "num":4,"point":{"x":33,"y":16}}]</t>
  </si>
  <si>
    <t>[{"id":29,"num":5,"point":{"x":25,"y":35}}, {"id":29, "num":5,"point":{"x":33,"y":33}}, {"id":29, "num":5,"point":{"x":20,"y":18}}]</t>
  </si>
  <si>
    <t>[{"id":29,"num":6,"point":{"x":25,"y":35}}, {"id":29, "num":5,"point":{"x":33,"y":33}}, {"id":29, "num":5,"point":{"x":20,"y":18}}]</t>
  </si>
  <si>
    <t>[{"id":29,"num":6,"point":{"x":15,"y":35}}, {"id":29, "num":6,"point":{"x":26,"y":39}}, {"id":29, "num":5,"point":{"x":36,"y":37}}]</t>
  </si>
  <si>
    <t>[{"id":29,"num":6,"point":{"x":15,"y":35}}, {"id":29, "num":6,"point":{"x":26,"y":39}}, {"id":29, "num":5,"point":{"x":36,"y":37}}, {"id":59, "num":1,"point":{"x":25,"y":42}}]</t>
  </si>
  <si>
    <t>[{"id":30,"num":2,"point":{"x":24,"y":37}}, {"id":30, "num":2,"point":{"x":15,"y":35}}, {"id":30, "num":2,"point":{"x":33,"y":33}}]</t>
  </si>
  <si>
    <t>[{"id":30,"num":3,"point":{"x":24,"y":37}}, {"id":30, "num":2,"point":{"x":15,"y":35}}, {"id":30, "num":2,"point":{"x":33,"y":33}}]</t>
  </si>
  <si>
    <t>[{"id":30,"num":3,"point":{"x":16,"y":38}}, {"id":30, "num":3,"point":{"x":35,"y":35}}, {"id":30, "num":3,"point":{"x":23,"y":12}}]</t>
  </si>
  <si>
    <t>[{"id":30,"num":4,"point":{"x":16,"y":38}}, {"id":30, "num":3,"point":{"x":35,"y":35}}, {"id":30, "num":3,"point":{"x":23,"y":12}}]</t>
  </si>
  <si>
    <t>[{"id":30,"num":4,"point":{"x":16,"y":20}}, {"id":30, "num":4,"point":{"x":25,"y":37}}, {"id":30, "num":4,"point":{"x":33,"y":16}}]</t>
  </si>
  <si>
    <t>[{"id":30,"num":5,"point":{"x":16,"y":20}}, {"id":30, "num":4,"point":{"x":25,"y":37}}, {"id":30, "num":4,"point":{"x":33,"y":16}}]</t>
  </si>
  <si>
    <t>[{"id":30,"num":5,"point":{"x":25,"y":35}}, {"id":30, "num":5,"point":{"x":33,"y":33}}, {"id":30, "num":5,"point":{"x":20,"y":18}}]</t>
  </si>
  <si>
    <t>[{"id":30,"num":6,"point":{"x":25,"y":35}}, {"id":30, "num":5,"point":{"x":33,"y":33}}, {"id":30, "num":5,"point":{"x":20,"y":18}}]</t>
  </si>
  <si>
    <t>[{"id":30,"num":6,"point":{"x":15,"y":35}}, {"id":30, "num":6,"point":{"x":26,"y":39}}, {"id":30, "num":5,"point":{"x":36,"y":37}}]</t>
  </si>
  <si>
    <t>[{"id":30,"num":6,"point":{"x":15,"y":35}}, {"id":30, "num":6,"point":{"x":26,"y":39}}, {"id":30, "num":5,"point":{"x":36,"y":37}}, {"id":60, "num":1,"point":{"x":25,"y":42}}]</t>
  </si>
  <si>
    <t>[{"id":30,"num":2,"point":{"x":24,"y":37}}, {"id":31, "num":2,"point":{"x":15,"y":35}}, {"id":231, "num":2,"point":{"x":33,"y":33}}]</t>
  </si>
  <si>
    <t>[{"id":30,"num":3,"point":{"x":24,"y":37}}, {"id":32, "num":2,"point":{"x":15,"y":35}}, {"id":231, "num":2,"point":{"x":33,"y":33}}]</t>
  </si>
  <si>
    <t>[{"id":30,"num":3,"point":{"x":16,"y":38}}, {"id":33, "num":3,"point":{"x":35,"y":35}}, {"id":231, "num":2,"point":{"x":23,"y":12}}]</t>
  </si>
  <si>
    <t>[{"id":30,"num":4,"point":{"x":16,"y":38}}, {"id":34, "num":3,"point":{"x":35,"y":35}}, {"id":231, "num":2,"point":{"x":23,"y":12}}]</t>
  </si>
  <si>
    <t>[{"id":30,"num":4,"point":{"x":16,"y":20}}, {"id":35, "num":4,"point":{"x":25,"y":37}}, {"id":231, "num":2,"point":{"x":33,"y":16}}]</t>
  </si>
  <si>
    <t>[{"id":30,"num":5,"point":{"x":16,"y":20}}, {"id":36, "num":4,"point":{"x":25,"y":37}}, {"id":231, "num":2,"point":{"x":33,"y":16}}]</t>
  </si>
  <si>
    <t>[{"id":30,"num":5,"point":{"x":25,"y":35}}, {"id":37, "num":5,"point":{"x":33,"y":33}}, {"id":231, "num":2,"point":{"x":20,"y":18}}]</t>
  </si>
  <si>
    <t>[{"id":30,"num":6,"point":{"x":25,"y":35}}, {"id":38, "num":5,"point":{"x":33,"y":33}}, {"id":231, "num":2,"point":{"x":20,"y":18}}]</t>
  </si>
  <si>
    <t>[{"id":30,"num":6,"point":{"x":15,"y":35}}, {"id":39, "num":6,"point":{"x":26,"y":39}}, {"id":231, "num":2,"point":{"x":36,"y":37}}]</t>
  </si>
  <si>
    <t>[{"id":30,"num":6,"point":{"x":15,"y":35}}, {"id":40, "num":6,"point":{"x":26,"y":39}}, {"id":231, "num":2,"point":{"x":36,"y":37}}, {"id":261, "num":1,"point":{"x":25,"y":42}}]</t>
  </si>
  <si>
    <t>[{"id":30,"num":2,"point":{"x":24,"y":37}}, {"id":31, "num":3,"point":{"x":15,"y":35}}, {"id":232, "num":2,"point":{"x":33,"y":33}}]</t>
  </si>
  <si>
    <t>[{"id":30,"num":3,"point":{"x":24,"y":37}}, {"id":32, "num":3,"point":{"x":15,"y":35}}, {"id":232, "num":2,"point":{"x":33,"y":33}}]</t>
  </si>
  <si>
    <t>[{"id":30,"num":3,"point":{"x":16,"y":38}}, {"id":33, "num":4,"point":{"x":35,"y":35}}, {"id":232, "num":2,"point":{"x":23,"y":12}}]</t>
  </si>
  <si>
    <t>[{"id":30,"num":4,"point":{"x":16,"y":38}}, {"id":34, "num":4,"point":{"x":35,"y":35}}, {"id":232, "num":2,"point":{"x":23,"y":12}}]</t>
  </si>
  <si>
    <t>[{"id":30,"num":4,"point":{"x":16,"y":20}}, {"id":35, "num":5,"point":{"x":25,"y":37}}, {"id":232, "num":2,"point":{"x":33,"y":16}}]</t>
  </si>
  <si>
    <t>[{"id":30,"num":5,"point":{"x":16,"y":20}}, {"id":36, "num":5,"point":{"x":25,"y":37}}, {"id":232, "num":2,"point":{"x":33,"y":16}}]</t>
  </si>
  <si>
    <t>[{"id":30,"num":5,"point":{"x":25,"y":35}}, {"id":37, "num":6,"point":{"x":33,"y":33}}, {"id":232, "num":2,"point":{"x":20,"y":18}}]</t>
  </si>
  <si>
    <t>[{"id":30,"num":6,"point":{"x":25,"y":35}}, {"id":38, "num":6,"point":{"x":33,"y":33}}, {"id":232, "num":2,"point":{"x":20,"y":18}}]</t>
  </si>
  <si>
    <t>[{"id":30,"num":6,"point":{"x":15,"y":35}}, {"id":39, "num":7,"point":{"x":26,"y":39}}, {"id":232, "num":2,"point":{"x":36,"y":37}}]</t>
  </si>
  <si>
    <t>[{"id":30,"num":6,"point":{"x":15,"y":35}}, {"id":40, "num":7,"point":{"x":26,"y":39}}, {"id":232, "num":2,"point":{"x":36,"y":37}}, {"id":262, "num":1,"point":{"x":25,"y":42}}]</t>
  </si>
  <si>
    <t>[{"id":30,"num":2,"point":{"x":24,"y":37}}, {"id":41, "num":2,"point":{"x":15,"y":35}}, {"id":233, "num":3,"point":{"x":33,"y":33}}]</t>
  </si>
  <si>
    <t>[{"id":30,"num":3,"point":{"x":24,"y":37}}, {"id":42, "num":2,"point":{"x":15,"y":35}}, {"id":233, "num":3,"point":{"x":33,"y":33}}]</t>
  </si>
  <si>
    <t>[{"id":30,"num":3,"point":{"x":16,"y":38}}, {"id":43, "num":3,"point":{"x":35,"y":35}}, {"id":233, "num":3,"point":{"x":23,"y":12}}]</t>
  </si>
  <si>
    <t>[{"id":30,"num":4,"point":{"x":16,"y":38}}, {"id":44, "num":3,"point":{"x":35,"y":35}}, {"id":233, "num":3,"point":{"x":23,"y":12}}]</t>
  </si>
  <si>
    <t>[{"id":30,"num":4,"point":{"x":16,"y":20}}, {"id":45, "num":4,"point":{"x":25,"y":37}}, {"id":233, "num":3,"point":{"x":36,"y":37}}, {"id":263, "num":1,"point":{"x":25,"y":42}}]</t>
  </si>
  <si>
    <t>[{"id":30,"num":5,"point":{"x":16,"y":20}}, {"id":46, "num":4,"point":{"x":25,"y":37}}, {"id":234, "num":3,"point":{"x":33,"y":16}}]</t>
  </si>
  <si>
    <t>[{"id":30,"num":5,"point":{"x":25,"y":35}}, {"id":47, "num":5,"point":{"x":33,"y":33}}, {"id":234, "num":3,"point":{"x":20,"y":18}}]</t>
  </si>
  <si>
    <t>[{"id":30,"num":6,"point":{"x":25,"y":35}}, {"id":48, "num":5,"point":{"x":33,"y":33}}, {"id":234, "num":3,"point":{"x":20,"y":18}}]</t>
  </si>
  <si>
    <t>[{"id":30,"num":6,"point":{"x":15,"y":35}}, {"id":49, "num":6,"point":{"x":26,"y":39}}, {"id":234, "num":3,"point":{"x":36,"y":37}}]</t>
  </si>
  <si>
    <t>[{"id":30,"num":6,"point":{"x":15,"y":35}}, {"id":50, "num":7,"point":{"x":26,"y":39}}, {"id":234, "num":3,"point":{"x":36,"y":37}}, {"id":264, "num":1,"point":{"x":25,"y":42}}]</t>
  </si>
  <si>
    <t>[{"id":30,"num":2,"point":{"x":24,"y":37}}, {"id":46, "num":4,"point":{"x":15,"y":35}}, {"id":235, "num":3,"point":{"x":33,"y":33}}]</t>
  </si>
  <si>
    <t>[{"id":30,"num":3,"point":{"x":24,"y":37}}, {"id":47, "num":5,"point":{"x":15,"y":35}}, {"id":235, "num":3,"point":{"x":33,"y":33}}]</t>
  </si>
  <si>
    <t>[{"id":30,"num":3,"point":{"x":16,"y":38}}, {"id":48, "num":5,"point":{"x":35,"y":35}}, {"id":235, "num":3,"point":{"x":23,"y":12}}]</t>
  </si>
  <si>
    <t>[{"id":30,"num":4,"point":{"x":16,"y":38}}, {"id":49, "num":6,"point":{"x":35,"y":35}}, {"id":235, "num":3,"point":{"x":23,"y":12}}]</t>
  </si>
  <si>
    <t>[{"id":30,"num":4,"point":{"x":16,"y":20}}, {"id":50, "num":7,"point":{"x":25,"y":37}}, {"id":235, "num":3,"point":{"x":36,"y":37}}, {"id":265, "num":1,"point":{"x":25,"y":42}}]</t>
  </si>
  <si>
    <t>[{"id":30,"num":5,"point":{"x":16,"y":20}}, {"id":46, "num":4,"point":{"x":25,"y":37}}, {"id":236, "num":3,"point":{"x":33,"y":16}}]</t>
  </si>
  <si>
    <t>[{"id":30,"num":5,"point":{"x":25,"y":35}}, {"id":47, "num":5,"point":{"x":33,"y":33}}, {"id":236, "num":3,"point":{"x":20,"y":18}}]</t>
  </si>
  <si>
    <t>[{"id":30,"num":6,"point":{"x":25,"y":35}}, {"id":48, "num":5,"point":{"x":33,"y":33}}, {"id":236, "num":3,"point":{"x":20,"y":18}}]</t>
  </si>
  <si>
    <t>[{"id":30,"num":6,"point":{"x":15,"y":35}}, {"id":49, "num":6,"point":{"x":26,"y":39}}, {"id":236, "num":3,"point":{"x":36,"y":37}}]</t>
  </si>
  <si>
    <t>[{"id":30,"num":6,"point":{"x":15,"y":35}}, {"id":50, "num":7,"point":{"x":26,"y":39}}, {"id":236, "num":3,"point":{"x":36,"y":37}}, {"id":266, "num":1,"point":{"x":25,"y":42}}]</t>
  </si>
  <si>
    <t>[{"id":30,"num":2,"point":{"x":24,"y":37}}, {"id":46, "num":4,"point":{"x":15,"y":35}}, {"id":237, "num":3,"point":{"x":33,"y":33}}]</t>
  </si>
  <si>
    <t>[{"id":30,"num":3,"point":{"x":24,"y":37}}, {"id":47, "num":5,"point":{"x":15,"y":35}}, {"id":237, "num":3,"point":{"x":33,"y":33}}]</t>
  </si>
  <si>
    <t>[{"id":30,"num":3,"point":{"x":16,"y":38}}, {"id":48, "num":5,"point":{"x":35,"y":35}}, {"id":237, "num":3,"point":{"x":23,"y":12}}]</t>
  </si>
  <si>
    <t>[{"id":30,"num":4,"point":{"x":16,"y":38}}, {"id":49, "num":6,"point":{"x":35,"y":35}}, {"id":237, "num":3,"point":{"x":23,"y":12}}]</t>
  </si>
  <si>
    <t>[{"id":30,"num":4,"point":{"x":16,"y":20}}, {"id":50, "num":7,"point":{"x":25,"y":37}}, {"id":237, "num":3,"point":{"x":36,"y":37}}, {"id":267, "num":1,"point":{"x":25,"y":42}}]</t>
  </si>
  <si>
    <t>[{"id":30,"num":5,"point":{"x":16,"y":20}}, {"id":46, "num":4,"point":{"x":25,"y":37}}, {"id":238, "num":3,"point":{"x":33,"y":16}}]</t>
  </si>
  <si>
    <t>[{"id":30,"num":5,"point":{"x":25,"y":35}}, {"id":47, "num":5,"point":{"x":33,"y":33}}, {"id":238, "num":3,"point":{"x":20,"y":18}}]</t>
  </si>
  <si>
    <t>[{"id":30,"num":6,"point":{"x":25,"y":35}}, {"id":48, "num":5,"point":{"x":33,"y":33}}, {"id":238, "num":3,"point":{"x":20,"y":18}}]</t>
  </si>
  <si>
    <t>[{"id":30,"num":6,"point":{"x":15,"y":35}}, {"id":49, "num":6,"point":{"x":26,"y":39}}, {"id":238, "num":3,"point":{"x":36,"y":37}}]</t>
  </si>
  <si>
    <t>[{"id":30,"num":6,"point":{"x":15,"y":35}}, {"id":50, "num":7,"point":{"x":26,"y":39}}, {"id":238, "num":3,"point":{"x":36,"y":37}}, {"id":268, "num":1,"point":{"x":25,"y":42}}]</t>
  </si>
  <si>
    <t>[{"id":30,"num":2,"point":{"x":24,"y":37}}, {"id":46, "num":4,"point":{"x":15,"y":35}}, {"id":239, "num":3,"point":{"x":33,"y":33}}]</t>
  </si>
  <si>
    <t>[{"id":30,"num":3,"point":{"x":24,"y":37}}, {"id":47, "num":5,"point":{"x":15,"y":35}}, {"id":239, "num":3,"point":{"x":33,"y":33}}]</t>
  </si>
  <si>
    <t>[{"id":30,"num":3,"point":{"x":16,"y":38}}, {"id":48, "num":5,"point":{"x":35,"y":35}}, {"id":239, "num":3,"point":{"x":23,"y":12}}]</t>
  </si>
  <si>
    <t>[{"id":30,"num":4,"point":{"x":16,"y":38}}, {"id":49, "num":6,"point":{"x":35,"y":35}}, {"id":239, "num":3,"point":{"x":23,"y":12}}]</t>
  </si>
  <si>
    <t>[{"id":30,"num":4,"point":{"x":16,"y":20}}, {"id":50, "num":7,"point":{"x":25,"y":37}}, {"id":239, "num":3,"point":{"x":36,"y":37}}, {"id":269, "num":1,"point":{"x":25,"y":42}}]</t>
  </si>
  <si>
    <t>[{"id":30,"num":5,"point":{"x":16,"y":20}}, {"id":46, "num":4,"point":{"x":25,"y":37}}, {"id":240, "num":3,"point":{"x":33,"y":16}}]</t>
  </si>
  <si>
    <t>[{"id":30,"num":5,"point":{"x":25,"y":35}}, {"id":47, "num":5,"point":{"x":33,"y":33}}, {"id":240, "num":3,"point":{"x":20,"y":18}}]</t>
  </si>
  <si>
    <t>[{"id":30,"num":6,"point":{"x":25,"y":35}}, {"id":48, "num":5,"point":{"x":33,"y":33}}, {"id":240, "num":3,"point":{"x":20,"y":18}}]</t>
  </si>
  <si>
    <t>[{"id":30,"num":6,"point":{"x":15,"y":35}}, {"id":49, "num":6,"point":{"x":26,"y":39}}, {"id":240, "num":3,"point":{"x":36,"y":37}}]</t>
  </si>
  <si>
    <t>[{"id":30,"num":6,"point":{"x":15,"y":35}}, {"id":50, "num":7,"point":{"x":26,"y":39}}, {"id":240, "num":3,"point":{"x":36,"y":37}}, {"id":270, "num":1,"point":{"x":25,"y":42}}]</t>
  </si>
  <si>
    <t>[{"id":30,"num":2,"point":{"x":24,"y":37}}, {"id":46, "num":4,"point":{"x":15,"y":35}}, {"id":241, "num":4,"point":{"x":33,"y":33}}]</t>
  </si>
  <si>
    <t>[{"id":30,"num":3,"point":{"x":24,"y":37}}, {"id":47, "num":5,"point":{"x":15,"y":35}}, {"id":241, "num":4,"point":{"x":33,"y":33}}]</t>
  </si>
  <si>
    <t>[{"id":30,"num":3,"point":{"x":16,"y":38}}, {"id":48, "num":5,"point":{"x":35,"y":35}}, {"id":241, "num":4,"point":{"x":23,"y":12}}]</t>
  </si>
  <si>
    <t>[{"id":30,"num":4,"point":{"x":16,"y":38}}, {"id":49, "num":6,"point":{"x":35,"y":35}}, {"id":241, "num":4,"point":{"x":23,"y":12}}]</t>
  </si>
  <si>
    <t>[{"id":30,"num":4,"point":{"x":16,"y":20}}, {"id":50, "num":7,"point":{"x":25,"y":37}}, {"id":241, "num":4,"point":{"x":36,"y":37}}, {"id":271, "num":1,"point":{"x":25,"y":42}}]</t>
  </si>
  <si>
    <t>[{"id":30,"num":5,"point":{"x":16,"y":20}}, {"id":46, "num":4,"point":{"x":25,"y":37}}, {"id":242, "num":4,"point":{"x":33,"y":16}}]</t>
  </si>
  <si>
    <t>[{"id":30,"num":5,"point":{"x":25,"y":35}}, {"id":47, "num":5,"point":{"x":33,"y":33}}, {"id":242, "num":4,"point":{"x":20,"y":18}}]</t>
  </si>
  <si>
    <t>[{"id":30,"num":6,"point":{"x":25,"y":35}}, {"id":48, "num":5,"point":{"x":33,"y":33}}, {"id":242, "num":4,"point":{"x":20,"y":18}}]</t>
  </si>
  <si>
    <t>[{"id":30,"num":6,"point":{"x":15,"y":35}}, {"id":49, "num":6,"point":{"x":26,"y":39}}, {"id":242, "num":4,"point":{"x":36,"y":37}}]</t>
  </si>
  <si>
    <t>[{"id":30,"num":6,"point":{"x":15,"y":35}}, {"id":50, "num":7,"point":{"x":26,"y":39}}, {"id":242, "num":4,"point":{"x":36,"y":37}}, {"id":272, "num":1,"point":{"x":25,"y":42}}]</t>
  </si>
  <si>
    <t>[{"id":30,"num":2,"point":{"x":24,"y":37}}, {"id":46, "num":4,"point":{"x":15,"y":35}}, {"id":243, "num":4,"point":{"x":33,"y":33}}]</t>
  </si>
  <si>
    <t>[{"id":30,"num":3,"point":{"x":24,"y":37}}, {"id":47, "num":5,"point":{"x":15,"y":35}}, {"id":243, "num":4,"point":{"x":33,"y":33}}]</t>
  </si>
  <si>
    <t>[{"id":30,"num":3,"point":{"x":16,"y":38}}, {"id":48, "num":5,"point":{"x":35,"y":35}}, {"id":243, "num":4,"point":{"x":23,"y":12}}]</t>
  </si>
  <si>
    <t>[{"id":30,"num":4,"point":{"x":16,"y":38}}, {"id":49, "num":6,"point":{"x":35,"y":35}}, {"id":243, "num":4,"point":{"x":23,"y":12}}]</t>
  </si>
  <si>
    <t>[{"id":30,"num":4,"point":{"x":16,"y":20}}, {"id":50, "num":7,"point":{"x":25,"y":37}}, {"id":243, "num":4,"point":{"x":36,"y":37}}, {"id":273, "num":1,"point":{"x":25,"y":42}}]</t>
  </si>
  <si>
    <t>[{"id":30,"num":5,"point":{"x":16,"y":20}}, {"id":46, "num":4,"point":{"x":25,"y":37}}, {"id":244, "num":4,"point":{"x":33,"y":16}}]</t>
  </si>
  <si>
    <t>[{"id":30,"num":5,"point":{"x":25,"y":35}}, {"id":47, "num":5,"point":{"x":33,"y":33}}, {"id":244, "num":4,"point":{"x":20,"y":18}}]</t>
  </si>
  <si>
    <t>[{"id":30,"num":6,"point":{"x":25,"y":35}}, {"id":48, "num":5,"point":{"x":33,"y":33}}, {"id":244, "num":4,"point":{"x":20,"y":18}}]</t>
  </si>
  <si>
    <t>[{"id":30,"num":6,"point":{"x":15,"y":35}}, {"id":49, "num":6,"point":{"x":26,"y":39}}, {"id":244, "num":4,"point":{"x":36,"y":37}}]</t>
  </si>
  <si>
    <t>[{"id":30,"num":6,"point":{"x":15,"y":35}}, {"id":50, "num":7,"point":{"x":26,"y":39}}, {"id":244, "num":4,"point":{"x":36,"y":37}}, {"id":274, "num":1,"point":{"x":25,"y":42}}]</t>
  </si>
  <si>
    <t>[{"id":30,"num":2,"point":{"x":24,"y":37}}, {"id":46, "num":4,"point":{"x":15,"y":35}}, {"id":245, "num":4,"point":{"x":33,"y":33}}]</t>
  </si>
  <si>
    <t>[{"id":30,"num":3,"point":{"x":24,"y":37}}, {"id":47, "num":5,"point":{"x":15,"y":35}}, {"id":245, "num":4,"point":{"x":33,"y":33}}]</t>
  </si>
  <si>
    <t>[{"id":30,"num":3,"point":{"x":16,"y":38}}, {"id":48, "num":5,"point":{"x":35,"y":35}}, {"id":245, "num":4,"point":{"x":23,"y":12}}]</t>
  </si>
  <si>
    <t>[{"id":30,"num":4,"point":{"x":16,"y":38}}, {"id":49, "num":6,"point":{"x":35,"y":35}}, {"id":245, "num":4,"point":{"x":23,"y":12}}]</t>
  </si>
  <si>
    <t>[{"id":30,"num":4,"point":{"x":16,"y":20}}, {"id":50, "num":7,"point":{"x":25,"y":37}}, {"id":245, "num":4,"point":{"x":36,"y":37}}, {"id":275, "num":1,"point":{"x":25,"y":42}}]</t>
  </si>
  <si>
    <t>[{"id":30,"num":5,"point":{"x":16,"y":20}}, {"id":46, "num":4,"point":{"x":25,"y":37}}, {"id":246, "num":4,"point":{"x":33,"y":16}}]</t>
  </si>
  <si>
    <t>[{"id":30,"num":5,"point":{"x":25,"y":35}}, {"id":47, "num":5,"point":{"x":33,"y":33}}, {"id":246, "num":4,"point":{"x":20,"y":18}}]</t>
  </si>
  <si>
    <t>[{"id":30,"num":6,"point":{"x":25,"y":35}}, {"id":48, "num":5,"point":{"x":33,"y":33}}, {"id":246, "num":4,"point":{"x":20,"y":18}}]</t>
  </si>
  <si>
    <t>[{"id":30,"num":6,"point":{"x":15,"y":35}}, {"id":49, "num":6,"point":{"x":26,"y":39}}, {"id":246, "num":4,"point":{"x":36,"y":37}}]</t>
  </si>
  <si>
    <t>[{"id":30,"num":6,"point":{"x":15,"y":35}}, {"id":50, "num":7,"point":{"x":26,"y":39}}, {"id":246, "num":4,"point":{"x":36,"y":37}}, {"id":276, "num":1,"point":{"x":25,"y":42}}]</t>
  </si>
  <si>
    <t>[{"id":30,"num":2,"point":{"x":24,"y":37}}, {"id":46, "num":4,"point":{"x":15,"y":35}}, {"id":247, "num":4,"point":{"x":33,"y":33}}]</t>
  </si>
  <si>
    <t>[{"id":30,"num":3,"point":{"x":24,"y":37}}, {"id":47, "num":5,"point":{"x":15,"y":35}}, {"id":247, "num":4,"point":{"x":33,"y":33}}]</t>
  </si>
  <si>
    <t>[{"id":30,"num":3,"point":{"x":16,"y":38}}, {"id":48, "num":5,"point":{"x":35,"y":35}}, {"id":247, "num":4,"point":{"x":23,"y":12}}]</t>
  </si>
  <si>
    <t>[{"id":30,"num":4,"point":{"x":16,"y":38}}, {"id":49, "num":6,"point":{"x":35,"y":35}}, {"id":247, "num":4,"point":{"x":23,"y":12}}]</t>
  </si>
  <si>
    <t>[{"id":30,"num":4,"point":{"x":16,"y":20}}, {"id":50, "num":7,"point":{"x":25,"y":37}}, {"id":247, "num":4,"point":{"x":36,"y":37}}, {"id":277, "num":1,"point":{"x":25,"y":42}}]</t>
  </si>
  <si>
    <t>[{"id":30,"num":5,"point":{"x":16,"y":20}}, {"id":46, "num":4,"point":{"x":25,"y":37}}, {"id":248, "num":4,"point":{"x":33,"y":16}}]</t>
  </si>
  <si>
    <t>[{"id":30,"num":5,"point":{"x":25,"y":35}}, {"id":47, "num":5,"point":{"x":33,"y":33}}, {"id":248, "num":4,"point":{"x":20,"y":18}}]</t>
  </si>
  <si>
    <t>[{"id":30,"num":6,"point":{"x":25,"y":35}}, {"id":48, "num":5,"point":{"x":33,"y":33}}, {"id":248, "num":4,"point":{"x":20,"y":18}}]</t>
  </si>
  <si>
    <t>[{"id":30,"num":6,"point":{"x":15,"y":35}}, {"id":49, "num":6,"point":{"x":26,"y":39}}, {"id":248, "num":4,"point":{"x":36,"y":37}}]</t>
  </si>
  <si>
    <t>[{"id":30,"num":6,"point":{"x":15,"y":35}}, {"id":50, "num":7,"point":{"x":26,"y":39}}, {"id":248, "num":4,"point":{"x":36,"y":37}}, {"id":278, "num":1,"point":{"x":25,"y":42}}]</t>
  </si>
  <si>
    <t>[{"id":30,"num":2,"point":{"x":24,"y":37}}, {"id":46, "num":4,"point":{"x":15,"y":35}}, {"id":249, "num":5,"point":{"x":33,"y":33}}]</t>
  </si>
  <si>
    <t>[{"id":30,"num":3,"point":{"x":24,"y":37}}, {"id":47, "num":5,"point":{"x":15,"y":35}}, {"id":249, "num":5,"point":{"x":33,"y":33}}]</t>
  </si>
  <si>
    <t>[{"id":30,"num":3,"point":{"x":16,"y":38}}, {"id":48, "num":5,"point":{"x":35,"y":35}}, {"id":249, "num":5,"point":{"x":23,"y":12}}]</t>
  </si>
  <si>
    <t>[{"id":30,"num":4,"point":{"x":16,"y":38}}, {"id":49, "num":6,"point":{"x":35,"y":35}}, {"id":249, "num":5,"point":{"x":23,"y":12}}]</t>
  </si>
  <si>
    <t>[{"id":30,"num":4,"point":{"x":16,"y":20}}, {"id":50, "num":7,"point":{"x":25,"y":37}}, {"id":249, "num":5,"point":{"x":36,"y":37}}, {"id":279, "num":1,"point":{"x":25,"y":42}}]</t>
  </si>
  <si>
    <t>[{"id":30,"num":5,"point":{"x":16,"y":20}}, {"id":46, "num":4,"point":{"x":25,"y":37}}, {"id":250, "num":5,"point":{"x":33,"y":16}}]</t>
  </si>
  <si>
    <t>[{"id":30,"num":5,"point":{"x":25,"y":35}}, {"id":47, "num":5,"point":{"x":33,"y":33}}, {"id":250, "num":5,"point":{"x":20,"y":18}}]</t>
  </si>
  <si>
    <t>[{"id":30,"num":6,"point":{"x":25,"y":35}}, {"id":48, "num":5,"point":{"x":33,"y":33}}, {"id":250, "num":5,"point":{"x":20,"y":18}}]</t>
  </si>
  <si>
    <t>[{"id":30,"num":6,"point":{"x":15,"y":35}}, {"id":49, "num":6,"point":{"x":26,"y":39}}, {"id":250, "num":5,"point":{"x":36,"y":37}}]</t>
  </si>
  <si>
    <t>[{"id":30,"num":6,"point":{"x":15,"y":35}}, {"id":50, "num":7,"point":{"x":26,"y":39}}, {"id":250, "num":5,"point":{"x":36,"y":37}}, {"id":280, "num":1,"point":{"x":25,"y":42}}]</t>
  </si>
  <si>
    <t>[{"id":30,"num":2,"point":{"x":24,"y":37}}, {"id":46, "num":4,"point":{"x":15,"y":35}}, {"id":251, "num":5,"point":{"x":33,"y":33}}]</t>
  </si>
  <si>
    <t>[{"id":30,"num":3,"point":{"x":24,"y":37}}, {"id":47, "num":5,"point":{"x":15,"y":35}}, {"id":251, "num":5,"point":{"x":33,"y":33}}]</t>
  </si>
  <si>
    <t>[{"id":30,"num":3,"point":{"x":16,"y":38}}, {"id":48, "num":5,"point":{"x":35,"y":35}}, {"id":251, "num":5,"point":{"x":23,"y":12}}]</t>
  </si>
  <si>
    <t>[{"id":30,"num":4,"point":{"x":16,"y":38}}, {"id":49, "num":6,"point":{"x":35,"y":35}}, {"id":251, "num":5,"point":{"x":23,"y":12}}]</t>
  </si>
  <si>
    <t>[{"id":30,"num":4,"point":{"x":16,"y":20}}, {"id":50, "num":7,"point":{"x":25,"y":37}}, {"id":251, "num":5,"point":{"x":36,"y":37}}, {"id":281, "num":1,"point":{"x":25,"y":42}}]</t>
  </si>
  <si>
    <t>[{"id":30,"num":5,"point":{"x":16,"y":20}}, {"id":46, "num":4,"point":{"x":25,"y":37}}, {"id":252, "num":5,"point":{"x":33,"y":16}}]</t>
  </si>
  <si>
    <t>[{"id":30,"num":5,"point":{"x":25,"y":35}}, {"id":47, "num":5,"point":{"x":33,"y":33}}, {"id":252, "num":5,"point":{"x":20,"y":18}}]</t>
  </si>
  <si>
    <t>[{"id":30,"num":6,"point":{"x":25,"y":35}}, {"id":48, "num":5,"point":{"x":33,"y":33}}, {"id":252, "num":5,"point":{"x":20,"y":18}}]</t>
  </si>
  <si>
    <t>[{"id":30,"num":6,"point":{"x":15,"y":35}}, {"id":49, "num":6,"point":{"x":26,"y":39}}, {"id":252, "num":5,"point":{"x":36,"y":37}}]</t>
  </si>
  <si>
    <t>[{"id":30,"num":6,"point":{"x":15,"y":35}}, {"id":50, "num":7,"point":{"x":26,"y":39}}, {"id":252, "num":5,"point":{"x":36,"y":37}}, {"id":282, "num":1,"point":{"x":25,"y":42}}]</t>
  </si>
  <si>
    <t>[{"id":201,"num":2,"point":{"x":24,"y":37}}, {"id":51, "num":4,"point":{"x":15,"y":35}}, {"id":253, "num":5,"point":{"x":33,"y":33}}]</t>
  </si>
  <si>
    <t>[{"id":201,"num":3,"point":{"x":24,"y":37}}, {"id":51, "num":5,"point":{"x":15,"y":35}}, {"id":253, "num":5,"point":{"x":33,"y":33}}]</t>
  </si>
  <si>
    <t>[{"id":201,"num":3,"point":{"x":16,"y":38}}, {"id":51, "num":5,"point":{"x":35,"y":35}}, {"id":253, "num":5,"point":{"x":23,"y":12}}]</t>
  </si>
  <si>
    <t>[{"id":201,"num":4,"point":{"x":16,"y":38}}, {"id":51, "num":6,"point":{"x":35,"y":35}}, {"id":253, "num":5,"point":{"x":23,"y":12}}]</t>
  </si>
  <si>
    <t>[{"id":201,"num":4,"point":{"x":16,"y":20}}, {"id":51, "num":7,"point":{"x":25,"y":37}}, {"id":253, "num":5,"point":{"x":36,"y":37}}, {"id":283, "num":1,"point":{"x":25,"y":42}}]</t>
  </si>
  <si>
    <t>[{"id":201,"num":5,"point":{"x":16,"y":20}}, {"id":51, "num":4,"point":{"x":25,"y":37}}, {"id":253, "num":5,"point":{"x":33,"y":16}}]</t>
  </si>
  <si>
    <t>[{"id":201,"num":5,"point":{"x":25,"y":35}}, {"id":51, "num":5,"point":{"x":33,"y":33}}, {"id":253, "num":5,"point":{"x":20,"y":18}}]</t>
  </si>
  <si>
    <t>[{"id":202,"num":6,"point":{"x":25,"y":35}}, {"id":51, "num":5,"point":{"x":33,"y":33}}, {"id":253, "num":5,"point":{"x":20,"y":18}}]</t>
  </si>
  <si>
    <t>[{"id":202,"num":6,"point":{"x":15,"y":35}}, {"id":51, "num":6,"point":{"x":26,"y":39}}, {"id":253, "num":5,"point":{"x":36,"y":37}}]</t>
  </si>
  <si>
    <t>[{"id":202,"num":6,"point":{"x":15,"y":35}}, {"id":52, "num":7,"point":{"x":26,"y":39}}, {"id":254, "num":5,"point":{"x":36,"y":37}}, {"id":284, "num":1,"point":{"x":25,"y":42}}]</t>
  </si>
  <si>
    <t>[{"id":202,"num":2,"point":{"x":24,"y":37}}, {"id":52, "num":4,"point":{"x":15,"y":35}}, {"id":254, "num":5,"point":{"x":33,"y":33}}]</t>
  </si>
  <si>
    <t>[{"id":202,"num":3,"point":{"x":24,"y":37}}, {"id":52, "num":5,"point":{"x":15,"y":35}}, {"id":254, "num":5,"point":{"x":33,"y":33}}]</t>
  </si>
  <si>
    <t>[{"id":202,"num":3,"point":{"x":16,"y":38}}, {"id":52, "num":5,"point":{"x":35,"y":35}}, {"id":254, "num":5,"point":{"x":23,"y":12}}]</t>
  </si>
  <si>
    <t>[{"id":202,"num":4,"point":{"x":16,"y":38}}, {"id":52, "num":6,"point":{"x":35,"y":35}}, {"id":254, "num":5,"point":{"x":23,"y":12}}]</t>
  </si>
  <si>
    <t>[{"id":202,"num":4,"point":{"x":16,"y":20}}, {"id":52, "num":7,"point":{"x":25,"y":37}}, {"id":254, "num":5,"point":{"x":36,"y":37}}, {"id":285, "num":1,"point":{"x":25,"y":42}}]</t>
  </si>
  <si>
    <t>[{"id":202,"num":5,"point":{"x":16,"y":20}}, {"id":52, "num":4,"point":{"x":25,"y":37}}, {"id":254, "num":5,"point":{"x":33,"y":16}}]</t>
  </si>
  <si>
    <t>[{"id":202,"num":5,"point":{"x":25,"y":35}}, {"id":52, "num":5,"point":{"x":33,"y":33}}, {"id":254, "num":5,"point":{"x":20,"y":18}}]</t>
  </si>
  <si>
    <t>[{"id":203,"num":6,"point":{"x":25,"y":35}}, {"id":52, "num":5,"point":{"x":33,"y":33}}, {"id":254, "num":5,"point":{"x":20,"y":18}}]</t>
  </si>
  <si>
    <t>[{"id":203,"num":6,"point":{"x":15,"y":35}}, {"id":53, "num":6,"point":{"x":26,"y":39}}, {"id":255, "num":5,"point":{"x":36,"y":37}}]</t>
  </si>
  <si>
    <t>[{"id":203,"num":6,"point":{"x":15,"y":35}}, {"id":53, "num":7,"point":{"x":26,"y":39}}, {"id":255, "num":6,"point":{"x":36,"y":37}}, {"id":286, "num":1,"point":{"x":25,"y":42}}]</t>
  </si>
  <si>
    <t>[{"id":203,"num":2,"point":{"x":24,"y":37}}, {"id":53, "num":4,"point":{"x":15,"y":35}}, {"id":255, "num":6,"point":{"x":33,"y":33}}]</t>
  </si>
  <si>
    <t>[{"id":203,"num":3,"point":{"x":24,"y":37}}, {"id":53, "num":5,"point":{"x":15,"y":35}}, {"id":255, "num":6,"point":{"x":33,"y":33}}]</t>
  </si>
  <si>
    <t>[{"id":203,"num":3,"point":{"x":16,"y":38}}, {"id":53, "num":5,"point":{"x":35,"y":35}}, {"id":255, "num":6,"point":{"x":23,"y":12}}]</t>
  </si>
  <si>
    <t>[{"id":203,"num":4,"point":{"x":16,"y":38}}, {"id":53, "num":6,"point":{"x":35,"y":35}}, {"id":255, "num":6,"point":{"x":23,"y":12}}]</t>
  </si>
  <si>
    <t>[{"id":203,"num":4,"point":{"x":16,"y":20}}, {"id":53, "num":7,"point":{"x":25,"y":37}}, {"id":255, "num":6,"point":{"x":36,"y":37}}, {"id":287, "num":1,"point":{"x":25,"y":42}}]</t>
  </si>
  <si>
    <t>[{"id":203,"num":5,"point":{"x":16,"y":20}}, {"id":53, "num":4,"point":{"x":25,"y":37}}, {"id":255, "num":6,"point":{"x":33,"y":16}}]</t>
  </si>
  <si>
    <t>[{"id":203,"num":5,"point":{"x":25,"y":35}}, {"id":53, "num":5,"point":{"x":33,"y":33}}, {"id":255, "num":6,"point":{"x":20,"y":18}}]</t>
  </si>
  <si>
    <t>[{"id":204,"num":6,"point":{"x":25,"y":35}}, {"id":54, "num":5,"point":{"x":33,"y":33}}, {"id":256, "num":6,"point":{"x":20,"y":18}}]</t>
  </si>
  <si>
    <t>[{"id":204,"num":6,"point":{"x":15,"y":35}}, {"id":54, "num":6,"point":{"x":26,"y":39}}, {"id":256, "num":6,"point":{"x":36,"y":37}}]</t>
  </si>
  <si>
    <t>[{"id":204,"num":6,"point":{"x":15,"y":35}}, {"id":54, "num":7,"point":{"x":26,"y":39}}, {"id":256, "num":6,"point":{"x":36,"y":37}}, {"id":288, "num":1,"point":{"x":25,"y":42}}]</t>
  </si>
  <si>
    <t>[{"id":204,"num":2,"point":{"x":15,"y":36}}, {"id":54, "num":4,"point":{"x":26,"y":40}}, {"id":256, "num":6,"point":{"x":33,"y":33}}]</t>
  </si>
  <si>
    <t>[{"id":204,"num":3,"point":{"x":15,"y":37}}, {"id":54, "num":5,"point":{"x":26,"y":41}}, {"id":256, "num":6,"point":{"x":33,"y":33}}]</t>
  </si>
  <si>
    <t>[{"id":204,"num":3,"point":{"x":15,"y":38}}, {"id":54, "num":5,"point":{"x":26,"y":42}}, {"id":256, "num":6,"point":{"x":23,"y":12}}]</t>
  </si>
  <si>
    <t>[{"id":204,"num":4,"point":{"x":15,"y":39}}, {"id":54, "num":6,"point":{"x":26,"y":43}}, {"id":256, "num":6,"point":{"x":23,"y":12}}]</t>
  </si>
  <si>
    <t>[{"id":204,"num":4,"point":{"x":15,"y":40}}, {"id":54, "num":7,"point":{"x":26,"y":44}}, {"id":256, "num":6,"point":{"x":36,"y":37}}, {"id":289, "num":1,"point":{"x":25,"y":42}}]</t>
  </si>
  <si>
    <t>[{"id":204,"num":5,"point":{"x":15,"y":41}}, {"id":54, "num":4,"point":{"x":26,"y":45}}, {"id":256, "num":6,"point":{"x":33,"y":16}}]</t>
  </si>
  <si>
    <t>[{"id":204,"num":5,"point":{"x":15,"y":42}}, {"id":55, "num":5,"point":{"x":26,"y":46}}, {"id":257, "num":6,"point":{"x":20,"y":18}}]</t>
  </si>
  <si>
    <t>[{"id":205,"num":6,"point":{"x":15,"y":43}}, {"id":55, "num":5,"point":{"x":26,"y":47}}, {"id":257, "num":6,"point":{"x":20,"y":18}}]</t>
  </si>
  <si>
    <t>[{"id":205,"num":6,"point":{"x":15,"y":44}}, {"id":55, "num":6,"point":{"x":26,"y":48}}, {"id":257, "num":7,"point":{"x":36,"y":37}}]</t>
  </si>
  <si>
    <t>[{"id":205,"num":6,"point":{"x":15,"y":45}}, {"id":55, "num":7,"point":{"x":26,"y":49}}, {"id":257, "num":7,"point":{"x":36,"y":37}}, {"id":290, "num":1,"point":{"x":25,"y":42}}]</t>
  </si>
  <si>
    <t>[{"id":205,"num":2,"point":{"x":15,"y":46}}, {"id":55, "num":4,"point":{"x":26,"y":50}}, {"id":257, "num":7,"point":{"x":33,"y":33}}]</t>
  </si>
  <si>
    <t>[{"id":205,"num":3,"point":{"x":15,"y":47}}, {"id":55, "num":5,"point":{"x":26,"y":51}}, {"id":257, "num":7,"point":{"x":33,"y":33}}]</t>
  </si>
  <si>
    <t>[{"id":205,"num":3,"point":{"x":15,"y":48}}, {"id":55, "num":5,"point":{"x":26,"y":52}}, {"id":257, "num":7,"point":{"x":23,"y":12}}]</t>
  </si>
  <si>
    <t>[{"id":205,"num":4,"point":{"x":15,"y":49}}, {"id":55, "num":6,"point":{"x":26,"y":53}}, {"id":257, "num":7,"point":{"x":23,"y":12}}]</t>
  </si>
  <si>
    <t>[{"id":205,"num":4,"point":{"x":15,"y":50}}, {"id":55, "num":7,"point":{"x":26,"y":54}}, {"id":257, "num":7,"point":{"x":36,"y":37}}, {"id":961, "num":1,"point":{"x":25,"y":42}}]</t>
  </si>
  <si>
    <t>[{"id":205,"num":5,"point":{"x":15,"y":51}}, {"id":56, "num":4,"point":{"x":26,"y":55}}, {"id":258, "num":7,"point":{"x":33,"y":16}}]</t>
  </si>
  <si>
    <t>[{"id":205,"num":5,"point":{"x":15,"y":52}}, {"id":56, "num":5,"point":{"x":26,"y":56}}, {"id":258, "num":7,"point":{"x":20,"y":18}}]</t>
  </si>
  <si>
    <t>[{"id":206,"num":6,"point":{"x":15,"y":53}}, {"id":56, "num":5,"point":{"x":26,"y":57}}, {"id":258, "num":7,"point":{"x":20,"y":18}}]</t>
  </si>
  <si>
    <t>[{"id":206,"num":6,"point":{"x":15,"y":54}}, {"id":56, "num":6,"point":{"x":26,"y":58}}, {"id":258, "num":7,"point":{"x":36,"y":37}}]</t>
  </si>
  <si>
    <t>[{"id":206,"num":6,"point":{"x":15,"y":55}}, {"id":56, "num":7,"point":{"x":26,"y":59}}, {"id":258, "num":7,"point":{"x":36,"y":37}}, {"id":962, "num":1,"point":{"x":25,"y":42}}]</t>
  </si>
  <si>
    <t>[{"id":206,"num":2,"point":{"x":15,"y":56}}, {"id":56, "num":4,"point":{"x":26,"y":60}}, {"id":258, "num":7,"point":{"x":33,"y":33}}]</t>
  </si>
  <si>
    <t>[{"id":206,"num":3,"point":{"x":15,"y":57}}, {"id":56, "num":5,"point":{"x":26,"y":61}}, {"id":258, "num":7,"point":{"x":33,"y":33}}]</t>
  </si>
  <si>
    <t>[{"id":206,"num":3,"point":{"x":15,"y":58}}, {"id":56, "num":5,"point":{"x":26,"y":62}}, {"id":258, "num":7,"point":{"x":23,"y":12}}]</t>
  </si>
  <si>
    <t>[{"id":206,"num":4,"point":{"x":15,"y":59}}, {"id":56, "num":6,"point":{"x":26,"y":63}}, {"id":258, "num":7,"point":{"x":23,"y":12}}]</t>
  </si>
  <si>
    <t>[{"id":206,"num":4,"point":{"x":15,"y":60}}, {"id":57, "num":7,"point":{"x":26,"y":64}}, {"id":259, "num":7,"point":{"x":36,"y":37}}, {"id":963, "num":1,"point":{"x":25,"y":42}}]</t>
  </si>
  <si>
    <t>[{"id":206,"num":5,"point":{"x":15,"y":61}}, {"id":57, "num":4,"point":{"x":26,"y":65}}, {"id":259, "num":7,"point":{"x":33,"y":16}}]</t>
  </si>
  <si>
    <t>[{"id":206,"num":5,"point":{"x":15,"y":62}}, {"id":57, "num":5,"point":{"x":26,"y":66}}, {"id":259, "num":7,"point":{"x":20,"y":18}}]</t>
  </si>
  <si>
    <t>[{"id":207,"num":6,"point":{"x":15,"y":63}}, {"id":57, "num":5,"point":{"x":26,"y":67}}, {"id":259, "num":8,"point":{"x":20,"y":18}}]</t>
  </si>
  <si>
    <t>[{"id":207,"num":6,"point":{"x":15,"y":64}}, {"id":57, "num":6,"point":{"x":26,"y":68}}, {"id":259, "num":8,"point":{"x":36,"y":37}}]</t>
  </si>
  <si>
    <t>[{"id":207,"num":6,"point":{"x":15,"y":65}}, {"id":57, "num":7,"point":{"x":26,"y":69}}, {"id":259, "num":8,"point":{"x":36,"y":37}}, {"id":964, "num":1,"point":{"x":25,"y":42}}]</t>
  </si>
  <si>
    <t>[{"id":207,"num":2,"point":{"x":15,"y":66}}, {"id":57, "num":4,"point":{"x":26,"y":70}}, {"id":259, "num":8,"point":{"x":33,"y":33}}]</t>
  </si>
  <si>
    <t/>
  </si>
  <si>
    <t>[{"id":207,"num":3,"point":{"x":15,"y":67}}, {"id":57, "num":5,"point":{"x":26,"y":71}}, {"id":259, "num":8,"point":{"x":33,"y":33}}]</t>
  </si>
  <si>
    <t>[{"id":207,"num":3,"point":{"x":15,"y":68}}, {"id":57, "num":5,"point":{"x":26,"y":72}}, {"id":259, "num":8,"point":{"x":23,"y":12}}]</t>
  </si>
  <si>
    <t>[{"id":207,"num":4,"point":{"x":15,"y":69}}, {"id":58, "num":6,"point":{"x":26,"y":73}}, {"id":260, "num":8,"point":{"x":23,"y":12}}]</t>
  </si>
  <si>
    <t>[{"id":207,"num":4,"point":{"x":15,"y":70}}, {"id":58, "num":7,"point":{"x":26,"y":74}}, {"id":260, "num":8,"point":{"x":36,"y":37}}, {"id":965, "num":1,"point":{"x":25,"y":42}}]</t>
  </si>
  <si>
    <t>[{"id":207,"num":5,"point":{"x":15,"y":71}}, {"id":58, "num":4,"point":{"x":26,"y":75}}, {"id":260, "num":8,"point":{"x":33,"y":16}}]</t>
  </si>
  <si>
    <t>[{"id":207,"num":5,"point":{"x":15,"y":72}}, {"id":58, "num":5,"point":{"x":26,"y":76}}, {"id":260, "num":8,"point":{"x":20,"y":18}}]</t>
  </si>
  <si>
    <t>[{"id":208,"num":6,"point":{"x":15,"y":73}}, {"id":58, "num":5,"point":{"x":26,"y":77}}, {"id":260, "num":8,"point":{"x":20,"y":18}}]</t>
  </si>
  <si>
    <t>[{"id":208,"num":6,"point":{"x":15,"y":74}}, {"id":58, "num":6,"point":{"x":26,"y":78}}, {"id":260, "num":8,"point":{"x":36,"y":37}}]</t>
  </si>
  <si>
    <t>[{"id":208,"num":6,"point":{"x":15,"y":75}}, {"id":58, "num":7,"point":{"x":26,"y":79}}, {"id":260, "num":8,"point":{"x":36,"y":37}}, {"id":966, "num":1,"point":{"x":25,"y":42}}]</t>
  </si>
  <si>
    <t>[{"id":208,"num":2,"point":{"x":15,"y":76}}, {"id":58, "num":4,"point":{"x":26,"y":80}}, {"id":260, "num":8,"point":{"x":33,"y":33}}]</t>
  </si>
  <si>
    <t>[{"id":208,"num":3,"point":{"x":15,"y":77}}, {"id":58, "num":5,"point":{"x":26,"y":81}}, {"id":260, "num":8,"point":{"x":33,"y":33}}]</t>
  </si>
  <si>
    <t>[{"id":208,"num":3,"point":{"x":15,"y":78}}, {"id":59, "num":5,"point":{"x":26,"y":82}}, {"id":931, "num":7,"point":{"x":23,"y":12}}]</t>
  </si>
  <si>
    <t>[{"id":208,"num":4,"point":{"x":15,"y":79}}, {"id":59, "num":6,"point":{"x":26,"y":83}}, {"id":931, "num":7,"point":{"x":23,"y":12}}]</t>
  </si>
  <si>
    <t>[{"id":208,"num":4,"point":{"x":15,"y":80}}, {"id":59, "num":7,"point":{"x":26,"y":84}}, {"id":931, "num":7,"point":{"x":36,"y":37}}, {"id":967, "num":1,"point":{"x":25,"y":42}}]</t>
  </si>
  <si>
    <t>[{"id":208,"num":5,"point":{"x":15,"y":81}}, {"id":59, "num":4,"point":{"x":26,"y":85}}, {"id":931, "num":7,"point":{"x":33,"y":16}}]</t>
  </si>
  <si>
    <t>[{"id":208,"num":5,"point":{"x":15,"y":82}}, {"id":59, "num":5,"point":{"x":26,"y":86}}, {"id":931, "num":8,"point":{"x":20,"y":18}}]</t>
  </si>
  <si>
    <t>[{"id":209,"num":6,"point":{"x":15,"y":83}}, {"id":59, "num":5,"point":{"x":26,"y":87}}, {"id":931, "num":8,"point":{"x":20,"y":18}}]</t>
  </si>
  <si>
    <t>[{"id":209,"num":6,"point":{"x":15,"y":84}}, {"id":59, "num":6,"point":{"x":26,"y":88}}, {"id":931, "num":8,"point":{"x":36,"y":37}}]</t>
  </si>
  <si>
    <t>[{"id":209,"num":6,"point":{"x":15,"y":85}}, {"id":59, "num":7,"point":{"x":26,"y":89}}, {"id":931, "num":8,"point":{"x":36,"y":37}}, {"id":968, "num":1,"point":{"x":25,"y":42}}]</t>
  </si>
  <si>
    <t>[{"id":209,"num":2,"point":{"x":15,"y":86}}, {"id":59, "num":4,"point":{"x":26,"y":90}}, {"id":931, "num":8,"point":{"x":33,"y":33}}]</t>
  </si>
  <si>
    <t>[{"id":209,"num":3,"point":{"x":15,"y":87}}, {"id":60, "num":5,"point":{"x":26,"y":91}}, {"id":932, "num":8,"point":{"x":33,"y":33}}]</t>
  </si>
  <si>
    <t>[{"id":209,"num":3,"point":{"x":15,"y":88}}, {"id":60, "num":5,"point":{"x":26,"y":92}}, {"id":932, "num":8,"point":{"x":23,"y":12}}]</t>
  </si>
  <si>
    <t>[{"id":209,"num":4,"point":{"x":15,"y":89}}, {"id":60, "num":6,"point":{"x":26,"y":93}}, {"id":932, "num":8,"point":{"x":23,"y":12}}]</t>
  </si>
  <si>
    <t>[{"id":209,"num":4,"point":{"x":15,"y":90}}, {"id":60, "num":7,"point":{"x":26,"y":94}}, {"id":932, "num":8,"point":{"x":36,"y":37}}, {"id":969, "num":1,"point":{"x":25,"y":42}}]</t>
  </si>
  <si>
    <t>[{"id":209,"num":5,"point":{"x":15,"y":91}}, {"id":60, "num":4,"point":{"x":26,"y":95}}, {"id":932, "num":8,"point":{"x":33,"y":16}}]</t>
  </si>
  <si>
    <t>[{"id":209,"num":5,"point":{"x":15,"y":92}}, {"id":60, "num":5,"point":{"x":26,"y":96}}, {"id":932, "num":8,"point":{"x":20,"y":18}}]</t>
  </si>
  <si>
    <t>[{"id":210,"num":6,"point":{"x":15,"y":93}}, {"id":60, "num":5,"point":{"x":26,"y":97}}, {"id":932, "num":8,"point":{"x":20,"y":18}}]</t>
  </si>
  <si>
    <t>[{"id":210,"num":6,"point":{"x":15,"y":94}}, {"id":60, "num":6,"point":{"x":26,"y":98}}, {"id":932, "num":8,"point":{"x":36,"y":37}}]</t>
  </si>
  <si>
    <t>[{"id":210,"num":6,"point":{"x":15,"y":95}}, {"id":60, "num":7,"point":{"x":26,"y":99}}, {"id":932, "num":8,"point":{"x":36,"y":37}}, {"id":970, "num":1,"point":{"x":25,"y":42}}]</t>
  </si>
  <si>
    <t>[{"id":210,"num":2,"point":{"x":15,"y":96}}, {"id":231, "num":4,"point":{"x":26,"y":100}}, {"id":933, "num":8,"point":{"x":33,"y":33}}]</t>
  </si>
  <si>
    <t>[{"id":210,"num":3,"point":{"x":15,"y":97}}, {"id":231, "num":5,"point":{"x":26,"y":101}}, {"id":933, "num":9,"point":{"x":33,"y":33}}]</t>
  </si>
  <si>
    <t>[{"id":210,"num":3,"point":{"x":15,"y":98}}, {"id":231, "num":5,"point":{"x":26,"y":102}}, {"id":933, "num":9,"point":{"x":23,"y":12}}]</t>
  </si>
  <si>
    <t>[{"id":210,"num":4,"point":{"x":15,"y":99}}, {"id":231, "num":6,"point":{"x":26,"y":103}}, {"id":933, "num":9,"point":{"x":23,"y":12}}]</t>
  </si>
  <si>
    <t>[{"id":210,"num":4,"point":{"x":15,"y":100}}, {"id":231, "num":7,"point":{"x":26,"y":104}}, {"id":933, "num":9,"point":{"x":36,"y":37}}, {"id":971, "num":1,"point":{"x":25,"y":42}}]</t>
  </si>
  <si>
    <t>[{"id":210,"num":5,"point":{"x":15,"y":101}}, {"id":231, "num":4,"point":{"x":26,"y":105}}, {"id":933, "num":9,"point":{"x":33,"y":16}}]</t>
  </si>
  <si>
    <t>[{"id":210,"num":5,"point":{"x":15,"y":102}}, {"id":231, "num":5,"point":{"x":26,"y":106}}, {"id":933, "num":9,"point":{"x":20,"y":18}}]</t>
  </si>
  <si>
    <t>[{"id":211,"num":6,"point":{"x":15,"y":103}}, {"id":231, "num":5,"point":{"x":26,"y":107}}, {"id":933, "num":9,"point":{"x":20,"y":18}}]</t>
  </si>
  <si>
    <t>[{"id":211,"num":6,"point":{"x":15,"y":104}}, {"id":231, "num":6,"point":{"x":26,"y":108}}, {"id":933, "num":9,"point":{"x":36,"y":37}}]</t>
  </si>
  <si>
    <t>[{"id":211,"num":6,"point":{"x":15,"y":105}}, {"id":232, "num":7,"point":{"x":26,"y":109}}, {"id":934, "num":9,"point":{"x":36,"y":37}}, {"id":972, "num":1,"point":{"x":25,"y":42}}]</t>
  </si>
  <si>
    <t>[{"id":211,"num":2,"point":{"x":15,"y":106}}, {"id":232, "num":4,"point":{"x":26,"y":110}}, {"id":934, "num":9,"point":{"x":33,"y":33}}]</t>
  </si>
  <si>
    <t>[{"id":211,"num":3,"point":{"x":15,"y":107}}, {"id":232, "num":5,"point":{"x":26,"y":111}}, {"id":934, "num":9,"point":{"x":33,"y":33}}]</t>
  </si>
  <si>
    <t>[{"id":211,"num":3,"point":{"x":15,"y":108}}, {"id":232, "num":5,"point":{"x":26,"y":112}}, {"id":934, "num":9,"point":{"x":23,"y":12}}]</t>
  </si>
  <si>
    <t>[{"id":211,"num":4,"point":{"x":15,"y":109}}, {"id":232, "num":6,"point":{"x":26,"y":113}}, {"id":934, "num":9,"point":{"x":23,"y":12}}]</t>
  </si>
  <si>
    <t>[{"id":211,"num":4,"point":{"x":15,"y":110}}, {"id":232, "num":7,"point":{"x":26,"y":114}}, {"id":934, "num":9,"point":{"x":36,"y":37}}, {"id":973, "num":1,"point":{"x":25,"y":42}}]</t>
  </si>
  <si>
    <t>[{"id":211,"num":5,"point":{"x":15,"y":111}}, {"id":232, "num":4,"point":{"x":26,"y":115}}, {"id":934, "num":9,"point":{"x":33,"y":16}}]</t>
  </si>
  <si>
    <t>[{"id":211,"num":4,"point":{"x":15,"y":112}}, {"id":232, "num":5,"point":{"x":26,"y":116}}, {"id":934, "num":10,"point":{"x":20,"y":18}}]</t>
  </si>
  <si>
    <t>[{"id":212,"num":5,"point":{"x":15,"y":113}}, {"id":232, "num":5,"point":{"x":26,"y":117}}, {"id":934, "num":10,"point":{"x":20,"y":18}}]</t>
  </si>
  <si>
    <t>[{"id":212,"num":5,"point":{"x":15,"y":114}}, {"id":233, "num":6,"point":{"x":26,"y":118}}, {"id":935, "num":10,"point":{"x":36,"y":37}}]</t>
  </si>
  <si>
    <t>[{"id":212,"num":5,"point":{"x":15,"y":115}}, {"id":233, "num":7,"point":{"x":26,"y":119}}, {"id":935, "num":10,"point":{"x":36,"y":37}}, {"id":974, "num":1,"point":{"x":25,"y":42}}]</t>
  </si>
  <si>
    <t>[{"id":212,"num":2,"point":{"x":15,"y":116}}, {"id":233, "num":4,"point":{"x":26,"y":120}}, {"id":935, "num":10,"point":{"x":33,"y":33}}]</t>
  </si>
  <si>
    <t>[{"id":212,"num":3,"point":{"x":15,"y":117}}, {"id":233, "num":5,"point":{"x":26,"y":121}}, {"id":935, "num":10,"point":{"x":33,"y":33}}]</t>
  </si>
  <si>
    <t>[{"id":212,"num":3,"point":{"x":15,"y":118}}, {"id":233, "num":5,"point":{"x":26,"y":122}}, {"id":935, "num":10,"point":{"x":23,"y":12}}]</t>
  </si>
  <si>
    <t>[{"id":212,"num":4,"point":{"x":15,"y":119}}, {"id":233, "num":6,"point":{"x":26,"y":123}}, {"id":935, "num":10,"point":{"x":23,"y":12}}]</t>
  </si>
  <si>
    <t>[{"id":212,"num":4,"point":{"x":15,"y":120}}, {"id":233, "num":7,"point":{"x":26,"y":124}}, {"id":935, "num":10,"point":{"x":36,"y":37}}, {"id":975, "num":1,"point":{"x":25,"y":42}}]</t>
  </si>
  <si>
    <t>[{"id":212,"num":5,"point":{"x":15,"y":121}}, {"id":233, "num":4,"point":{"x":26,"y":125}}, {"id":935, "num":10,"point":{"x":33,"y":16}}]</t>
  </si>
  <si>
    <t>[{"id":212,"num":4,"point":{"x":15,"y":122}}, {"id":233, "num":5,"point":{"x":26,"y":126}}, {"id":935, "num":10,"point":{"x":20,"y":18}}]</t>
  </si>
  <si>
    <t>[{"id":213,"num":5,"point":{"x":15,"y":123}}, {"id":234, "num":5,"point":{"x":26,"y":127}}, {"id":936, "num":10,"point":{"x":20,"y":18}}]</t>
  </si>
  <si>
    <t>[{"id":213,"num":5,"point":{"x":15,"y":124}}, {"id":234, "num":6,"point":{"x":26,"y":128}}, {"id":936, "num":10,"point":{"x":36,"y":37}}]</t>
  </si>
  <si>
    <t>[{"id":213,"num":5,"point":{"x":15,"y":125}}, {"id":234, "num":7,"point":{"x":26,"y":129}}, {"id":936, "num":10,"point":{"x":36,"y":37}}, {"id":976, "num":1,"point":{"x":25,"y":42}}]</t>
  </si>
  <si>
    <t>[{"id":213,"num":2,"point":{"x":15,"y":126}}, {"id":234, "num":4,"point":{"x":26,"y":130}}, {"id":936, "num":10,"point":{"x":33,"y":33}}]</t>
  </si>
  <si>
    <t>[{"id":213,"num":3,"point":{"x":15,"y":127}}, {"id":234, "num":5,"point":{"x":26,"y":131}}, {"id":936, "num":11,"point":{"x":33,"y":33}}]</t>
  </si>
  <si>
    <t>[{"id":213,"num":3,"point":{"x":15,"y":128}}, {"id":234, "num":5,"point":{"x":26,"y":132}}, {"id":936, "num":11,"point":{"x":23,"y":12}}]</t>
  </si>
  <si>
    <t>[{"id":213,"num":3,"point":{"x":15,"y":129}}, {"id":234, "num":6,"point":{"x":26,"y":133}}, {"id":936, "num":11,"point":{"x":23,"y":12}}]</t>
  </si>
  <si>
    <t>[{"id":213,"num":4,"point":{"x":15,"y":130}}, {"id":234, "num":7,"point":{"x":26,"y":134}}, {"id":936, "num":11,"point":{"x":36,"y":37}}, {"id":977, "num":1,"point":{"x":25,"y":42}}]</t>
  </si>
  <si>
    <t>[{"id":213,"num":3,"point":{"x":15,"y":131}}, {"id":234, "num":4,"point":{"x":26,"y":135}}, {"id":936, "num":11,"point":{"x":33,"y":16}}]</t>
  </si>
  <si>
    <t>[{"id":213,"num":3,"point":{"x":15,"y":132}}, {"id":235, "num":5,"point":{"x":26,"y":136}}, {"id":937, "num":11,"point":{"x":20,"y":18}}]</t>
  </si>
  <si>
    <t>[{"id":214,"num":3,"point":{"x":15,"y":133}}, {"id":235, "num":5,"point":{"x":26,"y":137}}, {"id":937, "num":11,"point":{"x":20,"y":18}}]</t>
  </si>
  <si>
    <t>[{"id":214,"num":3,"point":{"x":15,"y":134}}, {"id":235, "num":6,"point":{"x":26,"y":138}}, {"id":937, "num":11,"point":{"x":36,"y":37}}]</t>
  </si>
  <si>
    <t>[{"id":214,"num":4,"point":{"x":15,"y":135}}, {"id":235, "num":7,"point":{"x":26,"y":139}}, {"id":937, "num":11,"point":{"x":36,"y":37}}, {"id":978, "num":1,"point":{"x":25,"y":42}}]</t>
  </si>
  <si>
    <t>[{"id":214,"num":2,"point":{"x":15,"y":136}}, {"id":235, "num":4,"point":{"x":26,"y":140}}, {"id":937, "num":11,"point":{"x":33,"y":33}}]</t>
  </si>
  <si>
    <t>[{"id":214,"num":3,"point":{"x":15,"y":137}}, {"id":235, "num":5,"point":{"x":26,"y":141}}, {"id":937, "num":11,"point":{"x":33,"y":33}}]</t>
  </si>
  <si>
    <t>[{"id":214,"num":3,"point":{"x":15,"y":138}}, {"id":235, "num":5,"point":{"x":26,"y":142}}, {"id":937, "num":11,"point":{"x":23,"y":12}}]</t>
  </si>
  <si>
    <t>[{"id":214,"num":3,"point":{"x":15,"y":139}}, {"id":235, "num":6,"point":{"x":26,"y":143}}, {"id":937, "num":11,"point":{"x":23,"y":12}}]</t>
  </si>
  <si>
    <t>[{"id":214,"num":4,"point":{"x":15,"y":140}}, {"id":235, "num":7,"point":{"x":26,"y":144}}, {"id":937, "num":11,"point":{"x":36,"y":37}}, {"id":979, "num":1,"point":{"x":25,"y":42}}]</t>
  </si>
  <si>
    <t>[{"id":214,"num":3,"point":{"x":15,"y":141}}, {"id":236, "num":4,"point":{"x":26,"y":145}}, {"id":938, "num":11,"point":{"x":33,"y":16}}]</t>
  </si>
  <si>
    <t>[{"id":214,"num":3,"point":{"x":15,"y":142}}, {"id":236, "num":5,"point":{"x":26,"y":146}}, {"id":938, "num":11,"point":{"x":20,"y":18}}]</t>
  </si>
  <si>
    <t>[{"id":215,"num":3,"point":{"x":15,"y":143}}, {"id":236, "num":5,"point":{"x":26,"y":147}}, {"id":938, "num":11,"point":{"x":20,"y":18}}]</t>
  </si>
  <si>
    <t>[{"id":215,"num":3,"point":{"x":15,"y":144}}, {"id":236, "num":6,"point":{"x":26,"y":148}}, {"id":938, "num":11,"point":{"x":36,"y":37}}]</t>
  </si>
  <si>
    <t>[{"id":215,"num":3,"point":{"x":15,"y":145}}, {"id":236, "num":7,"point":{"x":26,"y":149}}, {"id":938, "num":11,"point":{"x":36,"y":37}}, {"id":980, "num":1,"point":{"x":25,"y":42}}]</t>
  </si>
  <si>
    <t>[{"id":215,"num":2,"point":{"x":15,"y":146}}, {"id":236, "num":4,"point":{"x":26,"y":150}}, {"id":938, "num":11,"point":{"x":33,"y":33}}]</t>
  </si>
  <si>
    <t>[{"id":215,"num":3,"point":{"x":15,"y":147}}, {"id":236, "num":5,"point":{"x":26,"y":151}}, {"id":938, "num":11,"point":{"x":33,"y":33}}]</t>
  </si>
  <si>
    <t>[{"id":215,"num":3,"point":{"x":15,"y":148}}, {"id":236, "num":5,"point":{"x":26,"y":152}}, {"id":938, "num":11,"point":{"x":23,"y":12}}]</t>
  </si>
  <si>
    <t>[{"id":215,"num":3,"point":{"x":15,"y":149}}, {"id":236, "num":6,"point":{"x":26,"y":153}}, {"id":938, "num":11,"point":{"x":23,"y":12}}]</t>
  </si>
  <si>
    <t>[{"id":215,"num":3,"point":{"x":15,"y":150}}, {"id":237, "num":7,"point":{"x":26,"y":154}}, {"id":939, "num":11,"point":{"x":36,"y":37}}, {"id":981, "num":1,"point":{"x":25,"y":42}}]</t>
  </si>
  <si>
    <t>[{"id":215,"num":3,"point":{"x":15,"y":151}}, {"id":237, "num":4,"point":{"x":26,"y":155}}, {"id":939, "num":12,"point":{"x":33,"y":16}}]</t>
  </si>
  <si>
    <t>[{"id":215,"num":3,"point":{"x":15,"y":152}}, {"id":237, "num":5,"point":{"x":26,"y":156}}, {"id":939, "num":12,"point":{"x":20,"y":18}}]</t>
  </si>
  <si>
    <t>[{"id":216,"num":3,"point":{"x":15,"y":153}}, {"id":237, "num":5,"point":{"x":26,"y":157}}, {"id":939, "num":12,"point":{"x":20,"y":18}}]</t>
  </si>
  <si>
    <t>[{"id":216,"num":3,"point":{"x":15,"y":154}}, {"id":237, "num":6,"point":{"x":26,"y":158}}, {"id":939, "num":12,"point":{"x":36,"y":37}}]</t>
  </si>
  <si>
    <t>[{"id":216,"num":3,"point":{"x":15,"y":155}}, {"id":237, "num":7,"point":{"x":26,"y":159}}, {"id":939, "num":12,"point":{"x":36,"y":37}}, {"id":982, "num":1,"point":{"x":25,"y":42}}]</t>
  </si>
  <si>
    <t>[{"id":216,"num":2,"point":{"x":15,"y":156}}, {"id":237, "num":4,"point":{"x":26,"y":160}}, {"id":939, "num":12,"point":{"x":33,"y":33}}]</t>
  </si>
  <si>
    <t>[{"id":216,"num":3,"point":{"x":15,"y":157}}, {"id":237, "num":5,"point":{"x":26,"y":161}}, {"id":939, "num":12,"point":{"x":33,"y":33}}]</t>
  </si>
  <si>
    <t>[{"id":216,"num":3,"point":{"x":15,"y":158}}, {"id":237, "num":5,"point":{"x":26,"y":162}}, {"id":939, "num":12,"point":{"x":23,"y":12}}]</t>
  </si>
  <si>
    <t>[{"id":216,"num":3,"point":{"x":15,"y":159}}, {"id":238, "num":6,"point":{"x":26,"y":163}}, {"id":940, "num":12,"point":{"x":23,"y":12}}]</t>
  </si>
  <si>
    <t>[{"id":216,"num":3,"point":{"x":15,"y":160}}, {"id":238, "num":7,"point":{"x":26,"y":164}}, {"id":940, "num":12,"point":{"x":36,"y":37}}, {"id":983, "num":1,"point":{"x":25,"y":42}}]</t>
  </si>
  <si>
    <t>[{"id":216,"num":3,"point":{"x":15,"y":161}}, {"id":238, "num":4,"point":{"x":26,"y":165}}, {"id":940, "num":12,"point":{"x":33,"y":16}}]</t>
  </si>
  <si>
    <t>[{"id":216,"num":3,"point":{"x":15,"y":162}}, {"id":238, "num":5,"point":{"x":26,"y":166}}, {"id":940, "num":12,"point":{"x":20,"y":18}}]</t>
  </si>
  <si>
    <t>[{"id":217,"num":3,"point":{"x":15,"y":163}}, {"id":238, "num":5,"point":{"x":26,"y":167}}, {"id":940, "num":12,"point":{"x":20,"y":18}}]</t>
  </si>
  <si>
    <t>[{"id":217,"num":3,"point":{"x":15,"y":164}}, {"id":238, "num":6,"point":{"x":26,"y":168}}, {"id":940, "num":12,"point":{"x":36,"y":37}}]</t>
  </si>
  <si>
    <t>[{"id":217,"num":3,"point":{"x":15,"y":165}}, {"id":238, "num":7,"point":{"x":26,"y":169}}, {"id":940, "num":12,"point":{"x":36,"y":37}}, {"id":984, "num":1,"point":{"x":25,"y":42}}]</t>
  </si>
  <si>
    <t>[{"id":217,"num":2,"point":{"x":15,"y":166}}, {"id":238, "num":4,"point":{"x":26,"y":170}}, {"id":940, "num":12,"point":{"x":33,"y":33}}]</t>
  </si>
  <si>
    <t>[{"id":217,"num":2,"point":{"x":15,"y":167}}, {"id":238, "num":5,"point":{"x":26,"y":171}}, {"id":940, "num":12,"point":{"x":33,"y":33}}]</t>
  </si>
  <si>
    <t>[{"id":217,"num":2,"point":{"x":15,"y":168}}, {"id":239, "num":5,"point":{"x":26,"y":172}}, {"id":941, "num":12,"point":{"x":23,"y":12}}]</t>
  </si>
  <si>
    <t>[{"id":217,"num":2,"point":{"x":15,"y":169}}, {"id":239, "num":6,"point":{"x":26,"y":173}}, {"id":941, "num":12,"point":{"x":23,"y":12}}]</t>
  </si>
  <si>
    <t>[{"id":217,"num":2,"point":{"x":15,"y":170}}, {"id":239, "num":7,"point":{"x":26,"y":174}}, {"id":941, "num":12,"point":{"x":36,"y":37}}, {"id":985, "num":1,"point":{"x":25,"y":42}}]</t>
  </si>
  <si>
    <t>[{"id":217,"num":2,"point":{"x":15,"y":171}}, {"id":239, "num":4,"point":{"x":26,"y":175}}, {"id":941, "num":12,"point":{"x":33,"y":16}}]</t>
  </si>
  <si>
    <t>[{"id":217,"num":2,"point":{"x":15,"y":172}}, {"id":239, "num":5,"point":{"x":26,"y":176}}, {"id":941, "num":12,"point":{"x":20,"y":18}}]</t>
  </si>
  <si>
    <t>[{"id":218,"num":2,"point":{"x":15,"y":173}}, {"id":239, "num":5,"point":{"x":26,"y":177}}, {"id":941, "num":12,"point":{"x":20,"y":18}}]</t>
  </si>
  <si>
    <t>[{"id":218,"num":2,"point":{"x":15,"y":174}}, {"id":239, "num":6,"point":{"x":26,"y":178}}, {"id":941, "num":12,"point":{"x":36,"y":37}}]</t>
  </si>
  <si>
    <t>[{"id":218,"num":2,"point":{"x":15,"y":175}}, {"id":239, "num":7,"point":{"x":26,"y":179}}, {"id":941, "num":13,"point":{"x":36,"y":37}}, {"id":986, "num":1,"point":{"x":25,"y":42}}]</t>
  </si>
  <si>
    <t>[{"id":218,"num":2,"point":{"x":15,"y":176}}, {"id":239, "num":4,"point":{"x":26,"y":180}}, {"id":941, "num":13,"point":{"x":33,"y":33}}]</t>
  </si>
  <si>
    <t>[{"id":218,"num":2,"point":{"x":15,"y":177}}, {"id":240, "num":5,"point":{"x":26,"y":181}}, {"id":942, "num":13,"point":{"x":33,"y":33}}]</t>
  </si>
  <si>
    <t>[{"id":218,"num":2,"point":{"x":15,"y":178}}, {"id":240, "num":5,"point":{"x":26,"y":182}}, {"id":942, "num":13,"point":{"x":23,"y":12}}]</t>
  </si>
  <si>
    <t>[{"id":218,"num":2,"point":{"x":15,"y":179}}, {"id":240, "num":6,"point":{"x":26,"y":183}}, {"id":942, "num":13,"point":{"x":23,"y":12}}]</t>
  </si>
  <si>
    <t>[{"id":218,"num":2,"point":{"x":15,"y":180}}, {"id":240, "num":7,"point":{"x":26,"y":184}}, {"id":942, "num":13,"point":{"x":36,"y":37}}, {"id":987, "num":1,"point":{"x":25,"y":42}}]</t>
  </si>
  <si>
    <t>[{"id":218,"num":2,"point":{"x":15,"y":181}}, {"id":240, "num":4,"point":{"x":26,"y":185}}, {"id":942, "num":13,"point":{"x":33,"y":16}}]</t>
  </si>
  <si>
    <t>[{"id":218,"num":2,"point":{"x":15,"y":182}}, {"id":240, "num":5,"point":{"x":26,"y":186}}, {"id":942, "num":13,"point":{"x":20,"y":18}}]</t>
  </si>
  <si>
    <t>[{"id":219,"num":2,"point":{"x":15,"y":183}}, {"id":240, "num":5,"point":{"x":26,"y":187}}, {"id":942, "num":13,"point":{"x":20,"y":18}}]</t>
  </si>
  <si>
    <t>[{"id":219,"num":2,"point":{"x":15,"y":184}}, {"id":240, "num":6,"point":{"x":26,"y":188}}, {"id":942, "num":13,"point":{"x":36,"y":37}}]</t>
  </si>
  <si>
    <t>[{"id":219,"num":2,"point":{"x":15,"y":185}}, {"id":240, "num":7,"point":{"x":26,"y":189}}, {"id":942, "num":13,"point":{"x":36,"y":37}}, {"id":988, "num":1,"point":{"x":25,"y":42}}]</t>
  </si>
  <si>
    <t>[{"id":219,"num":2,"point":{"x":15,"y":186}}, {"id":241, "num":4,"point":{"x":26,"y":190}}, {"id":943, "num":13,"point":{"x":33,"y":33}}]</t>
  </si>
  <si>
    <t>[{"id":219,"num":2,"point":{"x":15,"y":187}}, {"id":241, "num":5,"point":{"x":26,"y":191}}, {"id":943, "num":13,"point":{"x":33,"y":33}}]</t>
  </si>
  <si>
    <t>[{"id":219,"num":2,"point":{"x":15,"y":188}}, {"id":241, "num":5,"point":{"x":26,"y":192}}, {"id":943, "num":13,"point":{"x":23,"y":12}}]</t>
  </si>
  <si>
    <t>[{"id":219,"num":2,"point":{"x":15,"y":189}}, {"id":241, "num":6,"point":{"x":26,"y":193}}, {"id":943, "num":13,"point":{"x":23,"y":12}}]</t>
  </si>
  <si>
    <t>[{"id":219,"num":2,"point":{"x":15,"y":190}}, {"id":241, "num":6,"point":{"x":26,"y":194}}, {"id":943, "num":13,"point":{"x":36,"y":37}}, {"id":989, "num":1,"point":{"x":25,"y":42}}]</t>
  </si>
  <si>
    <t>[{"id":219,"num":2,"point":{"x":15,"y":191}}, {"id":241, "num":4,"point":{"x":26,"y":195}}, {"id":943, "num":13,"point":{"x":33,"y":16}}]</t>
  </si>
  <si>
    <t>[{"id":219,"num":2,"point":{"x":15,"y":192}}, {"id":241, "num":5,"point":{"x":26,"y":196}}, {"id":943, "num":13,"point":{"x":20,"y":18}}]</t>
  </si>
  <si>
    <t>[{"id":220,"num":2,"point":{"x":15,"y":193}}, {"id":241, "num":5,"point":{"x":26,"y":197}}, {"id":943, "num":13,"point":{"x":20,"y":18}}]</t>
  </si>
  <si>
    <t>[{"id":220,"num":2,"point":{"x":15,"y":194}}, {"id":241, "num":6,"point":{"x":26,"y":198}}, {"id":943, "num":13,"point":{"x":36,"y":37}}]</t>
  </si>
  <si>
    <t>[{"id":220,"num":2,"point":{"x":15,"y":195}}, {"id":242, "num":6,"point":{"x":26,"y":199}}, {"id":944, "num":13,"point":{"x":36,"y":37}}, {"id":990, "num":1,"point":{"x":25,"y":42}}]</t>
  </si>
  <si>
    <t>[{"id":220,"num":2,"point":{"x":15,"y":196}}, {"id":242, "num":4,"point":{"x":26,"y":200}}, {"id":944, "num":13,"point":{"x":33,"y":33}}]</t>
  </si>
  <si>
    <t>[{"id":220,"num":2,"point":{"x":15,"y":197}}, {"id":242, "num":5,"point":{"x":26,"y":201}}, {"id":944, "num":13,"point":{"x":33,"y":33}}]</t>
  </si>
  <si>
    <t>[{"id":220,"num":2,"point":{"x":15,"y":198}}, {"id":242, "num":5,"point":{"x":26,"y":202}}, {"id":944, "num":13,"point":{"x":23,"y":12}}]</t>
  </si>
  <si>
    <t>[{"id":220,"num":2,"point":{"x":15,"y":199}}, {"id":242, "num":6,"point":{"x":26,"y":203}}, {"id":944, "num":14,"point":{"x":23,"y":12}}]</t>
  </si>
  <si>
    <t>[{"id":220,"num":2,"point":{"x":15,"y":200}}, {"id":242, "num":6,"point":{"x":26,"y":204}}, {"id":944, "num":14,"point":{"x":36,"y":37}}, {"id":990, "num":1,"point":{"x":25,"y":42}}]</t>
  </si>
  <si>
    <t>[{"id":220,"num":2,"point":{"x":15,"y":201}}, {"id":242, "num":4,"point":{"x":26,"y":205}}, {"id":944, "num":14,"point":{"x":33,"y":16}}]</t>
  </si>
  <si>
    <t>[{"id":220,"num":2,"point":{"x":15,"y":202}}, {"id":242, "num":5,"point":{"x":26,"y":206}}, {"id":944, "num":14,"point":{"x":20,"y":18}}]</t>
  </si>
  <si>
    <t>[{"id":221,"num":2,"point":{"x":15,"y":203}}, {"id":242, "num":5,"point":{"x":26,"y":207}}, {"id":944, "num":14,"point":{"x":20,"y":18}}]</t>
  </si>
  <si>
    <t>[{"id":221,"num":2,"point":{"x":15,"y":204}}, {"id":243, "num":6,"point":{"x":26,"y":208}}, {"id":945, "num":14,"point":{"x":36,"y":37}}]</t>
  </si>
  <si>
    <t>[{"id":221,"num":2,"point":{"x":15,"y":205}}, {"id":243, "num":6,"point":{"x":26,"y":209}}, {"id":945, "num":14,"point":{"x":36,"y":37}}, {"id":990, "num":1,"point":{"x":25,"y":42}}]</t>
  </si>
  <si>
    <t>[{"id":221,"num":1,"point":{"x":15,"y":206}}, {"id":243, "num":4,"point":{"x":26,"y":210}}, {"id":945, "num":14,"point":{"x":33,"y":33}}]</t>
  </si>
  <si>
    <t>[{"id":221,"num":1,"point":{"x":15,"y":207}}, {"id":243, "num":5,"point":{"x":26,"y":211}}, {"id":945, "num":14,"point":{"x":33,"y":33}}]</t>
  </si>
  <si>
    <t>[{"id":221,"num":1,"point":{"x":15,"y":208}}, {"id":243, "num":5,"point":{"x":26,"y":212}}, {"id":945, "num":14,"point":{"x":23,"y":12}}]</t>
  </si>
  <si>
    <t>[{"id":221,"num":1,"point":{"x":15,"y":209}}, {"id":243, "num":6,"point":{"x":26,"y":213}}, {"id":945, "num":14,"point":{"x":23,"y":12}}]</t>
  </si>
  <si>
    <t>[{"id":221,"num":1,"point":{"x":15,"y":210}}, {"id":243, "num":6,"point":{"x":26,"y":214}}, {"id":945, "num":14,"point":{"x":36,"y":37}}, {"id":990, "num":1,"point":{"x":25,"y":42}}]</t>
  </si>
  <si>
    <t>[{"id":221,"num":1,"point":{"x":15,"y":211}}, {"id":243, "num":4,"point":{"x":26,"y":215}}, {"id":945, "num":14,"point":{"x":33,"y":16}}]</t>
  </si>
  <si>
    <t>[{"id":221,"num":1,"point":{"x":15,"y":212}}, {"id":243, "num":5,"point":{"x":26,"y":216}}, {"id":945, "num":14,"point":{"x":20,"y":18}}]</t>
  </si>
  <si>
    <t>[{"id":222,"num":1,"point":{"x":15,"y":213}}, {"id":244, "num":5,"point":{"x":26,"y":217}}, {"id":946, "num":14,"point":{"x":20,"y":18}}]</t>
  </si>
  <si>
    <t>[{"id":222,"num":1,"point":{"x":15,"y":214}}, {"id":244, "num":6,"point":{"x":26,"y":218}}, {"id":946, "num":14,"point":{"x":36,"y":37}}]</t>
  </si>
  <si>
    <t>[{"id":222,"num":1,"point":{"x":15,"y":215}}, {"id":244, "num":6,"point":{"x":26,"y":219}}, {"id":946, "num":14,"point":{"x":36,"y":37}}, {"id":990, "num":1,"point":{"x":25,"y":42}}]</t>
  </si>
  <si>
    <t>[{"id":222,"num":1,"point":{"x":15,"y":216}}, {"id":244, "num":4,"point":{"x":26,"y":220}}, {"id":946, "num":14,"point":{"x":33,"y":33}}]</t>
  </si>
  <si>
    <t>[{"id":222,"num":1,"point":{"x":15,"y":217}}, {"id":244, "num":5,"point":{"x":26,"y":221}}, {"id":946, "num":14,"point":{"x":33,"y":33}}]</t>
  </si>
  <si>
    <t>[{"id":222,"num":1,"point":{"x":15,"y":218}}, {"id":244, "num":5,"point":{"x":26,"y":222}}, {"id":946, "num":14,"point":{"x":23,"y":12}}]</t>
  </si>
  <si>
    <t>[{"id":222,"num":1,"point":{"x":15,"y":219}}, {"id":244, "num":6,"point":{"x":26,"y":223}}, {"id":946, "num":14,"point":{"x":23,"y":12}}]</t>
  </si>
  <si>
    <t>[{"id":222,"num":1,"point":{"x":15,"y":220}}, {"id":244, "num":6,"point":{"x":26,"y":224}}, {"id":946, "num":14,"point":{"x":36,"y":37}}, {"id":990, "num":1,"point":{"x":25,"y":42}}]</t>
  </si>
  <si>
    <t>[{"id":222,"num":1,"point":{"x":15,"y":221}}, {"id":244, "num":4,"point":{"x":26,"y":225}}, {"id":946, "num":14,"point":{"x":33,"y":16}}]</t>
  </si>
  <si>
    <t>[{"id":222,"num":1,"point":{"x":15,"y":222}}, {"id":245, "num":5,"point":{"x":26,"y":226}}, {"id":947, "num":14,"point":{"x":20,"y":18}}]</t>
  </si>
  <si>
    <t>[{"id":223,"num":1,"point":{"x":15,"y":223}}, {"id":245, "num":5,"point":{"x":26,"y":227}}, {"id":947, "num":15,"point":{"x":20,"y":18}}]</t>
  </si>
  <si>
    <t>[{"id":223,"num":1,"point":{"x":15,"y":224}}, {"id":245, "num":6,"point":{"x":26,"y":228}}, {"id":947, "num":15,"point":{"x":36,"y":37}}]</t>
  </si>
  <si>
    <t>[{"id":223,"num":1,"point":{"x":15,"y":225}}, {"id":245, "num":6,"point":{"x":26,"y":229}}, {"id":947, "num":15,"point":{"x":36,"y":37}}, {"id":990, "num":1,"point":{"x":25,"y":42}}]</t>
  </si>
  <si>
    <t>[{"id":223,"num":1,"point":{"x":15,"y":226}}, {"id":245, "num":4,"point":{"x":26,"y":230}}, {"id":947, "num":15,"point":{"x":33,"y":33}}]</t>
  </si>
  <si>
    <t>[{"id":223,"num":1,"point":{"x":15,"y":227}}, {"id":245, "num":5,"point":{"x":26,"y":231}}, {"id":947, "num":15,"point":{"x":33,"y":33}}]</t>
  </si>
  <si>
    <t>[{"id":223,"num":1,"point":{"x":15,"y":228}}, {"id":245, "num":5,"point":{"x":26,"y":232}}, {"id":947, "num":15,"point":{"x":23,"y":12}}]</t>
  </si>
  <si>
    <t>[{"id":223,"num":1,"point":{"x":15,"y":229}}, {"id":245, "num":6,"point":{"x":26,"y":233}}, {"id":947, "num":15,"point":{"x":23,"y":12}}]</t>
  </si>
  <si>
    <t>[{"id":223,"num":1,"point":{"x":15,"y":230}}, {"id":245, "num":6,"point":{"x":26,"y":234}}, {"id":947, "num":15,"point":{"x":36,"y":37}}, {"id":990, "num":1,"point":{"x":25,"y":42}}]</t>
  </si>
  <si>
    <t>[{"id":223,"num":1,"point":{"x":15,"y":231}}, {"id":246, "num":4,"point":{"x":26,"y":235}}, {"id":948, "num":15,"point":{"x":33,"y":16}}]</t>
  </si>
  <si>
    <t>[{"id":223,"num":1,"point":{"x":15,"y":232}}, {"id":246, "num":5,"point":{"x":26,"y":236}}, {"id":948, "num":15,"point":{"x":20,"y":18}}]</t>
  </si>
  <si>
    <t>[{"id":224,"num":1,"point":{"x":15,"y":233}}, {"id":246, "num":5,"point":{"x":26,"y":237}}, {"id":948, "num":15,"point":{"x":20,"y":18}}]</t>
  </si>
  <si>
    <t>[{"id":224,"num":1,"point":{"x":15,"y":234}}, {"id":246, "num":5,"point":{"x":26,"y":238}}, {"id":948, "num":15,"point":{"x":36,"y":37}}]</t>
  </si>
  <si>
    <t>[{"id":224,"num":1,"point":{"x":15,"y":235}}, {"id":246, "num":5,"point":{"x":26,"y":239}}, {"id":948, "num":15,"point":{"x":36,"y":37}}, {"id":990, "num":1,"point":{"x":25,"y":42}}]</t>
  </si>
  <si>
    <t>[{"id":224,"num":1,"point":{"x":15,"y":236}}, {"id":246, "num":4,"point":{"x":26,"y":240}}, {"id":948, "num":15,"point":{"x":33,"y":33}}]</t>
  </si>
  <si>
    <t>[{"id":224,"num":1,"point":{"x":15,"y":237}}, {"id":246, "num":5,"point":{"x":26,"y":241}}, {"id":948, "num":15,"point":{"x":33,"y":33}}]</t>
  </si>
  <si>
    <t>[{"id":224,"num":1,"point":{"x":15,"y":238}}, {"id":246, "num":5,"point":{"x":26,"y":242}}, {"id":948, "num":15,"point":{"x":23,"y":12}}]</t>
  </si>
  <si>
    <t>[{"id":224,"num":1,"point":{"x":15,"y":239}}, {"id":246, "num":5,"point":{"x":26,"y":243}}, {"id":948, "num":15,"point":{"x":23,"y":12}}]</t>
  </si>
  <si>
    <t>[{"id":224,"num":1,"point":{"x":15,"y":240}}, {"id":247, "num":5,"point":{"x":26,"y":244}}, {"id":949, "num":15,"point":{"x":36,"y":37}}, {"id":990, "num":1,"point":{"x":25,"y":42}}]</t>
  </si>
  <si>
    <t>[{"id":224,"num":1,"point":{"x":15,"y":241}}, {"id":247, "num":4,"point":{"x":26,"y":245}}, {"id":949, "num":15,"point":{"x":33,"y":16}}]</t>
  </si>
  <si>
    <t>[{"id":224,"num":1,"point":{"x":15,"y":242}}, {"id":247, "num":5,"point":{"x":26,"y":246}}, {"id":949, "num":15,"point":{"x":20,"y":18}}]</t>
  </si>
  <si>
    <t>[{"id":225,"num":1,"point":{"x":15,"y":243}}, {"id":247, "num":5,"point":{"x":26,"y":247}}, {"id":949, "num":15,"point":{"x":20,"y":18}}]</t>
  </si>
  <si>
    <t>[{"id":225,"num":1,"point":{"x":15,"y":244}}, {"id":247, "num":5,"point":{"x":26,"y":248}}, {"id":949, "num":15,"point":{"x":36,"y":37}}]</t>
  </si>
  <si>
    <t>[{"id":225,"num":1,"point":{"x":15,"y":245}}, {"id":247, "num":5,"point":{"x":26,"y":249}}, {"id":949, "num":15,"point":{"x":36,"y":37}}, {"id":990, "num":1,"point":{"x":25,"y":42}}]</t>
  </si>
  <si>
    <t>[{"id":225,"num":1,"point":{"x":15,"y":246}}, {"id":247, "num":4,"point":{"x":26,"y":250}}, {"id":949, "num":15,"point":{"x":33,"y":33}}]</t>
  </si>
  <si>
    <t>[{"id":225,"num":1,"point":{"x":15,"y":247}}, {"id":247, "num":3,"point":{"x":26,"y":251}}, {"id":949, "num":16,"point":{"x":33,"y":33}}]</t>
  </si>
  <si>
    <t>[{"id":225,"num":1,"point":{"x":15,"y":248}}, {"id":247, "num":4,"point":{"x":26,"y":252}}, {"id":949, "num":16,"point":{"x":23,"y":12}}]</t>
  </si>
  <si>
    <t>[{"id":225,"num":1,"point":{"x":15,"y":249}}, {"id":248, "num":4,"point":{"x":26,"y":253}}, {"id":950, "num":16,"point":{"x":23,"y":12}}]</t>
  </si>
  <si>
    <t>[{"id":225,"num":1,"point":{"x":15,"y":250}}, {"id":248, "num":4,"point":{"x":26,"y":254}}, {"id":950, "num":16,"point":{"x":36,"y":37}}, {"id":990, "num":1,"point":{"x":25,"y":42}}]</t>
  </si>
  <si>
    <t>[{"id":225,"num":1,"point":{"x":15,"y":251}}, {"id":248, "num":4,"point":{"x":26,"y":255}}, {"id":950, "num":16,"point":{"x":33,"y":16}}]</t>
  </si>
  <si>
    <t>[{"id":225,"num":1,"point":{"x":15,"y":252}}, {"id":248, "num":3,"point":{"x":26,"y":256}}, {"id":950, "num":16,"point":{"x":20,"y":18}}]</t>
  </si>
  <si>
    <t>[{"id":226,"num":1,"point":{"x":15,"y":253}}, {"id":248, "num":4,"point":{"x":26,"y":257}}, {"id":950, "num":16,"point":{"x":20,"y":18}}]</t>
  </si>
  <si>
    <t>[{"id":226,"num":1,"point":{"x":15,"y":254}}, {"id":248, "num":4,"point":{"x":26,"y":258}}, {"id":950, "num":16,"point":{"x":36,"y":37}}]</t>
  </si>
  <si>
    <t>[{"id":226,"num":1,"point":{"x":15,"y":255}}, {"id":248, "num":4,"point":{"x":26,"y":259}}, {"id":950, "num":16,"point":{"x":36,"y":37}}, {"id":990, "num":1,"point":{"x":25,"y":42}}]</t>
  </si>
  <si>
    <t>[{"id":226,"num":1,"point":{"x":15,"y":256}}, {"id":248, "num":4,"point":{"x":26,"y":260}}, {"id":950, "num":16,"point":{"x":33,"y":33}}]</t>
  </si>
  <si>
    <t>[{"id":226,"num":1,"point":{"x":15,"y":257}}, {"id":248, "num":3,"point":{"x":26,"y":261}}, {"id":950, "num":16,"point":{"x":33,"y":33}}]</t>
  </si>
  <si>
    <t>[{"id":226,"num":1,"point":{"x":15,"y":258}}, {"id":249, "num":4,"point":{"x":26,"y":262}}, {"id":951, "num":16,"point":{"x":23,"y":12}}]</t>
  </si>
  <si>
    <t>[{"id":226,"num":1,"point":{"x":15,"y":259}}, {"id":249, "num":4,"point":{"x":26,"y":263}}, {"id":951, "num":16,"point":{"x":23,"y":12}}]</t>
  </si>
  <si>
    <t>[{"id":226,"num":1,"point":{"x":15,"y":260}}, {"id":249, "num":4,"point":{"x":26,"y":264}}, {"id":951, "num":16,"point":{"x":36,"y":37}}, {"id":990, "num":1,"point":{"x":25,"y":42}}]</t>
  </si>
  <si>
    <t>[{"id":226,"num":1,"point":{"x":15,"y":261}}, {"id":249, "num":3,"point":{"x":26,"y":265}}, {"id":951, "num":16,"point":{"x":33,"y":16}}]</t>
  </si>
  <si>
    <t>[{"id":226,"num":1,"point":{"x":15,"y":262}}, {"id":249, "num":3,"point":{"x":26,"y":266}}, {"id":951, "num":16,"point":{"x":20,"y":18}}]</t>
  </si>
  <si>
    <t>[{"id":227,"num":1,"point":{"x":15,"y":263}}, {"id":249, "num":3,"point":{"x":26,"y":267}}, {"id":951, "num":16,"point":{"x":20,"y":18}}]</t>
  </si>
  <si>
    <t>[{"id":227,"num":1,"point":{"x":15,"y":264}}, {"id":249, "num":3,"point":{"x":26,"y":268}}, {"id":951, "num":16,"point":{"x":36,"y":37}}]</t>
  </si>
  <si>
    <t>[{"id":227,"num":1,"point":{"x":15,"y":265}}, {"id":249, "num":3,"point":{"x":26,"y":269}}, {"id":951, "num":16,"point":{"x":36,"y":37}}, {"id":990, "num":1,"point":{"x":25,"y":42}}]</t>
  </si>
  <si>
    <t>[{"id":227,"num":1,"point":{"x":15,"y":266}}, {"id":249, "num":2,"point":{"x":26,"y":270}}, {"id":951, "num":16,"point":{"x":33,"y":33}}]</t>
  </si>
  <si>
    <t>[{"id":227,"num":1,"point":{"x":15,"y":267}}, {"id":250, "num":2,"point":{"x":26,"y":271}}, {"id":952, "num":16,"point":{"x":33,"y":33}}]</t>
  </si>
  <si>
    <t>[{"id":227,"num":1,"point":{"x":15,"y":268}}, {"id":250, "num":2,"point":{"x":26,"y":272}}, {"id":952, "num":16,"point":{"x":23,"y":12}}]</t>
  </si>
  <si>
    <t>[{"id":227,"num":1,"point":{"x":15,"y":269}}, {"id":250, "num":2,"point":{"x":26,"y":273}}, {"id":952, "num":16,"point":{"x":23,"y":12}}]</t>
  </si>
  <si>
    <t>[{"id":227,"num":1,"point":{"x":15,"y":270}}, {"id":250, "num":3,"point":{"x":26,"y":274}}, {"id":952, "num":16,"point":{"x":36,"y":37}}, {"id":990, "num":1,"point":{"x":25,"y":42}}]</t>
  </si>
  <si>
    <t>[{"id":227,"num":1,"point":{"x":15,"y":271}}, {"id":250, "num":2,"point":{"x":26,"y":275}}, {"id":952, "num":17,"point":{"x":33,"y":16}}]</t>
  </si>
  <si>
    <t>[{"id":227,"num":1,"point":{"x":15,"y":272}}, {"id":250, "num":2,"point":{"x":26,"y":276}}, {"id":952, "num":17,"point":{"x":20,"y":18}}]</t>
  </si>
  <si>
    <t>[{"id":228,"num":1,"point":{"x":15,"y":273}}, {"id":250, "num":2,"point":{"x":26,"y":277}}, {"id":952, "num":17,"point":{"x":20,"y":18}}]</t>
  </si>
  <si>
    <t>[{"id":228,"num":1,"point":{"x":15,"y":274}}, {"id":250, "num":2,"point":{"x":26,"y":278}}, {"id":952, "num":17,"point":{"x":36,"y":37}}]</t>
  </si>
  <si>
    <t>[{"id":228,"num":1,"point":{"x":15,"y":275}}, {"id":250, "num":3,"point":{"x":26,"y":279}}, {"id":952, "num":17,"point":{"x":36,"y":37}}, {"id":990, "num":1,"point":{"x":25,"y":42}}]</t>
  </si>
  <si>
    <t>[{"id":228,"num":1,"point":{"x":15,"y":276}}, {"id":251, "num":2,"point":{"x":26,"y":280}}, {"id":953, "num":17,"point":{"x":33,"y":33}}]</t>
  </si>
  <si>
    <t>[{"id":228,"num":1,"point":{"x":15,"y":277}}, {"id":251, "num":2,"point":{"x":26,"y":281}}, {"id":953, "num":17,"point":{"x":33,"y":33}}]</t>
  </si>
  <si>
    <t>[{"id":228,"num":1,"point":{"x":15,"y":278}}, {"id":251, "num":2,"point":{"x":26,"y":282}}, {"id":953, "num":17,"point":{"x":23,"y":12}}]</t>
  </si>
  <si>
    <t>[{"id":228,"num":1,"point":{"x":15,"y":279}}, {"id":251, "num":2,"point":{"x":26,"y":283}}, {"id":953, "num":17,"point":{"x":23,"y":12}}]</t>
  </si>
  <si>
    <t>[{"id":228,"num":1,"point":{"x":15,"y":280}}, {"id":251, "num":2,"point":{"x":26,"y":284}}, {"id":953, "num":17,"point":{"x":36,"y":37}}, {"id":990, "num":1,"point":{"x":25,"y":42}}]</t>
  </si>
  <si>
    <t>[{"id":228,"num":1,"point":{"x":15,"y":281}}, {"id":251, "num":2,"point":{"x":26,"y":285}}, {"id":953, "num":17,"point":{"x":33,"y":16}}]</t>
  </si>
  <si>
    <t>[{"id":228,"num":1,"point":{"x":15,"y":282}}, {"id":251, "num":2,"point":{"x":26,"y":286}}, {"id":953, "num":17,"point":{"x":20,"y":18}}]</t>
  </si>
  <si>
    <t>[{"id":229,"num":1,"point":{"x":15,"y":283}}, {"id":251, "num":2,"point":{"x":26,"y":287}}, {"id":953, "num":17,"point":{"x":20,"y":18}}]</t>
  </si>
  <si>
    <t>[{"id":229,"num":1,"point":{"x":15,"y":284}}, {"id":251, "num":2,"point":{"x":26,"y":288}}, {"id":953, "num":17,"point":{"x":36,"y":37}}]</t>
  </si>
  <si>
    <t>[{"id":229,"num":1,"point":{"x":15,"y":285}}, {"id":252, "num":2,"point":{"x":26,"y":289}}, {"id":954, "num":17,"point":{"x":36,"y":37}}, {"id":990, "num":1,"point":{"x":25,"y":42}}]</t>
  </si>
  <si>
    <t>[{"id":229,"num":1,"point":{"x":15,"y":286}}, {"id":252, "num":2,"point":{"x":26,"y":290}}, {"id":954, "num":17,"point":{"x":33,"y":33}}]</t>
  </si>
  <si>
    <t>[{"id":229,"num":1,"point":{"x":15,"y":287}}, {"id":252, "num":2,"point":{"x":26,"y":291}}, {"id":954, "num":17,"point":{"x":33,"y":33}}]</t>
  </si>
  <si>
    <t>[{"id":229,"num":1,"point":{"x":15,"y":288}}, {"id":252, "num":2,"point":{"x":26,"y":292}}, {"id":954, "num":17,"point":{"x":23,"y":12}}]</t>
  </si>
  <si>
    <t>[{"id":229,"num":1,"point":{"x":15,"y":289}}, {"id":252, "num":2,"point":{"x":26,"y":293}}, {"id":954, "num":17,"point":{"x":23,"y":12}}]</t>
  </si>
  <si>
    <t>[{"id":229,"num":1,"point":{"x":15,"y":290}}, {"id":252, "num":2,"point":{"x":26,"y":294}}, {"id":954, "num":17,"point":{"x":36,"y":37}}, {"id":990, "num":1,"point":{"x":25,"y":42}}]</t>
  </si>
  <si>
    <t>[{"id":229,"num":1,"point":{"x":15,"y":291}}, {"id":252, "num":1,"point":{"x":26,"y":295}}, {"id":954, "num":17,"point":{"x":33,"y":16}}]</t>
  </si>
  <si>
    <t>[{"id":229,"num":1,"point":{"x":15,"y":292}}, {"id":252, "num":1,"point":{"x":26,"y":296}}, {"id":954, "num":17,"point":{"x":20,"y":18}}]</t>
  </si>
  <si>
    <t>[{"id":230,"num":1,"point":{"x":15,"y":293}}, {"id":252, "num":1,"point":{"x":26,"y":297}}, {"id":954, "num":17,"point":{"x":20,"y":18}}]</t>
  </si>
  <si>
    <t>[{"id":230,"num":1,"point":{"x":15,"y":294}}, {"id":253, "num":1,"point":{"x":26,"y":298}}, {"id":955, "num":17,"point":{"x":36,"y":37}}]</t>
  </si>
  <si>
    <t>[{"id":230,"num":1,"point":{"x":15,"y":295}}, {"id":253, "num":1,"point":{"x":26,"y":299}}, {"id":955, "num":18,"point":{"x":36,"y":37}}, {"id":990, "num":1,"point":{"x":25,"y":42}}]</t>
  </si>
  <si>
    <t>[{"id":230,"num":1,"point":{"x":15,"y":296}}, {"id":253, "num":1,"point":{"x":26,"y":300}}, {"id":955, "num":18,"point":{"x":33,"y":33}}]</t>
  </si>
  <si>
    <t>[{"id":230,"num":1,"point":{"x":15,"y":297}}, {"id":253, "num":1,"point":{"x":26,"y":301}}, {"id":955, "num":18,"point":{"x":33,"y":33}}]</t>
  </si>
  <si>
    <t>[{"id":230,"num":1,"point":{"x":15,"y":298}}, {"id":253, "num":1,"point":{"x":26,"y":302}}, {"id":955, "num":18,"point":{"x":23,"y":12}}]</t>
  </si>
  <si>
    <t>[{"id":230,"num":1,"point":{"x":15,"y":299}}, {"id":253, "num":1,"point":{"x":26,"y":303}}, {"id":955, "num":18,"point":{"x":23,"y":12}}]</t>
  </si>
  <si>
    <t>[{"id":230,"num":1,"point":{"x":15,"y":300}}, {"id":253, "num":1,"point":{"x":26,"y":304}}, {"id":955, "num":18,"point":{"x":36,"y":37}}, {"id":990, "num":1,"point":{"x":25,"y":42}}]</t>
  </si>
  <si>
    <t>[{"id":230,"num":1,"point":{"x":15,"y":301}}, {"id":253, "num":1,"point":{"x":26,"y":305}}, {"id":955, "num":18,"point":{"x":33,"y":16}}]</t>
  </si>
  <si>
    <t>[{"id":230,"num":1,"point":{"x":15,"y":302}}, {"id":253, "num":1,"point":{"x":26,"y":306}}, {"id":955, "num":18,"point":{"x":20,"y":18}}]</t>
  </si>
  <si>
    <t>[{"id":901,"num":1,"point":{"x":15,"y":303}}, {"id":254, "num":1,"point":{"x":26,"y":307}}, {"id":956, "num":18,"point":{"x":20,"y":18}}]</t>
  </si>
  <si>
    <t>[{"id":901,"num":1,"point":{"x":15,"y":304}}, {"id":254, "num":1,"point":{"x":26,"y":308}}, {"id":956, "num":18,"point":{"x":36,"y":37}}]</t>
  </si>
  <si>
    <t>[{"id":901,"num":1,"point":{"x":15,"y":305}}, {"id":254, "num":1,"point":{"x":26,"y":309}}, {"id":956, "num":18,"point":{"x":36,"y":37}}, {"id":990, "num":1,"point":{"x":25,"y":42}}]</t>
  </si>
  <si>
    <t>[{"id":901,"num":1,"point":{"x":15,"y":306}}, {"id":254, "num":1,"point":{"x":26,"y":310}}, {"id":956, "num":18,"point":{"x":33,"y":33}}]</t>
  </si>
  <si>
    <t>[{"id":901,"num":1,"point":{"x":15,"y":307}}, {"id":254, "num":1,"point":{"x":26,"y":311}}, {"id":956, "num":18,"point":{"x":33,"y":33}}]</t>
  </si>
  <si>
    <t>[{"id":901,"num":1,"point":{"x":15,"y":308}}, {"id":254, "num":1,"point":{"x":26,"y":312}}, {"id":956, "num":18,"point":{"x":23,"y":12}}]</t>
  </si>
  <si>
    <t>[{"id":901,"num":1,"point":{"x":15,"y":309}}, {"id":254, "num":1,"point":{"x":26,"y":313}}, {"id":956, "num":18,"point":{"x":23,"y":12}}]</t>
  </si>
  <si>
    <t>[{"id":901,"num":1,"point":{"x":15,"y":310}}, {"id":254, "num":1,"point":{"x":26,"y":314}}, {"id":956, "num":18,"point":{"x":36,"y":37}}, {"id":990, "num":1,"point":{"x":25,"y":42}}]</t>
  </si>
  <si>
    <t>[{"id":901,"num":1,"point":{"x":15,"y":311}}, {"id":254, "num":1,"point":{"x":26,"y":315}}, {"id":956, "num":18,"point":{"x":33,"y":16}}]</t>
  </si>
  <si>
    <t>[{"id":901,"num":1,"point":{"x":15,"y":312}}, {"id":255, "num":1,"point":{"x":26,"y":316}}, {"id":957, "num":18,"point":{"x":20,"y":18}}]</t>
  </si>
  <si>
    <t>[{"id":902,"num":1,"point":{"x":15,"y":313}}, {"id":255, "num":1,"point":{"x":26,"y":317}}, {"id":957, "num":18,"point":{"x":20,"y":18}}]</t>
  </si>
  <si>
    <t>[{"id":902,"num":1,"point":{"x":15,"y":314}}, {"id":255, "num":1,"point":{"x":26,"y":318}}, {"id":957, "num":18,"point":{"x":36,"y":37}}]</t>
  </si>
  <si>
    <t>[{"id":902,"num":1,"point":{"x":15,"y":315}}, {"id":255, "num":1,"point":{"x":26,"y":319}}, {"id":957, "num":18,"point":{"x":36,"y":37}}, {"id":990, "num":1,"point":{"x":25,"y":42}}]</t>
  </si>
  <si>
    <t>[{"id":902,"num":1,"point":{"x":15,"y":316}}, {"id":255, "num":1,"point":{"x":26,"y":320}}, {"id":957, "num":18,"point":{"x":33,"y":33}}]</t>
  </si>
  <si>
    <t>[{"id":902,"num":1,"point":{"x":15,"y":317}}, {"id":255, "num":1,"point":{"x":26,"y":321}}, {"id":957, "num":18,"point":{"x":33,"y":33}}]</t>
  </si>
  <si>
    <t>[{"id":902,"num":1,"point":{"x":15,"y":318}}, {"id":255, "num":1,"point":{"x":26,"y":322}}, {"id":957, "num":18,"point":{"x":23,"y":12}}]</t>
  </si>
  <si>
    <t>[{"id":902,"num":1,"point":{"x":15,"y":319}}, {"id":255, "num":1,"point":{"x":26,"y":323}}, {"id":957, "num":18,"point":{"x":23,"y":12}}]</t>
  </si>
  <si>
    <t>[{"id":902,"num":1,"point":{"x":15,"y":320}}, {"id":255, "num":1,"point":{"x":26,"y":324}}, {"id":957, "num":19,"point":{"x":36,"y":37}}, {"id":990, "num":1,"point":{"x":25,"y":42}}]</t>
  </si>
  <si>
    <t>[{"id":902,"num":1,"point":{"x":15,"y":321}}, {"id":256, "num":1,"point":{"x":26,"y":325}}, {"id":958, "num":18,"point":{"x":33,"y":16}}]</t>
  </si>
  <si>
    <t>[{"id":902,"num":1,"point":{"x":15,"y":322}}, {"id":256, "num":1,"point":{"x":26,"y":326}}, {"id":958, "num":18,"point":{"x":20,"y":18}}]</t>
  </si>
  <si>
    <t>[{"id":903,"num":1,"point":{"x":15,"y":323}}, {"id":256, "num":1,"point":{"x":26,"y":327}}, {"id":958, "num":18,"point":{"x":20,"y":18}}]</t>
  </si>
  <si>
    <t>[{"id":903,"num":1,"point":{"x":15,"y":324}}, {"id":256, "num":1,"point":{"x":26,"y":328}}, {"id":958, "num":18,"point":{"x":36,"y":37}}]</t>
  </si>
  <si>
    <t>[{"id":903,"num":1,"point":{"x":15,"y":325}}, {"id":256, "num":1,"point":{"x":26,"y":329}}, {"id":958, "num":18,"point":{"x":36,"y":37}}, {"id":990, "num":2,"point":{"x":25,"y":42}}]</t>
  </si>
  <si>
    <t>[{"id":903,"num":1,"point":{"x":15,"y":326}}, {"id":256, "num":1,"point":{"x":26,"y":330}}, {"id":958, "num":18,"point":{"x":33,"y":33}}]</t>
  </si>
  <si>
    <t>[{"id":903,"num":1,"point":{"x":15,"y":327}}, {"id":256, "num":1,"point":{"x":26,"y":331}}, {"id":958, "num":18,"point":{"x":33,"y":33}}]</t>
  </si>
  <si>
    <t>[{"id":903,"num":1,"point":{"x":15,"y":328}}, {"id":256, "num":1,"point":{"x":26,"y":332}}, {"id":958, "num":18,"point":{"x":23,"y":12}}]</t>
  </si>
  <si>
    <t>[{"id":903,"num":1,"point":{"x":15,"y":329}}, {"id":256, "num":1,"point":{"x":26,"y":333}}, {"id":958, "num":18,"point":{"x":23,"y":12}}]</t>
  </si>
  <si>
    <t>[{"id":903,"num":1,"point":{"x":15,"y":330}}, {"id":257, "num":1,"point":{"x":26,"y":334}}, {"id":959, "num":18,"point":{"x":36,"y":37}}, {"id":990, "num":2,"point":{"x":25,"y":42}}]</t>
  </si>
  <si>
    <t>[{"id":903,"num":1,"point":{"x":15,"y":331}}, {"id":257, "num":1,"point":{"x":26,"y":335}}, {"id":959, "num":18,"point":{"x":33,"y":16}}]</t>
  </si>
  <si>
    <t>[{"id":903,"num":1,"point":{"x":15,"y":332}}, {"id":257, "num":1,"point":{"x":26,"y":336}}, {"id":959, "num":18,"point":{"x":20,"y":18}}]</t>
  </si>
  <si>
    <t>[{"id":904,"num":1,"point":{"x":15,"y":333}}, {"id":257, "num":1,"point":{"x":26,"y":337}}, {"id":959, "num":18,"point":{"x":20,"y":18}}]</t>
  </si>
  <si>
    <t>[{"id":904,"num":1,"point":{"x":15,"y":334}}, {"id":257, "num":1,"point":{"x":26,"y":338}}, {"id":959, "num":18,"point":{"x":36,"y":37}}]</t>
  </si>
  <si>
    <t>[{"id":904,"num":1,"point":{"x":15,"y":335}}, {"id":257, "num":1,"point":{"x":26,"y":339}}, {"id":959, "num":18,"point":{"x":36,"y":37}}, {"id":990, "num":2,"point":{"x":25,"y":42}}]</t>
  </si>
  <si>
    <t>[{"id":904,"num":1,"point":{"x":15,"y":336}}, {"id":257, "num":1,"point":{"x":26,"y":340}}, {"id":959, "num":18,"point":{"x":33,"y":33}}]</t>
  </si>
  <si>
    <t>[{"id":904,"num":1,"point":{"x":15,"y":337}}, {"id":257, "num":1,"point":{"x":26,"y":341}}, {"id":959, "num":18,"point":{"x":33,"y":33}}]</t>
  </si>
  <si>
    <t>[{"id":904,"num":1,"point":{"x":15,"y":338}}, {"id":257, "num":1,"point":{"x":26,"y":342}}, {"id":959, "num":18,"point":{"x":23,"y":12}}]</t>
  </si>
  <si>
    <t>[{"id":904,"num":1,"point":{"x":15,"y":339}}, {"id":258, "num":1,"point":{"x":26,"y":343}}, {"id":960, "num":18,"point":{"x":23,"y":12}}]</t>
  </si>
  <si>
    <t>[{"id":904,"num":1,"point":{"x":15,"y":340}}, {"id":258, "num":1,"point":{"x":26,"y":344}}, {"id":960, "num":18,"point":{"x":36,"y":37}}, {"id":990, "num":2,"point":{"x":25,"y":42}}]</t>
  </si>
  <si>
    <t>[{"id":904,"num":1,"point":{"x":15,"y":341}}, {"id":258, "num":1,"point":{"x":26,"y":345}}, {"id":960, "num":18,"point":{"x":33,"y":16}}]</t>
  </si>
  <si>
    <t>[{"id":904,"num":1,"point":{"x":15,"y":342}}, {"id":258, "num":1,"point":{"x":26,"y":346}}, {"id":960, "num":18,"point":{"x":20,"y":18}}]</t>
  </si>
  <si>
    <t>[{"id":905,"num":1,"point":{"x":15,"y":343}}, {"id":258, "num":1,"point":{"x":26,"y":347}}, {"id":960, "num":18,"point":{"x":20,"y":18}}]</t>
  </si>
  <si>
    <t>[{"id":905,"num":1,"point":{"x":15,"y":344}}, {"id":258, "num":1,"point":{"x":26,"y":348}}, {"id":960, "num":18,"point":{"x":36,"y":37}}]</t>
  </si>
  <si>
    <t>[{"id":905,"num":1,"point":{"x":15,"y":345}}, {"id":258, "num":1,"point":{"x":26,"y":349}}, {"id":960, "num":17,"point":{"x":36,"y":37}}, {"id":990, "num":3,"point":{"x":25,"y":42}}]</t>
  </si>
  <si>
    <t>[{"id":905,"num":1,"point":{"x":15,"y":346}}, {"id":258, "num":1,"point":{"x":26,"y":350}}, {"id":960, "num":18,"point":{"x":33,"y":33}}]</t>
  </si>
  <si>
    <t>[{"id":905,"num":1,"point":{"x":15,"y":347}}, {"id":258, "num":1,"point":{"x":26,"y":351}}, {"id":960, "num":18,"point":{"x":33,"y":33}}]</t>
  </si>
  <si>
    <t>[{"id":905,"num":1,"point":{"x":15,"y":348}}, {"id":259, "num":1,"point":{"x":26,"y":352}}, {"id":961, "num":18,"point":{"x":23,"y":12}}]</t>
  </si>
  <si>
    <t>[{"id":905,"num":1,"point":{"x":15,"y":349}}, {"id":259, "num":1,"point":{"x":26,"y":353}}, {"id":961, "num":18,"point":{"x":23,"y":12}}]</t>
  </si>
  <si>
    <t>[{"id":905,"num":1,"point":{"x":15,"y":350}}, {"id":259, "num":1,"point":{"x":26,"y":354}}, {"id":961, "num":16,"point":{"x":36,"y":37}}, {"id":990, "num":4,"point":{"x":25,"y":42}}]</t>
  </si>
  <si>
    <t>[{"id":905,"num":1,"point":{"x":15,"y":351}}, {"id":259, "num":1,"point":{"x":26,"y":355}}, {"id":961, "num":18,"point":{"x":33,"y":16}}]</t>
  </si>
  <si>
    <t>[{"id":905,"num":1,"point":{"x":15,"y":352}}, {"id":259, "num":1,"point":{"x":26,"y":356}}, {"id":961, "num":18,"point":{"x":20,"y":18}}]</t>
  </si>
  <si>
    <t>[{"id":906,"num":1,"point":{"x":15,"y":353}}, {"id":259, "num":1,"point":{"x":26,"y":357}}, {"id":961, "num":18,"point":{"x":20,"y":18}}]</t>
  </si>
  <si>
    <t>[{"id":906,"num":1,"point":{"x":15,"y":354}}, {"id":259, "num":1,"point":{"x":26,"y":358}}, {"id":961, "num":18,"point":{"x":36,"y":37}}]</t>
  </si>
  <si>
    <t>[{"id":906,"num":1,"point":{"x":15,"y":355}}, {"id":259, "num":1,"point":{"x":26,"y":359}}, {"id":961, "num":15,"point":{"x":36,"y":37}}, {"id":990, "num":5,"point":{"x":25,"y":42}}]</t>
  </si>
  <si>
    <t>[{"id":906,"num":1,"point":{"x":15,"y":356}}, {"id":259, "num":1,"point":{"x":26,"y":360}}, {"id":961, "num":18,"point":{"x":33,"y":33}}]</t>
  </si>
  <si>
    <t>[{"id":906,"num":1,"point":{"x":15,"y":357}}, {"id":260, "num":1,"point":{"x":26,"y":361}}, {"id":962, "num":18,"point":{"x":33,"y":33}}]</t>
  </si>
  <si>
    <t>[{"id":906,"num":1,"point":{"x":15,"y":358}}, {"id":260, "num":1,"point":{"x":26,"y":362}}, {"id":962, "num":18,"point":{"x":23,"y":12}}]</t>
  </si>
  <si>
    <t>[{"id":906,"num":1,"point":{"x":15,"y":359}}, {"id":260, "num":1,"point":{"x":26,"y":363}}, {"id":962, "num":18,"point":{"x":23,"y":12}}]</t>
  </si>
  <si>
    <t>[{"id":906,"num":1,"point":{"x":15,"y":360}}, {"id":260, "num":1,"point":{"x":26,"y":364}}, {"id":962, "num":14,"point":{"x":36,"y":37}}, {"id":990, "num":6,"point":{"x":25,"y":42}}]</t>
  </si>
  <si>
    <t>[{"id":906,"num":1,"point":{"x":15,"y":361}}, {"id":260, "num":1,"point":{"x":26,"y":365}}, {"id":962, "num":18,"point":{"x":33,"y":16}}]</t>
  </si>
  <si>
    <t>[{"id":906,"num":1,"point":{"x":15,"y":362}}, {"id":260, "num":1,"point":{"x":26,"y":366}}, {"id":962, "num":18,"point":{"x":20,"y":18}}]</t>
  </si>
  <si>
    <t>[{"id":907,"num":1,"point":{"x":15,"y":363}}, {"id":260, "num":1,"point":{"x":26,"y":367}}, {"id":962, "num":18,"point":{"x":20,"y":18}}]</t>
  </si>
  <si>
    <t>[{"id":907,"num":1,"point":{"x":15,"y":364}}, {"id":260, "num":1,"point":{"x":26,"y":368}}, {"id":962, "num":18,"point":{"x":36,"y":37}}]</t>
  </si>
  <si>
    <t>[{"id":61, "num":1,"point":{"x":25,"y":35}}]</t>
  </si>
  <si>
    <t>[5,14,60]</t>
  </si>
  <si>
    <t>[{"id":62, "num":1,"point":{"x":25,"y":35}}]</t>
  </si>
  <si>
    <t>[{"id":63, "num":1,"point":{"x":25,"y":35}}]</t>
  </si>
  <si>
    <t>[{"id":64, "num":1,"point":{"x":25,"y":35}}]</t>
  </si>
  <si>
    <t>[{"id":65, "num":1,"point":{"x":25,"y":35}}]</t>
  </si>
  <si>
    <t>[{"id":66, "num":1,"point":{"x":25,"y":35}}]</t>
  </si>
  <si>
    <t>[5,14,61]</t>
  </si>
  <si>
    <t>[{"id":67, "num":1,"point":{"x":25,"y":35}}]</t>
  </si>
  <si>
    <t>[{"id":68, "num":1,"point":{"x":25,"y":35}}]</t>
  </si>
  <si>
    <t>[{"id":69, "num":1,"point":{"x":25,"y":35}}]</t>
  </si>
  <si>
    <t>[{"id":70, "num":1,"point":{"x":25,"y":35}}]</t>
  </si>
  <si>
    <t>[{"id":71, "num":1,"point":{"x":25,"y":35}}]</t>
  </si>
  <si>
    <t>[{"id":72, "num":1,"point":{"x":25,"y":35}}]</t>
  </si>
  <si>
    <t>[{"id":73, "num":1,"point":{"x":25,"y":35}}]</t>
  </si>
  <si>
    <t>[{"id":74, "num":1,"point":{"x":25,"y":35}}]</t>
  </si>
  <si>
    <t>[{"id":75, "num":1,"point":{"x":25,"y":35}}]</t>
  </si>
  <si>
    <t>[{"id":76, "num":1,"point":{"x":25,"y":35}}]</t>
  </si>
  <si>
    <t>[{"id":77, "num":1,"point":{"x":25,"y":35}}]</t>
  </si>
  <si>
    <t>[{"id":78, "num":1,"point":{"x":25,"y":35}}]</t>
  </si>
  <si>
    <t>[{"id":79, "num":1,"point":{"x":25,"y":35}}]</t>
  </si>
  <si>
    <t>[{"id":80, "num":1,"point":{"x":25,"y":35}}]</t>
  </si>
  <si>
    <t>[{"id":81, "num":1,"point":{"x":25,"y":35}}]</t>
  </si>
  <si>
    <t>[5,14,62]</t>
  </si>
  <si>
    <t>[{"id":82, "num":1,"point":{"x":25,"y":35}}]</t>
  </si>
  <si>
    <t>[{"id":83, "num":1,"point":{"x":25,"y":35}}]</t>
  </si>
  <si>
    <t>[{"id":84, "num":1,"point":{"x":25,"y":35}}]</t>
  </si>
  <si>
    <t>[{"id":85, "num":1,"point":{"x":25,"y":35}}]</t>
  </si>
  <si>
    <t>[{"id":86, "num":1,"point":{"x":25,"y":35}}]</t>
  </si>
  <si>
    <t>[{"id":87, "num":1,"point":{"x":25,"y":35}}]</t>
  </si>
  <si>
    <t>[{"id":88, "num":1,"point":{"x":25,"y":35}}]</t>
  </si>
  <si>
    <t>[{"id":89, "num":1,"point":{"x":25,"y":35}}]</t>
  </si>
  <si>
    <t>[{"id":90, "num":1,"point":{"x":25,"y":35}}]</t>
  </si>
  <si>
    <t>[{"id":261, "num":1,"point":{"x":25,"y":35}},{"id":31, "num":5,"point":{"x":25,"y":35}}]</t>
  </si>
  <si>
    <t>[{"id":262, "num":1,"point":{"x":25,"y":35}},{"id":32, "num":5,"point":{"x":25,"y":35}}]</t>
  </si>
  <si>
    <t>[{"id":263, "num":1,"point":{"x":25,"y":35}},{"id":33, "num":5,"point":{"x":25,"y":35}}]</t>
  </si>
  <si>
    <t>[{"id":264, "num":1,"point":{"x":25,"y":35}},{"id":34, "num":5,"point":{"x":25,"y":35}}]</t>
  </si>
  <si>
    <t>[{"id":265, "num":1,"point":{"x":25,"y":35}},{"id":35, "num":5,"point":{"x":25,"y":35}}]</t>
  </si>
  <si>
    <t>[{"id":266, "num":1,"point":{"x":25,"y":35}},{"id":36, "num":5,"point":{"x":25,"y":35}}]</t>
  </si>
  <si>
    <t>[{"id":267, "num":1,"point":{"x":25,"y":35}},{"id":37, "num":5,"point":{"x":25,"y":35}}]</t>
  </si>
  <si>
    <t>[{"id":268, "num":1,"point":{"x":25,"y":35}},{"id":38, "num":5,"point":{"x":25,"y":35}}]</t>
  </si>
  <si>
    <t>[{"id":269, "num":1,"point":{"x":25,"y":35}},{"id":39, "num":5,"point":{"x":25,"y":35}}]</t>
  </si>
  <si>
    <t>[{"id":270, "num":1,"point":{"x":25,"y":35}},{"id":40, "num":5,"point":{"x":25,"y":35}}]</t>
  </si>
  <si>
    <t>[{"id":271, "num":1,"point":{"x":25,"y":35}},{"id":41, "num":5,"point":{"x":25,"y":35}}]</t>
  </si>
  <si>
    <t>[{"id":272, "num":1,"point":{"x":25,"y":35}},{"id":42, "num":5,"point":{"x":25,"y":35}}]</t>
  </si>
  <si>
    <t>[{"id":273, "num":1,"point":{"x":25,"y":35}},{"id":43, "num":5,"point":{"x":25,"y":35}}]</t>
  </si>
  <si>
    <t>[{"id":274, "num":1,"point":{"x":25,"y":35}},{"id":44, "num":5,"point":{"x":25,"y":35}}]</t>
  </si>
  <si>
    <t>[{"id":275, "num":1,"point":{"x":25,"y":35}},{"id":45, "num":5,"point":{"x":25,"y":35}}]</t>
  </si>
  <si>
    <t>[{"id":276, "num":1,"point":{"x":25,"y":35}},{"id":46, "num":5,"point":{"x":25,"y":35}}]</t>
  </si>
  <si>
    <t>[{"id":277, "num":1,"point":{"x":25,"y":35}},{"id":47, "num":5,"point":{"x":25,"y":35}}]</t>
  </si>
  <si>
    <t>[{"id":278, "num":1,"point":{"x":25,"y":35}},{"id":48, "num":5,"point":{"x":25,"y":35}}]</t>
  </si>
  <si>
    <t>[{"id":279, "num":1,"point":{"x":25,"y":35}},{"id":49, "num":5,"point":{"x":25,"y":35}}]</t>
  </si>
  <si>
    <t>[{"id":280, "num":1,"point":{"x":25,"y":35}},{"id":50, "num":5,"point":{"x":25,"y":35}}]</t>
  </si>
  <si>
    <t>[{"id":281, "num":1,"point":{"x":25,"y":35}},{"id":51, "num":5,"point":{"x":25,"y":35}}]</t>
  </si>
  <si>
    <t>[{"id":282, "num":1,"point":{"x":25,"y":35}},{"id":52, "num":5,"point":{"x":25,"y":35}}]</t>
  </si>
  <si>
    <t>[{"id":283, "num":1,"point":{"x":25,"y":35}},{"id":53, "num":5,"point":{"x":25,"y":35}}]</t>
  </si>
  <si>
    <t>[{"id":284, "num":1,"point":{"x":25,"y":35}},{"id":54, "num":5,"point":{"x":25,"y":35}}]</t>
  </si>
  <si>
    <t>[{"id":285, "num":1,"point":{"x":25,"y":35}},{"id":55, "num":5,"point":{"x":25,"y":35}}]</t>
  </si>
  <si>
    <t>[{"id":286, "num":1,"point":{"x":25,"y":35}},{"id":56, "num":5,"point":{"x":25,"y":35}}]</t>
  </si>
  <si>
    <t>[{"id":287, "num":1,"point":{"x":25,"y":35}},{"id":57, "num":5,"point":{"x":25,"y":35}}]</t>
  </si>
  <si>
    <t>[{"id":288, "num":1,"point":{"x":25,"y":35}},{"id":58, "num":5,"point":{"x":25,"y":35}}]</t>
  </si>
  <si>
    <t>[{"id":289, "num":1,"point":{"x":25,"y":35}},{"id":59, "num":5,"point":{"x":25,"y":35}}]</t>
  </si>
  <si>
    <t>[{"id":290, "num":1,"point":{"x":25,"y":35}},{"id":60, "num":5,"point":{"x":25,"y":35}}]</t>
  </si>
  <si>
    <t>[{"id":291, "num":1,"point":{"x":25,"y":35}},{"id":31, "num":10,"point":{"x":25,"y":35}}]</t>
  </si>
  <si>
    <t>[{"id":292, "num":1,"point":{"x":25,"y":35}},{"id":32, "num":10,"point":{"x":25,"y":35}}]</t>
  </si>
  <si>
    <t>[{"id":293, "num":1,"point":{"x":25,"y":35}},{"id":33, "num":10,"point":{"x":25,"y":35}}]</t>
  </si>
  <si>
    <t>[{"id":294, "num":1,"point":{"x":25,"y":35}},{"id":34, "num":10,"point":{"x":25,"y":35}}]</t>
  </si>
  <si>
    <t>[{"id":295, "num":1,"point":{"x":25,"y":35}},{"id":35, "num":10,"point":{"x":25,"y":35}}]</t>
  </si>
  <si>
    <t>[{"id":296, "num":1,"point":{"x":25,"y":35}},{"id":36, "num":10,"point":{"x":25,"y":35}}]</t>
  </si>
  <si>
    <t>[{"id":297, "num":1,"point":{"x":25,"y":35}},{"id":37, "num":10,"point":{"x":25,"y":35}}]</t>
  </si>
  <si>
    <t>[{"id":298, "num":1,"point":{"x":25,"y":35}},{"id":38, "num":10,"point":{"x":25,"y":35}}]</t>
  </si>
  <si>
    <t>[{"id":299, "num":1,"point":{"x":25,"y":35}},{"id":39, "num":10,"point":{"x":25,"y":35}}]</t>
  </si>
  <si>
    <t>[{"id":300, "num":1,"point":{"x":25,"y":35}},{"id":40, "num":10,"point":{"x":25,"y":35}}]</t>
  </si>
  <si>
    <t>[{"id":301, "num":1,"point":{"x":25,"y":35}},{"id":41, "num":10,"point":{"x":25,"y":35}}]</t>
  </si>
  <si>
    <t>[5,14,63]</t>
  </si>
  <si>
    <t>[{"id":302, "num":1,"point":{"x":25,"y":35}},{"id":42, "num":10,"point":{"x":25,"y":35}}]</t>
  </si>
  <si>
    <t>[{"id":303, "num":1,"point":{"x":25,"y":35}},{"id":43, "num":10,"point":{"x":25,"y":35}}]</t>
  </si>
  <si>
    <t>[{"id":304, "num":1,"point":{"x":25,"y":35}},{"id":44, "num":10,"point":{"x":25,"y":35}}]</t>
  </si>
  <si>
    <t>[{"id":305, "num":1,"point":{"x":25,"y":35}},{"id":45, "num":10,"point":{"x":25,"y":35}}]</t>
  </si>
  <si>
    <t>[{"id":306, "num":1,"point":{"x":25,"y":35}},{"id":46, "num":10,"point":{"x":25,"y":35}}]</t>
  </si>
  <si>
    <t>[{"id":307, "num":1,"point":{"x":25,"y":35}},{"id":47, "num":10,"point":{"x":25,"y":35}}]</t>
  </si>
  <si>
    <t>[{"id":308, "num":1,"point":{"x":25,"y":35}},{"id":48, "num":10,"point":{"x":25,"y":35}}]</t>
  </si>
  <si>
    <t>[{"id":309, "num":1,"point":{"x":25,"y":35}},{"id":49, "num":10,"point":{"x":25,"y":35}}]</t>
  </si>
  <si>
    <t>[{"id":310, "num":1,"point":{"x":25,"y":35}},{"id":50, "num":10,"point":{"x":25,"y":35}}]</t>
  </si>
  <si>
    <t>[{"id":311, "num":1,"point":{"x":25,"y":35}},{"id":51, "num":10,"point":{"x":25,"y":35}}]</t>
  </si>
  <si>
    <t>[{"id":312, "num":1,"point":{"x":25,"y":35}},{"id":52, "num":10,"point":{"x":25,"y":35}}]</t>
  </si>
  <si>
    <t>[{"id":313, "num":1,"point":{"x":25,"y":35}},{"id":53, "num":10,"point":{"x":25,"y":35}}]</t>
  </si>
  <si>
    <t>[{"id":314, "num":1,"point":{"x":25,"y":35}},{"id":54, "num":10,"point":{"x":25,"y":35}}]</t>
  </si>
  <si>
    <t>[{"id":315, "num":1,"point":{"x":25,"y":35}},{"id":55, "num":10,"point":{"x":25,"y":35}}]</t>
  </si>
  <si>
    <t>[{"id":316, "num":1,"point":{"x":25,"y":35}},{"id":56, "num":10,"point":{"x":25,"y":35}}]</t>
  </si>
  <si>
    <t>[{"id":317, "num":1,"point":{"x":25,"y":35}},{"id":57, "num":10,"point":{"x":25,"y":35}}]</t>
  </si>
  <si>
    <t>[{"id":318, "num":1,"point":{"x":25,"y":35}},{"id":58, "num":10,"point":{"x":25,"y":35}}]</t>
  </si>
  <si>
    <t>[{"id":319, "num":1,"point":{"x":25,"y":35}},{"id":59, "num":10,"point":{"x":25,"y":35}}]</t>
  </si>
  <si>
    <t>[{"id":320, "num":1,"point":{"x":25,"y":35}},{"id":60, "num":10,"point":{"x":25,"y":35}}]</t>
  </si>
  <si>
    <t>[{"id":321, "num":1,"point":{"x":25,"y":35}},{"id":31, "num":15,"point":{"x":25,"y":35}}]</t>
  </si>
  <si>
    <t>[{"id":322, "num":1,"point":{"x":25,"y":35}},{"id":32, "num":15,"point":{"x":25,"y":35}}]</t>
  </si>
  <si>
    <t>[{"id":323, "num":1,"point":{"x":25,"y":35}},{"id":33, "num":15,"point":{"x":25,"y":35}}]</t>
  </si>
  <si>
    <t>[{"id":324, "num":1,"point":{"x":25,"y":35}},{"id":34, "num":15,"point":{"x":25,"y":35}}]</t>
  </si>
  <si>
    <t>[{"id":325, "num":1,"point":{"x":25,"y":35}},{"id":35, "num":15,"point":{"x":25,"y":35}}]</t>
  </si>
  <si>
    <t>[{"id":326, "num":1,"point":{"x":25,"y":35}},{"id":36, "num":15,"point":{"x":25,"y":35}}]</t>
  </si>
  <si>
    <t>[{"id":327, "num":1,"point":{"x":25,"y":35}},{"id":37, "num":15,"point":{"x":25,"y":35}}]</t>
  </si>
  <si>
    <t>[{"id":328, "num":1,"point":{"x":25,"y":35}},{"id":38, "num":15,"point":{"x":25,"y":35}}]</t>
  </si>
  <si>
    <t>[{"id":329, "num":1,"point":{"x":25,"y":35}},{"id":39, "num":15,"point":{"x":25,"y":35}}]</t>
  </si>
  <si>
    <t>[{"id":330, "num":1,"point":{"x":25,"y":35}},{"id":40, "num":15,"point":{"x":25,"y":35}}]</t>
  </si>
  <si>
    <t>[{"id":331, "num":1,"point":{"x":25,"y":35}},{"id":41, "num":15,"point":{"x":25,"y":35}}]</t>
  </si>
  <si>
    <t>[{"id":332, "num":1,"point":{"x":25,"y":35}},{"id":42, "num":15,"point":{"x":25,"y":35}}]</t>
  </si>
  <si>
    <t>[{"id":333, "num":1,"point":{"x":25,"y":35}},{"id":43, "num":15,"point":{"x":25,"y":35}}]</t>
  </si>
  <si>
    <t>[{"id":334, "num":1,"point":{"x":25,"y":35}},{"id":44, "num":15,"point":{"x":25,"y":35}}]</t>
  </si>
  <si>
    <t>[{"id":335, "num":1,"point":{"x":25,"y":35}},{"id":45, "num":15,"point":{"x":25,"y":35}}]</t>
  </si>
  <si>
    <t>[{"id":336, "num":1,"point":{"x":25,"y":35}},{"id":46, "num":15,"point":{"x":25,"y":35}}]</t>
  </si>
  <si>
    <t>[{"id":337, "num":1,"point":{"x":25,"y":35}},{"id":47, "num":15,"point":{"x":25,"y":35}}]</t>
  </si>
  <si>
    <t>[{"id":338, "num":1,"point":{"x":25,"y":35}},{"id":48, "num":15,"point":{"x":25,"y":35}}]</t>
  </si>
  <si>
    <t>[{"id":339, "num":1,"point":{"x":25,"y":35}},{"id":49, "num":15,"point":{"x":25,"y":35}}]</t>
  </si>
  <si>
    <t>[{"id":340, "num":1,"point":{"x":25,"y":35}},{"id":50, "num":15,"point":{"x":25,"y":35}}]</t>
  </si>
  <si>
    <t>[{"id":341, "num":1,"point":{"x":25,"y":35}},{"id":51, "num":15,"point":{"x":25,"y":35}}]</t>
  </si>
  <si>
    <t>[{"id":342, "num":1,"point":{"x":25,"y":35}},{"id":52, "num":15,"point":{"x":25,"y":35}}]</t>
  </si>
  <si>
    <t>[{"id":343, "num":1,"point":{"x":25,"y":35}},{"id":53, "num":15,"point":{"x":25,"y":35}}]</t>
  </si>
  <si>
    <t>[{"id":344, "num":1,"point":{"x":25,"y":35}},{"id":54, "num":15,"point":{"x":25,"y":35}}]</t>
  </si>
  <si>
    <t>[{"id":345, "num":1,"point":{"x":25,"y":35}},{"id":55, "num":15,"point":{"x":25,"y":35}}]</t>
  </si>
  <si>
    <t>[{"id":346, "num":1,"point":{"x":25,"y":35}},{"id":56, "num":15,"point":{"x":25,"y":35}}]</t>
  </si>
  <si>
    <t>[{"id":347, "num":1,"point":{"x":25,"y":35}},{"id":57, "num":15,"point":{"x":25,"y":35}}]</t>
  </si>
  <si>
    <t>[{"id":348, "num":1,"point":{"x":25,"y":35}},{"id":58, "num":15,"point":{"x":25,"y":35}}]</t>
  </si>
  <si>
    <t>[{"id":349, "num":1,"point":{"x":25,"y":35}},{"id":59, "num":15,"point":{"x":25,"y":35}}]</t>
  </si>
  <si>
    <t>[{"id":350, "num":1,"point":{"x":25,"y":35}},{"id":60, "num":15,"point":{"x":25,"y":35}}]</t>
  </si>
  <si>
    <t>[{"id":1,"num":5,"point":{"x":25,"y":30}},{"id":61, "num":1,"point":{"x":25,"y":32}}]</t>
  </si>
  <si>
    <t>[8,1,11]</t>
  </si>
  <si>
    <t>[{"id":2,"num":5,"point":{"x":25,"y":30}},{"id":62, "num":1,"point":{"x":25,"y":32}}]</t>
  </si>
  <si>
    <t>[{"id":3,"num":5,"point":{"x":25,"y":30}},{"id":63, "num":1,"point":{"x":25,"y":32}}]</t>
  </si>
  <si>
    <t>[{"id":4,"num":5,"point":{"x":25,"y":30}},{"id":64, "num":1,"point":{"x":25,"y":32}}]</t>
  </si>
  <si>
    <t>[{"id":5,"num":5,"point":{"x":25,"y":30}},{"id":65, "num":1,"point":{"x":25,"y":32}}]</t>
  </si>
  <si>
    <t>[{"id":6,"num":5,"point":{"x":25,"y":30}},{"id":66, "num":1,"point":{"x":25,"y":32}}]</t>
  </si>
  <si>
    <t>[{"id":7,"num":5,"point":{"x":25,"y":30}},{"id":67, "num":1,"point":{"x":25,"y":32}}]</t>
  </si>
  <si>
    <t>[{"id":8,"num":5,"point":{"x":25,"y":30}},{"id":68, "num":1,"point":{"x":25,"y":32}}]</t>
  </si>
  <si>
    <t>[{"id":9,"num":5,"point":{"x":25,"y":30}},{"id":69, "num":1,"point":{"x":25,"y":32}}]</t>
  </si>
  <si>
    <t>[{"id":10,"num":5,"point":{"x":25,"y":30}},{"id":70, "num":1,"point":{"x":25,"y":32}}]</t>
  </si>
  <si>
    <t>[{"id":11,"num":5,"point":{"x":25,"y":30}},{"id":71, "num":1,"point":{"x":25,"y":32}}]</t>
  </si>
  <si>
    <t>[{"id":12,"num":5,"point":{"x":25,"y":30}},{"id":72, "num":1,"point":{"x":25,"y":32}}]</t>
  </si>
  <si>
    <t>[{"id":13,"num":5,"point":{"x":25,"y":30}},{"id":73, "num":1,"point":{"x":25,"y":32}}]</t>
  </si>
  <si>
    <t>[{"id":14,"num":5,"point":{"x":25,"y":30}},{"id":74, "num":1,"point":{"x":25,"y":32}}]</t>
  </si>
  <si>
    <t>[{"id":15,"num":5,"point":{"x":25,"y":30}},{"id":75, "num":1,"point":{"x":25,"y":32}}]</t>
  </si>
  <si>
    <t>[{"id":16,"num":5,"point":{"x":25,"y":30}},{"id":76, "num":1,"point":{"x":25,"y":32}}]</t>
  </si>
  <si>
    <t>[8,1,22]</t>
  </si>
  <si>
    <t>[{"id":17,"num":5,"point":{"x":25,"y":30}},{"id":77, "num":1,"point":{"x":25,"y":32}}]</t>
  </si>
  <si>
    <t>[{"id":18,"num":5,"point":{"x":25,"y":30}},{"id":78, "num":1,"point":{"x":25,"y":32}}]</t>
  </si>
  <si>
    <t>[{"id":19,"num":5,"point":{"x":25,"y":30}},{"id":79, "num":1,"point":{"x":25,"y":32}}]</t>
  </si>
  <si>
    <t>[{"id":20,"num":5,"point":{"x":25,"y":30}},{"id":80, "num":1,"point":{"x":25,"y":32}}]</t>
  </si>
  <si>
    <t>[8,1,64]</t>
  </si>
  <si>
    <t>[{"id":21,"num":5,"point":{"x":25,"y":30}},{"id":81, "num":1,"point":{"x":25,"y":32}}]</t>
  </si>
  <si>
    <t>[{"id":22,"num":5,"point":{"x":25,"y":30}},{"id":82, "num":1,"point":{"x":25,"y":32}}]</t>
  </si>
  <si>
    <t>[{"id":23,"num":5,"point":{"x":25,"y":30}},{"id":83, "num":1,"point":{"x":25,"y":32}}]</t>
  </si>
  <si>
    <t>[{"id":24,"num":5,"point":{"x":25,"y":30}},{"id":84, "num":1,"point":{"x":25,"y":32}}]</t>
  </si>
  <si>
    <t>[{"id":25,"num":5,"point":{"x":25,"y":30}},{"id":85, "num":1,"point":{"x":25,"y":32}}]</t>
  </si>
  <si>
    <t>[8,1,65]</t>
  </si>
  <si>
    <t>[{"id":26,"num":5,"point":{"x":25,"y":30}},{"id":86, "num":1,"point":{"x":25,"y":32}}]</t>
  </si>
  <si>
    <t>[{"id":27,"num":5,"point":{"x":25,"y":30}},{"id":87, "num":1,"point":{"x":25,"y":32}}]</t>
  </si>
  <si>
    <t>[{"id":28,"num":5,"point":{"x":25,"y":30}},{"id":88, "num":1,"point":{"x":25,"y":32}}]</t>
  </si>
  <si>
    <t>[{"id":29,"num":5,"point":{"x":25,"y":30}},{"id":89, "num":1,"point":{"x":25,"y":32}}]</t>
  </si>
  <si>
    <t>[{"id":30,"num":5,"point":{"x":25,"y":30}},{"id":90, "num":1,"point":{"x":25,"y":32}}]</t>
  </si>
  <si>
    <t>[8,1,66]</t>
  </si>
  <si>
    <t>[{"id":31,"num":5,"point":{"x":25,"y":30}},{"id":261, "num":1,"point":{"x":25,"y":32}}]</t>
  </si>
  <si>
    <t>[{"id":32,"num":5,"point":{"x":25,"y":30}},{"id":262, "num":1,"point":{"x":25,"y":32}}]</t>
  </si>
  <si>
    <t>[{"id":33,"num":5,"point":{"x":25,"y":30}},{"id":263, "num":1,"point":{"x":25,"y":32}}]</t>
  </si>
  <si>
    <t>[{"id":34,"num":5,"point":{"x":25,"y":30}},{"id":264, "num":1,"point":{"x":25,"y":32}}]</t>
  </si>
  <si>
    <t>[{"id":35,"num":5,"point":{"x":25,"y":30}},{"id":265, "num":1,"point":{"x":25,"y":32}}]</t>
  </si>
  <si>
    <t>[8,1,67]</t>
  </si>
  <si>
    <t>[{"id":36,"num":5,"point":{"x":25,"y":30}},{"id":266, "num":1,"point":{"x":25,"y":32}}]</t>
  </si>
  <si>
    <t>[{"id":37,"num":5,"point":{"x":25,"y":30}},{"id":267, "num":1,"point":{"x":25,"y":32}}]</t>
  </si>
  <si>
    <t>[{"id":38,"num":5,"point":{"x":25,"y":30}},{"id":268, "num":1,"point":{"x":25,"y":32}}]</t>
  </si>
  <si>
    <t>[{"id":39,"num":5,"point":{"x":25,"y":30}},{"id":269, "num":1,"point":{"x":25,"y":32}}]</t>
  </si>
  <si>
    <t>[{"id":40,"num":5,"point":{"x":25,"y":30}},{"id":270, "num":1,"point":{"x":25,"y":32}}]</t>
  </si>
  <si>
    <t>[8,1,68]</t>
  </si>
  <si>
    <t>[{"id":41,"num":5,"point":{"x":25,"y":30}},{"id":271, "num":1,"point":{"x":25,"y":32}}]</t>
  </si>
  <si>
    <t>[{"id":42,"num":5,"point":{"x":25,"y":30}},{"id":272, "num":1,"point":{"x":25,"y":32}}]</t>
  </si>
  <si>
    <t>[{"id":43,"num":5,"point":{"x":25,"y":30}},{"id":273, "num":1,"point":{"x":25,"y":32}}]</t>
  </si>
  <si>
    <t>[{"id":44,"num":5,"point":{"x":25,"y":30}},{"id":274, "num":1,"point":{"x":25,"y":32}}]</t>
  </si>
  <si>
    <t>[{"id":45,"num":5,"point":{"x":25,"y":30}},{"id":275, "num":1,"point":{"x":25,"y":32}}]</t>
  </si>
  <si>
    <t>[8,1,69]</t>
  </si>
  <si>
    <t>[{"id":46,"num":5,"point":{"x":25,"y":30}},{"id":276, "num":1,"point":{"x":25,"y":32}}]</t>
  </si>
  <si>
    <t>[{"id":47,"num":5,"point":{"x":25,"y":30}},{"id":277, "num":1,"point":{"x":25,"y":32}}]</t>
  </si>
  <si>
    <t>[{"id":48,"num":5,"point":{"x":25,"y":30}},{"id":278, "num":1,"point":{"x":25,"y":32}}]</t>
  </si>
  <si>
    <t>[{"id":49,"num":5,"point":{"x":25,"y":30}},{"id":279, "num":1,"point":{"x":25,"y":32}}]</t>
  </si>
  <si>
    <t>[{"id":50,"num":5,"point":{"x":25,"y":30}},{"id":280, "num":1,"point":{"x":25,"y":32}}]</t>
  </si>
  <si>
    <t>[8,1,70]</t>
  </si>
  <si>
    <t>[{"id":51,"num":5,"point":{"x":25,"y":30}},{"id":281, "num":1,"point":{"x":25,"y":32}}]</t>
  </si>
  <si>
    <t>[{"id":52,"num":5,"point":{"x":25,"y":30}},{"id":282, "num":1,"point":{"x":25,"y":32}}]</t>
  </si>
  <si>
    <t>[{"id":53,"num":5,"point":{"x":25,"y":30}},{"id":283, "num":1,"point":{"x":25,"y":32}}]</t>
  </si>
  <si>
    <t>[{"id":54,"num":5,"point":{"x":25,"y":30}},{"id":284, "num":1,"point":{"x":25,"y":32}}]</t>
  </si>
  <si>
    <t>[{"id":55,"num":5,"point":{"x":25,"y":30}},{"id":285, "num":1,"point":{"x":25,"y":32}}]</t>
  </si>
  <si>
    <t>[8,1,88]</t>
  </si>
  <si>
    <t>[{"id":56,"num":5,"point":{"x":25,"y":30}},{"id":286, "num":1,"point":{"x":25,"y":32}}]</t>
  </si>
  <si>
    <t>[{"id":57,"num":5,"point":{"x":25,"y":30}},{"id":287, "num":1,"point":{"x":25,"y":32}}]</t>
  </si>
  <si>
    <t>[{"id":58,"num":5,"point":{"x":25,"y":30}},{"id":288, "num":1,"point":{"x":25,"y":32}}]</t>
  </si>
  <si>
    <t>[{"id":59,"num":5,"point":{"x":25,"y":30}},{"id":289, "num":1,"point":{"x":25,"y":32}}]</t>
  </si>
  <si>
    <t>[{"id":60,"num":5,"point":{"x":25,"y":30}},{"id":290, "num":1,"point":{"x":25,"y":32}}]</t>
  </si>
  <si>
    <t>[8,1,89]</t>
  </si>
  <si>
    <t>[{"id":60,"num":10,"point":{"x":25,"y":30}},{"id":291, "num":1,"point":{"x":25,"y":32}}]</t>
  </si>
  <si>
    <t>[{"id":1,"num":5,"point":{"x":15,"y":35}}, {"id":31, "num":2,"point":{"x":26,"y":39}}]</t>
  </si>
  <si>
    <t>[84,2,1]</t>
  </si>
  <si>
    <t>[{"id":2,"num":5,"point":{"x":15,"y":35}}, {"id":32, "num":2,"point":{"x":26,"y":39}}]</t>
  </si>
  <si>
    <t>[{"id":2,"num":5,"point":{"x":15,"y":35}}, {"id":32, "num":2,"point":{"x":26,"y":39}}, {"id":61, "num":1,"point":{"x":25,"y":42}}]</t>
  </si>
  <si>
    <t>[{"key":10,"values":[{"id":5,"num":100},{"id":21,"num":3000}]},{"key":20,"values":[{"id":5,"num":150},{"id":21,"num":3000}]},{"key":30,"values":[{"id":5,"num":200},{"id":21,"num":3000}]}]</t>
  </si>
  <si>
    <t>[{"id":3,"num":5,"point":{"x":15,"y":35}}, {"id":33, "num":2,"point":{"x":26,"y":39}}]</t>
  </si>
  <si>
    <t>[85,2,1]</t>
  </si>
  <si>
    <t>[{"id":4,"num":5,"point":{"x":15,"y":35}}, {"id":34, "num":2,"point":{"x":26,"y":39}}]</t>
  </si>
  <si>
    <t>[{"id":4,"num":5,"point":{"x":15,"y":35}}, {"id":34, "num":4,"point":{"x":26,"y":39}}]</t>
  </si>
  <si>
    <t>[{"id":4,"num":5,"point":{"x":15,"y":35}}, {"id":34, "num":4,"point":{"x":26,"y":39}}, {"id":62, "num":1,"point":{"x":25,"y":42}}]</t>
  </si>
  <si>
    <t>[{"key":10,"values":[{"id":5,"num":150},{"id":21,"num":3000}]},{"key":20,"values":[{"id":5,"num":200},{"id":21,"num":3000}]},{"key":30,"values":[{"id":5,"num":250},{"id":21,"num":3000}]}]</t>
  </si>
  <si>
    <t>[{"id":5,"num":5,"point":{"x":15,"y":35}}, {"id":35, "num":2,"point":{"x":26,"y":39}}]</t>
  </si>
  <si>
    <t>[{"id":6,"num":5,"point":{"x":15,"y":35}}, {"id":36, "num":2,"point":{"x":26,"y":39}}]</t>
  </si>
  <si>
    <t>[{"id":6,"num":5,"point":{"x":15,"y":35}}, {"id":36, "num":4,"point":{"x":26,"y":39}}]</t>
  </si>
  <si>
    <t>[{"id":6,"num":5,"point":{"x":15,"y":35}}, {"id":36, "num":4,"point":{"x":26,"y":39}}, {"id":63, "num":1,"point":{"x":25,"y":42}}]</t>
  </si>
  <si>
    <t>[{"key":10,"values":[{"id":5,"num":200},{"id":21,"num":3000}]},{"key":20,"values":[{"id":5,"num":250},{"id":21,"num":3000}]},{"key":30,"values":[{"id":5,"num":300},{"id":21,"num":3000}]}]</t>
  </si>
  <si>
    <t>[{"id":7,"num":5,"point":{"x":15,"y":35}}, {"id":37, "num":2,"point":{"x":26,"y":39}}]</t>
  </si>
  <si>
    <t>[{"id":8,"num":5,"point":{"x":15,"y":35}}, {"id":38, "num":2,"point":{"x":26,"y":39}}]</t>
  </si>
  <si>
    <t>[{"id":8,"num":5,"point":{"x":15,"y":35}}, {"id":38, "num":4,"point":{"x":26,"y":39}}]</t>
  </si>
  <si>
    <t>[{"id":8,"num":5,"point":{"x":15,"y":35}}, {"id":38, "num":4,"point":{"x":26,"y":39}}, {"id":64, "num":1,"point":{"x":25,"y":42}}]</t>
  </si>
  <si>
    <t>[{"key":10,"values":[{"id":5,"num":250},{"id":21,"num":3000}]},{"key":20,"values":[{"id":5,"num":300},{"id":21,"num":3000}]},{"key":30,"values":[{"id":5,"num":350},{"id":21,"num":3000}]}]</t>
  </si>
  <si>
    <t>[{"id":9,"num":5,"point":{"x":15,"y":35}}, {"id":39, "num":2,"point":{"x":26,"y":39}}]</t>
  </si>
  <si>
    <t>[{"id":10,"num":5,"point":{"x":15,"y":35}}, {"id":40, "num":2,"point":{"x":26,"y":39}}]</t>
  </si>
  <si>
    <t>[{"id":10,"num":5,"point":{"x":15,"y":35}}, {"id":40, "num":4,"point":{"x":26,"y":39}}]</t>
  </si>
  <si>
    <t>[{"id":10,"num":5,"point":{"x":15,"y":35}}, {"id":40, "num":4,"point":{"x":26,"y":39}}, {"id":64, "num":1,"point":{"x":25,"y":42}}]</t>
  </si>
  <si>
    <t>[{"key":10,"values":[{"id":5,"num":300},{"id":22,"num":300}]},{"key":20,"values":[{"id":5,"num":350},{"id":21,"num":3000}]},{"key":30,"values":[{"id":5,"num":400},{"id":21,"num":3000}]}]</t>
  </si>
  <si>
    <t>[{"id":11,"num":5,"point":{"x":15,"y":35}}, {"id":41, "num":2,"point":{"x":26,"y":39}}]</t>
  </si>
  <si>
    <t>[86,2,1]</t>
  </si>
  <si>
    <t>[{"id":12,"num":5,"point":{"x":15,"y":35}}, {"id":42, "num":2,"point":{"x":26,"y":39}}]</t>
  </si>
  <si>
    <t>[{"id":12,"num":5,"point":{"x":15,"y":35}}, {"id":42, "num":4,"point":{"x":26,"y":39}}, {"id":65, "num":1,"point":{"x":25,"y":42}}]</t>
  </si>
  <si>
    <t>[{"key":10,"values":[{"id":5,"num":350},{"id":22,"num":400}]},{"key":20,"values":[{"id":5,"num":400},{"id":21,"num":3000}]},{"key":30,"values":[{"id":5,"num":450},{"id":21,"num":3000},{"id":22,"num":400}]}]</t>
  </si>
  <si>
    <t>[{"id":13,"num":5,"point":{"x":15,"y":35}}, {"id":43, "num":2,"point":{"x":26,"y":39}}]</t>
  </si>
  <si>
    <t>[{"id":14,"num":5,"point":{"x":15,"y":35}}, {"id":44, "num":2,"point":{"x":26,"y":39}}]</t>
  </si>
  <si>
    <t>[{"id":14,"num":5,"point":{"x":15,"y":35}}, {"id":44, "num":4,"point":{"x":26,"y":39}}, {"id":66, "num":1,"point":{"x":25,"y":42}}]</t>
  </si>
  <si>
    <t>[{"key":10,"values":[{"id":5,"num":400},{"id":22,"num":500}]},{"key":20,"values":[{"id":5,"num":450},{"id":21,"num":3000}]},{"key":30,"values":[{"id":5,"num":500},{"id":21,"num":3000},{"id":22,"num":500}]}]</t>
  </si>
  <si>
    <t>[{"id":15,"num":5,"point":{"x":15,"y":35}}, {"id":45, "num":2,"point":{"x":26,"y":39}}]</t>
  </si>
  <si>
    <t>[{"id":16,"num":5,"point":{"x":15,"y":35}}, {"id":46, "num":2,"point":{"x":26,"y":39}}]</t>
  </si>
  <si>
    <t>[{"id":16,"num":5,"point":{"x":15,"y":35}}, {"id":46, "num":4,"point":{"x":26,"y":39}}, {"id":67, "num":1,"point":{"x":25,"y":42}}]</t>
  </si>
  <si>
    <t>[{"key":10,"values":[{"id":5,"num":450},{"id":22,"num":600}]},{"key":20,"values":[{"id":5,"num":500},{"id":21,"num":3000}]},{"key":30,"values":[{"id":5,"num":550},{"id":21,"num":3000},{"id":22,"num":600}]}]</t>
  </si>
  <si>
    <t>[{"id":17,"num":5,"point":{"x":15,"y":35}}, {"id":47, "num":2,"point":{"x":26,"y":39}}]</t>
  </si>
  <si>
    <t>[{"id":17,"num":5,"point":{"x":15,"y":35}}, {"id":47, "num":4,"point":{"x":26,"y":39}}]</t>
  </si>
  <si>
    <t>[{"id":18,"num":5,"point":{"x":15,"y":35}}, {"id":48, "num":2,"point":{"x":26,"y":39}}]</t>
  </si>
  <si>
    <t>[{"id":18,"num":5,"point":{"x":15,"y":35}}, {"id":48, "num":4,"point":{"x":26,"y":39}}, {"id":68, "num":1,"point":{"x":25,"y":42}}]</t>
  </si>
  <si>
    <t>[{"key":10,"values":[{"id":5,"num":500},{"id":22,"num":700}]},{"key":20,"values":[{"id":5,"num":550},{"id":21,"num":3000}]},{"key":30,"values":[{"id":5,"num":600},{"id":21,"num":3000},{"id":22,"num":700}]}]</t>
  </si>
  <si>
    <t>[{"id":19,"num":5,"point":{"x":15,"y":35}}, {"id":49, "num":2,"point":{"x":26,"y":39}}]</t>
  </si>
  <si>
    <t>[{"id":19,"num":5,"point":{"x":15,"y":35}}, {"id":49, "num":4,"point":{"x":26,"y":39}}]</t>
  </si>
  <si>
    <t>[{"id":20,"num":5,"point":{"x":15,"y":35}}, {"id":50, "num":2,"point":{"x":26,"y":39}}]</t>
  </si>
  <si>
    <t>[{"id":20,"num":5,"point":{"x":15,"y":35}}, {"id":50, "num":4,"point":{"x":26,"y":39}}, {"id":69, "num":1,"point":{"x":25,"y":42}}]</t>
  </si>
  <si>
    <t>[{"key":10,"values":[{"id":5,"num":550},{"id":22,"num":800}]},{"key":20,"values":[{"id":5,"num":600},{"id":21,"num":3000}]},{"key":30,"values":[{"id":5,"num":650},{"id":21,"num":3000},{"id":22,"num":800}]}]</t>
  </si>
  <si>
    <t>[{"id":21,"num":5,"point":{"x":15,"y":35}}, {"id":51, "num":2,"point":{"x":26,"y":39}}]</t>
  </si>
  <si>
    <t>[{"id":21,"num":5,"point":{"x":15,"y":35}}, {"id":51, "num":4,"point":{"x":26,"y":39}}]</t>
  </si>
  <si>
    <t>[{"id":22,"num":5,"point":{"x":15,"y":35}}, {"id":52, "num":2,"point":{"x":26,"y":39}}]</t>
  </si>
  <si>
    <t>[{"id":22,"num":5,"point":{"x":15,"y":35}}, {"id":52, "num":4,"point":{"x":26,"y":39}}, {"id":70, "num":1,"point":{"x":25,"y":42}}]</t>
  </si>
  <si>
    <t>[{"key":10,"values":[{"id":5,"num":600},{"id":22,"num":900}]},{"key":20,"values":[{"id":5,"num":650},{"id":21,"num":3000}]},{"key":30,"values":[{"id":5,"num":700},{"id":21,"num":3000},{"id":22,"num":900}]}]</t>
  </si>
  <si>
    <t>[{"id":23,"num":5,"point":{"x":15,"y":35}}, {"id":53, "num":2,"point":{"x":26,"y":39}}]</t>
  </si>
  <si>
    <t>[{"id":23,"num":5,"point":{"x":15,"y":35}}, {"id":53, "num":4,"point":{"x":26,"y":39}}]</t>
  </si>
  <si>
    <t>[{"id":24,"num":5,"point":{"x":15,"y":35}}, {"id":54, "num":2,"point":{"x":26,"y":39}}]</t>
  </si>
  <si>
    <t>[{"id":24,"num":5,"point":{"x":15,"y":35}}, {"id":54, "num":4,"point":{"x":26,"y":39}}, {"id":71, "num":1,"point":{"x":25,"y":42}}]</t>
  </si>
  <si>
    <t>[{"key":10,"values":[{"id":5,"num":650},{"id":22,"num":1000}]},{"key":20,"values":[{"id":5,"num":700},{"id":21,"num":3000}]},{"key":30,"values":[{"id":5,"num":750},{"id":21,"num":3000},{"id":22,"num":1000}]}]</t>
  </si>
  <si>
    <t>[{"id":25,"num":5,"point":{"x":15,"y":35}}, {"id":55, "num":2,"point":{"x":26,"y":39}}]</t>
  </si>
  <si>
    <t>[{"id":25,"num":5,"point":{"x":15,"y":35}}, {"id":55, "num":4,"point":{"x":26,"y":39}}]</t>
  </si>
  <si>
    <t>[{"id":26,"num":5,"point":{"x":15,"y":35}}, {"id":56, "num":2,"point":{"x":26,"y":39}}]</t>
  </si>
  <si>
    <t>[{"id":26,"num":5,"point":{"x":15,"y":35}}, {"id":56, "num":4,"point":{"x":26,"y":39}}, {"id":72, "num":1,"point":{"x":25,"y":42}}]</t>
  </si>
  <si>
    <t>[{"key":10,"values":[{"id":5,"num":700},{"id":22,"num":1000}]},{"key":20,"values":[{"id":5,"num":750},{"id":21,"num":3000}]},{"key":30,"values":[{"id":5,"num":800},{"id":21,"num":3000},{"id":22,"num":1000}]}]</t>
  </si>
  <si>
    <t>[{"id":27,"num":5,"point":{"x":15,"y":35}},{"id":57, "num":2,"point":{"x":26,"y":39}}]</t>
  </si>
  <si>
    <t>[{"id":27,"num":5,"point":{"x":15,"y":35}},{"id":57, "num":4,"point":{"x":26,"y":39}}]</t>
  </si>
  <si>
    <t>[{"id":28,"num":5,"point":{"x":15,"y":35}},{"id":58, "num":2,"point":{"x":26,"y":39}}]</t>
  </si>
  <si>
    <t>[{"id":28,"num":5,"point":{"x":15,"y":35}},{"id":58, "num":4,"point":{"x":26,"y":39}},{"id":73, "num":1,"point":{"x":25,"y":42}}]</t>
  </si>
  <si>
    <t>[{"key":10,"values":[{"id":5,"num":750},{"id":22,"num":1000}]},{"key":20,"values":[{"id":5,"num":800},{"id":21,"num":3000}]},{"key":30,"values":[{"id":5,"num":850},{"id":21,"num":3000},{"id":22,"num":1000}]}]</t>
  </si>
  <si>
    <t>[{"id":29,"num":5,"point":{"x":15,"y":35}},{"id":59, "num":3,"point":{"x":26,"y":39}}]</t>
  </si>
  <si>
    <t>[{"id":29,"num":5,"point":{"x":15,"y":35}},{"id":59, "num":5,"point":{"x":26,"y":39}}]</t>
  </si>
  <si>
    <t>[{"id":30,"num":5,"point":{"x":15,"y":35}},{"id":60, "num":3,"point":{"x":26,"y":39}}]</t>
  </si>
  <si>
    <t>[{"id":30,"num":5,"point":{"x":15,"y":35}},{"id":60, "num":5,"point":{"x":26,"y":39}},{"id":74, "num":1,"point":{"x":25,"y":42}}]</t>
  </si>
  <si>
    <t>[{"key":10,"values":[{"id":5,"num":800},{"id":22,"num":1000}]},{"key":20,"values":[{"id":5,"num":850},{"id":21,"num":3000}]},{"key":30,"values":[{"id":5,"num":900},{"id":21,"num":3000},{"id":22,"num":1000}]}]</t>
  </si>
  <si>
    <t>[{"id":201,"num":5,"point":{"x":15,"y":35}},{"id":231, "num":3,"point":{"x":26,"y":39}}]</t>
  </si>
  <si>
    <t>[{"id":201,"num":5,"point":{"x":15,"y":35}},{"id":231, "num":5,"point":{"x":26,"y":39}}]</t>
  </si>
  <si>
    <t>[{"id":202,"num":5,"point":{"x":15,"y":35}},{"id":232, "num":3,"point":{"x":26,"y":39}}]</t>
  </si>
  <si>
    <t>[{"id":202,"num":5,"point":{"x":15,"y":35}},{"id":232, "num":5,"point":{"x":26,"y":39}},{"id":75, "num":1,"point":{"x":25,"y":42}}]</t>
  </si>
  <si>
    <t>[{"key":10,"values":[{"id":5,"num":850},{"id":22,"num":1000}]},{"key":20,"values":[{"id":5,"num":900},{"id":21,"num":3000}]},{"key":30,"values":[{"id":5,"num":950},{"id":21,"num":3000},{"id":22,"num":1000}]}]</t>
  </si>
  <si>
    <t>[{"id":203,"num":5,"point":{"x":15,"y":35}},{"id":233, "num":3,"point":{"x":26,"y":39}}]</t>
  </si>
  <si>
    <t>[{"id":203,"num":5,"point":{"x":15,"y":35}},{"id":233, "num":5,"point":{"x":26,"y":39}}]</t>
  </si>
  <si>
    <t>[{"id":204,"num":5,"point":{"x":15,"y":35}},{"id":234, "num":3,"point":{"x":26,"y":39}}]</t>
  </si>
  <si>
    <t>[{"id":204,"num":5,"point":{"x":15,"y":35}},{"id":234, "num":5,"point":{"x":26,"y":39}},{"id":76, "num":1,"point":{"x":25,"y":42}}]</t>
  </si>
  <si>
    <t>[{"key":10,"values":[{"id":5,"num":900},{"id":22,"num":1000}]},{"key":20,"values":[{"id":5,"num":950},{"id":21,"num":3000}]},{"key":30,"values":[{"id":5,"num":1000},{"id":21,"num":3000},{"id":22,"num":1000}]}]</t>
  </si>
  <si>
    <t>[{"id":205,"num":4,"point":{"x":15,"y":35}},{"id":235, "num":3,"point":{"x":26,"y":39}}]</t>
  </si>
  <si>
    <t>[{"id":205,"num":4,"point":{"x":15,"y":35}},{"id":235, "num":4,"point":{"x":26,"y":39}}]</t>
  </si>
  <si>
    <t>[{"id":205,"num":4,"point":{"x":15,"y":35}},{"id":235, "num":5,"point":{"x":26,"y":39}}]</t>
  </si>
  <si>
    <t>[{"id":206,"num":4,"point":{"x":15,"y":35}},{"id":236, "num":3,"point":{"x":26,"y":39}}]</t>
  </si>
  <si>
    <t>[{"id":206,"num":4,"point":{"x":15,"y":35}},{"id":236, "num":4,"point":{"x":26,"y":39}}]</t>
  </si>
  <si>
    <t>[{"id":206,"num":4,"point":{"x":15,"y":35}},{"id":236, "num":5,"point":{"x":26,"y":39}},{"id":77, "num":1,"point":{"x":25,"y":42}}]</t>
  </si>
  <si>
    <t>[{"key":10,"values":[{"id":5,"num":950},{"id":22,"num":1000}]},{"key":20,"values":[{"id":5,"num":1000},{"id":21,"num":3000}]},{"key":30,"values":[{"id":5,"num":1050},{"id":21,"num":3000},{"id":22,"num":1000}]}]</t>
  </si>
  <si>
    <t>[{"id":207,"num":4,"point":{"x":15,"y":35}},{"id":237, "num":3,"point":{"x":26,"y":39}}]</t>
  </si>
  <si>
    <t>[{"id":207,"num":4,"point":{"x":15,"y":35}},{"id":237, "num":4,"point":{"x":26,"y":39}}]</t>
  </si>
  <si>
    <t>[{"id":207,"num":4,"point":{"x":15,"y":35}},{"id":237, "num":5,"point":{"x":26,"y":39}}]</t>
  </si>
  <si>
    <t>[{"id":208,"num":4,"point":{"x":15,"y":35}},{"id":238, "num":3,"point":{"x":26,"y":39}}]</t>
  </si>
  <si>
    <t>[{"id":208,"num":4,"point":{"x":15,"y":35}},{"id":238, "num":4,"point":{"x":26,"y":39}}]</t>
  </si>
  <si>
    <t>[{"id":208,"num":3,"point":{"x":15,"y":35}},{"id":238, "num":6,"point":{"x":26,"y":39}},{"id":78, "num":2,"point":{"x":25,"y":42}}]</t>
  </si>
  <si>
    <t>[{"key":10,"values":[{"id":5,"num":1000},{"id":22,"num":1000}]},{"key":20,"values":[{"id":5,"num":1050},{"id":21,"num":3000}]},{"key":30,"values":[{"id":5,"num":1100},{"id":21,"num":3000},{"id":22,"num":1000}]}]</t>
  </si>
  <si>
    <t>[{"id":209,"num":2,"point":{"x":15,"y":35}},{"id":239, "num":5,"point":{"x":26,"y":39}}]</t>
  </si>
  <si>
    <t>[{"id":209,"num":3,"point":{"x":15,"y":35}},{"id":239, "num":6,"point":{"x":26,"y":39}}]</t>
  </si>
  <si>
    <t>[{"id":210,"num":2,"point":{"x":15,"y":35}},{"id":240, "num":5,"point":{"x":26,"y":39}}]</t>
  </si>
  <si>
    <t>[{"id":210,"num":3,"point":{"x":15,"y":35}},{"id":240, "num":6,"point":{"x":26,"y":39}},{"id":79, "num":3,"point":{"x":25,"y":42}}]</t>
  </si>
  <si>
    <t>[{"key":10,"values":[{"id":5,"num":1050},{"id":22,"num":1000}]},{"key":20,"values":[{"id":5,"num":1100},{"id":21,"num":3000}]},{"key":30,"values":[{"id":5,"num":1150},{"id":21,"num":3000},{"id":22,"num":1000}]}]</t>
  </si>
  <si>
    <t>[{"id":701,"num":1,"point":{"x":25,"y":25}}]</t>
  </si>
  <si>
    <t>[{"id":32,"num":1},{"id":22,"num":20},{"id":3,"num":100}]</t>
  </si>
  <si>
    <t>[3,32,22]</t>
  </si>
  <si>
    <t>[{"id":702,"num":1,"point":{"x":25,"y":25}}]</t>
  </si>
  <si>
    <t>[{"id":32,"num":1},{"id":22,"num":40},{"id":3,"num":150}]</t>
  </si>
  <si>
    <t>[{"id":703,"num":1,"point":{"x":25,"y":25}}]</t>
  </si>
  <si>
    <t>[{"id":32,"num":1},{"id":22,"num":60},{"id":3,"num":200}]</t>
  </si>
  <si>
    <t>[{"id":704,"num":1,"point":{"x":25,"y":25}}]</t>
  </si>
  <si>
    <t>[{"id":32,"num":1},{"id":22,"num":80},{"id":3,"num":250}]</t>
  </si>
  <si>
    <t>[{"id":705,"num":1,"point":{"x":25,"y":26}}]</t>
  </si>
  <si>
    <t>[{"id":32,"num":1},{"id":22,"num":100},{"id":3,"num":300}]</t>
  </si>
  <si>
    <t>[{"id":706,"num":1,"point":{"x":25,"y":26}}]</t>
  </si>
  <si>
    <t>[{"id":32,"num":2},{"id":22,"num":120},{"id":3,"num":350}]</t>
  </si>
  <si>
    <t>[{"id":707,"num":1,"point":{"x":25,"y":26}}]</t>
  </si>
  <si>
    <t>[{"id":32,"num":2},{"id":22,"num":140},{"id":3,"num":400}]</t>
  </si>
  <si>
    <t>[{"id":708,"num":1,"point":{"x":25,"y":26}}]</t>
  </si>
  <si>
    <t>[{"id":32,"num":2},{"id":22,"num":160},{"id":3,"num":450}]</t>
  </si>
  <si>
    <t>[{"id":709,"num":1,"point":{"x":25,"y":27}}]</t>
  </si>
  <si>
    <t>[{"id":32,"num":2},{"id":22,"num":180},{"id":3,"num":500}]</t>
  </si>
  <si>
    <t>[{"id":710,"num":1,"point":{"x":25,"y":27}}]</t>
  </si>
  <si>
    <t>[{"id":32,"num":2},{"id":22,"num":200},{"id":3,"num":600}]</t>
  </si>
  <si>
    <t>[{"id":1020,"num":1,"point":{"x":25,"y":27}}]</t>
  </si>
  <si>
    <t>[{"id":33,"num":1},{"id":22,"num":20},{"id":37,"num":1}]</t>
  </si>
  <si>
    <t>[33,37,22]</t>
  </si>
  <si>
    <t>[{"id":2030,"num":1,"point":{"x":25,"y":27}}]</t>
  </si>
  <si>
    <t>[{"id":33,"num":1},{"id":22,"num":30},{"id":37,"num":1}]</t>
  </si>
  <si>
    <t>[{"id":3040,"num":1,"point":{"x":25,"y":27}}]</t>
  </si>
  <si>
    <t>[{"id":33,"num":1},{"id":22,"num":40},{"id":37,"num":1}]</t>
  </si>
  <si>
    <t>[{"id":1050,"num":1,"point":{"x":25,"y":27}}]</t>
  </si>
  <si>
    <t>[{"id":33,"num":1},{"id":22,"num":50},{"id":37,"num":1}]</t>
  </si>
  <si>
    <t>[{"id":2060,"num":1,"point":{"x":25,"y":27}}]</t>
  </si>
  <si>
    <t>[{"id":33,"num":1},{"id":22,"num":60},{"id":37,"num":1}]</t>
  </si>
  <si>
    <t>[{"id":3070,"num":1,"point":{"x":25,"y":27}}]</t>
  </si>
  <si>
    <t>[{"id":33,"num":1},{"id":22,"num":70},{"id":37,"num":1}]</t>
  </si>
  <si>
    <t>[{"id":1080,"num":1,"point":{"x":25,"y":27}}]</t>
  </si>
  <si>
    <t>[{"id":33,"num":1},{"id":22,"num":80},{"id":37,"num":1}]</t>
  </si>
  <si>
    <t>[{"id":2090,"num":1,"point":{"x":25,"y":27}}]</t>
  </si>
  <si>
    <t>[{"id":33,"num":1},{"id":22,"num":90},{"id":37,"num":1}]</t>
  </si>
  <si>
    <t>[{"id":3100,"num":1,"point":{"x":25,"y":27}}]</t>
  </si>
  <si>
    <t>[{"id":33,"num":1},{"id":22,"num":100},{"id":37,"num":1}]</t>
  </si>
  <si>
    <t>[{"id":1110,"num":1,"point":{"x":25,"y":27}}]</t>
  </si>
  <si>
    <t>[{"id":33,"num":1},{"id":22,"num":110},{"id":37,"num":1}]</t>
  </si>
  <si>
    <t>[{"id":2120,"num":1,"point":{"x":25,"y":27}}]</t>
  </si>
  <si>
    <t>[{"id":33,"num":1},{"id":22,"num":120},{"id":37,"num":1}]</t>
  </si>
  <si>
    <t>[{"id":3130,"num":1,"point":{"x":25,"y":27}}]</t>
  </si>
  <si>
    <t>[{"id":33,"num":1},{"id":22,"num":130},{"id":37,"num":1}]</t>
  </si>
  <si>
    <t>索引</t>
  </si>
  <si>
    <t>道具ID</t>
  </si>
  <si>
    <t>道具数量</t>
  </si>
  <si>
    <t>生成</t>
  </si>
  <si>
    <t>[{"id":</t>
  </si>
  <si>
    <t>,"num":</t>
  </si>
  <si>
    <t>},{"id":</t>
  </si>
  <si>
    <t>}]</t>
  </si>
  <si>
    <t>,"point":{"x":15,"y":35}}, {"id":30, "num":6,"point":{"x":26,"y":39}}, {"id":30, "num":5,"point":{"x":36,"y":37}}, {"id":60, "num":1,"point":{"x":25,"y":42}}]</t>
  </si>
  <si>
    <t>[{"id":231,"num":2,"point":{"x":24,"y":37}}, {"id":231, "num":2,"point":{"x":15,"y":35}}, {"id":231, "num":2,"point":{"x":33,"y":33}}]</t>
  </si>
  <si>
    <t>[{"id":231,"num":3,"point":{"x":24,"y":37}}, {"id":231, "num":2,"point":{"x":15,"y":35}}, {"id":231, "num":2,"point":{"x":33,"y":33}}]</t>
  </si>
  <si>
    <t>[{"id":231,"num":3,"point":{"x":16,"y":38}}, {"id":231, "num":3,"point":{"x":35,"y":35}}, {"id":231, "num":3,"point":{"x":23,"y":12}}]</t>
  </si>
  <si>
    <t>[{"id":231,"num":4,"point":{"x":16,"y":38}}, {"id":231, "num":3,"point":{"x":35,"y":35}}, {"id":231, "num":3,"point":{"x":23,"y":12}}]</t>
  </si>
  <si>
    <t>[{"id":231,"num":4,"point":{"x":16,"y":20}}, {"id":231, "num":4,"point":{"x":25,"y":37}}, {"id":231, "num":4,"point":{"x":33,"y":16}}]</t>
  </si>
  <si>
    <t>[{"id":231,"num":5,"point":{"x":16,"y":20}}, {"id":231, "num":4,"point":{"x":25,"y":37}}, {"id":231, "num":4,"point":{"x":33,"y":16}}]</t>
  </si>
  <si>
    <t>[{"id":231,"num":5,"point":{"x":25,"y":35}}, {"id":231, "num":5,"point":{"x":33,"y":33}}, {"id":231, "num":5,"point":{"x":20,"y":18}}]</t>
  </si>
  <si>
    <t>[{"id":231,"num":6,"point":{"x":25,"y":35}}, {"id":231, "num":5,"point":{"x":33,"y":33}}, {"id":231, "num":5,"point":{"x":20,"y":18}}]</t>
  </si>
  <si>
    <t>[{"id":231,"num":6,"point":{"x":15,"y":35}}, {"id":231, "num":6,"point":{"x":26,"y":39}}, {"id":231, "num":5,"point":{"x":36,"y":37}}]</t>
  </si>
  <si>
    <t>[{"id":231,"num":6,"point":{"x":15,"y":35}}, {"id":231, "num":6,"point":{"x":26,"y":39}}, {"id":231, "num":5,"point":{"x":36,"y":37}}, {"id":261, "num":1,"point":{"x":25,"y":42}}]</t>
  </si>
  <si>
    <t>,"point":{"x":15,"y":35}}, {"id":</t>
  </si>
  <si>
    <t>, "num":</t>
  </si>
  <si>
    <t>,"point":{"x":26,"y":39}}, {"id":</t>
  </si>
  <si>
    <t>,"point":{"x":36,"y":37}}, {"id":</t>
  </si>
  <si>
    <t>,"point":{"x":25,"y":42}}]</t>
  </si>
  <si>
    <t>,"point":{"x":24,"y":37}}, {"id":</t>
  </si>
  <si>
    <t>,"point":{"x":33,"y":33}}]</t>
  </si>
  <si>
    <t>,"point":{"x":16,"y":38}}, {"id":</t>
  </si>
  <si>
    <t>,"point":{"x":35,"y":35}}, {"id":</t>
  </si>
  <si>
    <t>,"point":{"x":23,"y":12}}]</t>
  </si>
  <si>
    <t>,"point":{"x":16,"y":20}}, {"id":</t>
  </si>
  <si>
    <t>,"point":{"x":25,"y":37}}, {"id":</t>
  </si>
  <si>
    <t>,"point":{"x":33,"y":16}}]</t>
  </si>
  <si>
    <t>,"point":{"x":25,"y":35}}, {"id":</t>
  </si>
  <si>
    <t>,"point":{"x":33,"y":33}}, {"id":</t>
  </si>
  <si>
    <t>,"point":{"x":20,"y":18}}]</t>
  </si>
  <si>
    <t>,"point":{"x":36,"y":37}}]</t>
  </si>
  <si>
    <t>[{"id":963,"num":5,"point":{"x":15,"y":365}}, {"id":963, "num":5,"point":{"x":26,"y":369}}, {"id":990, "num":5,"point":{"x":36,"y":37}}, {"id":990, "num":7,"point":{"x":25,"y":42}}]</t>
  </si>
  <si>
    <t>[{"id":963,"num":7,"point":{"x":15,"y":366}}, {"id":963, "num":7,"point":{"x":26,"y":370}}, {"id":990, "num":7,"point":{"x":33,"y":33}}]</t>
  </si>
  <si>
    <t>[{"id":963,"num":7,"point":{"x":15,"y":367}}, {"id":963, "num":7,"point":{"x":26,"y":371}}, {"id":990, "num":7,"point":{"x":33,"y":33}}]</t>
  </si>
  <si>
    <t>[{"id":964,"num":7,"point":{"x":15,"y":368}}, {"id":964, "num":7,"point":{"x":26,"y":372}}, {"id":990, "num":7,"point":{"x":23,"y":12}}]</t>
  </si>
  <si>
    <t>[{"id":964,"num":7,"point":{"x":15,"y":369}}, {"id":964, "num":7,"point":{"x":26,"y":373}}, {"id":990, "num":7,"point":{"x":23,"y":12}}]</t>
  </si>
  <si>
    <t>[{"id":964,"num":5,"point":{"x":15,"y":370}}, {"id":964, "num":5,"point":{"x":26,"y":374}}, {"id":990, "num":5,"point":{"x":36,"y":37}}, {"id":990, "num":8,"point":{"x":25,"y":42}}]</t>
  </si>
  <si>
    <t>[{"id":965,"num":7,"point":{"x":15,"y":371}}, {"id":965, "num":7,"point":{"x":26,"y":375}}, {"id":990, "num":7,"point":{"x":33,"y":16}}]</t>
  </si>
  <si>
    <t>[{"id":965,"num":7,"point":{"x":15,"y":372}}, {"id":965, "num":7,"point":{"x":26,"y":376}}, {"id":990, "num":7,"point":{"x":20,"y":18}}]</t>
  </si>
  <si>
    <t>[{"id":965,"num":7,"point":{"x":15,"y":373}}, {"id":965, "num":7,"point":{"x":26,"y":377}}, {"id":990, "num":7,"point":{"x":20,"y":18}}]</t>
  </si>
  <si>
    <t>[{"id":966,"num":7,"point":{"x":15,"y":374}}, {"id":966, "num":7,"point":{"x":26,"y":378}}, {"id":990, "num":7,"point":{"x":36,"y":37}}]</t>
  </si>
  <si>
    <t>[{"id":966,"num":5,"point":{"x":15,"y":375}}, {"id":966, "num":5,"point":{"x":26,"y":379}}, {"id":990, "num":5,"point":{"x":36,"y":37}}, {"id":990, "num":9,"point":{"x":25,"y":42}}]</t>
  </si>
  <si>
    <t>[{"id":966,"num":7,"point":{"x":15,"y":376}}, {"id":966, "num":7,"point":{"x":26,"y":380}}, {"id":990, "num":7,"point":{"x":33,"y":33}}]</t>
  </si>
  <si>
    <t>[{"id":967,"num":7,"point":{"x":15,"y":377}}, {"id":967, "num":7,"point":{"x":26,"y":381}}, {"id":990, "num":7,"point":{"x":33,"y":33}}]</t>
  </si>
  <si>
    <t>[{"id":967,"num":7,"point":{"x":15,"y":378}}, {"id":967, "num":7,"point":{"x":26,"y":382}}, {"id":990, "num":7,"point":{"x":23,"y":12}}]</t>
  </si>
  <si>
    <t>[{"id":967,"num":7,"point":{"x":15,"y":379}}, {"id":967, "num":7,"point":{"x":26,"y":383}}, {"id":990, "num":7,"point":{"x":23,"y":12}}]</t>
  </si>
  <si>
    <t>[{"id":968,"num":4,"point":{"x":15,"y":380}}, {"id":968, "num":4,"point":{"x":26,"y":384}}, {"id":990, "num":4,"point":{"x":36,"y":37}}, {"id":990, "num":10,"point":{"x":25,"y":42}}]</t>
  </si>
  <si>
    <t>[{"id":968,"num":7,"point":{"x":15,"y":381}}, {"id":968, "num":7,"point":{"x":26,"y":385}}, {"id":990, "num":7,"point":{"x":33,"y":16}}]</t>
  </si>
  <si>
    <t>[{"id":968,"num":7,"point":{"x":15,"y":382}}, {"id":968, "num":7,"point":{"x":26,"y":386}}, {"id":990, "num":7,"point":{"x":20,"y":18}}]</t>
  </si>
  <si>
    <t>[{"id":969,"num":7,"point":{"x":15,"y":383}}, {"id":969, "num":7,"point":{"x":26,"y":387}}, {"id":990, "num":7,"point":{"x":20,"y":18}}]</t>
  </si>
  <si>
    <t>[{"id":969,"num":7,"point":{"x":15,"y":384}}, {"id":969, "num":7,"point":{"x":26,"y":388}}, {"id":990, "num":7,"point":{"x":36,"y":37}}]</t>
  </si>
  <si>
    <t>[{"id":969,"num":5,"point":{"x":15,"y":385}}, {"id":969, "num":5,"point":{"x":26,"y":389}}, {"id":990, "num":5,"point":{"x":36,"y":37}}, {"id":990, "num":11,"point":{"x":25,"y":42}}]</t>
  </si>
  <si>
    <t>[{"id":5,"num":3000},{"id":14,"num":100},{"id":99,"num":10}]</t>
  </si>
  <si>
    <t>[{"id":5,"num":3500},{"id":14,"num":200},{"id":99,"num":10}]</t>
  </si>
  <si>
    <t>[{"id":5,"num":4000},{"id":14,"num":300},{"id":99,"num":15}]</t>
  </si>
  <si>
    <t>[{"id":5,"num":4500},{"id":14,"num":400},{"id":99,"num":15}]</t>
  </si>
  <si>
    <t>[{"id":5,"num":5000},{"id":14,"num":500},{"id":99,"num":20}]</t>
  </si>
  <si>
    <t>[{"id":5,"num":5000},{"id":14,"num":600},{"id":99,"num":20}]</t>
  </si>
  <si>
    <t>[{"id":5,"num":5000},{"id":14,"num":700},{"id":99,"num":25}]</t>
  </si>
  <si>
    <t>[{"id":5,"num":5000},{"id":14,"num":800},{"id":99,"num":25}]</t>
  </si>
  <si>
    <t>[{"id":5,"num":6000},{"id":14,"num":900},{"id":99,"num":30}]</t>
  </si>
  <si>
    <t>[{"id":5,"num":6000},{"id":14,"num":1000},{"id":99,"num":30}]</t>
  </si>
  <si>
    <t>[{"id":5,"num":6000},{"id":14,"num":1000},{"id":99,"num":35}]</t>
  </si>
  <si>
    <t>[{"id":5,"num":6000},{"id":14,"num":1000},{"id":99,"num":40}]</t>
  </si>
  <si>
    <t>[{"id":5,"num":6000},{"id":14,"num":1000},{"id":99,"num":45}]</t>
  </si>
  <si>
    <t>[{"id":5,"num":6000},{"id":14,"num":1000},{"id":99,"num":50}]</t>
  </si>
  <si>
    <t>[{"id":5,"num":6000},{"id":14,"num":1000},{"id":99,"num":60}]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</si>
</sst>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87640003662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DAE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0" borderId="1" xfId="0" applyFont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1" fillId="0" borderId="0" xfId="0" applyFont="1">
      <alignment vertical="center"/>
    </xf>
    <xf numFmtId="0" fontId="1" fillId="8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0" fillId="0" borderId="1" xfId="0" applyBorder="1">
      <alignment vertical="center"/>
    </xf>
    <xf numFmtId="0" fontId="1" fillId="5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1" fillId="7" borderId="1" xfId="0" applyFont="1" applyFill="1" applyBorder="1">
      <alignment vertical="center"/>
    </xf>
    <xf numFmtId="0" fontId="1" fillId="0" borderId="2" xfId="0" applyFont="1" applyBorder="1">
      <alignment vertical="center"/>
    </xf>
    <xf numFmtId="0" fontId="1" fillId="6" borderId="2" xfId="0" applyFont="1" applyFill="1" applyBorder="1">
      <alignment vertical="center"/>
    </xf>
    <xf numFmtId="0" fontId="1" fillId="5" borderId="2" xfId="0" applyFont="1" applyFill="1" applyBorder="1">
      <alignment vertical="center"/>
    </xf>
    <xf numFmtId="0" fontId="1" fillId="6" borderId="0" xfId="0" applyFont="1" applyFill="1">
      <alignment vertical="center"/>
    </xf>
    <xf numFmtId="0" fontId="5" fillId="0" borderId="0" xfId="0" applyFont="1" applyAlignment="1">
      <alignment horizontal="right" vertical="center"/>
    </xf>
    <xf numFmtId="0" fontId="6" fillId="9" borderId="3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www.wps.cn/officeDocument/2023/relationships/customStorage" Target="customStorage/customStorag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206"/>
  <sheetViews>
    <sheetView tabSelected="1" workbookViewId="0">
      <pane xSplit="6" ySplit="3" topLeftCell="I705" activePane="bottomRight" state="frozen"/>
      <selection pane="topRight"/>
      <selection pane="bottomLeft"/>
      <selection pane="bottomRight" activeCell="L726" sqref="L726"/>
    </sheetView>
  </sheetViews>
  <sheetFormatPr defaultColWidth="9" defaultRowHeight="16.5" x14ac:dyDescent="0.15"/>
  <cols>
    <col min="1" max="1" width="9.25"/>
    <col min="2" max="2" width="10" customWidth="1"/>
    <col min="3" max="3" width="11.375" customWidth="1"/>
    <col min="4" max="5" width="11.5" customWidth="1"/>
    <col min="7" max="7" width="172.375" customWidth="1"/>
    <col min="8" max="8" width="10.375" customWidth="1"/>
    <col min="9" max="9" width="74.625" customWidth="1"/>
    <col min="10" max="11" width="19.25" customWidth="1"/>
    <col min="12" max="12" width="62.875" style="8" customWidth="1"/>
    <col min="13" max="13" width="38.625" customWidth="1"/>
    <col min="15" max="15" width="10.125" customWidth="1"/>
  </cols>
  <sheetData>
    <row r="1" spans="1:15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15">
      <c r="A2" s="3" t="s">
        <v>15</v>
      </c>
      <c r="B2" s="3" t="s">
        <v>15</v>
      </c>
      <c r="C2" s="3" t="s">
        <v>15</v>
      </c>
      <c r="D2" s="3" t="s">
        <v>15</v>
      </c>
      <c r="E2" s="3" t="s">
        <v>15</v>
      </c>
      <c r="F2" s="3" t="s">
        <v>15</v>
      </c>
      <c r="G2" s="3" t="s">
        <v>16</v>
      </c>
      <c r="H2" s="3" t="s">
        <v>15</v>
      </c>
      <c r="I2" s="3" t="s">
        <v>16</v>
      </c>
      <c r="J2" s="3" t="s">
        <v>16</v>
      </c>
      <c r="K2" s="3" t="s">
        <v>15</v>
      </c>
      <c r="L2" s="3" t="s">
        <v>16</v>
      </c>
      <c r="M2" s="3" t="s">
        <v>16</v>
      </c>
      <c r="N2" s="3" t="s">
        <v>15</v>
      </c>
      <c r="O2" s="3" t="s">
        <v>15</v>
      </c>
    </row>
    <row r="3" spans="1:15" x14ac:dyDescent="0.15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29</v>
      </c>
      <c r="N3" s="3" t="s">
        <v>30</v>
      </c>
      <c r="O3" s="3" t="s">
        <v>31</v>
      </c>
    </row>
    <row r="4" spans="1:15" x14ac:dyDescent="0.15">
      <c r="A4" s="3">
        <f>B4*100000+E4*1000+F4</f>
        <v>1401001</v>
      </c>
      <c r="B4" s="3">
        <v>14</v>
      </c>
      <c r="C4" s="3">
        <v>0</v>
      </c>
      <c r="D4" s="3">
        <v>1</v>
      </c>
      <c r="E4" s="3">
        <v>1</v>
      </c>
      <c r="F4" s="3">
        <v>1</v>
      </c>
      <c r="G4" s="9" t="s">
        <v>32</v>
      </c>
      <c r="H4" s="3">
        <v>90</v>
      </c>
      <c r="I4" s="3" t="str">
        <f>VLOOKUP(A4,战役结算奖励!$A$1:$O$301,15,0)</f>
        <v>[{"id":14,"num":12},{"id":2,"num":20000},{"id":1,"num":20000}]</v>
      </c>
      <c r="J4" s="3" t="s">
        <v>33</v>
      </c>
      <c r="K4" s="3">
        <v>61</v>
      </c>
      <c r="L4" s="3" t="s">
        <v>514</v>
      </c>
      <c r="M4" s="3"/>
      <c r="N4" s="3">
        <v>1</v>
      </c>
      <c r="O4" s="3"/>
    </row>
    <row r="5" spans="1:15" x14ac:dyDescent="0.15">
      <c r="A5" s="3">
        <f t="shared" ref="A5:A44" si="0">B5*100000+E5*1000+F5</f>
        <v>1401002</v>
      </c>
      <c r="B5" s="3">
        <v>14</v>
      </c>
      <c r="C5" s="3">
        <v>0</v>
      </c>
      <c r="D5" s="3">
        <v>1</v>
      </c>
      <c r="E5" s="3">
        <v>1</v>
      </c>
      <c r="F5" s="3">
        <v>2</v>
      </c>
      <c r="G5" s="9" t="s">
        <v>34</v>
      </c>
      <c r="H5" s="3">
        <v>90</v>
      </c>
      <c r="I5" s="3" t="str">
        <f>VLOOKUP(A5,战役结算奖励!$A$1:$O$301,15,0)</f>
        <v>[{"id":14,"num":12},{"id":2,"num":20000},{"id":1,"num":20000}]</v>
      </c>
      <c r="J5" s="3" t="s">
        <v>33</v>
      </c>
      <c r="K5" s="3">
        <v>61</v>
      </c>
      <c r="L5" s="3" t="s">
        <v>514</v>
      </c>
      <c r="M5" s="3"/>
      <c r="N5" s="3">
        <v>1</v>
      </c>
      <c r="O5" s="3"/>
    </row>
    <row r="6" spans="1:15" x14ac:dyDescent="0.15">
      <c r="A6" s="3">
        <f t="shared" si="0"/>
        <v>1401003</v>
      </c>
      <c r="B6" s="3">
        <v>14</v>
      </c>
      <c r="C6" s="3">
        <v>0</v>
      </c>
      <c r="D6" s="3">
        <v>1</v>
      </c>
      <c r="E6" s="3">
        <v>1</v>
      </c>
      <c r="F6" s="3">
        <v>3</v>
      </c>
      <c r="G6" s="9" t="s">
        <v>35</v>
      </c>
      <c r="H6" s="3">
        <v>90</v>
      </c>
      <c r="I6" s="3" t="str">
        <f>VLOOKUP(A6,战役结算奖励!$A$1:$O$301,15,0)</f>
        <v>[{"id":14,"num":12},{"id":2,"num":20000},{"id":1,"num":20000}]</v>
      </c>
      <c r="J6" s="3" t="s">
        <v>33</v>
      </c>
      <c r="K6" s="3">
        <v>61</v>
      </c>
      <c r="L6" s="3" t="s">
        <v>514</v>
      </c>
      <c r="M6" s="3"/>
      <c r="N6" s="3">
        <v>1</v>
      </c>
      <c r="O6" s="3"/>
    </row>
    <row r="7" spans="1:15" x14ac:dyDescent="0.15">
      <c r="A7" s="3">
        <f t="shared" si="0"/>
        <v>1401004</v>
      </c>
      <c r="B7" s="3">
        <v>14</v>
      </c>
      <c r="C7" s="3">
        <v>0</v>
      </c>
      <c r="D7" s="3">
        <v>1</v>
      </c>
      <c r="E7" s="3">
        <v>1</v>
      </c>
      <c r="F7" s="3">
        <v>4</v>
      </c>
      <c r="G7" s="9" t="s">
        <v>36</v>
      </c>
      <c r="H7" s="3">
        <v>90</v>
      </c>
      <c r="I7" s="3" t="str">
        <f>VLOOKUP(A7,战役结算奖励!$A$1:$O$301,15,0)</f>
        <v>[{"id":14,"num":12},{"id":2,"num":20000},{"id":1,"num":20000}]</v>
      </c>
      <c r="J7" s="3" t="s">
        <v>33</v>
      </c>
      <c r="K7" s="3">
        <v>61</v>
      </c>
      <c r="L7" s="3" t="s">
        <v>514</v>
      </c>
      <c r="M7" s="3"/>
      <c r="N7" s="3">
        <v>1</v>
      </c>
      <c r="O7" s="3"/>
    </row>
    <row r="8" spans="1:15" x14ac:dyDescent="0.15">
      <c r="A8" s="3">
        <f t="shared" si="0"/>
        <v>1401005</v>
      </c>
      <c r="B8" s="3">
        <v>14</v>
      </c>
      <c r="C8" s="3">
        <v>0</v>
      </c>
      <c r="D8" s="3">
        <v>1</v>
      </c>
      <c r="E8" s="3">
        <v>1</v>
      </c>
      <c r="F8" s="3">
        <v>5</v>
      </c>
      <c r="G8" s="9" t="s">
        <v>37</v>
      </c>
      <c r="H8" s="3">
        <v>90</v>
      </c>
      <c r="I8" s="3" t="str">
        <f>VLOOKUP(A8,战役结算奖励!$A$1:$O$301,15,0)</f>
        <v>[{"id":14,"num":12},{"id":2,"num":20000},{"id":1,"num":20000}]</v>
      </c>
      <c r="J8" s="3" t="s">
        <v>33</v>
      </c>
      <c r="K8" s="3">
        <v>61</v>
      </c>
      <c r="L8" s="3" t="s">
        <v>514</v>
      </c>
      <c r="M8" s="3"/>
      <c r="N8" s="3">
        <v>1</v>
      </c>
      <c r="O8" s="3"/>
    </row>
    <row r="9" spans="1:15" x14ac:dyDescent="0.15">
      <c r="A9" s="3">
        <f t="shared" si="0"/>
        <v>1401006</v>
      </c>
      <c r="B9" s="3">
        <v>14</v>
      </c>
      <c r="C9" s="3">
        <v>0</v>
      </c>
      <c r="D9" s="3">
        <v>1</v>
      </c>
      <c r="E9" s="3">
        <v>1</v>
      </c>
      <c r="F9" s="3">
        <v>6</v>
      </c>
      <c r="G9" s="9" t="s">
        <v>38</v>
      </c>
      <c r="H9" s="3">
        <v>90</v>
      </c>
      <c r="I9" s="3" t="str">
        <f>VLOOKUP(A9,战役结算奖励!$A$1:$O$301,15,0)</f>
        <v>[{"id":14,"num":12},{"id":2,"num":20000},{"id":1,"num":20000}]</v>
      </c>
      <c r="J9" s="3" t="s">
        <v>33</v>
      </c>
      <c r="K9" s="3">
        <v>61</v>
      </c>
      <c r="L9" s="3" t="s">
        <v>514</v>
      </c>
      <c r="M9" s="3"/>
      <c r="N9" s="3">
        <v>1</v>
      </c>
      <c r="O9" s="3"/>
    </row>
    <row r="10" spans="1:15" x14ac:dyDescent="0.15">
      <c r="A10" s="3">
        <f t="shared" si="0"/>
        <v>1401007</v>
      </c>
      <c r="B10" s="3">
        <v>14</v>
      </c>
      <c r="C10" s="3">
        <v>0</v>
      </c>
      <c r="D10" s="3">
        <v>1</v>
      </c>
      <c r="E10" s="3">
        <v>1</v>
      </c>
      <c r="F10" s="3">
        <v>7</v>
      </c>
      <c r="G10" s="9" t="s">
        <v>39</v>
      </c>
      <c r="H10" s="3">
        <v>90</v>
      </c>
      <c r="I10" s="3" t="str">
        <f>VLOOKUP(A10,战役结算奖励!$A$1:$O$301,15,0)</f>
        <v>[{"id":14,"num":12},{"id":2,"num":20000},{"id":1,"num":20000}]</v>
      </c>
      <c r="J10" s="3" t="s">
        <v>33</v>
      </c>
      <c r="K10" s="3">
        <v>61</v>
      </c>
      <c r="L10" s="3" t="s">
        <v>514</v>
      </c>
      <c r="M10" s="3"/>
      <c r="N10" s="3">
        <v>1</v>
      </c>
      <c r="O10" s="3"/>
    </row>
    <row r="11" spans="1:15" x14ac:dyDescent="0.15">
      <c r="A11" s="3">
        <f t="shared" si="0"/>
        <v>1401008</v>
      </c>
      <c r="B11" s="3">
        <v>14</v>
      </c>
      <c r="C11" s="3">
        <v>0</v>
      </c>
      <c r="D11" s="3">
        <v>1</v>
      </c>
      <c r="E11" s="3">
        <v>1</v>
      </c>
      <c r="F11" s="3">
        <v>8</v>
      </c>
      <c r="G11" s="9" t="s">
        <v>40</v>
      </c>
      <c r="H11" s="3">
        <v>90</v>
      </c>
      <c r="I11" s="3" t="str">
        <f>VLOOKUP(A11,战役结算奖励!$A$1:$O$301,15,0)</f>
        <v>[{"id":14,"num":12},{"id":2,"num":20000},{"id":1,"num":20000}]</v>
      </c>
      <c r="J11" s="3" t="s">
        <v>33</v>
      </c>
      <c r="K11" s="3">
        <v>61</v>
      </c>
      <c r="L11" s="3" t="s">
        <v>514</v>
      </c>
      <c r="M11" s="3"/>
      <c r="N11" s="3">
        <v>1</v>
      </c>
      <c r="O11" s="3"/>
    </row>
    <row r="12" spans="1:15" x14ac:dyDescent="0.15">
      <c r="A12" s="3">
        <f t="shared" si="0"/>
        <v>1401009</v>
      </c>
      <c r="B12" s="3">
        <v>14</v>
      </c>
      <c r="C12" s="3">
        <v>0</v>
      </c>
      <c r="D12" s="3">
        <v>1</v>
      </c>
      <c r="E12" s="3">
        <v>1</v>
      </c>
      <c r="F12" s="3">
        <v>9</v>
      </c>
      <c r="G12" s="9" t="s">
        <v>41</v>
      </c>
      <c r="H12" s="3">
        <v>90</v>
      </c>
      <c r="I12" s="3" t="str">
        <f>VLOOKUP(A12,战役结算奖励!$A$1:$O$301,15,0)</f>
        <v>[{"id":14,"num":12},{"id":2,"num":20000},{"id":1,"num":20000}]</v>
      </c>
      <c r="J12" s="3" t="s">
        <v>33</v>
      </c>
      <c r="K12" s="3">
        <v>61</v>
      </c>
      <c r="L12" s="3" t="s">
        <v>514</v>
      </c>
      <c r="M12" s="3"/>
      <c r="N12" s="3">
        <v>1</v>
      </c>
      <c r="O12" s="3"/>
    </row>
    <row r="13" spans="1:15" x14ac:dyDescent="0.15">
      <c r="A13" s="3">
        <f t="shared" si="0"/>
        <v>1401010</v>
      </c>
      <c r="B13" s="3">
        <v>14</v>
      </c>
      <c r="C13" s="3">
        <v>0</v>
      </c>
      <c r="D13" s="3">
        <v>1</v>
      </c>
      <c r="E13" s="3">
        <v>1</v>
      </c>
      <c r="F13" s="3">
        <v>10</v>
      </c>
      <c r="G13" s="9" t="s">
        <v>42</v>
      </c>
      <c r="H13" s="3">
        <v>90</v>
      </c>
      <c r="I13" s="3" t="str">
        <f>VLOOKUP(A13,战役结算奖励!$A$1:$O$301,15,0)</f>
        <v>[{"id":14,"num":12},{"id":2,"num":20000},{"id":1,"num":20000}]</v>
      </c>
      <c r="J13" s="3" t="s">
        <v>33</v>
      </c>
      <c r="K13" s="3">
        <v>61</v>
      </c>
      <c r="L13" s="3" t="s">
        <v>514</v>
      </c>
      <c r="M13" s="3"/>
      <c r="N13" s="3">
        <v>1</v>
      </c>
      <c r="O13" s="3"/>
    </row>
    <row r="14" spans="1:15" x14ac:dyDescent="0.15">
      <c r="A14" s="3">
        <f t="shared" si="0"/>
        <v>1401011</v>
      </c>
      <c r="B14" s="3">
        <v>14</v>
      </c>
      <c r="C14" s="3">
        <v>0</v>
      </c>
      <c r="D14" s="3">
        <v>1</v>
      </c>
      <c r="E14" s="3">
        <v>1</v>
      </c>
      <c r="F14" s="3">
        <v>11</v>
      </c>
      <c r="G14" s="9" t="s">
        <v>43</v>
      </c>
      <c r="H14" s="3">
        <v>90</v>
      </c>
      <c r="I14" s="3" t="str">
        <f>VLOOKUP(A14,战役结算奖励!$A$1:$O$301,15,0)</f>
        <v>[{"id":14,"num":12},{"id":2,"num":20000},{"id":1,"num":20000}]</v>
      </c>
      <c r="J14" s="3" t="s">
        <v>33</v>
      </c>
      <c r="K14" s="3">
        <v>61</v>
      </c>
      <c r="L14" s="3" t="s">
        <v>514</v>
      </c>
      <c r="M14" s="3"/>
      <c r="N14" s="3">
        <v>1</v>
      </c>
      <c r="O14" s="3"/>
    </row>
    <row r="15" spans="1:15" x14ac:dyDescent="0.15">
      <c r="A15" s="3">
        <f t="shared" si="0"/>
        <v>1401012</v>
      </c>
      <c r="B15" s="3">
        <v>14</v>
      </c>
      <c r="C15" s="3">
        <v>0</v>
      </c>
      <c r="D15" s="3">
        <v>1</v>
      </c>
      <c r="E15" s="3">
        <v>1</v>
      </c>
      <c r="F15" s="3">
        <v>12</v>
      </c>
      <c r="G15" s="9" t="s">
        <v>44</v>
      </c>
      <c r="H15" s="3">
        <v>90</v>
      </c>
      <c r="I15" s="3" t="str">
        <f>VLOOKUP(A15,战役结算奖励!$A$1:$O$301,15,0)</f>
        <v>[{"id":14,"num":12},{"id":2,"num":20000},{"id":1,"num":20000}]</v>
      </c>
      <c r="J15" s="3" t="s">
        <v>33</v>
      </c>
      <c r="K15" s="3">
        <v>61</v>
      </c>
      <c r="L15" s="3" t="s">
        <v>514</v>
      </c>
      <c r="M15" s="3"/>
      <c r="N15" s="3">
        <v>1</v>
      </c>
      <c r="O15" s="3"/>
    </row>
    <row r="16" spans="1:15" x14ac:dyDescent="0.15">
      <c r="A16" s="3">
        <f t="shared" si="0"/>
        <v>1401013</v>
      </c>
      <c r="B16" s="3">
        <v>14</v>
      </c>
      <c r="C16" s="3">
        <v>0</v>
      </c>
      <c r="D16" s="3">
        <v>1</v>
      </c>
      <c r="E16" s="3">
        <v>1</v>
      </c>
      <c r="F16" s="3">
        <v>13</v>
      </c>
      <c r="G16" s="9" t="s">
        <v>45</v>
      </c>
      <c r="H16" s="3">
        <v>90</v>
      </c>
      <c r="I16" s="3" t="str">
        <f>VLOOKUP(A16,战役结算奖励!$A$1:$O$301,15,0)</f>
        <v>[{"id":14,"num":12},{"id":2,"num":20000},{"id":1,"num":20000}]</v>
      </c>
      <c r="J16" s="3" t="s">
        <v>33</v>
      </c>
      <c r="K16" s="3">
        <v>61</v>
      </c>
      <c r="L16" s="3" t="s">
        <v>514</v>
      </c>
      <c r="M16" s="3"/>
      <c r="N16" s="3">
        <v>1</v>
      </c>
      <c r="O16" s="3"/>
    </row>
    <row r="17" spans="1:15" x14ac:dyDescent="0.15">
      <c r="A17" s="3">
        <f t="shared" si="0"/>
        <v>1401014</v>
      </c>
      <c r="B17" s="3">
        <v>14</v>
      </c>
      <c r="C17" s="3">
        <v>0</v>
      </c>
      <c r="D17" s="3">
        <v>1</v>
      </c>
      <c r="E17" s="3">
        <v>1</v>
      </c>
      <c r="F17" s="3">
        <v>14</v>
      </c>
      <c r="G17" s="9" t="s">
        <v>46</v>
      </c>
      <c r="H17" s="3">
        <v>90</v>
      </c>
      <c r="I17" s="3" t="str">
        <f>VLOOKUP(A17,战役结算奖励!$A$1:$O$301,15,0)</f>
        <v>[{"id":14,"num":12},{"id":2,"num":20000},{"id":1,"num":20000}]</v>
      </c>
      <c r="J17" s="3" t="s">
        <v>33</v>
      </c>
      <c r="K17" s="3">
        <v>61</v>
      </c>
      <c r="L17" s="3" t="s">
        <v>514</v>
      </c>
      <c r="M17" s="3"/>
      <c r="N17" s="3">
        <v>1</v>
      </c>
      <c r="O17" s="3"/>
    </row>
    <row r="18" spans="1:15" x14ac:dyDescent="0.15">
      <c r="A18" s="3">
        <f t="shared" si="0"/>
        <v>1401015</v>
      </c>
      <c r="B18" s="3">
        <v>14</v>
      </c>
      <c r="C18" s="3">
        <v>0</v>
      </c>
      <c r="D18" s="3">
        <v>1</v>
      </c>
      <c r="E18" s="3">
        <v>1</v>
      </c>
      <c r="F18" s="3">
        <v>15</v>
      </c>
      <c r="G18" s="9" t="s">
        <v>47</v>
      </c>
      <c r="H18" s="3">
        <v>90</v>
      </c>
      <c r="I18" s="3" t="str">
        <f>VLOOKUP(A18,战役结算奖励!$A$1:$O$301,15,0)</f>
        <v>[{"id":14,"num":12},{"id":2,"num":20000},{"id":1,"num":20000}]</v>
      </c>
      <c r="J18" s="3" t="s">
        <v>33</v>
      </c>
      <c r="K18" s="3">
        <v>61</v>
      </c>
      <c r="L18" s="3" t="s">
        <v>514</v>
      </c>
      <c r="M18" s="3"/>
      <c r="N18" s="3">
        <v>1</v>
      </c>
      <c r="O18" s="3"/>
    </row>
    <row r="19" spans="1:15" x14ac:dyDescent="0.15">
      <c r="A19" s="3">
        <f t="shared" si="0"/>
        <v>1401016</v>
      </c>
      <c r="B19" s="3">
        <v>14</v>
      </c>
      <c r="C19" s="3">
        <v>0</v>
      </c>
      <c r="D19" s="3">
        <v>1</v>
      </c>
      <c r="E19" s="3">
        <v>1</v>
      </c>
      <c r="F19" s="3">
        <v>16</v>
      </c>
      <c r="G19" s="9" t="s">
        <v>48</v>
      </c>
      <c r="H19" s="3">
        <v>90</v>
      </c>
      <c r="I19" s="3" t="str">
        <f>VLOOKUP(A19,战役结算奖励!$A$1:$O$301,15,0)</f>
        <v>[{"id":14,"num":12},{"id":2,"num":20000},{"id":1,"num":20000}]</v>
      </c>
      <c r="J19" s="3" t="s">
        <v>33</v>
      </c>
      <c r="K19" s="3">
        <v>61</v>
      </c>
      <c r="L19" s="3" t="s">
        <v>514</v>
      </c>
      <c r="M19" s="3"/>
      <c r="N19" s="3">
        <v>1</v>
      </c>
      <c r="O19" s="3"/>
    </row>
    <row r="20" spans="1:15" x14ac:dyDescent="0.15">
      <c r="A20" s="3">
        <f t="shared" si="0"/>
        <v>1401017</v>
      </c>
      <c r="B20" s="3">
        <v>14</v>
      </c>
      <c r="C20" s="3">
        <v>0</v>
      </c>
      <c r="D20" s="3">
        <v>1</v>
      </c>
      <c r="E20" s="3">
        <v>1</v>
      </c>
      <c r="F20" s="3">
        <v>17</v>
      </c>
      <c r="G20" s="9" t="s">
        <v>49</v>
      </c>
      <c r="H20" s="3">
        <v>90</v>
      </c>
      <c r="I20" s="3" t="str">
        <f>VLOOKUP(A20,战役结算奖励!$A$1:$O$301,15,0)</f>
        <v>[{"id":14,"num":12},{"id":2,"num":20000},{"id":1,"num":20000}]</v>
      </c>
      <c r="J20" s="3" t="s">
        <v>33</v>
      </c>
      <c r="K20" s="3">
        <v>61</v>
      </c>
      <c r="L20" s="3" t="s">
        <v>514</v>
      </c>
      <c r="M20" s="3"/>
      <c r="N20" s="3">
        <v>1</v>
      </c>
      <c r="O20" s="3"/>
    </row>
    <row r="21" spans="1:15" x14ac:dyDescent="0.15">
      <c r="A21" s="3">
        <f t="shared" si="0"/>
        <v>1401018</v>
      </c>
      <c r="B21" s="3">
        <v>14</v>
      </c>
      <c r="C21" s="3">
        <v>0</v>
      </c>
      <c r="D21" s="3">
        <v>1</v>
      </c>
      <c r="E21" s="3">
        <v>1</v>
      </c>
      <c r="F21" s="3">
        <v>18</v>
      </c>
      <c r="G21" s="9" t="s">
        <v>50</v>
      </c>
      <c r="H21" s="3">
        <v>90</v>
      </c>
      <c r="I21" s="3" t="str">
        <f>VLOOKUP(A21,战役结算奖励!$A$1:$O$301,15,0)</f>
        <v>[{"id":14,"num":12},{"id":2,"num":20000},{"id":1,"num":20000}]</v>
      </c>
      <c r="J21" s="3" t="s">
        <v>33</v>
      </c>
      <c r="K21" s="3">
        <v>61</v>
      </c>
      <c r="L21" s="3" t="s">
        <v>514</v>
      </c>
      <c r="M21" s="3"/>
      <c r="N21" s="3">
        <v>1</v>
      </c>
      <c r="O21" s="3"/>
    </row>
    <row r="22" spans="1:15" x14ac:dyDescent="0.15">
      <c r="A22" s="3">
        <f t="shared" si="0"/>
        <v>1401019</v>
      </c>
      <c r="B22" s="3">
        <v>14</v>
      </c>
      <c r="C22" s="3">
        <v>0</v>
      </c>
      <c r="D22" s="3">
        <v>1</v>
      </c>
      <c r="E22" s="3">
        <v>1</v>
      </c>
      <c r="F22" s="3">
        <v>19</v>
      </c>
      <c r="G22" s="9" t="s">
        <v>51</v>
      </c>
      <c r="H22" s="3">
        <v>90</v>
      </c>
      <c r="I22" s="3" t="str">
        <f>VLOOKUP(A22,战役结算奖励!$A$1:$O$301,15,0)</f>
        <v>[{"id":14,"num":12},{"id":2,"num":20000},{"id":1,"num":20000}]</v>
      </c>
      <c r="J22" s="3" t="s">
        <v>33</v>
      </c>
      <c r="K22" s="3">
        <v>61</v>
      </c>
      <c r="L22" s="3" t="s">
        <v>514</v>
      </c>
      <c r="M22" s="3"/>
      <c r="N22" s="3">
        <v>1</v>
      </c>
      <c r="O22" s="3"/>
    </row>
    <row r="23" spans="1:15" x14ac:dyDescent="0.15">
      <c r="A23" s="3">
        <f t="shared" si="0"/>
        <v>1401020</v>
      </c>
      <c r="B23" s="3">
        <v>14</v>
      </c>
      <c r="C23" s="3">
        <v>0</v>
      </c>
      <c r="D23" s="3">
        <v>1</v>
      </c>
      <c r="E23" s="3">
        <v>1</v>
      </c>
      <c r="F23" s="3">
        <v>20</v>
      </c>
      <c r="G23" s="9" t="s">
        <v>52</v>
      </c>
      <c r="H23" s="3">
        <v>90</v>
      </c>
      <c r="I23" s="3" t="str">
        <f>VLOOKUP(A23,战役结算奖励!$A$1:$O$301,15,0)</f>
        <v>[{"id":14,"num":12},{"id":2,"num":20000},{"id":1,"num":20000}]</v>
      </c>
      <c r="J23" s="3" t="s">
        <v>33</v>
      </c>
      <c r="K23" s="3">
        <v>61</v>
      </c>
      <c r="L23" s="3" t="s">
        <v>514</v>
      </c>
      <c r="M23" s="3"/>
      <c r="N23" s="3">
        <v>1</v>
      </c>
      <c r="O23" s="3"/>
    </row>
    <row r="24" spans="1:15" x14ac:dyDescent="0.15">
      <c r="A24" s="3">
        <f t="shared" si="0"/>
        <v>1401021</v>
      </c>
      <c r="B24" s="3">
        <v>14</v>
      </c>
      <c r="C24" s="3">
        <v>0</v>
      </c>
      <c r="D24" s="3">
        <v>1</v>
      </c>
      <c r="E24" s="3">
        <v>1</v>
      </c>
      <c r="F24" s="3">
        <v>21</v>
      </c>
      <c r="G24" s="9" t="s">
        <v>53</v>
      </c>
      <c r="H24" s="3">
        <v>90</v>
      </c>
      <c r="I24" s="3" t="str">
        <f>VLOOKUP(A24,战役结算奖励!$A$1:$O$301,15,0)</f>
        <v>[{"id":14,"num":16},{"id":2,"num":20000},{"id":1,"num":20000}]</v>
      </c>
      <c r="J24" s="3" t="s">
        <v>33</v>
      </c>
      <c r="K24" s="3">
        <v>61</v>
      </c>
      <c r="L24" s="3" t="s">
        <v>514</v>
      </c>
      <c r="M24" s="3"/>
      <c r="N24" s="3">
        <v>1</v>
      </c>
      <c r="O24" s="3"/>
    </row>
    <row r="25" spans="1:15" x14ac:dyDescent="0.15">
      <c r="A25" s="3">
        <f t="shared" si="0"/>
        <v>1401022</v>
      </c>
      <c r="B25" s="3">
        <v>14</v>
      </c>
      <c r="C25" s="3">
        <v>0</v>
      </c>
      <c r="D25" s="3">
        <v>1</v>
      </c>
      <c r="E25" s="3">
        <v>1</v>
      </c>
      <c r="F25" s="3">
        <v>22</v>
      </c>
      <c r="G25" s="9" t="s">
        <v>54</v>
      </c>
      <c r="H25" s="3">
        <v>90</v>
      </c>
      <c r="I25" s="3" t="str">
        <f>VLOOKUP(A25,战役结算奖励!$A$1:$O$301,15,0)</f>
        <v>[{"id":14,"num":16},{"id":2,"num":20000},{"id":1,"num":20000}]</v>
      </c>
      <c r="J25" s="3" t="s">
        <v>33</v>
      </c>
      <c r="K25" s="3">
        <v>61</v>
      </c>
      <c r="L25" s="3" t="s">
        <v>514</v>
      </c>
      <c r="M25" s="3"/>
      <c r="N25" s="3">
        <v>1</v>
      </c>
      <c r="O25" s="3"/>
    </row>
    <row r="26" spans="1:15" x14ac:dyDescent="0.15">
      <c r="A26" s="3">
        <f t="shared" si="0"/>
        <v>1401023</v>
      </c>
      <c r="B26" s="3">
        <v>14</v>
      </c>
      <c r="C26" s="3">
        <v>0</v>
      </c>
      <c r="D26" s="3">
        <v>1</v>
      </c>
      <c r="E26" s="3">
        <v>1</v>
      </c>
      <c r="F26" s="3">
        <v>23</v>
      </c>
      <c r="G26" s="9" t="s">
        <v>55</v>
      </c>
      <c r="H26" s="3">
        <v>90</v>
      </c>
      <c r="I26" s="3" t="str">
        <f>VLOOKUP(A26,战役结算奖励!$A$1:$O$301,15,0)</f>
        <v>[{"id":14,"num":16},{"id":2,"num":20000},{"id":1,"num":20000}]</v>
      </c>
      <c r="J26" s="3" t="s">
        <v>33</v>
      </c>
      <c r="K26" s="3">
        <v>61</v>
      </c>
      <c r="L26" s="3" t="s">
        <v>514</v>
      </c>
      <c r="M26" s="3"/>
      <c r="N26" s="3">
        <v>1</v>
      </c>
      <c r="O26" s="3"/>
    </row>
    <row r="27" spans="1:15" x14ac:dyDescent="0.15">
      <c r="A27" s="3">
        <f t="shared" si="0"/>
        <v>1401024</v>
      </c>
      <c r="B27" s="3">
        <v>14</v>
      </c>
      <c r="C27" s="3">
        <v>0</v>
      </c>
      <c r="D27" s="3">
        <v>1</v>
      </c>
      <c r="E27" s="3">
        <v>1</v>
      </c>
      <c r="F27" s="3">
        <v>24</v>
      </c>
      <c r="G27" s="9" t="s">
        <v>56</v>
      </c>
      <c r="H27" s="3">
        <v>90</v>
      </c>
      <c r="I27" s="3" t="str">
        <f>VLOOKUP(A27,战役结算奖励!$A$1:$O$301,15,0)</f>
        <v>[{"id":14,"num":16},{"id":2,"num":20000},{"id":1,"num":20000}]</v>
      </c>
      <c r="J27" s="3" t="s">
        <v>33</v>
      </c>
      <c r="K27" s="3">
        <v>61</v>
      </c>
      <c r="L27" s="3" t="s">
        <v>514</v>
      </c>
      <c r="M27" s="3"/>
      <c r="N27" s="3">
        <v>1</v>
      </c>
      <c r="O27" s="3"/>
    </row>
    <row r="28" spans="1:15" x14ac:dyDescent="0.15">
      <c r="A28" s="3">
        <f t="shared" si="0"/>
        <v>1401025</v>
      </c>
      <c r="B28" s="3">
        <v>14</v>
      </c>
      <c r="C28" s="3">
        <v>0</v>
      </c>
      <c r="D28" s="3">
        <v>1</v>
      </c>
      <c r="E28" s="3">
        <v>1</v>
      </c>
      <c r="F28" s="3">
        <v>25</v>
      </c>
      <c r="G28" s="9" t="s">
        <v>57</v>
      </c>
      <c r="H28" s="3">
        <v>90</v>
      </c>
      <c r="I28" s="3" t="str">
        <f>VLOOKUP(A28,战役结算奖励!$A$1:$O$301,15,0)</f>
        <v>[{"id":14,"num":16},{"id":2,"num":20000},{"id":1,"num":20000}]</v>
      </c>
      <c r="J28" s="3" t="s">
        <v>33</v>
      </c>
      <c r="K28" s="3">
        <v>61</v>
      </c>
      <c r="L28" s="3" t="s">
        <v>514</v>
      </c>
      <c r="M28" s="3"/>
      <c r="N28" s="3">
        <v>1</v>
      </c>
      <c r="O28" s="3"/>
    </row>
    <row r="29" spans="1:15" x14ac:dyDescent="0.15">
      <c r="A29" s="3">
        <f t="shared" si="0"/>
        <v>1401026</v>
      </c>
      <c r="B29" s="3">
        <v>14</v>
      </c>
      <c r="C29" s="3">
        <v>0</v>
      </c>
      <c r="D29" s="3">
        <v>1</v>
      </c>
      <c r="E29" s="3">
        <v>1</v>
      </c>
      <c r="F29" s="3">
        <v>26</v>
      </c>
      <c r="G29" s="9" t="s">
        <v>58</v>
      </c>
      <c r="H29" s="3">
        <v>90</v>
      </c>
      <c r="I29" s="3" t="str">
        <f>VLOOKUP(A29,战役结算奖励!$A$1:$O$301,15,0)</f>
        <v>[{"id":14,"num":16},{"id":2,"num":20000},{"id":1,"num":20000}]</v>
      </c>
      <c r="J29" s="3" t="s">
        <v>33</v>
      </c>
      <c r="K29" s="3">
        <v>61</v>
      </c>
      <c r="L29" s="3" t="s">
        <v>514</v>
      </c>
      <c r="M29" s="3"/>
      <c r="N29" s="3">
        <v>1</v>
      </c>
      <c r="O29" s="3"/>
    </row>
    <row r="30" spans="1:15" x14ac:dyDescent="0.15">
      <c r="A30" s="3">
        <f t="shared" si="0"/>
        <v>1401027</v>
      </c>
      <c r="B30" s="3">
        <v>14</v>
      </c>
      <c r="C30" s="3">
        <v>0</v>
      </c>
      <c r="D30" s="3">
        <v>1</v>
      </c>
      <c r="E30" s="3">
        <v>1</v>
      </c>
      <c r="F30" s="3">
        <v>27</v>
      </c>
      <c r="G30" s="9" t="s">
        <v>59</v>
      </c>
      <c r="H30" s="3">
        <v>90</v>
      </c>
      <c r="I30" s="3" t="str">
        <f>VLOOKUP(A30,战役结算奖励!$A$1:$O$301,15,0)</f>
        <v>[{"id":14,"num":16},{"id":2,"num":20000},{"id":1,"num":20000}]</v>
      </c>
      <c r="J30" s="3" t="s">
        <v>33</v>
      </c>
      <c r="K30" s="3">
        <v>61</v>
      </c>
      <c r="L30" s="3" t="s">
        <v>514</v>
      </c>
      <c r="M30" s="3"/>
      <c r="N30" s="3">
        <v>1</v>
      </c>
      <c r="O30" s="3"/>
    </row>
    <row r="31" spans="1:15" x14ac:dyDescent="0.15">
      <c r="A31" s="3">
        <f t="shared" si="0"/>
        <v>1401028</v>
      </c>
      <c r="B31" s="3">
        <v>14</v>
      </c>
      <c r="C31" s="3">
        <v>0</v>
      </c>
      <c r="D31" s="3">
        <v>1</v>
      </c>
      <c r="E31" s="3">
        <v>1</v>
      </c>
      <c r="F31" s="3">
        <v>28</v>
      </c>
      <c r="G31" s="9" t="s">
        <v>60</v>
      </c>
      <c r="H31" s="3">
        <v>90</v>
      </c>
      <c r="I31" s="3" t="str">
        <f>VLOOKUP(A31,战役结算奖励!$A$1:$O$301,15,0)</f>
        <v>[{"id":14,"num":16},{"id":2,"num":20000},{"id":1,"num":20000}]</v>
      </c>
      <c r="J31" s="3" t="s">
        <v>33</v>
      </c>
      <c r="K31" s="3">
        <v>61</v>
      </c>
      <c r="L31" s="3" t="s">
        <v>514</v>
      </c>
      <c r="M31" s="3"/>
      <c r="N31" s="3">
        <v>1</v>
      </c>
      <c r="O31" s="3"/>
    </row>
    <row r="32" spans="1:15" x14ac:dyDescent="0.15">
      <c r="A32" s="3">
        <f t="shared" si="0"/>
        <v>1401029</v>
      </c>
      <c r="B32" s="3">
        <v>14</v>
      </c>
      <c r="C32" s="3">
        <v>0</v>
      </c>
      <c r="D32" s="3">
        <v>1</v>
      </c>
      <c r="E32" s="3">
        <v>1</v>
      </c>
      <c r="F32" s="3">
        <v>29</v>
      </c>
      <c r="G32" s="9" t="s">
        <v>61</v>
      </c>
      <c r="H32" s="3">
        <v>90</v>
      </c>
      <c r="I32" s="3" t="str">
        <f>VLOOKUP(A32,战役结算奖励!$A$1:$O$301,15,0)</f>
        <v>[{"id":14,"num":16},{"id":2,"num":20000},{"id":1,"num":20000}]</v>
      </c>
      <c r="J32" s="3" t="s">
        <v>33</v>
      </c>
      <c r="K32" s="3">
        <v>61</v>
      </c>
      <c r="L32" s="3" t="s">
        <v>514</v>
      </c>
      <c r="M32" s="3"/>
      <c r="N32" s="3">
        <v>1</v>
      </c>
      <c r="O32" s="3"/>
    </row>
    <row r="33" spans="1:15" x14ac:dyDescent="0.15">
      <c r="A33" s="3">
        <f t="shared" si="0"/>
        <v>1401030</v>
      </c>
      <c r="B33" s="3">
        <v>14</v>
      </c>
      <c r="C33" s="3">
        <v>0</v>
      </c>
      <c r="D33" s="3">
        <v>1</v>
      </c>
      <c r="E33" s="3">
        <v>1</v>
      </c>
      <c r="F33" s="3">
        <v>30</v>
      </c>
      <c r="G33" s="9" t="s">
        <v>62</v>
      </c>
      <c r="H33" s="3">
        <v>90</v>
      </c>
      <c r="I33" s="3" t="str">
        <f>VLOOKUP(A33,战役结算奖励!$A$1:$O$301,15,0)</f>
        <v>[{"id":14,"num":16},{"id":2,"num":20000},{"id":1,"num":20000}]</v>
      </c>
      <c r="J33" s="3" t="s">
        <v>33</v>
      </c>
      <c r="K33" s="3">
        <v>61</v>
      </c>
      <c r="L33" s="3" t="s">
        <v>514</v>
      </c>
      <c r="M33" s="3"/>
      <c r="N33" s="3">
        <v>1</v>
      </c>
      <c r="O33" s="3"/>
    </row>
    <row r="34" spans="1:15" x14ac:dyDescent="0.15">
      <c r="A34" s="3">
        <f t="shared" si="0"/>
        <v>1401031</v>
      </c>
      <c r="B34" s="3">
        <v>14</v>
      </c>
      <c r="C34" s="3">
        <v>0</v>
      </c>
      <c r="D34" s="3">
        <v>1</v>
      </c>
      <c r="E34" s="3">
        <v>1</v>
      </c>
      <c r="F34" s="3">
        <v>31</v>
      </c>
      <c r="G34" s="9" t="s">
        <v>63</v>
      </c>
      <c r="H34" s="3">
        <v>90</v>
      </c>
      <c r="I34" s="3" t="str">
        <f>VLOOKUP(A34,战役结算奖励!$A$1:$O$301,15,0)</f>
        <v>[{"id":14,"num":16},{"id":2,"num":20000},{"id":1,"num":20000}]</v>
      </c>
      <c r="J34" s="3" t="s">
        <v>33</v>
      </c>
      <c r="K34" s="3">
        <v>61</v>
      </c>
      <c r="L34" s="3" t="s">
        <v>514</v>
      </c>
      <c r="M34" s="3"/>
      <c r="N34" s="3">
        <v>1</v>
      </c>
      <c r="O34" s="3"/>
    </row>
    <row r="35" spans="1:15" x14ac:dyDescent="0.15">
      <c r="A35" s="3">
        <f t="shared" si="0"/>
        <v>1401032</v>
      </c>
      <c r="B35" s="3">
        <v>14</v>
      </c>
      <c r="C35" s="3">
        <v>0</v>
      </c>
      <c r="D35" s="3">
        <v>1</v>
      </c>
      <c r="E35" s="3">
        <v>1</v>
      </c>
      <c r="F35" s="3">
        <v>32</v>
      </c>
      <c r="G35" s="9" t="s">
        <v>64</v>
      </c>
      <c r="H35" s="3">
        <v>90</v>
      </c>
      <c r="I35" s="3" t="str">
        <f>VLOOKUP(A35,战役结算奖励!$A$1:$O$301,15,0)</f>
        <v>[{"id":14,"num":16},{"id":2,"num":20000},{"id":1,"num":20000}]</v>
      </c>
      <c r="J35" s="3" t="s">
        <v>33</v>
      </c>
      <c r="K35" s="3">
        <v>61</v>
      </c>
      <c r="L35" s="3" t="s">
        <v>514</v>
      </c>
      <c r="M35" s="3"/>
      <c r="N35" s="3">
        <v>1</v>
      </c>
      <c r="O35" s="3"/>
    </row>
    <row r="36" spans="1:15" x14ac:dyDescent="0.15">
      <c r="A36" s="3">
        <f t="shared" si="0"/>
        <v>1401033</v>
      </c>
      <c r="B36" s="3">
        <v>14</v>
      </c>
      <c r="C36" s="3">
        <v>0</v>
      </c>
      <c r="D36" s="3">
        <v>1</v>
      </c>
      <c r="E36" s="3">
        <v>1</v>
      </c>
      <c r="F36" s="3">
        <v>33</v>
      </c>
      <c r="G36" s="9" t="s">
        <v>65</v>
      </c>
      <c r="H36" s="3">
        <v>90</v>
      </c>
      <c r="I36" s="3" t="str">
        <f>VLOOKUP(A36,战役结算奖励!$A$1:$O$301,15,0)</f>
        <v>[{"id":14,"num":16},{"id":2,"num":20000},{"id":1,"num":20000}]</v>
      </c>
      <c r="J36" s="3" t="s">
        <v>33</v>
      </c>
      <c r="K36" s="3">
        <v>61</v>
      </c>
      <c r="L36" s="3" t="s">
        <v>514</v>
      </c>
      <c r="M36" s="3"/>
      <c r="N36" s="3">
        <v>1</v>
      </c>
      <c r="O36" s="3"/>
    </row>
    <row r="37" spans="1:15" x14ac:dyDescent="0.15">
      <c r="A37" s="3">
        <f t="shared" si="0"/>
        <v>1401034</v>
      </c>
      <c r="B37" s="3">
        <v>14</v>
      </c>
      <c r="C37" s="3">
        <v>0</v>
      </c>
      <c r="D37" s="3">
        <v>1</v>
      </c>
      <c r="E37" s="3">
        <v>1</v>
      </c>
      <c r="F37" s="3">
        <v>34</v>
      </c>
      <c r="G37" s="9" t="s">
        <v>66</v>
      </c>
      <c r="H37" s="3">
        <v>90</v>
      </c>
      <c r="I37" s="3" t="str">
        <f>VLOOKUP(A37,战役结算奖励!$A$1:$O$301,15,0)</f>
        <v>[{"id":14,"num":16},{"id":2,"num":20000},{"id":1,"num":20000}]</v>
      </c>
      <c r="J37" s="3" t="s">
        <v>33</v>
      </c>
      <c r="K37" s="3">
        <v>61</v>
      </c>
      <c r="L37" s="3" t="s">
        <v>514</v>
      </c>
      <c r="M37" s="3"/>
      <c r="N37" s="3">
        <v>1</v>
      </c>
      <c r="O37" s="3"/>
    </row>
    <row r="38" spans="1:15" x14ac:dyDescent="0.15">
      <c r="A38" s="3">
        <f t="shared" si="0"/>
        <v>1401035</v>
      </c>
      <c r="B38" s="3">
        <v>14</v>
      </c>
      <c r="C38" s="3">
        <v>0</v>
      </c>
      <c r="D38" s="3">
        <v>1</v>
      </c>
      <c r="E38" s="3">
        <v>1</v>
      </c>
      <c r="F38" s="3">
        <v>35</v>
      </c>
      <c r="G38" s="9" t="s">
        <v>67</v>
      </c>
      <c r="H38" s="3">
        <v>90</v>
      </c>
      <c r="I38" s="3" t="str">
        <f>VLOOKUP(A38,战役结算奖励!$A$1:$O$301,15,0)</f>
        <v>[{"id":14,"num":16},{"id":2,"num":20000},{"id":1,"num":20000}]</v>
      </c>
      <c r="J38" s="3" t="s">
        <v>33</v>
      </c>
      <c r="K38" s="3">
        <v>61</v>
      </c>
      <c r="L38" s="3" t="s">
        <v>514</v>
      </c>
      <c r="M38" s="3"/>
      <c r="N38" s="3">
        <v>1</v>
      </c>
      <c r="O38" s="3"/>
    </row>
    <row r="39" spans="1:15" x14ac:dyDescent="0.15">
      <c r="A39" s="3">
        <f t="shared" si="0"/>
        <v>1401036</v>
      </c>
      <c r="B39" s="3">
        <v>14</v>
      </c>
      <c r="C39" s="3">
        <v>0</v>
      </c>
      <c r="D39" s="3">
        <v>1</v>
      </c>
      <c r="E39" s="3">
        <v>1</v>
      </c>
      <c r="F39" s="3">
        <v>36</v>
      </c>
      <c r="G39" s="9" t="s">
        <v>68</v>
      </c>
      <c r="H39" s="3">
        <v>90</v>
      </c>
      <c r="I39" s="3" t="str">
        <f>VLOOKUP(A39,战役结算奖励!$A$1:$O$301,15,0)</f>
        <v>[{"id":14,"num":16},{"id":2,"num":20000},{"id":1,"num":20000}]</v>
      </c>
      <c r="J39" s="3" t="s">
        <v>33</v>
      </c>
      <c r="K39" s="3">
        <v>61</v>
      </c>
      <c r="L39" s="3" t="s">
        <v>514</v>
      </c>
      <c r="M39" s="3"/>
      <c r="N39" s="3">
        <v>1</v>
      </c>
      <c r="O39" s="3"/>
    </row>
    <row r="40" spans="1:15" x14ac:dyDescent="0.15">
      <c r="A40" s="3">
        <f t="shared" si="0"/>
        <v>1401037</v>
      </c>
      <c r="B40" s="3">
        <v>14</v>
      </c>
      <c r="C40" s="3">
        <v>0</v>
      </c>
      <c r="D40" s="3">
        <v>1</v>
      </c>
      <c r="E40" s="3">
        <v>1</v>
      </c>
      <c r="F40" s="3">
        <v>37</v>
      </c>
      <c r="G40" s="9" t="s">
        <v>69</v>
      </c>
      <c r="H40" s="3">
        <v>90</v>
      </c>
      <c r="I40" s="3" t="str">
        <f>VLOOKUP(A40,战役结算奖励!$A$1:$O$301,15,0)</f>
        <v>[{"id":14,"num":16},{"id":2,"num":20000},{"id":1,"num":20000}]</v>
      </c>
      <c r="J40" s="3" t="s">
        <v>33</v>
      </c>
      <c r="K40" s="3">
        <v>61</v>
      </c>
      <c r="L40" s="3" t="s">
        <v>514</v>
      </c>
      <c r="M40" s="3"/>
      <c r="N40" s="3">
        <v>1</v>
      </c>
      <c r="O40" s="3"/>
    </row>
    <row r="41" spans="1:15" x14ac:dyDescent="0.15">
      <c r="A41" s="3">
        <f t="shared" si="0"/>
        <v>1401038</v>
      </c>
      <c r="B41" s="3">
        <v>14</v>
      </c>
      <c r="C41" s="3">
        <v>0</v>
      </c>
      <c r="D41" s="3">
        <v>1</v>
      </c>
      <c r="E41" s="3">
        <v>1</v>
      </c>
      <c r="F41" s="3">
        <v>38</v>
      </c>
      <c r="G41" s="9" t="s">
        <v>70</v>
      </c>
      <c r="H41" s="3">
        <v>90</v>
      </c>
      <c r="I41" s="3" t="str">
        <f>VLOOKUP(A41,战役结算奖励!$A$1:$O$301,15,0)</f>
        <v>[{"id":14,"num":16},{"id":2,"num":20000},{"id":1,"num":20000}]</v>
      </c>
      <c r="J41" s="3" t="s">
        <v>33</v>
      </c>
      <c r="K41" s="3">
        <v>61</v>
      </c>
      <c r="L41" s="3" t="s">
        <v>514</v>
      </c>
      <c r="M41" s="3"/>
      <c r="N41" s="3">
        <v>1</v>
      </c>
      <c r="O41" s="3"/>
    </row>
    <row r="42" spans="1:15" x14ac:dyDescent="0.15">
      <c r="A42" s="3">
        <f t="shared" si="0"/>
        <v>1401039</v>
      </c>
      <c r="B42" s="3">
        <v>14</v>
      </c>
      <c r="C42" s="3">
        <v>0</v>
      </c>
      <c r="D42" s="3">
        <v>1</v>
      </c>
      <c r="E42" s="3">
        <v>1</v>
      </c>
      <c r="F42" s="3">
        <v>39</v>
      </c>
      <c r="G42" s="9" t="s">
        <v>71</v>
      </c>
      <c r="H42" s="3">
        <v>90</v>
      </c>
      <c r="I42" s="3" t="str">
        <f>VLOOKUP(A42,战役结算奖励!$A$1:$O$301,15,0)</f>
        <v>[{"id":14,"num":16},{"id":2,"num":20000},{"id":1,"num":20000}]</v>
      </c>
      <c r="J42" s="3" t="s">
        <v>33</v>
      </c>
      <c r="K42" s="3">
        <v>61</v>
      </c>
      <c r="L42" s="3" t="s">
        <v>514</v>
      </c>
      <c r="M42" s="3"/>
      <c r="N42" s="3">
        <v>1</v>
      </c>
      <c r="O42" s="11"/>
    </row>
    <row r="43" spans="1:15" x14ac:dyDescent="0.15">
      <c r="A43" s="3">
        <f t="shared" si="0"/>
        <v>1401040</v>
      </c>
      <c r="B43" s="3">
        <v>14</v>
      </c>
      <c r="C43" s="3">
        <v>0</v>
      </c>
      <c r="D43" s="3">
        <v>1</v>
      </c>
      <c r="E43" s="3">
        <v>1</v>
      </c>
      <c r="F43" s="3">
        <v>40</v>
      </c>
      <c r="G43" s="9" t="s">
        <v>72</v>
      </c>
      <c r="H43" s="3">
        <v>90</v>
      </c>
      <c r="I43" s="3" t="str">
        <f>VLOOKUP(A43,战役结算奖励!$A$1:$O$301,15,0)</f>
        <v>[{"id":14,"num":16},{"id":2,"num":20000},{"id":1,"num":20000}]</v>
      </c>
      <c r="J43" s="3" t="s">
        <v>33</v>
      </c>
      <c r="K43" s="3">
        <v>61</v>
      </c>
      <c r="L43" s="3" t="s">
        <v>1215</v>
      </c>
      <c r="M43" s="3"/>
      <c r="N43" s="3">
        <v>1</v>
      </c>
      <c r="O43" s="3">
        <v>1</v>
      </c>
    </row>
    <row r="44" spans="1:15" x14ac:dyDescent="0.15">
      <c r="A44" s="3">
        <f t="shared" si="0"/>
        <v>1402001</v>
      </c>
      <c r="B44" s="3">
        <v>14</v>
      </c>
      <c r="C44" s="3">
        <v>0</v>
      </c>
      <c r="D44" s="3">
        <v>1</v>
      </c>
      <c r="E44" s="3">
        <v>2</v>
      </c>
      <c r="F44" s="3">
        <v>1</v>
      </c>
      <c r="G44" s="9" t="s">
        <v>73</v>
      </c>
      <c r="H44" s="3">
        <v>90</v>
      </c>
      <c r="I44" s="3" t="str">
        <f>VLOOKUP(A44,战役结算奖励!$A$1:$O$301,15,0)</f>
        <v>[{"id":14,"num":16},{"id":2,"num":20000},{"id":1,"num":20000}]</v>
      </c>
      <c r="J44" s="3" t="s">
        <v>33</v>
      </c>
      <c r="K44" s="3">
        <v>62</v>
      </c>
      <c r="L44" s="3" t="s">
        <v>514</v>
      </c>
      <c r="M44" s="3"/>
      <c r="N44" s="3">
        <v>2</v>
      </c>
      <c r="O44" s="3"/>
    </row>
    <row r="45" spans="1:15" x14ac:dyDescent="0.15">
      <c r="A45" s="3">
        <f t="shared" ref="A45:A62" si="1">B45*100000+E45*1000+F45</f>
        <v>1402002</v>
      </c>
      <c r="B45" s="3">
        <v>14</v>
      </c>
      <c r="C45" s="3">
        <v>0</v>
      </c>
      <c r="D45" s="3">
        <v>1</v>
      </c>
      <c r="E45" s="3">
        <v>2</v>
      </c>
      <c r="F45" s="3">
        <v>2</v>
      </c>
      <c r="G45" s="9" t="s">
        <v>74</v>
      </c>
      <c r="H45" s="3">
        <v>90</v>
      </c>
      <c r="I45" s="3" t="str">
        <f>VLOOKUP(A45,战役结算奖励!$A$1:$O$301,15,0)</f>
        <v>[{"id":14,"num":16},{"id":2,"num":20000},{"id":1,"num":20000}]</v>
      </c>
      <c r="J45" s="3" t="s">
        <v>33</v>
      </c>
      <c r="K45" s="3">
        <v>62</v>
      </c>
      <c r="L45" s="3" t="s">
        <v>514</v>
      </c>
      <c r="M45" s="3"/>
      <c r="N45" s="3">
        <v>2</v>
      </c>
      <c r="O45" s="3"/>
    </row>
    <row r="46" spans="1:15" x14ac:dyDescent="0.15">
      <c r="A46" s="3">
        <f t="shared" si="1"/>
        <v>1402003</v>
      </c>
      <c r="B46" s="3">
        <v>14</v>
      </c>
      <c r="C46" s="3">
        <v>0</v>
      </c>
      <c r="D46" s="3">
        <v>1</v>
      </c>
      <c r="E46" s="3">
        <v>2</v>
      </c>
      <c r="F46" s="3">
        <v>3</v>
      </c>
      <c r="G46" s="9" t="s">
        <v>75</v>
      </c>
      <c r="H46" s="3">
        <v>90</v>
      </c>
      <c r="I46" s="3" t="str">
        <f>VLOOKUP(A46,战役结算奖励!$A$1:$O$301,15,0)</f>
        <v>[{"id":14,"num":16},{"id":2,"num":20000},{"id":1,"num":20000}]</v>
      </c>
      <c r="J46" s="3" t="s">
        <v>33</v>
      </c>
      <c r="K46" s="3">
        <v>62</v>
      </c>
      <c r="L46" s="3" t="s">
        <v>514</v>
      </c>
      <c r="M46" s="3"/>
      <c r="N46" s="3">
        <v>2</v>
      </c>
      <c r="O46" s="3"/>
    </row>
    <row r="47" spans="1:15" x14ac:dyDescent="0.15">
      <c r="A47" s="3">
        <f t="shared" si="1"/>
        <v>1402004</v>
      </c>
      <c r="B47" s="3">
        <v>14</v>
      </c>
      <c r="C47" s="3">
        <v>0</v>
      </c>
      <c r="D47" s="3">
        <v>1</v>
      </c>
      <c r="E47" s="3">
        <v>2</v>
      </c>
      <c r="F47" s="3">
        <v>4</v>
      </c>
      <c r="G47" s="9" t="s">
        <v>76</v>
      </c>
      <c r="H47" s="3">
        <v>90</v>
      </c>
      <c r="I47" s="3" t="str">
        <f>VLOOKUP(A47,战役结算奖励!$A$1:$O$301,15,0)</f>
        <v>[{"id":14,"num":16},{"id":2,"num":20000},{"id":1,"num":20000}]</v>
      </c>
      <c r="J47" s="3" t="s">
        <v>33</v>
      </c>
      <c r="K47" s="3">
        <v>62</v>
      </c>
      <c r="L47" s="3" t="s">
        <v>514</v>
      </c>
      <c r="M47" s="3"/>
      <c r="N47" s="3">
        <v>2</v>
      </c>
      <c r="O47" s="3"/>
    </row>
    <row r="48" spans="1:15" x14ac:dyDescent="0.15">
      <c r="A48" s="3">
        <f t="shared" si="1"/>
        <v>1402005</v>
      </c>
      <c r="B48" s="3">
        <v>14</v>
      </c>
      <c r="C48" s="3">
        <v>0</v>
      </c>
      <c r="D48" s="3">
        <v>1</v>
      </c>
      <c r="E48" s="3">
        <v>2</v>
      </c>
      <c r="F48" s="3">
        <v>5</v>
      </c>
      <c r="G48" s="9" t="s">
        <v>77</v>
      </c>
      <c r="H48" s="3">
        <v>90</v>
      </c>
      <c r="I48" s="3" t="str">
        <f>VLOOKUP(A48,战役结算奖励!$A$1:$O$301,15,0)</f>
        <v>[{"id":14,"num":16},{"id":2,"num":20000},{"id":1,"num":20000}]</v>
      </c>
      <c r="J48" s="3" t="s">
        <v>33</v>
      </c>
      <c r="K48" s="3">
        <v>62</v>
      </c>
      <c r="L48" s="3" t="s">
        <v>514</v>
      </c>
      <c r="M48" s="3"/>
      <c r="N48" s="3">
        <v>2</v>
      </c>
      <c r="O48" s="3"/>
    </row>
    <row r="49" spans="1:15" x14ac:dyDescent="0.15">
      <c r="A49" s="3">
        <f t="shared" si="1"/>
        <v>1402006</v>
      </c>
      <c r="B49" s="3">
        <v>14</v>
      </c>
      <c r="C49" s="3">
        <v>0</v>
      </c>
      <c r="D49" s="3">
        <v>1</v>
      </c>
      <c r="E49" s="3">
        <v>2</v>
      </c>
      <c r="F49" s="3">
        <v>6</v>
      </c>
      <c r="G49" s="9" t="s">
        <v>78</v>
      </c>
      <c r="H49" s="3">
        <v>90</v>
      </c>
      <c r="I49" s="3" t="str">
        <f>VLOOKUP(A49,战役结算奖励!$A$1:$O$301,15,0)</f>
        <v>[{"id":14,"num":16},{"id":2,"num":20000},{"id":1,"num":20000}]</v>
      </c>
      <c r="J49" s="3" t="s">
        <v>33</v>
      </c>
      <c r="K49" s="3">
        <v>62</v>
      </c>
      <c r="L49" s="3" t="s">
        <v>514</v>
      </c>
      <c r="M49" s="3"/>
      <c r="N49" s="3">
        <v>2</v>
      </c>
      <c r="O49" s="3"/>
    </row>
    <row r="50" spans="1:15" x14ac:dyDescent="0.15">
      <c r="A50" s="3">
        <f t="shared" si="1"/>
        <v>1402007</v>
      </c>
      <c r="B50" s="3">
        <v>14</v>
      </c>
      <c r="C50" s="3">
        <v>0</v>
      </c>
      <c r="D50" s="3">
        <v>1</v>
      </c>
      <c r="E50" s="3">
        <v>2</v>
      </c>
      <c r="F50" s="3">
        <v>7</v>
      </c>
      <c r="G50" s="9" t="s">
        <v>79</v>
      </c>
      <c r="H50" s="3">
        <v>90</v>
      </c>
      <c r="I50" s="3" t="str">
        <f>VLOOKUP(A50,战役结算奖励!$A$1:$O$301,15,0)</f>
        <v>[{"id":14,"num":16},{"id":2,"num":20000},{"id":1,"num":20000}]</v>
      </c>
      <c r="J50" s="3" t="s">
        <v>33</v>
      </c>
      <c r="K50" s="3">
        <v>62</v>
      </c>
      <c r="L50" s="3" t="s">
        <v>514</v>
      </c>
      <c r="M50" s="3"/>
      <c r="N50" s="3">
        <v>2</v>
      </c>
      <c r="O50" s="3"/>
    </row>
    <row r="51" spans="1:15" x14ac:dyDescent="0.15">
      <c r="A51" s="3">
        <f t="shared" si="1"/>
        <v>1402008</v>
      </c>
      <c r="B51" s="3">
        <v>14</v>
      </c>
      <c r="C51" s="3">
        <v>0</v>
      </c>
      <c r="D51" s="3">
        <v>1</v>
      </c>
      <c r="E51" s="3">
        <v>2</v>
      </c>
      <c r="F51" s="3">
        <v>8</v>
      </c>
      <c r="G51" s="9" t="s">
        <v>80</v>
      </c>
      <c r="H51" s="3">
        <v>90</v>
      </c>
      <c r="I51" s="3" t="str">
        <f>VLOOKUP(A51,战役结算奖励!$A$1:$O$301,15,0)</f>
        <v>[{"id":14,"num":16},{"id":2,"num":20000},{"id":1,"num":20000}]</v>
      </c>
      <c r="J51" s="3" t="s">
        <v>33</v>
      </c>
      <c r="K51" s="3">
        <v>62</v>
      </c>
      <c r="L51" s="3" t="s">
        <v>514</v>
      </c>
      <c r="M51" s="3"/>
      <c r="N51" s="3">
        <v>2</v>
      </c>
      <c r="O51" s="3"/>
    </row>
    <row r="52" spans="1:15" x14ac:dyDescent="0.15">
      <c r="A52" s="3">
        <f t="shared" si="1"/>
        <v>1402009</v>
      </c>
      <c r="B52" s="3">
        <v>14</v>
      </c>
      <c r="C52" s="3">
        <v>0</v>
      </c>
      <c r="D52" s="3">
        <v>1</v>
      </c>
      <c r="E52" s="3">
        <v>2</v>
      </c>
      <c r="F52" s="3">
        <v>9</v>
      </c>
      <c r="G52" s="9" t="s">
        <v>81</v>
      </c>
      <c r="H52" s="3">
        <v>90</v>
      </c>
      <c r="I52" s="3" t="str">
        <f>VLOOKUP(A52,战役结算奖励!$A$1:$O$301,15,0)</f>
        <v>[{"id":14,"num":16},{"id":2,"num":20000},{"id":1,"num":20000}]</v>
      </c>
      <c r="J52" s="3" t="s">
        <v>33</v>
      </c>
      <c r="K52" s="3">
        <v>62</v>
      </c>
      <c r="L52" s="3" t="s">
        <v>514</v>
      </c>
      <c r="M52" s="3"/>
      <c r="N52" s="3">
        <v>2</v>
      </c>
      <c r="O52" s="3"/>
    </row>
    <row r="53" spans="1:15" s="4" customFormat="1" x14ac:dyDescent="0.15">
      <c r="A53" s="10">
        <f t="shared" si="1"/>
        <v>1402010</v>
      </c>
      <c r="B53" s="10">
        <v>14</v>
      </c>
      <c r="C53" s="10">
        <v>0</v>
      </c>
      <c r="D53" s="10">
        <v>1</v>
      </c>
      <c r="E53" s="10">
        <v>2</v>
      </c>
      <c r="F53" s="10">
        <v>10</v>
      </c>
      <c r="G53" s="9" t="s">
        <v>82</v>
      </c>
      <c r="H53" s="10">
        <v>90</v>
      </c>
      <c r="I53" s="10" t="str">
        <f>VLOOKUP(A53,战役结算奖励!$A$1:$O$301,15,0)</f>
        <v>[{"id":14,"num":16},{"id":2,"num":20000},{"id":1,"num":20000}]</v>
      </c>
      <c r="J53" s="10" t="s">
        <v>33</v>
      </c>
      <c r="K53" s="10">
        <v>62</v>
      </c>
      <c r="L53" s="3" t="s">
        <v>514</v>
      </c>
      <c r="M53" s="10"/>
      <c r="N53" s="3">
        <v>2</v>
      </c>
      <c r="O53" s="10"/>
    </row>
    <row r="54" spans="1:15" x14ac:dyDescent="0.15">
      <c r="A54" s="3">
        <f t="shared" si="1"/>
        <v>1402011</v>
      </c>
      <c r="B54" s="3">
        <v>14</v>
      </c>
      <c r="C54" s="3">
        <v>0</v>
      </c>
      <c r="D54" s="3">
        <v>1</v>
      </c>
      <c r="E54" s="3">
        <v>2</v>
      </c>
      <c r="F54" s="3">
        <v>11</v>
      </c>
      <c r="G54" s="9" t="s">
        <v>83</v>
      </c>
      <c r="H54" s="3">
        <v>90</v>
      </c>
      <c r="I54" s="3" t="str">
        <f>VLOOKUP(A54,战役结算奖励!$A$1:$O$301,15,0)</f>
        <v>[{"id":14,"num":16},{"id":2,"num":20000},{"id":1,"num":20000}]</v>
      </c>
      <c r="J54" s="3" t="s">
        <v>33</v>
      </c>
      <c r="K54" s="3">
        <v>62</v>
      </c>
      <c r="L54" s="3" t="s">
        <v>514</v>
      </c>
      <c r="M54" s="3"/>
      <c r="N54" s="3">
        <v>2</v>
      </c>
      <c r="O54" s="3"/>
    </row>
    <row r="55" spans="1:15" x14ac:dyDescent="0.15">
      <c r="A55" s="3">
        <f t="shared" si="1"/>
        <v>1402012</v>
      </c>
      <c r="B55" s="3">
        <v>14</v>
      </c>
      <c r="C55" s="3">
        <v>0</v>
      </c>
      <c r="D55" s="3">
        <v>1</v>
      </c>
      <c r="E55" s="3">
        <v>2</v>
      </c>
      <c r="F55" s="3">
        <v>12</v>
      </c>
      <c r="G55" s="9" t="s">
        <v>84</v>
      </c>
      <c r="H55" s="3">
        <v>90</v>
      </c>
      <c r="I55" s="3" t="str">
        <f>VLOOKUP(A55,战役结算奖励!$A$1:$O$301,15,0)</f>
        <v>[{"id":14,"num":16},{"id":2,"num":20000},{"id":1,"num":20000}]</v>
      </c>
      <c r="J55" s="3" t="s">
        <v>33</v>
      </c>
      <c r="K55" s="3">
        <v>62</v>
      </c>
      <c r="L55" s="3" t="s">
        <v>514</v>
      </c>
      <c r="M55" s="3"/>
      <c r="N55" s="3">
        <v>2</v>
      </c>
      <c r="O55" s="3"/>
    </row>
    <row r="56" spans="1:15" x14ac:dyDescent="0.15">
      <c r="A56" s="3">
        <f t="shared" si="1"/>
        <v>1402013</v>
      </c>
      <c r="B56" s="3">
        <v>14</v>
      </c>
      <c r="C56" s="3">
        <v>0</v>
      </c>
      <c r="D56" s="3">
        <v>1</v>
      </c>
      <c r="E56" s="3">
        <v>2</v>
      </c>
      <c r="F56" s="3">
        <v>13</v>
      </c>
      <c r="G56" s="9" t="s">
        <v>85</v>
      </c>
      <c r="H56" s="3">
        <v>90</v>
      </c>
      <c r="I56" s="3" t="str">
        <f>VLOOKUP(A56,战役结算奖励!$A$1:$O$301,15,0)</f>
        <v>[{"id":14,"num":16},{"id":2,"num":20000},{"id":1,"num":20000}]</v>
      </c>
      <c r="J56" s="3" t="s">
        <v>33</v>
      </c>
      <c r="K56" s="3">
        <v>62</v>
      </c>
      <c r="L56" s="3" t="s">
        <v>514</v>
      </c>
      <c r="M56" s="3"/>
      <c r="N56" s="3">
        <v>2</v>
      </c>
      <c r="O56" s="3"/>
    </row>
    <row r="57" spans="1:15" x14ac:dyDescent="0.15">
      <c r="A57" s="3">
        <f t="shared" si="1"/>
        <v>1402014</v>
      </c>
      <c r="B57" s="3">
        <v>14</v>
      </c>
      <c r="C57" s="3">
        <v>0</v>
      </c>
      <c r="D57" s="3">
        <v>1</v>
      </c>
      <c r="E57" s="3">
        <v>2</v>
      </c>
      <c r="F57" s="3">
        <v>14</v>
      </c>
      <c r="G57" s="9" t="s">
        <v>86</v>
      </c>
      <c r="H57" s="3">
        <v>90</v>
      </c>
      <c r="I57" s="3" t="str">
        <f>VLOOKUP(A57,战役结算奖励!$A$1:$O$301,15,0)</f>
        <v>[{"id":14,"num":16},{"id":2,"num":20000},{"id":1,"num":20000}]</v>
      </c>
      <c r="J57" s="3" t="s">
        <v>33</v>
      </c>
      <c r="K57" s="3">
        <v>62</v>
      </c>
      <c r="L57" s="3" t="s">
        <v>514</v>
      </c>
      <c r="M57" s="3"/>
      <c r="N57" s="3">
        <v>2</v>
      </c>
      <c r="O57" s="3"/>
    </row>
    <row r="58" spans="1:15" x14ac:dyDescent="0.15">
      <c r="A58" s="3">
        <f t="shared" si="1"/>
        <v>1402015</v>
      </c>
      <c r="B58" s="3">
        <v>14</v>
      </c>
      <c r="C58" s="3">
        <v>0</v>
      </c>
      <c r="D58" s="3">
        <v>1</v>
      </c>
      <c r="E58" s="3">
        <v>2</v>
      </c>
      <c r="F58" s="3">
        <v>15</v>
      </c>
      <c r="G58" s="9" t="s">
        <v>87</v>
      </c>
      <c r="H58" s="3">
        <v>90</v>
      </c>
      <c r="I58" s="3" t="str">
        <f>VLOOKUP(A58,战役结算奖励!$A$1:$O$301,15,0)</f>
        <v>[{"id":14,"num":16},{"id":2,"num":20000},{"id":1,"num":20000}]</v>
      </c>
      <c r="J58" s="3" t="s">
        <v>33</v>
      </c>
      <c r="K58" s="3">
        <v>62</v>
      </c>
      <c r="L58" s="3" t="s">
        <v>514</v>
      </c>
      <c r="M58" s="3"/>
      <c r="N58" s="3">
        <v>2</v>
      </c>
      <c r="O58" s="3"/>
    </row>
    <row r="59" spans="1:15" x14ac:dyDescent="0.15">
      <c r="A59" s="3">
        <f t="shared" si="1"/>
        <v>1402016</v>
      </c>
      <c r="B59" s="3">
        <v>14</v>
      </c>
      <c r="C59" s="3">
        <v>0</v>
      </c>
      <c r="D59" s="3">
        <v>1</v>
      </c>
      <c r="E59" s="3">
        <v>2</v>
      </c>
      <c r="F59" s="3">
        <v>16</v>
      </c>
      <c r="G59" s="9" t="s">
        <v>88</v>
      </c>
      <c r="H59" s="3">
        <v>90</v>
      </c>
      <c r="I59" s="3" t="str">
        <f>VLOOKUP(A59,战役结算奖励!$A$1:$O$301,15,0)</f>
        <v>[{"id":14,"num":16},{"id":2,"num":20000},{"id":1,"num":20000}]</v>
      </c>
      <c r="J59" s="3" t="s">
        <v>33</v>
      </c>
      <c r="K59" s="3">
        <v>62</v>
      </c>
      <c r="L59" s="3" t="s">
        <v>514</v>
      </c>
      <c r="M59" s="3"/>
      <c r="N59" s="3">
        <v>2</v>
      </c>
      <c r="O59" s="3"/>
    </row>
    <row r="60" spans="1:15" x14ac:dyDescent="0.15">
      <c r="A60" s="3">
        <f t="shared" si="1"/>
        <v>1402017</v>
      </c>
      <c r="B60" s="3">
        <v>14</v>
      </c>
      <c r="C60" s="3">
        <v>0</v>
      </c>
      <c r="D60" s="3">
        <v>1</v>
      </c>
      <c r="E60" s="3">
        <v>2</v>
      </c>
      <c r="F60" s="3">
        <v>17</v>
      </c>
      <c r="G60" s="9" t="s">
        <v>89</v>
      </c>
      <c r="H60" s="3">
        <v>90</v>
      </c>
      <c r="I60" s="3" t="str">
        <f>VLOOKUP(A60,战役结算奖励!$A$1:$O$301,15,0)</f>
        <v>[{"id":14,"num":16},{"id":2,"num":20000},{"id":1,"num":20000}]</v>
      </c>
      <c r="J60" s="3" t="s">
        <v>33</v>
      </c>
      <c r="K60" s="3">
        <v>62</v>
      </c>
      <c r="L60" s="3" t="s">
        <v>514</v>
      </c>
      <c r="M60" s="3"/>
      <c r="N60" s="3">
        <v>2</v>
      </c>
      <c r="O60" s="3"/>
    </row>
    <row r="61" spans="1:15" x14ac:dyDescent="0.15">
      <c r="A61" s="3">
        <f t="shared" si="1"/>
        <v>1402018</v>
      </c>
      <c r="B61" s="3">
        <v>14</v>
      </c>
      <c r="C61" s="3">
        <v>0</v>
      </c>
      <c r="D61" s="3">
        <v>1</v>
      </c>
      <c r="E61" s="3">
        <v>2</v>
      </c>
      <c r="F61" s="3">
        <v>18</v>
      </c>
      <c r="G61" s="9" t="s">
        <v>90</v>
      </c>
      <c r="H61" s="3">
        <v>90</v>
      </c>
      <c r="I61" s="3" t="str">
        <f>VLOOKUP(A61,战役结算奖励!$A$1:$O$301,15,0)</f>
        <v>[{"id":14,"num":16},{"id":2,"num":20000},{"id":1,"num":20000}]</v>
      </c>
      <c r="J61" s="3" t="s">
        <v>33</v>
      </c>
      <c r="K61" s="3">
        <v>62</v>
      </c>
      <c r="L61" s="3" t="s">
        <v>514</v>
      </c>
      <c r="M61" s="3"/>
      <c r="N61" s="3">
        <v>2</v>
      </c>
      <c r="O61" s="3"/>
    </row>
    <row r="62" spans="1:15" x14ac:dyDescent="0.15">
      <c r="A62" s="3">
        <f t="shared" si="1"/>
        <v>1402019</v>
      </c>
      <c r="B62" s="3">
        <v>14</v>
      </c>
      <c r="C62" s="3">
        <v>0</v>
      </c>
      <c r="D62" s="3">
        <v>1</v>
      </c>
      <c r="E62" s="3">
        <v>2</v>
      </c>
      <c r="F62" s="3">
        <v>19</v>
      </c>
      <c r="G62" s="9" t="s">
        <v>91</v>
      </c>
      <c r="H62" s="3">
        <v>90</v>
      </c>
      <c r="I62" s="3" t="str">
        <f>VLOOKUP(A62,战役结算奖励!$A$1:$O$301,15,0)</f>
        <v>[{"id":14,"num":16},{"id":2,"num":20000},{"id":1,"num":20000}]</v>
      </c>
      <c r="J62" s="3" t="s">
        <v>33</v>
      </c>
      <c r="K62" s="3">
        <v>62</v>
      </c>
      <c r="L62" s="3" t="s">
        <v>514</v>
      </c>
      <c r="M62" s="3"/>
      <c r="N62" s="3">
        <v>2</v>
      </c>
      <c r="O62" s="3"/>
    </row>
    <row r="63" spans="1:15" s="4" customFormat="1" x14ac:dyDescent="0.15">
      <c r="A63" s="10">
        <f t="shared" ref="A63:A85" si="2">B63*100000+E63*1000+F63</f>
        <v>1402020</v>
      </c>
      <c r="B63" s="10">
        <v>14</v>
      </c>
      <c r="C63" s="10">
        <v>0</v>
      </c>
      <c r="D63" s="10">
        <v>1</v>
      </c>
      <c r="E63" s="10">
        <v>2</v>
      </c>
      <c r="F63" s="10">
        <v>20</v>
      </c>
      <c r="G63" s="9" t="s">
        <v>92</v>
      </c>
      <c r="H63" s="10">
        <v>90</v>
      </c>
      <c r="I63" s="10" t="str">
        <f>VLOOKUP(A63,战役结算奖励!$A$1:$O$301,15,0)</f>
        <v>[{"id":14,"num":16},{"id":2,"num":20000},{"id":1,"num":20000}]</v>
      </c>
      <c r="J63" s="10" t="s">
        <v>33</v>
      </c>
      <c r="K63" s="10">
        <v>62</v>
      </c>
      <c r="L63" s="3" t="s">
        <v>514</v>
      </c>
      <c r="M63" s="10"/>
      <c r="N63" s="3">
        <v>2</v>
      </c>
      <c r="O63" s="10"/>
    </row>
    <row r="64" spans="1:15" x14ac:dyDescent="0.15">
      <c r="A64" s="3">
        <f t="shared" si="2"/>
        <v>1402021</v>
      </c>
      <c r="B64" s="3">
        <v>14</v>
      </c>
      <c r="C64" s="3">
        <v>0</v>
      </c>
      <c r="D64" s="3">
        <v>1</v>
      </c>
      <c r="E64" s="3">
        <v>2</v>
      </c>
      <c r="F64" s="3">
        <v>21</v>
      </c>
      <c r="G64" s="9" t="s">
        <v>93</v>
      </c>
      <c r="H64" s="3">
        <v>90</v>
      </c>
      <c r="I64" s="3" t="str">
        <f>VLOOKUP(A64,战役结算奖励!$A$1:$O$301,15,0)</f>
        <v>[{"id":14,"num":20},{"id":2,"num":100000},{"id":1,"num":100000}]</v>
      </c>
      <c r="J64" s="3" t="s">
        <v>33</v>
      </c>
      <c r="K64" s="3">
        <v>62</v>
      </c>
      <c r="L64" s="3" t="s">
        <v>514</v>
      </c>
      <c r="M64" s="3"/>
      <c r="N64" s="3">
        <v>2</v>
      </c>
      <c r="O64" s="3"/>
    </row>
    <row r="65" spans="1:15" x14ac:dyDescent="0.15">
      <c r="A65" s="3">
        <f t="shared" si="2"/>
        <v>1402022</v>
      </c>
      <c r="B65" s="3">
        <v>14</v>
      </c>
      <c r="C65" s="3">
        <v>0</v>
      </c>
      <c r="D65" s="3">
        <v>1</v>
      </c>
      <c r="E65" s="3">
        <v>2</v>
      </c>
      <c r="F65" s="3">
        <v>22</v>
      </c>
      <c r="G65" s="9" t="s">
        <v>94</v>
      </c>
      <c r="H65" s="3">
        <v>90</v>
      </c>
      <c r="I65" s="3" t="str">
        <f>VLOOKUP(A65,战役结算奖励!$A$1:$O$301,15,0)</f>
        <v>[{"id":14,"num":20},{"id":2,"num":100000},{"id":1,"num":100000}]</v>
      </c>
      <c r="J65" s="3" t="s">
        <v>33</v>
      </c>
      <c r="K65" s="3">
        <v>62</v>
      </c>
      <c r="L65" s="3" t="s">
        <v>514</v>
      </c>
      <c r="M65" s="3"/>
      <c r="N65" s="3">
        <v>2</v>
      </c>
      <c r="O65" s="3"/>
    </row>
    <row r="66" spans="1:15" x14ac:dyDescent="0.15">
      <c r="A66" s="3">
        <f t="shared" si="2"/>
        <v>1402023</v>
      </c>
      <c r="B66" s="3">
        <v>14</v>
      </c>
      <c r="C66" s="3">
        <v>0</v>
      </c>
      <c r="D66" s="3">
        <v>1</v>
      </c>
      <c r="E66" s="3">
        <v>2</v>
      </c>
      <c r="F66" s="3">
        <v>23</v>
      </c>
      <c r="G66" s="9" t="s">
        <v>95</v>
      </c>
      <c r="H66" s="3">
        <v>90</v>
      </c>
      <c r="I66" s="3" t="str">
        <f>VLOOKUP(A66,战役结算奖励!$A$1:$O$301,15,0)</f>
        <v>[{"id":14,"num":20},{"id":2,"num":100000},{"id":1,"num":100000}]</v>
      </c>
      <c r="J66" s="3" t="s">
        <v>33</v>
      </c>
      <c r="K66" s="3">
        <v>62</v>
      </c>
      <c r="L66" s="3" t="s">
        <v>514</v>
      </c>
      <c r="M66" s="3"/>
      <c r="N66" s="3">
        <v>2</v>
      </c>
      <c r="O66" s="3"/>
    </row>
    <row r="67" spans="1:15" x14ac:dyDescent="0.15">
      <c r="A67" s="3">
        <f t="shared" si="2"/>
        <v>1402024</v>
      </c>
      <c r="B67" s="3">
        <v>14</v>
      </c>
      <c r="C67" s="3">
        <v>0</v>
      </c>
      <c r="D67" s="3">
        <v>1</v>
      </c>
      <c r="E67" s="3">
        <v>2</v>
      </c>
      <c r="F67" s="3">
        <v>24</v>
      </c>
      <c r="G67" s="9" t="s">
        <v>96</v>
      </c>
      <c r="H67" s="3">
        <v>90</v>
      </c>
      <c r="I67" s="3" t="str">
        <f>VLOOKUP(A67,战役结算奖励!$A$1:$O$301,15,0)</f>
        <v>[{"id":14,"num":20},{"id":2,"num":100000},{"id":1,"num":100000}]</v>
      </c>
      <c r="J67" s="3" t="s">
        <v>33</v>
      </c>
      <c r="K67" s="3">
        <v>62</v>
      </c>
      <c r="L67" s="3" t="s">
        <v>514</v>
      </c>
      <c r="M67" s="3"/>
      <c r="N67" s="3">
        <v>2</v>
      </c>
      <c r="O67" s="3"/>
    </row>
    <row r="68" spans="1:15" x14ac:dyDescent="0.15">
      <c r="A68" s="3">
        <f t="shared" si="2"/>
        <v>1402025</v>
      </c>
      <c r="B68" s="3">
        <v>14</v>
      </c>
      <c r="C68" s="3">
        <v>0</v>
      </c>
      <c r="D68" s="3">
        <v>1</v>
      </c>
      <c r="E68" s="3">
        <v>2</v>
      </c>
      <c r="F68" s="3">
        <v>25</v>
      </c>
      <c r="G68" s="9" t="s">
        <v>97</v>
      </c>
      <c r="H68" s="3">
        <v>90</v>
      </c>
      <c r="I68" s="3" t="str">
        <f>VLOOKUP(A68,战役结算奖励!$A$1:$O$301,15,0)</f>
        <v>[{"id":14,"num":20},{"id":2,"num":100000},{"id":1,"num":100000}]</v>
      </c>
      <c r="J68" s="3" t="s">
        <v>33</v>
      </c>
      <c r="K68" s="3">
        <v>62</v>
      </c>
      <c r="L68" s="3" t="s">
        <v>514</v>
      </c>
      <c r="M68" s="3"/>
      <c r="N68" s="3">
        <v>2</v>
      </c>
      <c r="O68" s="3"/>
    </row>
    <row r="69" spans="1:15" x14ac:dyDescent="0.15">
      <c r="A69" s="3">
        <f t="shared" si="2"/>
        <v>1402026</v>
      </c>
      <c r="B69" s="3">
        <v>14</v>
      </c>
      <c r="C69" s="3">
        <v>0</v>
      </c>
      <c r="D69" s="3">
        <v>1</v>
      </c>
      <c r="E69" s="3">
        <v>2</v>
      </c>
      <c r="F69" s="3">
        <v>26</v>
      </c>
      <c r="G69" s="9" t="s">
        <v>98</v>
      </c>
      <c r="H69" s="3">
        <v>90</v>
      </c>
      <c r="I69" s="3" t="str">
        <f>VLOOKUP(A69,战役结算奖励!$A$1:$O$301,15,0)</f>
        <v>[{"id":14,"num":20},{"id":2,"num":100000},{"id":1,"num":100000}]</v>
      </c>
      <c r="J69" s="3" t="s">
        <v>33</v>
      </c>
      <c r="K69" s="3">
        <v>62</v>
      </c>
      <c r="L69" s="3" t="s">
        <v>514</v>
      </c>
      <c r="M69" s="3"/>
      <c r="N69" s="3">
        <v>2</v>
      </c>
      <c r="O69" s="3"/>
    </row>
    <row r="70" spans="1:15" x14ac:dyDescent="0.15">
      <c r="A70" s="3">
        <f t="shared" si="2"/>
        <v>1402027</v>
      </c>
      <c r="B70" s="3">
        <v>14</v>
      </c>
      <c r="C70" s="3">
        <v>0</v>
      </c>
      <c r="D70" s="3">
        <v>1</v>
      </c>
      <c r="E70" s="3">
        <v>2</v>
      </c>
      <c r="F70" s="3">
        <v>27</v>
      </c>
      <c r="G70" s="9" t="s">
        <v>99</v>
      </c>
      <c r="H70" s="3">
        <v>90</v>
      </c>
      <c r="I70" s="3" t="str">
        <f>VLOOKUP(A70,战役结算奖励!$A$1:$O$301,15,0)</f>
        <v>[{"id":14,"num":20},{"id":2,"num":100000},{"id":1,"num":100000}]</v>
      </c>
      <c r="J70" s="3" t="s">
        <v>33</v>
      </c>
      <c r="K70" s="3">
        <v>62</v>
      </c>
      <c r="L70" s="3" t="s">
        <v>514</v>
      </c>
      <c r="M70" s="3"/>
      <c r="N70" s="3">
        <v>2</v>
      </c>
      <c r="O70" s="3"/>
    </row>
    <row r="71" spans="1:15" x14ac:dyDescent="0.15">
      <c r="A71" s="3">
        <f t="shared" si="2"/>
        <v>1402028</v>
      </c>
      <c r="B71" s="3">
        <v>14</v>
      </c>
      <c r="C71" s="3">
        <v>0</v>
      </c>
      <c r="D71" s="3">
        <v>1</v>
      </c>
      <c r="E71" s="3">
        <v>2</v>
      </c>
      <c r="F71" s="3">
        <v>28</v>
      </c>
      <c r="G71" s="9" t="s">
        <v>100</v>
      </c>
      <c r="H71" s="3">
        <v>90</v>
      </c>
      <c r="I71" s="3" t="str">
        <f>VLOOKUP(A71,战役结算奖励!$A$1:$O$301,15,0)</f>
        <v>[{"id":14,"num":20},{"id":2,"num":100000},{"id":1,"num":100000}]</v>
      </c>
      <c r="J71" s="3" t="s">
        <v>33</v>
      </c>
      <c r="K71" s="3">
        <v>62</v>
      </c>
      <c r="L71" s="3" t="s">
        <v>514</v>
      </c>
      <c r="M71" s="3"/>
      <c r="N71" s="3">
        <v>2</v>
      </c>
      <c r="O71" s="3"/>
    </row>
    <row r="72" spans="1:15" x14ac:dyDescent="0.15">
      <c r="A72" s="3">
        <f t="shared" si="2"/>
        <v>1402029</v>
      </c>
      <c r="B72" s="3">
        <v>14</v>
      </c>
      <c r="C72" s="3">
        <v>0</v>
      </c>
      <c r="D72" s="3">
        <v>1</v>
      </c>
      <c r="E72" s="3">
        <v>2</v>
      </c>
      <c r="F72" s="3">
        <v>29</v>
      </c>
      <c r="G72" s="9" t="s">
        <v>101</v>
      </c>
      <c r="H72" s="3">
        <v>90</v>
      </c>
      <c r="I72" s="3" t="str">
        <f>VLOOKUP(A72,战役结算奖励!$A$1:$O$301,15,0)</f>
        <v>[{"id":14,"num":20},{"id":2,"num":100000},{"id":1,"num":100000}]</v>
      </c>
      <c r="J72" s="3" t="s">
        <v>33</v>
      </c>
      <c r="K72" s="3">
        <v>62</v>
      </c>
      <c r="L72" s="3" t="s">
        <v>514</v>
      </c>
      <c r="M72" s="3"/>
      <c r="N72" s="3">
        <v>2</v>
      </c>
      <c r="O72" s="3"/>
    </row>
    <row r="73" spans="1:15" s="4" customFormat="1" x14ac:dyDescent="0.15">
      <c r="A73" s="10">
        <f t="shared" si="2"/>
        <v>1402030</v>
      </c>
      <c r="B73" s="10">
        <v>14</v>
      </c>
      <c r="C73" s="10">
        <v>0</v>
      </c>
      <c r="D73" s="10">
        <v>1</v>
      </c>
      <c r="E73" s="10">
        <v>2</v>
      </c>
      <c r="F73" s="10">
        <v>30</v>
      </c>
      <c r="G73" s="9" t="s">
        <v>102</v>
      </c>
      <c r="H73" s="10">
        <v>90</v>
      </c>
      <c r="I73" s="10" t="str">
        <f>VLOOKUP(A73,战役结算奖励!$A$1:$O$301,15,0)</f>
        <v>[{"id":14,"num":20},{"id":2,"num":100000},{"id":1,"num":100000}]</v>
      </c>
      <c r="J73" s="10" t="s">
        <v>33</v>
      </c>
      <c r="K73" s="10">
        <v>62</v>
      </c>
      <c r="L73" s="3" t="s">
        <v>514</v>
      </c>
      <c r="M73" s="10"/>
      <c r="N73" s="3">
        <v>2</v>
      </c>
      <c r="O73" s="10"/>
    </row>
    <row r="74" spans="1:15" x14ac:dyDescent="0.15">
      <c r="A74" s="3">
        <f t="shared" si="2"/>
        <v>1402031</v>
      </c>
      <c r="B74" s="3">
        <v>14</v>
      </c>
      <c r="C74" s="3">
        <v>0</v>
      </c>
      <c r="D74" s="3">
        <v>1</v>
      </c>
      <c r="E74" s="3">
        <v>2</v>
      </c>
      <c r="F74" s="3">
        <v>31</v>
      </c>
      <c r="G74" s="9" t="s">
        <v>103</v>
      </c>
      <c r="H74" s="3">
        <v>90</v>
      </c>
      <c r="I74" s="3" t="str">
        <f>VLOOKUP(A74,战役结算奖励!$A$1:$O$301,15,0)</f>
        <v>[{"id":14,"num":20},{"id":2,"num":220000},{"id":1,"num":220000}]</v>
      </c>
      <c r="J74" s="3" t="s">
        <v>33</v>
      </c>
      <c r="K74" s="3">
        <v>62</v>
      </c>
      <c r="L74" s="3" t="s">
        <v>514</v>
      </c>
      <c r="M74" s="3"/>
      <c r="N74" s="3">
        <v>2</v>
      </c>
      <c r="O74" s="3"/>
    </row>
    <row r="75" spans="1:15" x14ac:dyDescent="0.15">
      <c r="A75" s="3">
        <f t="shared" si="2"/>
        <v>1402032</v>
      </c>
      <c r="B75" s="3">
        <v>14</v>
      </c>
      <c r="C75" s="3">
        <v>0</v>
      </c>
      <c r="D75" s="3">
        <v>1</v>
      </c>
      <c r="E75" s="3">
        <v>2</v>
      </c>
      <c r="F75" s="3">
        <v>32</v>
      </c>
      <c r="G75" s="9" t="s">
        <v>104</v>
      </c>
      <c r="H75" s="3">
        <v>90</v>
      </c>
      <c r="I75" s="3" t="str">
        <f>VLOOKUP(A75,战役结算奖励!$A$1:$O$301,15,0)</f>
        <v>[{"id":14,"num":20},{"id":2,"num":220000},{"id":1,"num":220000}]</v>
      </c>
      <c r="J75" s="3" t="s">
        <v>33</v>
      </c>
      <c r="K75" s="3">
        <v>62</v>
      </c>
      <c r="L75" s="3" t="s">
        <v>514</v>
      </c>
      <c r="M75" s="3"/>
      <c r="N75" s="3">
        <v>2</v>
      </c>
      <c r="O75" s="3"/>
    </row>
    <row r="76" spans="1:15" x14ac:dyDescent="0.15">
      <c r="A76" s="3">
        <f t="shared" si="2"/>
        <v>1402033</v>
      </c>
      <c r="B76" s="3">
        <v>14</v>
      </c>
      <c r="C76" s="3">
        <v>0</v>
      </c>
      <c r="D76" s="3">
        <v>1</v>
      </c>
      <c r="E76" s="3">
        <v>2</v>
      </c>
      <c r="F76" s="3">
        <v>33</v>
      </c>
      <c r="G76" s="9" t="s">
        <v>105</v>
      </c>
      <c r="H76" s="3">
        <v>90</v>
      </c>
      <c r="I76" s="3" t="str">
        <f>VLOOKUP(A76,战役结算奖励!$A$1:$O$301,15,0)</f>
        <v>[{"id":14,"num":20},{"id":2,"num":220000},{"id":1,"num":220000}]</v>
      </c>
      <c r="J76" s="3" t="s">
        <v>33</v>
      </c>
      <c r="K76" s="3">
        <v>62</v>
      </c>
      <c r="L76" s="3" t="s">
        <v>514</v>
      </c>
      <c r="M76" s="3"/>
      <c r="N76" s="3">
        <v>2</v>
      </c>
      <c r="O76" s="3"/>
    </row>
    <row r="77" spans="1:15" x14ac:dyDescent="0.15">
      <c r="A77" s="3">
        <f t="shared" si="2"/>
        <v>1402034</v>
      </c>
      <c r="B77" s="3">
        <v>14</v>
      </c>
      <c r="C77" s="3">
        <v>0</v>
      </c>
      <c r="D77" s="3">
        <v>1</v>
      </c>
      <c r="E77" s="3">
        <v>2</v>
      </c>
      <c r="F77" s="3">
        <v>34</v>
      </c>
      <c r="G77" s="9" t="s">
        <v>106</v>
      </c>
      <c r="H77" s="3">
        <v>90</v>
      </c>
      <c r="I77" s="3" t="str">
        <f>VLOOKUP(A77,战役结算奖励!$A$1:$O$301,15,0)</f>
        <v>[{"id":14,"num":20},{"id":2,"num":220000},{"id":1,"num":220000}]</v>
      </c>
      <c r="J77" s="3" t="s">
        <v>33</v>
      </c>
      <c r="K77" s="3">
        <v>62</v>
      </c>
      <c r="L77" s="3" t="s">
        <v>514</v>
      </c>
      <c r="M77" s="3"/>
      <c r="N77" s="3">
        <v>2</v>
      </c>
      <c r="O77" s="3"/>
    </row>
    <row r="78" spans="1:15" x14ac:dyDescent="0.15">
      <c r="A78" s="3">
        <f t="shared" si="2"/>
        <v>1402035</v>
      </c>
      <c r="B78" s="3">
        <v>14</v>
      </c>
      <c r="C78" s="3">
        <v>0</v>
      </c>
      <c r="D78" s="3">
        <v>1</v>
      </c>
      <c r="E78" s="3">
        <v>2</v>
      </c>
      <c r="F78" s="3">
        <v>35</v>
      </c>
      <c r="G78" s="9" t="s">
        <v>107</v>
      </c>
      <c r="H78" s="3">
        <v>90</v>
      </c>
      <c r="I78" s="3" t="str">
        <f>VLOOKUP(A78,战役结算奖励!$A$1:$O$301,15,0)</f>
        <v>[{"id":14,"num":20},{"id":2,"num":220000},{"id":1,"num":220000}]</v>
      </c>
      <c r="J78" s="3" t="s">
        <v>33</v>
      </c>
      <c r="K78" s="3">
        <v>62</v>
      </c>
      <c r="L78" s="3" t="s">
        <v>514</v>
      </c>
      <c r="M78" s="3"/>
      <c r="N78" s="3">
        <v>2</v>
      </c>
      <c r="O78" s="3"/>
    </row>
    <row r="79" spans="1:15" x14ac:dyDescent="0.15">
      <c r="A79" s="3">
        <f t="shared" si="2"/>
        <v>1402036</v>
      </c>
      <c r="B79" s="3">
        <v>14</v>
      </c>
      <c r="C79" s="3">
        <v>0</v>
      </c>
      <c r="D79" s="3">
        <v>1</v>
      </c>
      <c r="E79" s="3">
        <v>2</v>
      </c>
      <c r="F79" s="3">
        <v>36</v>
      </c>
      <c r="G79" s="9" t="s">
        <v>108</v>
      </c>
      <c r="H79" s="3">
        <v>90</v>
      </c>
      <c r="I79" s="3" t="str">
        <f>VLOOKUP(A79,战役结算奖励!$A$1:$O$301,15,0)</f>
        <v>[{"id":14,"num":20},{"id":2,"num":220000},{"id":1,"num":220000}]</v>
      </c>
      <c r="J79" s="3" t="s">
        <v>33</v>
      </c>
      <c r="K79" s="3">
        <v>62</v>
      </c>
      <c r="L79" s="3" t="s">
        <v>514</v>
      </c>
      <c r="M79" s="3"/>
      <c r="N79" s="3">
        <v>2</v>
      </c>
      <c r="O79" s="3"/>
    </row>
    <row r="80" spans="1:15" x14ac:dyDescent="0.15">
      <c r="A80" s="3">
        <f t="shared" si="2"/>
        <v>1402037</v>
      </c>
      <c r="B80" s="3">
        <v>14</v>
      </c>
      <c r="C80" s="3">
        <v>0</v>
      </c>
      <c r="D80" s="3">
        <v>1</v>
      </c>
      <c r="E80" s="3">
        <v>2</v>
      </c>
      <c r="F80" s="3">
        <v>37</v>
      </c>
      <c r="G80" s="9" t="s">
        <v>109</v>
      </c>
      <c r="H80" s="3">
        <v>90</v>
      </c>
      <c r="I80" s="3" t="str">
        <f>VLOOKUP(A80,战役结算奖励!$A$1:$O$301,15,0)</f>
        <v>[{"id":14,"num":20},{"id":2,"num":220000},{"id":1,"num":220000}]</v>
      </c>
      <c r="J80" s="3" t="s">
        <v>33</v>
      </c>
      <c r="K80" s="3">
        <v>62</v>
      </c>
      <c r="L80" s="3" t="s">
        <v>514</v>
      </c>
      <c r="M80" s="3"/>
      <c r="N80" s="3">
        <v>2</v>
      </c>
      <c r="O80" s="3"/>
    </row>
    <row r="81" spans="1:15" x14ac:dyDescent="0.15">
      <c r="A81" s="3">
        <f t="shared" si="2"/>
        <v>1402038</v>
      </c>
      <c r="B81" s="3">
        <v>14</v>
      </c>
      <c r="C81" s="3">
        <v>0</v>
      </c>
      <c r="D81" s="3">
        <v>1</v>
      </c>
      <c r="E81" s="3">
        <v>2</v>
      </c>
      <c r="F81" s="3">
        <v>38</v>
      </c>
      <c r="G81" s="9" t="s">
        <v>110</v>
      </c>
      <c r="H81" s="3">
        <v>90</v>
      </c>
      <c r="I81" s="3" t="str">
        <f>VLOOKUP(A81,战役结算奖励!$A$1:$O$301,15,0)</f>
        <v>[{"id":14,"num":20},{"id":2,"num":220000},{"id":1,"num":220000}]</v>
      </c>
      <c r="J81" s="3" t="s">
        <v>33</v>
      </c>
      <c r="K81" s="3">
        <v>62</v>
      </c>
      <c r="L81" s="3" t="s">
        <v>514</v>
      </c>
      <c r="M81" s="3"/>
      <c r="N81" s="3">
        <v>2</v>
      </c>
      <c r="O81" s="3"/>
    </row>
    <row r="82" spans="1:15" x14ac:dyDescent="0.15">
      <c r="A82" s="3">
        <f t="shared" si="2"/>
        <v>1402039</v>
      </c>
      <c r="B82" s="3">
        <v>14</v>
      </c>
      <c r="C82" s="3">
        <v>0</v>
      </c>
      <c r="D82" s="3">
        <v>1</v>
      </c>
      <c r="E82" s="3">
        <v>2</v>
      </c>
      <c r="F82" s="3">
        <v>39</v>
      </c>
      <c r="G82" s="9" t="s">
        <v>111</v>
      </c>
      <c r="H82" s="3">
        <v>90</v>
      </c>
      <c r="I82" s="3" t="str">
        <f>VLOOKUP(A82,战役结算奖励!$A$1:$O$301,15,0)</f>
        <v>[{"id":14,"num":20},{"id":2,"num":220000},{"id":1,"num":220000}]</v>
      </c>
      <c r="J82" s="3" t="s">
        <v>33</v>
      </c>
      <c r="K82" s="3">
        <v>62</v>
      </c>
      <c r="L82" s="3" t="s">
        <v>514</v>
      </c>
      <c r="M82" s="3"/>
      <c r="N82" s="3">
        <v>2</v>
      </c>
      <c r="O82" s="3"/>
    </row>
    <row r="83" spans="1:15" s="4" customFormat="1" x14ac:dyDescent="0.15">
      <c r="A83" s="10">
        <f t="shared" si="2"/>
        <v>1402040</v>
      </c>
      <c r="B83" s="10">
        <v>14</v>
      </c>
      <c r="C83" s="10">
        <v>0</v>
      </c>
      <c r="D83" s="10">
        <v>1</v>
      </c>
      <c r="E83" s="10">
        <v>2</v>
      </c>
      <c r="F83" s="10">
        <v>40</v>
      </c>
      <c r="G83" s="9" t="s">
        <v>112</v>
      </c>
      <c r="H83" s="10">
        <v>90</v>
      </c>
      <c r="I83" s="10" t="str">
        <f>VLOOKUP(A83,战役结算奖励!$A$1:$O$301,15,0)</f>
        <v>[{"id":14,"num":20},{"id":2,"num":220000},{"id":1,"num":220000}]</v>
      </c>
      <c r="J83" s="10" t="s">
        <v>33</v>
      </c>
      <c r="K83" s="10">
        <v>62</v>
      </c>
      <c r="L83" s="3" t="s">
        <v>1216</v>
      </c>
      <c r="M83" s="10"/>
      <c r="N83" s="3">
        <v>2</v>
      </c>
      <c r="O83" s="10">
        <v>1</v>
      </c>
    </row>
    <row r="84" spans="1:15" x14ac:dyDescent="0.15">
      <c r="A84" s="3">
        <f t="shared" si="2"/>
        <v>1403001</v>
      </c>
      <c r="B84" s="3">
        <v>14</v>
      </c>
      <c r="C84" s="3">
        <v>0</v>
      </c>
      <c r="D84" s="3">
        <v>1</v>
      </c>
      <c r="E84" s="3">
        <f>E44+1</f>
        <v>3</v>
      </c>
      <c r="F84" s="3">
        <f>F44</f>
        <v>1</v>
      </c>
      <c r="G84" s="9" t="s">
        <v>113</v>
      </c>
      <c r="H84" s="3">
        <v>90</v>
      </c>
      <c r="I84" s="3" t="str">
        <f>VLOOKUP(A84,战役结算奖励!$A$1:$O$301,15,0)</f>
        <v>[{"id":14,"num":20},{"id":2,"num":230000},{"id":1,"num":230000}]</v>
      </c>
      <c r="J84" s="3" t="s">
        <v>33</v>
      </c>
      <c r="K84" s="3">
        <v>63</v>
      </c>
      <c r="L84" s="3" t="s">
        <v>514</v>
      </c>
      <c r="M84" s="3"/>
      <c r="N84" s="3">
        <v>3</v>
      </c>
      <c r="O84" s="3"/>
    </row>
    <row r="85" spans="1:15" x14ac:dyDescent="0.15">
      <c r="A85" s="3">
        <f t="shared" si="2"/>
        <v>1403002</v>
      </c>
      <c r="B85" s="3">
        <v>14</v>
      </c>
      <c r="C85" s="3">
        <v>0</v>
      </c>
      <c r="D85" s="3">
        <v>1</v>
      </c>
      <c r="E85" s="3">
        <f t="shared" ref="E85:E107" si="3">E45+1</f>
        <v>3</v>
      </c>
      <c r="F85" s="3">
        <f t="shared" ref="F85:F106" si="4">F45</f>
        <v>2</v>
      </c>
      <c r="G85" s="9" t="s">
        <v>114</v>
      </c>
      <c r="H85" s="3">
        <v>90</v>
      </c>
      <c r="I85" s="3" t="str">
        <f>VLOOKUP(A85,战役结算奖励!$A$1:$O$301,15,0)</f>
        <v>[{"id":14,"num":20},{"id":2,"num":230000},{"id":1,"num":230000}]</v>
      </c>
      <c r="J85" s="3" t="s">
        <v>33</v>
      </c>
      <c r="K85" s="3">
        <v>63</v>
      </c>
      <c r="L85" s="3" t="s">
        <v>514</v>
      </c>
      <c r="M85" s="3"/>
      <c r="N85" s="3">
        <v>3</v>
      </c>
      <c r="O85" s="3"/>
    </row>
    <row r="86" spans="1:15" x14ac:dyDescent="0.15">
      <c r="A86" s="3">
        <f t="shared" ref="A86:A106" si="5">B86*100000+E86*1000+F86</f>
        <v>1403003</v>
      </c>
      <c r="B86" s="3">
        <v>14</v>
      </c>
      <c r="C86" s="3">
        <v>0</v>
      </c>
      <c r="D86" s="3">
        <v>1</v>
      </c>
      <c r="E86" s="3">
        <f t="shared" si="3"/>
        <v>3</v>
      </c>
      <c r="F86" s="3">
        <f t="shared" si="4"/>
        <v>3</v>
      </c>
      <c r="G86" s="9" t="s">
        <v>115</v>
      </c>
      <c r="H86" s="3">
        <v>90</v>
      </c>
      <c r="I86" s="3" t="str">
        <f>VLOOKUP(A86,战役结算奖励!$A$1:$O$301,15,0)</f>
        <v>[{"id":14,"num":20},{"id":2,"num":230000},{"id":1,"num":230000}]</v>
      </c>
      <c r="J86" s="3" t="s">
        <v>33</v>
      </c>
      <c r="K86" s="3">
        <v>63</v>
      </c>
      <c r="L86" s="3" t="s">
        <v>514</v>
      </c>
      <c r="M86" s="3"/>
      <c r="N86" s="3">
        <v>3</v>
      </c>
      <c r="O86" s="3"/>
    </row>
    <row r="87" spans="1:15" x14ac:dyDescent="0.15">
      <c r="A87" s="3">
        <f t="shared" si="5"/>
        <v>1403004</v>
      </c>
      <c r="B87" s="3">
        <v>14</v>
      </c>
      <c r="C87" s="3">
        <v>0</v>
      </c>
      <c r="D87" s="3">
        <v>1</v>
      </c>
      <c r="E87" s="3">
        <f t="shared" si="3"/>
        <v>3</v>
      </c>
      <c r="F87" s="3">
        <f t="shared" si="4"/>
        <v>4</v>
      </c>
      <c r="G87" s="9" t="s">
        <v>116</v>
      </c>
      <c r="H87" s="3">
        <v>90</v>
      </c>
      <c r="I87" s="3" t="str">
        <f>VLOOKUP(A87,战役结算奖励!$A$1:$O$301,15,0)</f>
        <v>[{"id":14,"num":20},{"id":2,"num":230000},{"id":1,"num":230000}]</v>
      </c>
      <c r="J87" s="3" t="s">
        <v>33</v>
      </c>
      <c r="K87" s="3">
        <v>63</v>
      </c>
      <c r="L87" s="3" t="s">
        <v>514</v>
      </c>
      <c r="M87" s="3"/>
      <c r="N87" s="3">
        <v>3</v>
      </c>
      <c r="O87" s="3"/>
    </row>
    <row r="88" spans="1:15" x14ac:dyDescent="0.15">
      <c r="A88" s="3">
        <f t="shared" si="5"/>
        <v>1403005</v>
      </c>
      <c r="B88" s="3">
        <v>14</v>
      </c>
      <c r="C88" s="3">
        <v>0</v>
      </c>
      <c r="D88" s="3">
        <v>1</v>
      </c>
      <c r="E88" s="3">
        <f t="shared" si="3"/>
        <v>3</v>
      </c>
      <c r="F88" s="3">
        <f t="shared" si="4"/>
        <v>5</v>
      </c>
      <c r="G88" s="9" t="s">
        <v>117</v>
      </c>
      <c r="H88" s="3">
        <v>90</v>
      </c>
      <c r="I88" s="3" t="str">
        <f>VLOOKUP(A88,战役结算奖励!$A$1:$O$301,15,0)</f>
        <v>[{"id":14,"num":20},{"id":2,"num":230000},{"id":1,"num":230000}]</v>
      </c>
      <c r="J88" s="3" t="s">
        <v>33</v>
      </c>
      <c r="K88" s="3">
        <v>63</v>
      </c>
      <c r="L88" s="3" t="s">
        <v>514</v>
      </c>
      <c r="M88" s="3"/>
      <c r="N88" s="3">
        <v>3</v>
      </c>
      <c r="O88" s="3"/>
    </row>
    <row r="89" spans="1:15" x14ac:dyDescent="0.15">
      <c r="A89" s="3">
        <f t="shared" si="5"/>
        <v>1403006</v>
      </c>
      <c r="B89" s="3">
        <v>14</v>
      </c>
      <c r="C89" s="3">
        <v>0</v>
      </c>
      <c r="D89" s="3">
        <v>1</v>
      </c>
      <c r="E89" s="3">
        <f t="shared" si="3"/>
        <v>3</v>
      </c>
      <c r="F89" s="3">
        <f t="shared" si="4"/>
        <v>6</v>
      </c>
      <c r="G89" s="9" t="s">
        <v>118</v>
      </c>
      <c r="H89" s="3">
        <v>90</v>
      </c>
      <c r="I89" s="3" t="str">
        <f>VLOOKUP(A89,战役结算奖励!$A$1:$O$301,15,0)</f>
        <v>[{"id":14,"num":20},{"id":2,"num":230000},{"id":1,"num":230000}]</v>
      </c>
      <c r="J89" s="3" t="s">
        <v>33</v>
      </c>
      <c r="K89" s="3">
        <v>63</v>
      </c>
      <c r="L89" s="3" t="s">
        <v>514</v>
      </c>
      <c r="M89" s="3"/>
      <c r="N89" s="3">
        <v>3</v>
      </c>
      <c r="O89" s="3"/>
    </row>
    <row r="90" spans="1:15" x14ac:dyDescent="0.15">
      <c r="A90" s="3">
        <f t="shared" si="5"/>
        <v>1403007</v>
      </c>
      <c r="B90" s="3">
        <v>14</v>
      </c>
      <c r="C90" s="3">
        <v>0</v>
      </c>
      <c r="D90" s="3">
        <v>1</v>
      </c>
      <c r="E90" s="3">
        <f t="shared" si="3"/>
        <v>3</v>
      </c>
      <c r="F90" s="3">
        <f t="shared" si="4"/>
        <v>7</v>
      </c>
      <c r="G90" s="9" t="s">
        <v>119</v>
      </c>
      <c r="H90" s="3">
        <v>90</v>
      </c>
      <c r="I90" s="3" t="str">
        <f>VLOOKUP(A90,战役结算奖励!$A$1:$O$301,15,0)</f>
        <v>[{"id":14,"num":20},{"id":2,"num":230000},{"id":1,"num":230000}]</v>
      </c>
      <c r="J90" s="3" t="s">
        <v>33</v>
      </c>
      <c r="K90" s="3">
        <v>63</v>
      </c>
      <c r="L90" s="3" t="s">
        <v>514</v>
      </c>
      <c r="M90" s="3"/>
      <c r="N90" s="3">
        <v>3</v>
      </c>
      <c r="O90" s="3"/>
    </row>
    <row r="91" spans="1:15" x14ac:dyDescent="0.15">
      <c r="A91" s="3">
        <f t="shared" si="5"/>
        <v>1403008</v>
      </c>
      <c r="B91" s="3">
        <v>14</v>
      </c>
      <c r="C91" s="3">
        <v>0</v>
      </c>
      <c r="D91" s="3">
        <v>1</v>
      </c>
      <c r="E91" s="3">
        <f t="shared" si="3"/>
        <v>3</v>
      </c>
      <c r="F91" s="3">
        <f t="shared" si="4"/>
        <v>8</v>
      </c>
      <c r="G91" s="9" t="s">
        <v>120</v>
      </c>
      <c r="H91" s="3">
        <v>90</v>
      </c>
      <c r="I91" s="3" t="str">
        <f>VLOOKUP(A91,战役结算奖励!$A$1:$O$301,15,0)</f>
        <v>[{"id":14,"num":20},{"id":2,"num":230000},{"id":1,"num":230000}]</v>
      </c>
      <c r="J91" s="3" t="s">
        <v>33</v>
      </c>
      <c r="K91" s="3">
        <v>63</v>
      </c>
      <c r="L91" s="3" t="s">
        <v>514</v>
      </c>
      <c r="M91" s="3"/>
      <c r="N91" s="3">
        <v>3</v>
      </c>
      <c r="O91" s="3"/>
    </row>
    <row r="92" spans="1:15" x14ac:dyDescent="0.15">
      <c r="A92" s="3">
        <f t="shared" si="5"/>
        <v>1403009</v>
      </c>
      <c r="B92" s="3">
        <v>14</v>
      </c>
      <c r="C92" s="3">
        <v>0</v>
      </c>
      <c r="D92" s="3">
        <v>1</v>
      </c>
      <c r="E92" s="3">
        <f t="shared" si="3"/>
        <v>3</v>
      </c>
      <c r="F92" s="3">
        <f t="shared" si="4"/>
        <v>9</v>
      </c>
      <c r="G92" s="9" t="s">
        <v>121</v>
      </c>
      <c r="H92" s="3">
        <v>90</v>
      </c>
      <c r="I92" s="3" t="str">
        <f>VLOOKUP(A92,战役结算奖励!$A$1:$O$301,15,0)</f>
        <v>[{"id":14,"num":20},{"id":2,"num":230000},{"id":1,"num":230000}]</v>
      </c>
      <c r="J92" s="3" t="s">
        <v>33</v>
      </c>
      <c r="K92" s="3">
        <v>63</v>
      </c>
      <c r="L92" s="3" t="s">
        <v>514</v>
      </c>
      <c r="M92" s="3"/>
      <c r="N92" s="3">
        <v>3</v>
      </c>
      <c r="O92" s="3"/>
    </row>
    <row r="93" spans="1:15" s="4" customFormat="1" x14ac:dyDescent="0.15">
      <c r="A93" s="10">
        <f t="shared" si="5"/>
        <v>1403010</v>
      </c>
      <c r="B93" s="10">
        <v>14</v>
      </c>
      <c r="C93" s="10">
        <v>0</v>
      </c>
      <c r="D93" s="10">
        <v>1</v>
      </c>
      <c r="E93" s="10">
        <f t="shared" si="3"/>
        <v>3</v>
      </c>
      <c r="F93" s="10">
        <f t="shared" si="4"/>
        <v>10</v>
      </c>
      <c r="G93" s="9" t="s">
        <v>122</v>
      </c>
      <c r="H93" s="10">
        <v>90</v>
      </c>
      <c r="I93" s="10" t="str">
        <f>VLOOKUP(A93,战役结算奖励!$A$1:$O$301,15,0)</f>
        <v>[{"id":14,"num":20},{"id":2,"num":230000},{"id":1,"num":230000}]</v>
      </c>
      <c r="J93" s="10" t="s">
        <v>33</v>
      </c>
      <c r="K93" s="10">
        <v>63</v>
      </c>
      <c r="L93" s="3" t="s">
        <v>514</v>
      </c>
      <c r="M93" s="10"/>
      <c r="N93" s="3">
        <v>3</v>
      </c>
      <c r="O93" s="10"/>
    </row>
    <row r="94" spans="1:15" x14ac:dyDescent="0.15">
      <c r="A94" s="3">
        <f t="shared" si="5"/>
        <v>1403011</v>
      </c>
      <c r="B94" s="3">
        <v>14</v>
      </c>
      <c r="C94" s="3">
        <v>0</v>
      </c>
      <c r="D94" s="3">
        <v>1</v>
      </c>
      <c r="E94" s="3">
        <f t="shared" si="3"/>
        <v>3</v>
      </c>
      <c r="F94" s="3">
        <f t="shared" si="4"/>
        <v>11</v>
      </c>
      <c r="G94" s="9" t="s">
        <v>123</v>
      </c>
      <c r="H94" s="3">
        <v>90</v>
      </c>
      <c r="I94" s="3" t="str">
        <f>VLOOKUP(A94,战役结算奖励!$A$1:$O$301,15,0)</f>
        <v>[{"id":14,"num":20},{"id":2,"num":230000},{"id":1,"num":230000}]</v>
      </c>
      <c r="J94" s="3" t="s">
        <v>33</v>
      </c>
      <c r="K94" s="3">
        <v>63</v>
      </c>
      <c r="L94" s="3" t="s">
        <v>514</v>
      </c>
      <c r="M94" s="3"/>
      <c r="N94" s="3">
        <v>3</v>
      </c>
      <c r="O94" s="3"/>
    </row>
    <row r="95" spans="1:15" x14ac:dyDescent="0.15">
      <c r="A95" s="3">
        <f t="shared" si="5"/>
        <v>1403012</v>
      </c>
      <c r="B95" s="3">
        <v>14</v>
      </c>
      <c r="C95" s="3">
        <v>0</v>
      </c>
      <c r="D95" s="3">
        <v>1</v>
      </c>
      <c r="E95" s="3">
        <f t="shared" si="3"/>
        <v>3</v>
      </c>
      <c r="F95" s="3">
        <f t="shared" si="4"/>
        <v>12</v>
      </c>
      <c r="G95" s="9" t="s">
        <v>124</v>
      </c>
      <c r="H95" s="3">
        <v>90</v>
      </c>
      <c r="I95" s="3" t="str">
        <f>VLOOKUP(A95,战役结算奖励!$A$1:$O$301,15,0)</f>
        <v>[{"id":14,"num":20},{"id":2,"num":230000},{"id":1,"num":230000}]</v>
      </c>
      <c r="J95" s="3" t="s">
        <v>33</v>
      </c>
      <c r="K95" s="3">
        <v>63</v>
      </c>
      <c r="L95" s="3" t="s">
        <v>514</v>
      </c>
      <c r="M95" s="3"/>
      <c r="N95" s="3">
        <v>3</v>
      </c>
      <c r="O95" s="3"/>
    </row>
    <row r="96" spans="1:15" x14ac:dyDescent="0.15">
      <c r="A96" s="3">
        <f t="shared" si="5"/>
        <v>1403013</v>
      </c>
      <c r="B96" s="3">
        <v>14</v>
      </c>
      <c r="C96" s="3">
        <v>0</v>
      </c>
      <c r="D96" s="3">
        <v>1</v>
      </c>
      <c r="E96" s="3">
        <f t="shared" si="3"/>
        <v>3</v>
      </c>
      <c r="F96" s="3">
        <f t="shared" si="4"/>
        <v>13</v>
      </c>
      <c r="G96" s="9" t="s">
        <v>125</v>
      </c>
      <c r="H96" s="3">
        <v>90</v>
      </c>
      <c r="I96" s="3" t="str">
        <f>VLOOKUP(A96,战役结算奖励!$A$1:$O$301,15,0)</f>
        <v>[{"id":14,"num":20},{"id":2,"num":230000},{"id":1,"num":230000}]</v>
      </c>
      <c r="J96" s="3" t="s">
        <v>33</v>
      </c>
      <c r="K96" s="3">
        <v>63</v>
      </c>
      <c r="L96" s="3" t="s">
        <v>514</v>
      </c>
      <c r="M96" s="3"/>
      <c r="N96" s="3">
        <v>3</v>
      </c>
      <c r="O96" s="3"/>
    </row>
    <row r="97" spans="1:15" x14ac:dyDescent="0.15">
      <c r="A97" s="3">
        <f t="shared" si="5"/>
        <v>1403014</v>
      </c>
      <c r="B97" s="3">
        <v>14</v>
      </c>
      <c r="C97" s="3">
        <v>0</v>
      </c>
      <c r="D97" s="3">
        <v>1</v>
      </c>
      <c r="E97" s="3">
        <f t="shared" si="3"/>
        <v>3</v>
      </c>
      <c r="F97" s="3">
        <f t="shared" si="4"/>
        <v>14</v>
      </c>
      <c r="G97" s="9" t="s">
        <v>126</v>
      </c>
      <c r="H97" s="3">
        <v>90</v>
      </c>
      <c r="I97" s="3" t="str">
        <f>VLOOKUP(A97,战役结算奖励!$A$1:$O$301,15,0)</f>
        <v>[{"id":14,"num":20},{"id":2,"num":230000},{"id":1,"num":230000}]</v>
      </c>
      <c r="J97" s="3" t="s">
        <v>33</v>
      </c>
      <c r="K97" s="3">
        <v>63</v>
      </c>
      <c r="L97" s="3" t="s">
        <v>514</v>
      </c>
      <c r="M97" s="3"/>
      <c r="N97" s="3">
        <v>3</v>
      </c>
      <c r="O97" s="3"/>
    </row>
    <row r="98" spans="1:15" x14ac:dyDescent="0.15">
      <c r="A98" s="3">
        <f t="shared" si="5"/>
        <v>1403015</v>
      </c>
      <c r="B98" s="3">
        <v>14</v>
      </c>
      <c r="C98" s="3">
        <v>0</v>
      </c>
      <c r="D98" s="3">
        <v>1</v>
      </c>
      <c r="E98" s="3">
        <f t="shared" si="3"/>
        <v>3</v>
      </c>
      <c r="F98" s="3">
        <f t="shared" si="4"/>
        <v>15</v>
      </c>
      <c r="G98" s="9" t="s">
        <v>127</v>
      </c>
      <c r="H98" s="3">
        <v>90</v>
      </c>
      <c r="I98" s="3" t="str">
        <f>VLOOKUP(A98,战役结算奖励!$A$1:$O$301,15,0)</f>
        <v>[{"id":14,"num":20},{"id":2,"num":230000},{"id":1,"num":230000}]</v>
      </c>
      <c r="J98" s="3" t="s">
        <v>33</v>
      </c>
      <c r="K98" s="3">
        <v>63</v>
      </c>
      <c r="L98" s="3" t="s">
        <v>514</v>
      </c>
      <c r="M98" s="3"/>
      <c r="N98" s="3">
        <v>3</v>
      </c>
      <c r="O98" s="3"/>
    </row>
    <row r="99" spans="1:15" x14ac:dyDescent="0.15">
      <c r="A99" s="3">
        <f t="shared" si="5"/>
        <v>1403016</v>
      </c>
      <c r="B99" s="3">
        <v>14</v>
      </c>
      <c r="C99" s="3">
        <v>0</v>
      </c>
      <c r="D99" s="3">
        <v>1</v>
      </c>
      <c r="E99" s="3">
        <f t="shared" si="3"/>
        <v>3</v>
      </c>
      <c r="F99" s="3">
        <f t="shared" si="4"/>
        <v>16</v>
      </c>
      <c r="G99" s="9" t="s">
        <v>128</v>
      </c>
      <c r="H99" s="3">
        <v>90</v>
      </c>
      <c r="I99" s="3" t="str">
        <f>VLOOKUP(A99,战役结算奖励!$A$1:$O$301,15,0)</f>
        <v>[{"id":14,"num":20},{"id":2,"num":230000},{"id":1,"num":230000}]</v>
      </c>
      <c r="J99" s="3" t="s">
        <v>33</v>
      </c>
      <c r="K99" s="3">
        <v>63</v>
      </c>
      <c r="L99" s="3" t="s">
        <v>514</v>
      </c>
      <c r="M99" s="3"/>
      <c r="N99" s="3">
        <v>3</v>
      </c>
      <c r="O99" s="3"/>
    </row>
    <row r="100" spans="1:15" x14ac:dyDescent="0.15">
      <c r="A100" s="3">
        <f t="shared" si="5"/>
        <v>1403017</v>
      </c>
      <c r="B100" s="3">
        <v>14</v>
      </c>
      <c r="C100" s="3">
        <v>0</v>
      </c>
      <c r="D100" s="3">
        <v>1</v>
      </c>
      <c r="E100" s="3">
        <f t="shared" si="3"/>
        <v>3</v>
      </c>
      <c r="F100" s="3">
        <f t="shared" si="4"/>
        <v>17</v>
      </c>
      <c r="G100" s="9" t="s">
        <v>129</v>
      </c>
      <c r="H100" s="3">
        <v>90</v>
      </c>
      <c r="I100" s="3" t="str">
        <f>VLOOKUP(A100,战役结算奖励!$A$1:$O$301,15,0)</f>
        <v>[{"id":14,"num":20},{"id":2,"num":230000},{"id":1,"num":230000}]</v>
      </c>
      <c r="J100" s="3" t="s">
        <v>33</v>
      </c>
      <c r="K100" s="3">
        <v>63</v>
      </c>
      <c r="L100" s="3" t="s">
        <v>514</v>
      </c>
      <c r="M100" s="3"/>
      <c r="N100" s="3">
        <v>3</v>
      </c>
      <c r="O100" s="3"/>
    </row>
    <row r="101" spans="1:15" x14ac:dyDescent="0.15">
      <c r="A101" s="3">
        <f t="shared" si="5"/>
        <v>1403018</v>
      </c>
      <c r="B101" s="3">
        <v>14</v>
      </c>
      <c r="C101" s="3">
        <v>0</v>
      </c>
      <c r="D101" s="3">
        <v>1</v>
      </c>
      <c r="E101" s="3">
        <f t="shared" si="3"/>
        <v>3</v>
      </c>
      <c r="F101" s="3">
        <f t="shared" si="4"/>
        <v>18</v>
      </c>
      <c r="G101" s="9" t="s">
        <v>130</v>
      </c>
      <c r="H101" s="3">
        <v>90</v>
      </c>
      <c r="I101" s="3" t="str">
        <f>VLOOKUP(A101,战役结算奖励!$A$1:$O$301,15,0)</f>
        <v>[{"id":14,"num":20},{"id":2,"num":230000},{"id":1,"num":230000}]</v>
      </c>
      <c r="J101" s="3" t="s">
        <v>33</v>
      </c>
      <c r="K101" s="3">
        <v>63</v>
      </c>
      <c r="L101" s="3" t="s">
        <v>514</v>
      </c>
      <c r="M101" s="3"/>
      <c r="N101" s="3">
        <v>3</v>
      </c>
      <c r="O101" s="3"/>
    </row>
    <row r="102" spans="1:15" x14ac:dyDescent="0.15">
      <c r="A102" s="3">
        <f t="shared" si="5"/>
        <v>1403019</v>
      </c>
      <c r="B102" s="3">
        <v>14</v>
      </c>
      <c r="C102" s="3">
        <v>0</v>
      </c>
      <c r="D102" s="3">
        <v>1</v>
      </c>
      <c r="E102" s="3">
        <f t="shared" si="3"/>
        <v>3</v>
      </c>
      <c r="F102" s="3">
        <f t="shared" si="4"/>
        <v>19</v>
      </c>
      <c r="G102" s="9" t="s">
        <v>131</v>
      </c>
      <c r="H102" s="3">
        <v>90</v>
      </c>
      <c r="I102" s="3" t="str">
        <f>VLOOKUP(A102,战役结算奖励!$A$1:$O$301,15,0)</f>
        <v>[{"id":14,"num":20},{"id":2,"num":230000},{"id":1,"num":230000}]</v>
      </c>
      <c r="J102" s="3" t="s">
        <v>33</v>
      </c>
      <c r="K102" s="3">
        <v>63</v>
      </c>
      <c r="L102" s="3" t="s">
        <v>514</v>
      </c>
      <c r="M102" s="3"/>
      <c r="N102" s="3">
        <v>3</v>
      </c>
      <c r="O102" s="3"/>
    </row>
    <row r="103" spans="1:15" s="4" customFormat="1" x14ac:dyDescent="0.15">
      <c r="A103" s="10">
        <f t="shared" si="5"/>
        <v>1403020</v>
      </c>
      <c r="B103" s="10">
        <v>14</v>
      </c>
      <c r="C103" s="10">
        <v>0</v>
      </c>
      <c r="D103" s="10">
        <v>1</v>
      </c>
      <c r="E103" s="10">
        <f t="shared" si="3"/>
        <v>3</v>
      </c>
      <c r="F103" s="10">
        <f t="shared" si="4"/>
        <v>20</v>
      </c>
      <c r="G103" s="9" t="s">
        <v>132</v>
      </c>
      <c r="H103" s="10">
        <v>90</v>
      </c>
      <c r="I103" s="10" t="str">
        <f>VLOOKUP(A103,战役结算奖励!$A$1:$O$301,15,0)</f>
        <v>[{"id":14,"num":20},{"id":2,"num":230000},{"id":1,"num":230000}]</v>
      </c>
      <c r="J103" s="10" t="s">
        <v>33</v>
      </c>
      <c r="K103" s="10">
        <v>63</v>
      </c>
      <c r="L103" s="3" t="s">
        <v>514</v>
      </c>
      <c r="M103" s="10"/>
      <c r="N103" s="3">
        <v>3</v>
      </c>
      <c r="O103" s="10"/>
    </row>
    <row r="104" spans="1:15" x14ac:dyDescent="0.15">
      <c r="A104" s="3">
        <f t="shared" si="5"/>
        <v>1403021</v>
      </c>
      <c r="B104" s="3">
        <v>14</v>
      </c>
      <c r="C104" s="3">
        <v>0</v>
      </c>
      <c r="D104" s="3">
        <v>1</v>
      </c>
      <c r="E104" s="3">
        <f t="shared" si="3"/>
        <v>3</v>
      </c>
      <c r="F104" s="3">
        <f t="shared" si="4"/>
        <v>21</v>
      </c>
      <c r="G104" s="9" t="s">
        <v>133</v>
      </c>
      <c r="H104" s="3">
        <v>90</v>
      </c>
      <c r="I104" s="3" t="str">
        <f>VLOOKUP(A104,战役结算奖励!$A$1:$O$301,15,0)</f>
        <v>[{"id":14,"num":24},{"id":2,"num":366000},{"id":1,"num":360000}]</v>
      </c>
      <c r="J104" s="3" t="s">
        <v>33</v>
      </c>
      <c r="K104" s="3">
        <v>63</v>
      </c>
      <c r="L104" s="3" t="s">
        <v>514</v>
      </c>
      <c r="M104" s="3"/>
      <c r="N104" s="3">
        <v>3</v>
      </c>
      <c r="O104" s="3"/>
    </row>
    <row r="105" spans="1:15" x14ac:dyDescent="0.15">
      <c r="A105" s="3">
        <f t="shared" si="5"/>
        <v>1403022</v>
      </c>
      <c r="B105" s="3">
        <v>14</v>
      </c>
      <c r="C105" s="3">
        <v>0</v>
      </c>
      <c r="D105" s="3">
        <v>1</v>
      </c>
      <c r="E105" s="3">
        <f t="shared" si="3"/>
        <v>3</v>
      </c>
      <c r="F105" s="3">
        <f t="shared" si="4"/>
        <v>22</v>
      </c>
      <c r="G105" s="9" t="s">
        <v>134</v>
      </c>
      <c r="H105" s="3">
        <v>90</v>
      </c>
      <c r="I105" s="3" t="str">
        <f>VLOOKUP(A105,战役结算奖励!$A$1:$O$301,15,0)</f>
        <v>[{"id":14,"num":24},{"id":2,"num":366000},{"id":1,"num":360000}]</v>
      </c>
      <c r="J105" s="3" t="s">
        <v>33</v>
      </c>
      <c r="K105" s="3">
        <v>63</v>
      </c>
      <c r="L105" s="3" t="s">
        <v>514</v>
      </c>
      <c r="M105" s="3"/>
      <c r="N105" s="3">
        <v>3</v>
      </c>
      <c r="O105" s="3"/>
    </row>
    <row r="106" spans="1:15" x14ac:dyDescent="0.15">
      <c r="A106" s="3">
        <f t="shared" si="5"/>
        <v>1403023</v>
      </c>
      <c r="B106" s="3">
        <v>14</v>
      </c>
      <c r="C106" s="3">
        <v>0</v>
      </c>
      <c r="D106" s="3">
        <v>1</v>
      </c>
      <c r="E106" s="3">
        <f t="shared" si="3"/>
        <v>3</v>
      </c>
      <c r="F106" s="3">
        <f t="shared" si="4"/>
        <v>23</v>
      </c>
      <c r="G106" s="9" t="s">
        <v>135</v>
      </c>
      <c r="H106" s="3">
        <v>90</v>
      </c>
      <c r="I106" s="3" t="str">
        <f>VLOOKUP(A106,战役结算奖励!$A$1:$O$301,15,0)</f>
        <v>[{"id":14,"num":24},{"id":2,"num":366000},{"id":1,"num":360000}]</v>
      </c>
      <c r="J106" s="3" t="s">
        <v>33</v>
      </c>
      <c r="K106" s="3">
        <v>63</v>
      </c>
      <c r="L106" s="3" t="s">
        <v>514</v>
      </c>
      <c r="M106" s="3"/>
      <c r="N106" s="3">
        <v>3</v>
      </c>
      <c r="O106" s="3"/>
    </row>
    <row r="107" spans="1:15" x14ac:dyDescent="0.15">
      <c r="A107" s="3">
        <f t="shared" ref="A107:A137" si="6">B107*100000+E107*1000+F107</f>
        <v>1403024</v>
      </c>
      <c r="B107" s="3">
        <v>14</v>
      </c>
      <c r="C107" s="3">
        <v>0</v>
      </c>
      <c r="D107" s="3">
        <v>1</v>
      </c>
      <c r="E107" s="3">
        <f t="shared" si="3"/>
        <v>3</v>
      </c>
      <c r="F107" s="3">
        <f t="shared" ref="F107:F140" si="7">F67</f>
        <v>24</v>
      </c>
      <c r="G107" s="9" t="s">
        <v>136</v>
      </c>
      <c r="H107" s="3">
        <v>90</v>
      </c>
      <c r="I107" s="3" t="str">
        <f>VLOOKUP(A107,战役结算奖励!$A$1:$O$301,15,0)</f>
        <v>[{"id":14,"num":24},{"id":2,"num":366000},{"id":1,"num":360000}]</v>
      </c>
      <c r="J107" s="3" t="s">
        <v>33</v>
      </c>
      <c r="K107" s="3">
        <v>63</v>
      </c>
      <c r="L107" s="3" t="s">
        <v>514</v>
      </c>
      <c r="M107" s="3"/>
      <c r="N107" s="3">
        <v>3</v>
      </c>
      <c r="O107" s="3"/>
    </row>
    <row r="108" spans="1:15" x14ac:dyDescent="0.15">
      <c r="A108" s="3">
        <f t="shared" si="6"/>
        <v>1403025</v>
      </c>
      <c r="B108" s="3">
        <v>14</v>
      </c>
      <c r="C108" s="3">
        <v>0</v>
      </c>
      <c r="D108" s="3">
        <v>1</v>
      </c>
      <c r="E108" s="3">
        <f t="shared" ref="E108:E126" si="8">E68+1</f>
        <v>3</v>
      </c>
      <c r="F108" s="3">
        <f t="shared" si="7"/>
        <v>25</v>
      </c>
      <c r="G108" s="9" t="s">
        <v>137</v>
      </c>
      <c r="H108" s="3">
        <v>90</v>
      </c>
      <c r="I108" s="3" t="str">
        <f>VLOOKUP(A108,战役结算奖励!$A$1:$O$301,15,0)</f>
        <v>[{"id":14,"num":24},{"id":2,"num":366000},{"id":1,"num":360000}]</v>
      </c>
      <c r="J108" s="3" t="s">
        <v>33</v>
      </c>
      <c r="K108" s="3">
        <v>63</v>
      </c>
      <c r="L108" s="3" t="s">
        <v>514</v>
      </c>
      <c r="M108" s="3"/>
      <c r="N108" s="3">
        <v>3</v>
      </c>
      <c r="O108" s="3"/>
    </row>
    <row r="109" spans="1:15" x14ac:dyDescent="0.15">
      <c r="A109" s="3">
        <f t="shared" si="6"/>
        <v>1403026</v>
      </c>
      <c r="B109" s="3">
        <v>14</v>
      </c>
      <c r="C109" s="3">
        <v>0</v>
      </c>
      <c r="D109" s="3">
        <v>1</v>
      </c>
      <c r="E109" s="3">
        <f t="shared" si="8"/>
        <v>3</v>
      </c>
      <c r="F109" s="3">
        <f t="shared" si="7"/>
        <v>26</v>
      </c>
      <c r="G109" s="9" t="s">
        <v>138</v>
      </c>
      <c r="H109" s="3">
        <v>90</v>
      </c>
      <c r="I109" s="3" t="str">
        <f>VLOOKUP(A109,战役结算奖励!$A$1:$O$301,15,0)</f>
        <v>[{"id":14,"num":24},{"id":2,"num":366000},{"id":1,"num":360000}]</v>
      </c>
      <c r="J109" s="3" t="s">
        <v>33</v>
      </c>
      <c r="K109" s="3">
        <v>63</v>
      </c>
      <c r="L109" s="3" t="s">
        <v>514</v>
      </c>
      <c r="M109" s="3"/>
      <c r="N109" s="3">
        <v>3</v>
      </c>
      <c r="O109" s="3"/>
    </row>
    <row r="110" spans="1:15" x14ac:dyDescent="0.15">
      <c r="A110" s="3">
        <f t="shared" si="6"/>
        <v>1403027</v>
      </c>
      <c r="B110" s="3">
        <v>14</v>
      </c>
      <c r="C110" s="3">
        <v>0</v>
      </c>
      <c r="D110" s="3">
        <v>1</v>
      </c>
      <c r="E110" s="3">
        <f t="shared" si="8"/>
        <v>3</v>
      </c>
      <c r="F110" s="3">
        <f t="shared" si="7"/>
        <v>27</v>
      </c>
      <c r="G110" s="9" t="s">
        <v>139</v>
      </c>
      <c r="H110" s="3">
        <v>90</v>
      </c>
      <c r="I110" s="3" t="str">
        <f>VLOOKUP(A110,战役结算奖励!$A$1:$O$301,15,0)</f>
        <v>[{"id":14,"num":24},{"id":2,"num":366000},{"id":1,"num":360000}]</v>
      </c>
      <c r="J110" s="3" t="s">
        <v>33</v>
      </c>
      <c r="K110" s="3">
        <v>63</v>
      </c>
      <c r="L110" s="3" t="s">
        <v>514</v>
      </c>
      <c r="M110" s="3"/>
      <c r="N110" s="3">
        <v>3</v>
      </c>
      <c r="O110" s="3"/>
    </row>
    <row r="111" spans="1:15" x14ac:dyDescent="0.15">
      <c r="A111" s="3">
        <f t="shared" si="6"/>
        <v>1403028</v>
      </c>
      <c r="B111" s="3">
        <v>14</v>
      </c>
      <c r="C111" s="3">
        <v>0</v>
      </c>
      <c r="D111" s="3">
        <v>1</v>
      </c>
      <c r="E111" s="3">
        <f t="shared" si="8"/>
        <v>3</v>
      </c>
      <c r="F111" s="3">
        <f t="shared" si="7"/>
        <v>28</v>
      </c>
      <c r="G111" s="9" t="s">
        <v>140</v>
      </c>
      <c r="H111" s="3">
        <v>90</v>
      </c>
      <c r="I111" s="3" t="str">
        <f>VLOOKUP(A111,战役结算奖励!$A$1:$O$301,15,0)</f>
        <v>[{"id":14,"num":24},{"id":2,"num":366000},{"id":1,"num":360000}]</v>
      </c>
      <c r="J111" s="3" t="s">
        <v>33</v>
      </c>
      <c r="K111" s="3">
        <v>63</v>
      </c>
      <c r="L111" s="3" t="s">
        <v>514</v>
      </c>
      <c r="M111" s="3"/>
      <c r="N111" s="3">
        <v>3</v>
      </c>
      <c r="O111" s="3"/>
    </row>
    <row r="112" spans="1:15" x14ac:dyDescent="0.15">
      <c r="A112" s="3">
        <f t="shared" si="6"/>
        <v>1403029</v>
      </c>
      <c r="B112" s="3">
        <v>14</v>
      </c>
      <c r="C112" s="3">
        <v>0</v>
      </c>
      <c r="D112" s="3">
        <v>1</v>
      </c>
      <c r="E112" s="3">
        <f t="shared" si="8"/>
        <v>3</v>
      </c>
      <c r="F112" s="3">
        <f t="shared" si="7"/>
        <v>29</v>
      </c>
      <c r="G112" s="9" t="s">
        <v>141</v>
      </c>
      <c r="H112" s="3">
        <v>90</v>
      </c>
      <c r="I112" s="3" t="str">
        <f>VLOOKUP(A112,战役结算奖励!$A$1:$O$301,15,0)</f>
        <v>[{"id":14,"num":24},{"id":2,"num":366000},{"id":1,"num":360000}]</v>
      </c>
      <c r="J112" s="3" t="s">
        <v>33</v>
      </c>
      <c r="K112" s="3">
        <v>63</v>
      </c>
      <c r="L112" s="3" t="s">
        <v>514</v>
      </c>
      <c r="M112" s="3"/>
      <c r="N112" s="3">
        <v>3</v>
      </c>
      <c r="O112" s="3"/>
    </row>
    <row r="113" spans="1:15" s="4" customFormat="1" x14ac:dyDescent="0.15">
      <c r="A113" s="10">
        <f t="shared" si="6"/>
        <v>1403030</v>
      </c>
      <c r="B113" s="10">
        <v>14</v>
      </c>
      <c r="C113" s="10">
        <v>0</v>
      </c>
      <c r="D113" s="10">
        <v>1</v>
      </c>
      <c r="E113" s="10">
        <f t="shared" si="8"/>
        <v>3</v>
      </c>
      <c r="F113" s="10">
        <f t="shared" si="7"/>
        <v>30</v>
      </c>
      <c r="G113" s="9" t="s">
        <v>142</v>
      </c>
      <c r="H113" s="10">
        <v>90</v>
      </c>
      <c r="I113" s="10" t="str">
        <f>VLOOKUP(A113,战役结算奖励!$A$1:$O$301,15,0)</f>
        <v>[{"id":14,"num":24},{"id":2,"num":366000},{"id":1,"num":360000}]</v>
      </c>
      <c r="J113" s="10" t="s">
        <v>33</v>
      </c>
      <c r="K113" s="10">
        <v>63</v>
      </c>
      <c r="L113" s="3" t="s">
        <v>514</v>
      </c>
      <c r="M113" s="10"/>
      <c r="N113" s="3">
        <v>3</v>
      </c>
      <c r="O113" s="10"/>
    </row>
    <row r="114" spans="1:15" x14ac:dyDescent="0.15">
      <c r="A114" s="3">
        <f t="shared" si="6"/>
        <v>1403031</v>
      </c>
      <c r="B114" s="3">
        <v>14</v>
      </c>
      <c r="C114" s="3">
        <v>0</v>
      </c>
      <c r="D114" s="3">
        <v>1</v>
      </c>
      <c r="E114" s="3">
        <f t="shared" si="8"/>
        <v>3</v>
      </c>
      <c r="F114" s="3">
        <f t="shared" si="7"/>
        <v>31</v>
      </c>
      <c r="G114" s="9" t="s">
        <v>143</v>
      </c>
      <c r="H114" s="3">
        <v>90</v>
      </c>
      <c r="I114" s="3" t="str">
        <f>VLOOKUP(A114,战役结算奖励!$A$1:$O$301,15,0)</f>
        <v>[{"id":14,"num":24},{"id":2,"num":366000},{"id":1,"num":360000}]</v>
      </c>
      <c r="J114" s="3" t="s">
        <v>33</v>
      </c>
      <c r="K114" s="3">
        <v>63</v>
      </c>
      <c r="L114" s="3" t="s">
        <v>514</v>
      </c>
      <c r="M114" s="3"/>
      <c r="N114" s="3">
        <v>3</v>
      </c>
      <c r="O114" s="3"/>
    </row>
    <row r="115" spans="1:15" x14ac:dyDescent="0.15">
      <c r="A115" s="3">
        <f t="shared" si="6"/>
        <v>1403032</v>
      </c>
      <c r="B115" s="3">
        <v>14</v>
      </c>
      <c r="C115" s="3">
        <v>0</v>
      </c>
      <c r="D115" s="3">
        <v>1</v>
      </c>
      <c r="E115" s="3">
        <f t="shared" si="8"/>
        <v>3</v>
      </c>
      <c r="F115" s="3">
        <f t="shared" si="7"/>
        <v>32</v>
      </c>
      <c r="G115" s="9" t="s">
        <v>144</v>
      </c>
      <c r="H115" s="3">
        <v>90</v>
      </c>
      <c r="I115" s="3" t="str">
        <f>VLOOKUP(A115,战役结算奖励!$A$1:$O$301,15,0)</f>
        <v>[{"id":14,"num":24},{"id":2,"num":366000},{"id":1,"num":360000}]</v>
      </c>
      <c r="J115" s="3" t="s">
        <v>33</v>
      </c>
      <c r="K115" s="3">
        <v>63</v>
      </c>
      <c r="L115" s="3" t="s">
        <v>514</v>
      </c>
      <c r="M115" s="3"/>
      <c r="N115" s="3">
        <v>3</v>
      </c>
      <c r="O115" s="3"/>
    </row>
    <row r="116" spans="1:15" x14ac:dyDescent="0.15">
      <c r="A116" s="3">
        <f t="shared" si="6"/>
        <v>1403033</v>
      </c>
      <c r="B116" s="3">
        <v>14</v>
      </c>
      <c r="C116" s="3">
        <v>0</v>
      </c>
      <c r="D116" s="3">
        <v>1</v>
      </c>
      <c r="E116" s="3">
        <f t="shared" si="8"/>
        <v>3</v>
      </c>
      <c r="F116" s="3">
        <f t="shared" si="7"/>
        <v>33</v>
      </c>
      <c r="G116" s="9" t="s">
        <v>145</v>
      </c>
      <c r="H116" s="3">
        <v>90</v>
      </c>
      <c r="I116" s="3" t="str">
        <f>VLOOKUP(A116,战役结算奖励!$A$1:$O$301,15,0)</f>
        <v>[{"id":14,"num":24},{"id":2,"num":366000},{"id":1,"num":360000}]</v>
      </c>
      <c r="J116" s="3" t="s">
        <v>33</v>
      </c>
      <c r="K116" s="3">
        <v>63</v>
      </c>
      <c r="L116" s="3" t="s">
        <v>514</v>
      </c>
      <c r="M116" s="3"/>
      <c r="N116" s="3">
        <v>3</v>
      </c>
      <c r="O116" s="3"/>
    </row>
    <row r="117" spans="1:15" x14ac:dyDescent="0.15">
      <c r="A117" s="3">
        <f t="shared" si="6"/>
        <v>1403034</v>
      </c>
      <c r="B117" s="3">
        <v>14</v>
      </c>
      <c r="C117" s="3">
        <v>0</v>
      </c>
      <c r="D117" s="3">
        <v>1</v>
      </c>
      <c r="E117" s="3">
        <f t="shared" si="8"/>
        <v>3</v>
      </c>
      <c r="F117" s="3">
        <f t="shared" si="7"/>
        <v>34</v>
      </c>
      <c r="G117" s="9" t="s">
        <v>146</v>
      </c>
      <c r="H117" s="3">
        <v>90</v>
      </c>
      <c r="I117" s="3" t="str">
        <f>VLOOKUP(A117,战役结算奖励!$A$1:$O$301,15,0)</f>
        <v>[{"id":14,"num":24},{"id":2,"num":366000},{"id":1,"num":360000}]</v>
      </c>
      <c r="J117" s="3" t="s">
        <v>33</v>
      </c>
      <c r="K117" s="3">
        <v>63</v>
      </c>
      <c r="L117" s="3" t="s">
        <v>514</v>
      </c>
      <c r="M117" s="3"/>
      <c r="N117" s="3">
        <v>3</v>
      </c>
      <c r="O117" s="3"/>
    </row>
    <row r="118" spans="1:15" x14ac:dyDescent="0.15">
      <c r="A118" s="3">
        <f t="shared" si="6"/>
        <v>1403035</v>
      </c>
      <c r="B118" s="3">
        <v>14</v>
      </c>
      <c r="C118" s="3">
        <v>0</v>
      </c>
      <c r="D118" s="3">
        <v>1</v>
      </c>
      <c r="E118" s="3">
        <f t="shared" si="8"/>
        <v>3</v>
      </c>
      <c r="F118" s="3">
        <f t="shared" si="7"/>
        <v>35</v>
      </c>
      <c r="G118" s="9" t="s">
        <v>147</v>
      </c>
      <c r="H118" s="3">
        <v>90</v>
      </c>
      <c r="I118" s="3" t="str">
        <f>VLOOKUP(A118,战役结算奖励!$A$1:$O$301,15,0)</f>
        <v>[{"id":14,"num":24},{"id":2,"num":366000},{"id":1,"num":360000}]</v>
      </c>
      <c r="J118" s="3" t="s">
        <v>33</v>
      </c>
      <c r="K118" s="3">
        <v>63</v>
      </c>
      <c r="L118" s="3" t="s">
        <v>514</v>
      </c>
      <c r="M118" s="3"/>
      <c r="N118" s="3">
        <v>3</v>
      </c>
      <c r="O118" s="3"/>
    </row>
    <row r="119" spans="1:15" x14ac:dyDescent="0.15">
      <c r="A119" s="3">
        <f t="shared" si="6"/>
        <v>1403036</v>
      </c>
      <c r="B119" s="3">
        <v>14</v>
      </c>
      <c r="C119" s="3">
        <v>0</v>
      </c>
      <c r="D119" s="3">
        <v>1</v>
      </c>
      <c r="E119" s="3">
        <f t="shared" si="8"/>
        <v>3</v>
      </c>
      <c r="F119" s="3">
        <f t="shared" si="7"/>
        <v>36</v>
      </c>
      <c r="G119" s="9" t="s">
        <v>148</v>
      </c>
      <c r="H119" s="3">
        <v>90</v>
      </c>
      <c r="I119" s="3" t="str">
        <f>VLOOKUP(A119,战役结算奖励!$A$1:$O$301,15,0)</f>
        <v>[{"id":14,"num":24},{"id":2,"num":366000},{"id":1,"num":360000}]</v>
      </c>
      <c r="J119" s="3" t="s">
        <v>33</v>
      </c>
      <c r="K119" s="3">
        <v>63</v>
      </c>
      <c r="L119" s="3" t="s">
        <v>514</v>
      </c>
      <c r="M119" s="3"/>
      <c r="N119" s="3">
        <v>3</v>
      </c>
      <c r="O119" s="3"/>
    </row>
    <row r="120" spans="1:15" x14ac:dyDescent="0.15">
      <c r="A120" s="3">
        <f t="shared" si="6"/>
        <v>1403037</v>
      </c>
      <c r="B120" s="3">
        <v>14</v>
      </c>
      <c r="C120" s="3">
        <v>0</v>
      </c>
      <c r="D120" s="3">
        <v>1</v>
      </c>
      <c r="E120" s="3">
        <f t="shared" si="8"/>
        <v>3</v>
      </c>
      <c r="F120" s="3">
        <f t="shared" si="7"/>
        <v>37</v>
      </c>
      <c r="G120" s="9" t="s">
        <v>149</v>
      </c>
      <c r="H120" s="3">
        <v>90</v>
      </c>
      <c r="I120" s="3" t="str">
        <f>VLOOKUP(A120,战役结算奖励!$A$1:$O$301,15,0)</f>
        <v>[{"id":14,"num":24},{"id":2,"num":366000},{"id":1,"num":360000}]</v>
      </c>
      <c r="J120" s="3" t="s">
        <v>33</v>
      </c>
      <c r="K120" s="3">
        <v>63</v>
      </c>
      <c r="L120" s="3" t="s">
        <v>514</v>
      </c>
      <c r="M120" s="3"/>
      <c r="N120" s="3">
        <v>3</v>
      </c>
      <c r="O120" s="3"/>
    </row>
    <row r="121" spans="1:15" x14ac:dyDescent="0.15">
      <c r="A121" s="3">
        <f t="shared" si="6"/>
        <v>1403038</v>
      </c>
      <c r="B121" s="3">
        <v>14</v>
      </c>
      <c r="C121" s="3">
        <v>0</v>
      </c>
      <c r="D121" s="3">
        <v>1</v>
      </c>
      <c r="E121" s="3">
        <f t="shared" si="8"/>
        <v>3</v>
      </c>
      <c r="F121" s="3">
        <f t="shared" si="7"/>
        <v>38</v>
      </c>
      <c r="G121" s="9" t="s">
        <v>150</v>
      </c>
      <c r="H121" s="3">
        <v>90</v>
      </c>
      <c r="I121" s="3" t="str">
        <f>VLOOKUP(A121,战役结算奖励!$A$1:$O$301,15,0)</f>
        <v>[{"id":14,"num":24},{"id":2,"num":366000},{"id":1,"num":360000}]</v>
      </c>
      <c r="J121" s="3" t="s">
        <v>33</v>
      </c>
      <c r="K121" s="3">
        <v>63</v>
      </c>
      <c r="L121" s="3" t="s">
        <v>514</v>
      </c>
      <c r="M121" s="3"/>
      <c r="N121" s="3">
        <v>3</v>
      </c>
      <c r="O121" s="3"/>
    </row>
    <row r="122" spans="1:15" x14ac:dyDescent="0.15">
      <c r="A122" s="3">
        <f t="shared" si="6"/>
        <v>1403039</v>
      </c>
      <c r="B122" s="3">
        <v>14</v>
      </c>
      <c r="C122" s="3">
        <v>0</v>
      </c>
      <c r="D122" s="3">
        <v>1</v>
      </c>
      <c r="E122" s="3">
        <f t="shared" si="8"/>
        <v>3</v>
      </c>
      <c r="F122" s="3">
        <f t="shared" si="7"/>
        <v>39</v>
      </c>
      <c r="G122" s="9" t="s">
        <v>151</v>
      </c>
      <c r="H122" s="3">
        <v>90</v>
      </c>
      <c r="I122" s="3" t="str">
        <f>VLOOKUP(A122,战役结算奖励!$A$1:$O$301,15,0)</f>
        <v>[{"id":14,"num":24},{"id":2,"num":366000},{"id":1,"num":360000}]</v>
      </c>
      <c r="J122" s="3" t="s">
        <v>33</v>
      </c>
      <c r="K122" s="3">
        <v>63</v>
      </c>
      <c r="L122" s="3" t="s">
        <v>514</v>
      </c>
      <c r="M122" s="3"/>
      <c r="N122" s="3">
        <v>3</v>
      </c>
      <c r="O122" s="3"/>
    </row>
    <row r="123" spans="1:15" s="4" customFormat="1" x14ac:dyDescent="0.15">
      <c r="A123" s="10">
        <f t="shared" si="6"/>
        <v>1403040</v>
      </c>
      <c r="B123" s="10">
        <v>14</v>
      </c>
      <c r="C123" s="10">
        <v>0</v>
      </c>
      <c r="D123" s="10">
        <v>1</v>
      </c>
      <c r="E123" s="10">
        <f t="shared" si="8"/>
        <v>3</v>
      </c>
      <c r="F123" s="10">
        <f t="shared" si="7"/>
        <v>40</v>
      </c>
      <c r="G123" s="9" t="s">
        <v>152</v>
      </c>
      <c r="H123" s="10">
        <v>90</v>
      </c>
      <c r="I123" s="10" t="str">
        <f>VLOOKUP(A123,战役结算奖励!$A$1:$O$301,15,0)</f>
        <v>[{"id":14,"num":24},{"id":2,"num":366000},{"id":1,"num":360000}]</v>
      </c>
      <c r="J123" s="10" t="s">
        <v>33</v>
      </c>
      <c r="K123" s="10">
        <v>63</v>
      </c>
      <c r="L123" s="3" t="s">
        <v>1217</v>
      </c>
      <c r="M123" s="10"/>
      <c r="N123" s="3">
        <v>3</v>
      </c>
      <c r="O123" s="10">
        <v>1</v>
      </c>
    </row>
    <row r="124" spans="1:15" x14ac:dyDescent="0.15">
      <c r="A124" s="3">
        <f t="shared" si="6"/>
        <v>1404001</v>
      </c>
      <c r="B124" s="3">
        <v>14</v>
      </c>
      <c r="C124" s="3">
        <v>0</v>
      </c>
      <c r="D124" s="3">
        <v>1</v>
      </c>
      <c r="E124" s="3">
        <f t="shared" si="8"/>
        <v>4</v>
      </c>
      <c r="F124" s="3">
        <f t="shared" si="7"/>
        <v>1</v>
      </c>
      <c r="G124" s="9" t="s">
        <v>153</v>
      </c>
      <c r="H124" s="3">
        <v>90</v>
      </c>
      <c r="I124" s="3" t="str">
        <f>VLOOKUP(A124,战役结算奖励!$A$1:$O$301,15,0)</f>
        <v>[{"id":14,"num":24},{"id":2,"num":622000},{"id":1,"num":620000}]</v>
      </c>
      <c r="J124" s="3" t="s">
        <v>33</v>
      </c>
      <c r="K124" s="3">
        <v>64</v>
      </c>
      <c r="L124" s="3" t="s">
        <v>514</v>
      </c>
      <c r="M124" s="3"/>
      <c r="N124" s="3">
        <v>4</v>
      </c>
      <c r="O124" s="3"/>
    </row>
    <row r="125" spans="1:15" x14ac:dyDescent="0.15">
      <c r="A125" s="3">
        <f t="shared" si="6"/>
        <v>1404002</v>
      </c>
      <c r="B125" s="3">
        <v>14</v>
      </c>
      <c r="C125" s="3">
        <v>0</v>
      </c>
      <c r="D125" s="3">
        <v>1</v>
      </c>
      <c r="E125" s="3">
        <f t="shared" si="8"/>
        <v>4</v>
      </c>
      <c r="F125" s="3">
        <f t="shared" si="7"/>
        <v>2</v>
      </c>
      <c r="G125" s="9" t="s">
        <v>154</v>
      </c>
      <c r="H125" s="3">
        <v>90</v>
      </c>
      <c r="I125" s="3" t="str">
        <f>VLOOKUP(A125,战役结算奖励!$A$1:$O$301,15,0)</f>
        <v>[{"id":14,"num":24},{"id":2,"num":622000},{"id":1,"num":620000}]</v>
      </c>
      <c r="J125" s="3" t="s">
        <v>33</v>
      </c>
      <c r="K125" s="3">
        <v>64</v>
      </c>
      <c r="L125" s="3" t="s">
        <v>514</v>
      </c>
      <c r="M125" s="3"/>
      <c r="N125" s="3">
        <v>4</v>
      </c>
      <c r="O125" s="3"/>
    </row>
    <row r="126" spans="1:15" x14ac:dyDescent="0.15">
      <c r="A126" s="3">
        <f t="shared" si="6"/>
        <v>1404003</v>
      </c>
      <c r="B126" s="3">
        <v>14</v>
      </c>
      <c r="C126" s="3">
        <v>0</v>
      </c>
      <c r="D126" s="3">
        <v>1</v>
      </c>
      <c r="E126" s="3">
        <f t="shared" si="8"/>
        <v>4</v>
      </c>
      <c r="F126" s="3">
        <f t="shared" si="7"/>
        <v>3</v>
      </c>
      <c r="G126" s="9" t="s">
        <v>155</v>
      </c>
      <c r="H126" s="3">
        <v>90</v>
      </c>
      <c r="I126" s="3" t="str">
        <f>VLOOKUP(A126,战役结算奖励!$A$1:$O$301,15,0)</f>
        <v>[{"id":14,"num":24},{"id":2,"num":622000},{"id":1,"num":620000}]</v>
      </c>
      <c r="J126" s="3" t="s">
        <v>33</v>
      </c>
      <c r="K126" s="3">
        <v>64</v>
      </c>
      <c r="L126" s="3" t="s">
        <v>514</v>
      </c>
      <c r="M126" s="3"/>
      <c r="N126" s="3">
        <v>4</v>
      </c>
      <c r="O126" s="3"/>
    </row>
    <row r="127" spans="1:15" x14ac:dyDescent="0.15">
      <c r="A127" s="3">
        <f t="shared" si="6"/>
        <v>1404004</v>
      </c>
      <c r="B127" s="3">
        <v>14</v>
      </c>
      <c r="C127" s="3">
        <v>0</v>
      </c>
      <c r="D127" s="3">
        <v>1</v>
      </c>
      <c r="E127" s="3">
        <f t="shared" ref="E127:E155" si="9">E87+1</f>
        <v>4</v>
      </c>
      <c r="F127" s="3">
        <f t="shared" si="7"/>
        <v>4</v>
      </c>
      <c r="G127" s="9" t="s">
        <v>156</v>
      </c>
      <c r="H127" s="3">
        <v>90</v>
      </c>
      <c r="I127" s="3" t="str">
        <f>VLOOKUP(A127,战役结算奖励!$A$1:$O$301,15,0)</f>
        <v>[{"id":14,"num":24},{"id":2,"num":622000},{"id":1,"num":620000}]</v>
      </c>
      <c r="J127" s="3" t="s">
        <v>33</v>
      </c>
      <c r="K127" s="3">
        <v>64</v>
      </c>
      <c r="L127" s="3" t="s">
        <v>514</v>
      </c>
      <c r="M127" s="3"/>
      <c r="N127" s="3">
        <v>4</v>
      </c>
      <c r="O127" s="3"/>
    </row>
    <row r="128" spans="1:15" x14ac:dyDescent="0.15">
      <c r="A128" s="3">
        <f t="shared" si="6"/>
        <v>1404005</v>
      </c>
      <c r="B128" s="3">
        <v>14</v>
      </c>
      <c r="C128" s="3">
        <v>0</v>
      </c>
      <c r="D128" s="3">
        <v>1</v>
      </c>
      <c r="E128" s="3">
        <f t="shared" si="9"/>
        <v>4</v>
      </c>
      <c r="F128" s="3">
        <f t="shared" si="7"/>
        <v>5</v>
      </c>
      <c r="G128" s="9" t="s">
        <v>157</v>
      </c>
      <c r="H128" s="3">
        <v>90</v>
      </c>
      <c r="I128" s="3" t="str">
        <f>VLOOKUP(A128,战役结算奖励!$A$1:$O$301,15,0)</f>
        <v>[{"id":14,"num":24},{"id":2,"num":622000},{"id":1,"num":620000}]</v>
      </c>
      <c r="J128" s="3" t="s">
        <v>33</v>
      </c>
      <c r="K128" s="3">
        <v>64</v>
      </c>
      <c r="L128" s="3" t="s">
        <v>514</v>
      </c>
      <c r="M128" s="3"/>
      <c r="N128" s="3">
        <v>4</v>
      </c>
      <c r="O128" s="3"/>
    </row>
    <row r="129" spans="1:15" x14ac:dyDescent="0.15">
      <c r="A129" s="3">
        <f t="shared" si="6"/>
        <v>1404006</v>
      </c>
      <c r="B129" s="3">
        <v>14</v>
      </c>
      <c r="C129" s="3">
        <v>0</v>
      </c>
      <c r="D129" s="3">
        <v>1</v>
      </c>
      <c r="E129" s="3">
        <f t="shared" si="9"/>
        <v>4</v>
      </c>
      <c r="F129" s="3">
        <f t="shared" si="7"/>
        <v>6</v>
      </c>
      <c r="G129" s="9" t="s">
        <v>158</v>
      </c>
      <c r="H129" s="3">
        <v>90</v>
      </c>
      <c r="I129" s="3" t="str">
        <f>VLOOKUP(A129,战役结算奖励!$A$1:$O$301,15,0)</f>
        <v>[{"id":14,"num":24},{"id":2,"num":622000},{"id":1,"num":620000}]</v>
      </c>
      <c r="J129" s="3" t="s">
        <v>33</v>
      </c>
      <c r="K129" s="3">
        <v>64</v>
      </c>
      <c r="L129" s="3" t="s">
        <v>514</v>
      </c>
      <c r="M129" s="3"/>
      <c r="N129" s="3">
        <v>4</v>
      </c>
      <c r="O129" s="3"/>
    </row>
    <row r="130" spans="1:15" x14ac:dyDescent="0.15">
      <c r="A130" s="3">
        <f t="shared" si="6"/>
        <v>1404007</v>
      </c>
      <c r="B130" s="3">
        <v>14</v>
      </c>
      <c r="C130" s="3">
        <v>0</v>
      </c>
      <c r="D130" s="3">
        <v>1</v>
      </c>
      <c r="E130" s="3">
        <f t="shared" si="9"/>
        <v>4</v>
      </c>
      <c r="F130" s="3">
        <f t="shared" si="7"/>
        <v>7</v>
      </c>
      <c r="G130" s="9" t="s">
        <v>159</v>
      </c>
      <c r="H130" s="3">
        <v>90</v>
      </c>
      <c r="I130" s="3" t="str">
        <f>VLOOKUP(A130,战役结算奖励!$A$1:$O$301,15,0)</f>
        <v>[{"id":14,"num":24},{"id":2,"num":622000},{"id":1,"num":620000}]</v>
      </c>
      <c r="J130" s="3" t="s">
        <v>33</v>
      </c>
      <c r="K130" s="3">
        <v>64</v>
      </c>
      <c r="L130" s="3" t="s">
        <v>514</v>
      </c>
      <c r="M130" s="3"/>
      <c r="N130" s="3">
        <v>4</v>
      </c>
      <c r="O130" s="3"/>
    </row>
    <row r="131" spans="1:15" x14ac:dyDescent="0.15">
      <c r="A131" s="3">
        <f t="shared" si="6"/>
        <v>1404008</v>
      </c>
      <c r="B131" s="3">
        <v>14</v>
      </c>
      <c r="C131" s="3">
        <v>0</v>
      </c>
      <c r="D131" s="3">
        <v>1</v>
      </c>
      <c r="E131" s="3">
        <f t="shared" si="9"/>
        <v>4</v>
      </c>
      <c r="F131" s="3">
        <f t="shared" si="7"/>
        <v>8</v>
      </c>
      <c r="G131" s="9" t="s">
        <v>160</v>
      </c>
      <c r="H131" s="3">
        <v>90</v>
      </c>
      <c r="I131" s="3" t="str">
        <f>VLOOKUP(A131,战役结算奖励!$A$1:$O$301,15,0)</f>
        <v>[{"id":14,"num":24},{"id":2,"num":622000},{"id":1,"num":620000}]</v>
      </c>
      <c r="J131" s="3" t="s">
        <v>33</v>
      </c>
      <c r="K131" s="3">
        <v>64</v>
      </c>
      <c r="L131" s="3" t="s">
        <v>514</v>
      </c>
      <c r="M131" s="3"/>
      <c r="N131" s="3">
        <v>4</v>
      </c>
      <c r="O131" s="3"/>
    </row>
    <row r="132" spans="1:15" x14ac:dyDescent="0.15">
      <c r="A132" s="3">
        <f t="shared" si="6"/>
        <v>1404009</v>
      </c>
      <c r="B132" s="3">
        <v>14</v>
      </c>
      <c r="C132" s="3">
        <v>0</v>
      </c>
      <c r="D132" s="3">
        <v>1</v>
      </c>
      <c r="E132" s="3">
        <f t="shared" si="9"/>
        <v>4</v>
      </c>
      <c r="F132" s="3">
        <f t="shared" si="7"/>
        <v>9</v>
      </c>
      <c r="G132" s="9" t="s">
        <v>161</v>
      </c>
      <c r="H132" s="3">
        <v>90</v>
      </c>
      <c r="I132" s="3" t="str">
        <f>VLOOKUP(A132,战役结算奖励!$A$1:$O$301,15,0)</f>
        <v>[{"id":14,"num":24},{"id":2,"num":622000},{"id":1,"num":620000}]</v>
      </c>
      <c r="J132" s="3" t="s">
        <v>33</v>
      </c>
      <c r="K132" s="3">
        <v>64</v>
      </c>
      <c r="L132" s="3" t="s">
        <v>514</v>
      </c>
      <c r="M132" s="3"/>
      <c r="N132" s="3">
        <v>4</v>
      </c>
      <c r="O132" s="3"/>
    </row>
    <row r="133" spans="1:15" s="4" customFormat="1" x14ac:dyDescent="0.15">
      <c r="A133" s="10">
        <f t="shared" si="6"/>
        <v>1404010</v>
      </c>
      <c r="B133" s="10">
        <v>14</v>
      </c>
      <c r="C133" s="10">
        <v>0</v>
      </c>
      <c r="D133" s="10">
        <v>1</v>
      </c>
      <c r="E133" s="10">
        <f t="shared" si="9"/>
        <v>4</v>
      </c>
      <c r="F133" s="10">
        <f t="shared" si="7"/>
        <v>10</v>
      </c>
      <c r="G133" s="9" t="s">
        <v>162</v>
      </c>
      <c r="H133" s="10">
        <v>90</v>
      </c>
      <c r="I133" s="10" t="str">
        <f>VLOOKUP(A133,战役结算奖励!$A$1:$O$301,15,0)</f>
        <v>[{"id":14,"num":24},{"id":2,"num":622000},{"id":1,"num":620000}]</v>
      </c>
      <c r="J133" s="10" t="s">
        <v>33</v>
      </c>
      <c r="K133" s="10">
        <v>64</v>
      </c>
      <c r="L133" s="3" t="s">
        <v>514</v>
      </c>
      <c r="M133" s="10"/>
      <c r="N133" s="3">
        <v>4</v>
      </c>
      <c r="O133" s="10"/>
    </row>
    <row r="134" spans="1:15" x14ac:dyDescent="0.15">
      <c r="A134" s="3">
        <f t="shared" si="6"/>
        <v>1404011</v>
      </c>
      <c r="B134" s="3">
        <v>14</v>
      </c>
      <c r="C134" s="3">
        <v>0</v>
      </c>
      <c r="D134" s="3">
        <v>1</v>
      </c>
      <c r="E134" s="3">
        <f t="shared" si="9"/>
        <v>4</v>
      </c>
      <c r="F134" s="3">
        <f t="shared" si="7"/>
        <v>11</v>
      </c>
      <c r="G134" s="9" t="s">
        <v>163</v>
      </c>
      <c r="H134" s="3">
        <v>90</v>
      </c>
      <c r="I134" s="3" t="str">
        <f>VLOOKUP(A134,战役结算奖励!$A$1:$O$301,15,0)</f>
        <v>[{"id":14,"num":24},{"id":2,"num":622000},{"id":1,"num":620000}]</v>
      </c>
      <c r="J134" s="3" t="s">
        <v>33</v>
      </c>
      <c r="K134" s="3">
        <v>64</v>
      </c>
      <c r="L134" s="3" t="s">
        <v>514</v>
      </c>
      <c r="M134" s="3"/>
      <c r="N134" s="3">
        <v>4</v>
      </c>
      <c r="O134" s="3"/>
    </row>
    <row r="135" spans="1:15" x14ac:dyDescent="0.15">
      <c r="A135" s="3">
        <f t="shared" si="6"/>
        <v>1404012</v>
      </c>
      <c r="B135" s="3">
        <v>14</v>
      </c>
      <c r="C135" s="3">
        <v>0</v>
      </c>
      <c r="D135" s="3">
        <v>1</v>
      </c>
      <c r="E135" s="3">
        <f t="shared" si="9"/>
        <v>4</v>
      </c>
      <c r="F135" s="3">
        <f t="shared" si="7"/>
        <v>12</v>
      </c>
      <c r="G135" s="9" t="s">
        <v>164</v>
      </c>
      <c r="H135" s="3">
        <v>90</v>
      </c>
      <c r="I135" s="3" t="str">
        <f>VLOOKUP(A135,战役结算奖励!$A$1:$O$301,15,0)</f>
        <v>[{"id":14,"num":24},{"id":2,"num":622000},{"id":1,"num":620000}]</v>
      </c>
      <c r="J135" s="3" t="s">
        <v>33</v>
      </c>
      <c r="K135" s="3">
        <v>64</v>
      </c>
      <c r="L135" s="3" t="s">
        <v>514</v>
      </c>
      <c r="M135" s="3"/>
      <c r="N135" s="3">
        <v>4</v>
      </c>
      <c r="O135" s="3"/>
    </row>
    <row r="136" spans="1:15" x14ac:dyDescent="0.15">
      <c r="A136" s="3">
        <f t="shared" si="6"/>
        <v>1404013</v>
      </c>
      <c r="B136" s="3">
        <v>14</v>
      </c>
      <c r="C136" s="3">
        <v>0</v>
      </c>
      <c r="D136" s="3">
        <v>1</v>
      </c>
      <c r="E136" s="3">
        <f t="shared" si="9"/>
        <v>4</v>
      </c>
      <c r="F136" s="3">
        <f t="shared" si="7"/>
        <v>13</v>
      </c>
      <c r="G136" s="9" t="s">
        <v>165</v>
      </c>
      <c r="H136" s="3">
        <v>90</v>
      </c>
      <c r="I136" s="3" t="str">
        <f>VLOOKUP(A136,战役结算奖励!$A$1:$O$301,15,0)</f>
        <v>[{"id":14,"num":24},{"id":2,"num":622000},{"id":1,"num":620000}]</v>
      </c>
      <c r="J136" s="3" t="s">
        <v>33</v>
      </c>
      <c r="K136" s="3">
        <v>64</v>
      </c>
      <c r="L136" s="3" t="s">
        <v>514</v>
      </c>
      <c r="M136" s="3"/>
      <c r="N136" s="3">
        <v>4</v>
      </c>
      <c r="O136" s="3"/>
    </row>
    <row r="137" spans="1:15" x14ac:dyDescent="0.15">
      <c r="A137" s="3">
        <f t="shared" si="6"/>
        <v>1404014</v>
      </c>
      <c r="B137" s="3">
        <v>14</v>
      </c>
      <c r="C137" s="3">
        <v>0</v>
      </c>
      <c r="D137" s="3">
        <v>1</v>
      </c>
      <c r="E137" s="3">
        <f t="shared" si="9"/>
        <v>4</v>
      </c>
      <c r="F137" s="3">
        <f t="shared" si="7"/>
        <v>14</v>
      </c>
      <c r="G137" s="9" t="s">
        <v>166</v>
      </c>
      <c r="H137" s="3">
        <v>90</v>
      </c>
      <c r="I137" s="3" t="str">
        <f>VLOOKUP(A137,战役结算奖励!$A$1:$O$301,15,0)</f>
        <v>[{"id":14,"num":24},{"id":2,"num":622000},{"id":1,"num":620000}]</v>
      </c>
      <c r="J137" s="3" t="s">
        <v>33</v>
      </c>
      <c r="K137" s="3">
        <v>64</v>
      </c>
      <c r="L137" s="3" t="s">
        <v>514</v>
      </c>
      <c r="M137" s="3"/>
      <c r="N137" s="3">
        <v>4</v>
      </c>
      <c r="O137" s="3"/>
    </row>
    <row r="138" spans="1:15" x14ac:dyDescent="0.15">
      <c r="A138" s="3">
        <f t="shared" ref="A138:A172" si="10">B138*100000+E138*1000+F138</f>
        <v>1404015</v>
      </c>
      <c r="B138" s="3">
        <v>14</v>
      </c>
      <c r="C138" s="3">
        <v>0</v>
      </c>
      <c r="D138" s="3">
        <v>1</v>
      </c>
      <c r="E138" s="3">
        <f t="shared" si="9"/>
        <v>4</v>
      </c>
      <c r="F138" s="3">
        <f t="shared" si="7"/>
        <v>15</v>
      </c>
      <c r="G138" s="9" t="s">
        <v>167</v>
      </c>
      <c r="H138" s="3">
        <v>90</v>
      </c>
      <c r="I138" s="3" t="str">
        <f>VLOOKUP(A138,战役结算奖励!$A$1:$O$301,15,0)</f>
        <v>[{"id":14,"num":24},{"id":2,"num":622000},{"id":1,"num":620000}]</v>
      </c>
      <c r="J138" s="3" t="s">
        <v>33</v>
      </c>
      <c r="K138" s="3">
        <v>64</v>
      </c>
      <c r="L138" s="3" t="s">
        <v>514</v>
      </c>
      <c r="M138" s="3"/>
      <c r="N138" s="3">
        <v>4</v>
      </c>
      <c r="O138" s="3"/>
    </row>
    <row r="139" spans="1:15" x14ac:dyDescent="0.15">
      <c r="A139" s="3">
        <f t="shared" si="10"/>
        <v>1404016</v>
      </c>
      <c r="B139" s="3">
        <v>14</v>
      </c>
      <c r="C139" s="3">
        <v>0</v>
      </c>
      <c r="D139" s="3">
        <v>1</v>
      </c>
      <c r="E139" s="3">
        <f t="shared" si="9"/>
        <v>4</v>
      </c>
      <c r="F139" s="3">
        <f t="shared" si="7"/>
        <v>16</v>
      </c>
      <c r="G139" s="9" t="s">
        <v>168</v>
      </c>
      <c r="H139" s="3">
        <v>90</v>
      </c>
      <c r="I139" s="3" t="str">
        <f>VLOOKUP(A139,战役结算奖励!$A$1:$O$301,15,0)</f>
        <v>[{"id":14,"num":24},{"id":2,"num":622000},{"id":1,"num":620000}]</v>
      </c>
      <c r="J139" s="3" t="s">
        <v>33</v>
      </c>
      <c r="K139" s="3">
        <v>64</v>
      </c>
      <c r="L139" s="3" t="s">
        <v>514</v>
      </c>
      <c r="M139" s="3"/>
      <c r="N139" s="3">
        <v>4</v>
      </c>
      <c r="O139" s="3"/>
    </row>
    <row r="140" spans="1:15" x14ac:dyDescent="0.15">
      <c r="A140" s="3">
        <f t="shared" si="10"/>
        <v>1404017</v>
      </c>
      <c r="B140" s="3">
        <v>14</v>
      </c>
      <c r="C140" s="3">
        <v>0</v>
      </c>
      <c r="D140" s="3">
        <v>1</v>
      </c>
      <c r="E140" s="3">
        <f t="shared" si="9"/>
        <v>4</v>
      </c>
      <c r="F140" s="3">
        <f t="shared" si="7"/>
        <v>17</v>
      </c>
      <c r="G140" s="9" t="s">
        <v>169</v>
      </c>
      <c r="H140" s="3">
        <v>90</v>
      </c>
      <c r="I140" s="3" t="str">
        <f>VLOOKUP(A140,战役结算奖励!$A$1:$O$301,15,0)</f>
        <v>[{"id":14,"num":24},{"id":2,"num":622000},{"id":1,"num":620000}]</v>
      </c>
      <c r="J140" s="3" t="s">
        <v>33</v>
      </c>
      <c r="K140" s="3">
        <v>64</v>
      </c>
      <c r="L140" s="3" t="s">
        <v>514</v>
      </c>
      <c r="M140" s="3"/>
      <c r="N140" s="3">
        <v>4</v>
      </c>
      <c r="O140" s="3"/>
    </row>
    <row r="141" spans="1:15" x14ac:dyDescent="0.15">
      <c r="A141" s="3">
        <f t="shared" si="10"/>
        <v>1404018</v>
      </c>
      <c r="B141" s="3">
        <v>14</v>
      </c>
      <c r="C141" s="3">
        <v>0</v>
      </c>
      <c r="D141" s="3">
        <v>1</v>
      </c>
      <c r="E141" s="3">
        <f t="shared" si="9"/>
        <v>4</v>
      </c>
      <c r="F141" s="3">
        <f t="shared" ref="F141:F162" si="11">F101</f>
        <v>18</v>
      </c>
      <c r="G141" s="9" t="s">
        <v>170</v>
      </c>
      <c r="H141" s="3">
        <v>90</v>
      </c>
      <c r="I141" s="3" t="str">
        <f>VLOOKUP(A141,战役结算奖励!$A$1:$O$301,15,0)</f>
        <v>[{"id":14,"num":24},{"id":2,"num":622000},{"id":1,"num":620000}]</v>
      </c>
      <c r="J141" s="3" t="s">
        <v>33</v>
      </c>
      <c r="K141" s="3">
        <v>64</v>
      </c>
      <c r="L141" s="3" t="s">
        <v>514</v>
      </c>
      <c r="M141" s="3"/>
      <c r="N141" s="3">
        <v>4</v>
      </c>
      <c r="O141" s="3"/>
    </row>
    <row r="142" spans="1:15" x14ac:dyDescent="0.15">
      <c r="A142" s="3">
        <f t="shared" si="10"/>
        <v>1404019</v>
      </c>
      <c r="B142" s="3">
        <v>14</v>
      </c>
      <c r="C142" s="3">
        <v>0</v>
      </c>
      <c r="D142" s="3">
        <v>1</v>
      </c>
      <c r="E142" s="3">
        <f t="shared" si="9"/>
        <v>4</v>
      </c>
      <c r="F142" s="3">
        <f t="shared" si="11"/>
        <v>19</v>
      </c>
      <c r="G142" s="9" t="s">
        <v>171</v>
      </c>
      <c r="H142" s="3">
        <v>90</v>
      </c>
      <c r="I142" s="3" t="str">
        <f>VLOOKUP(A142,战役结算奖励!$A$1:$O$301,15,0)</f>
        <v>[{"id":14,"num":24},{"id":2,"num":622000},{"id":1,"num":620000}]</v>
      </c>
      <c r="J142" s="3" t="s">
        <v>33</v>
      </c>
      <c r="K142" s="3">
        <v>64</v>
      </c>
      <c r="L142" s="3" t="s">
        <v>514</v>
      </c>
      <c r="M142" s="3"/>
      <c r="N142" s="3">
        <v>4</v>
      </c>
      <c r="O142" s="3"/>
    </row>
    <row r="143" spans="1:15" s="4" customFormat="1" x14ac:dyDescent="0.15">
      <c r="A143" s="10">
        <f t="shared" si="10"/>
        <v>1404020</v>
      </c>
      <c r="B143" s="10">
        <v>14</v>
      </c>
      <c r="C143" s="10">
        <v>0</v>
      </c>
      <c r="D143" s="10">
        <v>1</v>
      </c>
      <c r="E143" s="10">
        <f t="shared" si="9"/>
        <v>4</v>
      </c>
      <c r="F143" s="10">
        <f t="shared" si="11"/>
        <v>20</v>
      </c>
      <c r="G143" s="9" t="s">
        <v>172</v>
      </c>
      <c r="H143" s="10">
        <v>90</v>
      </c>
      <c r="I143" s="10" t="str">
        <f>VLOOKUP(A143,战役结算奖励!$A$1:$O$301,15,0)</f>
        <v>[{"id":14,"num":24},{"id":2,"num":622000},{"id":1,"num":620000}]</v>
      </c>
      <c r="J143" s="10" t="s">
        <v>33</v>
      </c>
      <c r="K143" s="10">
        <v>64</v>
      </c>
      <c r="L143" s="3" t="s">
        <v>514</v>
      </c>
      <c r="M143" s="10"/>
      <c r="N143" s="3">
        <v>4</v>
      </c>
      <c r="O143" s="10"/>
    </row>
    <row r="144" spans="1:15" x14ac:dyDescent="0.15">
      <c r="A144" s="3">
        <f t="shared" si="10"/>
        <v>1404021</v>
      </c>
      <c r="B144" s="3">
        <v>14</v>
      </c>
      <c r="C144" s="3">
        <v>0</v>
      </c>
      <c r="D144" s="3">
        <v>1</v>
      </c>
      <c r="E144" s="3">
        <f t="shared" si="9"/>
        <v>4</v>
      </c>
      <c r="F144" s="3">
        <f t="shared" si="11"/>
        <v>21</v>
      </c>
      <c r="G144" s="9" t="s">
        <v>173</v>
      </c>
      <c r="H144" s="3">
        <v>90</v>
      </c>
      <c r="I144" s="3" t="str">
        <f>VLOOKUP(A144,战役结算奖励!$A$1:$O$301,15,0)</f>
        <v>[{"id":14,"num":28},{"id":2,"num":1202000},{"id":1,"num":1200000}]</v>
      </c>
      <c r="J144" s="3" t="s">
        <v>33</v>
      </c>
      <c r="K144" s="3">
        <v>64</v>
      </c>
      <c r="L144" s="3" t="s">
        <v>514</v>
      </c>
      <c r="M144" s="3"/>
      <c r="N144" s="3">
        <v>4</v>
      </c>
      <c r="O144" s="3"/>
    </row>
    <row r="145" spans="1:15" x14ac:dyDescent="0.15">
      <c r="A145" s="3">
        <f t="shared" si="10"/>
        <v>1404022</v>
      </c>
      <c r="B145" s="3">
        <v>14</v>
      </c>
      <c r="C145" s="3">
        <v>0</v>
      </c>
      <c r="D145" s="3">
        <v>1</v>
      </c>
      <c r="E145" s="3">
        <f t="shared" si="9"/>
        <v>4</v>
      </c>
      <c r="F145" s="3">
        <f t="shared" si="11"/>
        <v>22</v>
      </c>
      <c r="G145" s="9" t="s">
        <v>174</v>
      </c>
      <c r="H145" s="3">
        <v>90</v>
      </c>
      <c r="I145" s="3" t="str">
        <f>VLOOKUP(A145,战役结算奖励!$A$1:$O$301,15,0)</f>
        <v>[{"id":14,"num":28},{"id":2,"num":1202000},{"id":1,"num":1200000}]</v>
      </c>
      <c r="J145" s="3" t="s">
        <v>33</v>
      </c>
      <c r="K145" s="3">
        <v>64</v>
      </c>
      <c r="L145" s="3" t="s">
        <v>514</v>
      </c>
      <c r="M145" s="3"/>
      <c r="N145" s="3">
        <v>4</v>
      </c>
      <c r="O145" s="3"/>
    </row>
    <row r="146" spans="1:15" x14ac:dyDescent="0.15">
      <c r="A146" s="3">
        <f t="shared" si="10"/>
        <v>1404023</v>
      </c>
      <c r="B146" s="3">
        <v>14</v>
      </c>
      <c r="C146" s="3">
        <v>0</v>
      </c>
      <c r="D146" s="3">
        <v>1</v>
      </c>
      <c r="E146" s="3">
        <f t="shared" si="9"/>
        <v>4</v>
      </c>
      <c r="F146" s="3">
        <f t="shared" si="11"/>
        <v>23</v>
      </c>
      <c r="G146" s="9" t="s">
        <v>175</v>
      </c>
      <c r="H146" s="3">
        <v>90</v>
      </c>
      <c r="I146" s="3" t="str">
        <f>VLOOKUP(A146,战役结算奖励!$A$1:$O$301,15,0)</f>
        <v>[{"id":14,"num":28},{"id":2,"num":1202000},{"id":1,"num":1200000}]</v>
      </c>
      <c r="J146" s="3" t="s">
        <v>33</v>
      </c>
      <c r="K146" s="3">
        <v>64</v>
      </c>
      <c r="L146" s="3" t="s">
        <v>514</v>
      </c>
      <c r="M146" s="3"/>
      <c r="N146" s="3">
        <v>4</v>
      </c>
      <c r="O146" s="3"/>
    </row>
    <row r="147" spans="1:15" x14ac:dyDescent="0.15">
      <c r="A147" s="3">
        <f t="shared" si="10"/>
        <v>1404024</v>
      </c>
      <c r="B147" s="3">
        <v>14</v>
      </c>
      <c r="C147" s="3">
        <v>0</v>
      </c>
      <c r="D147" s="3">
        <v>1</v>
      </c>
      <c r="E147" s="3">
        <f t="shared" si="9"/>
        <v>4</v>
      </c>
      <c r="F147" s="3">
        <f t="shared" si="11"/>
        <v>24</v>
      </c>
      <c r="G147" s="9" t="s">
        <v>176</v>
      </c>
      <c r="H147" s="3">
        <v>90</v>
      </c>
      <c r="I147" s="3" t="str">
        <f>VLOOKUP(A147,战役结算奖励!$A$1:$O$301,15,0)</f>
        <v>[{"id":14,"num":28},{"id":2,"num":1202000},{"id":1,"num":1200000}]</v>
      </c>
      <c r="J147" s="3" t="s">
        <v>33</v>
      </c>
      <c r="K147" s="3">
        <v>64</v>
      </c>
      <c r="L147" s="3" t="s">
        <v>514</v>
      </c>
      <c r="M147" s="3"/>
      <c r="N147" s="3">
        <v>4</v>
      </c>
      <c r="O147" s="3"/>
    </row>
    <row r="148" spans="1:15" x14ac:dyDescent="0.15">
      <c r="A148" s="3">
        <f t="shared" si="10"/>
        <v>1404025</v>
      </c>
      <c r="B148" s="3">
        <v>14</v>
      </c>
      <c r="C148" s="3">
        <v>0</v>
      </c>
      <c r="D148" s="3">
        <v>1</v>
      </c>
      <c r="E148" s="3">
        <f t="shared" si="9"/>
        <v>4</v>
      </c>
      <c r="F148" s="3">
        <f t="shared" si="11"/>
        <v>25</v>
      </c>
      <c r="G148" s="9" t="s">
        <v>177</v>
      </c>
      <c r="H148" s="3">
        <v>90</v>
      </c>
      <c r="I148" s="3" t="str">
        <f>VLOOKUP(A148,战役结算奖励!$A$1:$O$301,15,0)</f>
        <v>[{"id":14,"num":28},{"id":2,"num":1202000},{"id":1,"num":1200000}]</v>
      </c>
      <c r="J148" s="3" t="s">
        <v>33</v>
      </c>
      <c r="K148" s="3">
        <v>64</v>
      </c>
      <c r="L148" s="3" t="s">
        <v>514</v>
      </c>
      <c r="M148" s="3"/>
      <c r="N148" s="3">
        <v>4</v>
      </c>
      <c r="O148" s="3"/>
    </row>
    <row r="149" spans="1:15" x14ac:dyDescent="0.15">
      <c r="A149" s="3">
        <f t="shared" si="10"/>
        <v>1404026</v>
      </c>
      <c r="B149" s="3">
        <v>14</v>
      </c>
      <c r="C149" s="3">
        <v>0</v>
      </c>
      <c r="D149" s="3">
        <v>1</v>
      </c>
      <c r="E149" s="3">
        <f t="shared" si="9"/>
        <v>4</v>
      </c>
      <c r="F149" s="3">
        <f t="shared" si="11"/>
        <v>26</v>
      </c>
      <c r="G149" s="9" t="s">
        <v>178</v>
      </c>
      <c r="H149" s="3">
        <v>90</v>
      </c>
      <c r="I149" s="3" t="str">
        <f>VLOOKUP(A149,战役结算奖励!$A$1:$O$301,15,0)</f>
        <v>[{"id":14,"num":28},{"id":2,"num":1202000},{"id":1,"num":1200000}]</v>
      </c>
      <c r="J149" s="3" t="s">
        <v>33</v>
      </c>
      <c r="K149" s="3">
        <v>64</v>
      </c>
      <c r="L149" s="3" t="s">
        <v>514</v>
      </c>
      <c r="M149" s="3"/>
      <c r="N149" s="3">
        <v>4</v>
      </c>
      <c r="O149" s="3"/>
    </row>
    <row r="150" spans="1:15" x14ac:dyDescent="0.15">
      <c r="A150" s="3">
        <f t="shared" si="10"/>
        <v>1404027</v>
      </c>
      <c r="B150" s="3">
        <v>14</v>
      </c>
      <c r="C150" s="3">
        <v>0</v>
      </c>
      <c r="D150" s="3">
        <v>1</v>
      </c>
      <c r="E150" s="3">
        <f t="shared" si="9"/>
        <v>4</v>
      </c>
      <c r="F150" s="3">
        <f t="shared" si="11"/>
        <v>27</v>
      </c>
      <c r="G150" s="9" t="s">
        <v>179</v>
      </c>
      <c r="H150" s="3">
        <v>90</v>
      </c>
      <c r="I150" s="3" t="str">
        <f>VLOOKUP(A150,战役结算奖励!$A$1:$O$301,15,0)</f>
        <v>[{"id":14,"num":28},{"id":2,"num":1202000},{"id":1,"num":1200000}]</v>
      </c>
      <c r="J150" s="3" t="s">
        <v>33</v>
      </c>
      <c r="K150" s="3">
        <v>64</v>
      </c>
      <c r="L150" s="3" t="s">
        <v>514</v>
      </c>
      <c r="M150" s="3"/>
      <c r="N150" s="3">
        <v>4</v>
      </c>
      <c r="O150" s="3"/>
    </row>
    <row r="151" spans="1:15" x14ac:dyDescent="0.15">
      <c r="A151" s="3">
        <f t="shared" si="10"/>
        <v>1404028</v>
      </c>
      <c r="B151" s="3">
        <v>14</v>
      </c>
      <c r="C151" s="3">
        <v>0</v>
      </c>
      <c r="D151" s="3">
        <v>1</v>
      </c>
      <c r="E151" s="3">
        <f t="shared" si="9"/>
        <v>4</v>
      </c>
      <c r="F151" s="3">
        <f t="shared" si="11"/>
        <v>28</v>
      </c>
      <c r="G151" s="9" t="s">
        <v>180</v>
      </c>
      <c r="H151" s="3">
        <v>90</v>
      </c>
      <c r="I151" s="3" t="str">
        <f>VLOOKUP(A151,战役结算奖励!$A$1:$O$301,15,0)</f>
        <v>[{"id":14,"num":28},{"id":2,"num":1202000},{"id":1,"num":1200000}]</v>
      </c>
      <c r="J151" s="3" t="s">
        <v>33</v>
      </c>
      <c r="K151" s="3">
        <v>64</v>
      </c>
      <c r="L151" s="3" t="s">
        <v>514</v>
      </c>
      <c r="M151" s="3"/>
      <c r="N151" s="3">
        <v>4</v>
      </c>
      <c r="O151" s="3"/>
    </row>
    <row r="152" spans="1:15" x14ac:dyDescent="0.15">
      <c r="A152" s="3">
        <f t="shared" si="10"/>
        <v>1404029</v>
      </c>
      <c r="B152" s="3">
        <v>14</v>
      </c>
      <c r="C152" s="3">
        <v>0</v>
      </c>
      <c r="D152" s="3">
        <v>1</v>
      </c>
      <c r="E152" s="3">
        <f t="shared" si="9"/>
        <v>4</v>
      </c>
      <c r="F152" s="3">
        <f t="shared" si="11"/>
        <v>29</v>
      </c>
      <c r="G152" s="9" t="s">
        <v>181</v>
      </c>
      <c r="H152" s="3">
        <v>90</v>
      </c>
      <c r="I152" s="3" t="str">
        <f>VLOOKUP(A152,战役结算奖励!$A$1:$O$301,15,0)</f>
        <v>[{"id":14,"num":28},{"id":2,"num":1202000},{"id":1,"num":1200000}]</v>
      </c>
      <c r="J152" s="3" t="s">
        <v>33</v>
      </c>
      <c r="K152" s="3">
        <v>64</v>
      </c>
      <c r="L152" s="3" t="s">
        <v>514</v>
      </c>
      <c r="M152" s="3"/>
      <c r="N152" s="3">
        <v>4</v>
      </c>
      <c r="O152" s="3"/>
    </row>
    <row r="153" spans="1:15" s="4" customFormat="1" x14ac:dyDescent="0.15">
      <c r="A153" s="10">
        <f t="shared" si="10"/>
        <v>1404030</v>
      </c>
      <c r="B153" s="10">
        <v>14</v>
      </c>
      <c r="C153" s="10">
        <v>0</v>
      </c>
      <c r="D153" s="10">
        <v>1</v>
      </c>
      <c r="E153" s="10">
        <f t="shared" si="9"/>
        <v>4</v>
      </c>
      <c r="F153" s="10">
        <f t="shared" si="11"/>
        <v>30</v>
      </c>
      <c r="G153" s="9" t="s">
        <v>182</v>
      </c>
      <c r="H153" s="10">
        <v>90</v>
      </c>
      <c r="I153" s="10" t="str">
        <f>VLOOKUP(A153,战役结算奖励!$A$1:$O$301,15,0)</f>
        <v>[{"id":14,"num":28},{"id":2,"num":1202000},{"id":1,"num":1200000}]</v>
      </c>
      <c r="J153" s="10" t="s">
        <v>33</v>
      </c>
      <c r="K153" s="10">
        <v>64</v>
      </c>
      <c r="L153" s="3" t="s">
        <v>514</v>
      </c>
      <c r="M153" s="10"/>
      <c r="N153" s="3">
        <v>4</v>
      </c>
      <c r="O153" s="10"/>
    </row>
    <row r="154" spans="1:15" x14ac:dyDescent="0.15">
      <c r="A154" s="3">
        <f t="shared" si="10"/>
        <v>1404031</v>
      </c>
      <c r="B154" s="3">
        <v>14</v>
      </c>
      <c r="C154" s="3">
        <v>0</v>
      </c>
      <c r="D154" s="3">
        <v>1</v>
      </c>
      <c r="E154" s="3">
        <f t="shared" si="9"/>
        <v>4</v>
      </c>
      <c r="F154" s="3">
        <f t="shared" si="11"/>
        <v>31</v>
      </c>
      <c r="G154" s="9" t="s">
        <v>183</v>
      </c>
      <c r="H154" s="3">
        <v>90</v>
      </c>
      <c r="I154" s="3" t="str">
        <f>VLOOKUP(A154,战役结算奖励!$A$1:$O$301,15,0)</f>
        <v>[{"id":14,"num":28},{"id":2,"num":1202000},{"id":1,"num":1200000}]</v>
      </c>
      <c r="J154" s="3" t="s">
        <v>33</v>
      </c>
      <c r="K154" s="3">
        <v>64</v>
      </c>
      <c r="L154" s="3" t="s">
        <v>514</v>
      </c>
      <c r="M154" s="3"/>
      <c r="N154" s="3">
        <v>4</v>
      </c>
      <c r="O154" s="3"/>
    </row>
    <row r="155" spans="1:15" x14ac:dyDescent="0.15">
      <c r="A155" s="3">
        <f t="shared" si="10"/>
        <v>1404032</v>
      </c>
      <c r="B155" s="3">
        <v>14</v>
      </c>
      <c r="C155" s="3">
        <v>0</v>
      </c>
      <c r="D155" s="3">
        <v>1</v>
      </c>
      <c r="E155" s="3">
        <f t="shared" si="9"/>
        <v>4</v>
      </c>
      <c r="F155" s="3">
        <f t="shared" si="11"/>
        <v>32</v>
      </c>
      <c r="G155" s="9" t="s">
        <v>184</v>
      </c>
      <c r="H155" s="3">
        <v>90</v>
      </c>
      <c r="I155" s="3" t="str">
        <f>VLOOKUP(A155,战役结算奖励!$A$1:$O$301,15,0)</f>
        <v>[{"id":14,"num":28},{"id":2,"num":1202000},{"id":1,"num":1200000}]</v>
      </c>
      <c r="J155" s="3" t="s">
        <v>33</v>
      </c>
      <c r="K155" s="3">
        <v>64</v>
      </c>
      <c r="L155" s="3" t="s">
        <v>514</v>
      </c>
      <c r="M155" s="3"/>
      <c r="N155" s="3">
        <v>4</v>
      </c>
      <c r="O155" s="3"/>
    </row>
    <row r="156" spans="1:15" x14ac:dyDescent="0.15">
      <c r="A156" s="3">
        <f t="shared" si="10"/>
        <v>1404033</v>
      </c>
      <c r="B156" s="3">
        <v>14</v>
      </c>
      <c r="C156" s="3">
        <v>0</v>
      </c>
      <c r="D156" s="3">
        <v>1</v>
      </c>
      <c r="E156" s="3">
        <f t="shared" ref="E156:E168" si="12">E116+1</f>
        <v>4</v>
      </c>
      <c r="F156" s="3">
        <f t="shared" si="11"/>
        <v>33</v>
      </c>
      <c r="G156" s="9" t="s">
        <v>185</v>
      </c>
      <c r="H156" s="3">
        <v>90</v>
      </c>
      <c r="I156" s="3" t="str">
        <f>VLOOKUP(A156,战役结算奖励!$A$1:$O$301,15,0)</f>
        <v>[{"id":14,"num":28},{"id":2,"num":1202000},{"id":1,"num":1200000}]</v>
      </c>
      <c r="J156" s="3" t="s">
        <v>33</v>
      </c>
      <c r="K156" s="3">
        <v>64</v>
      </c>
      <c r="L156" s="3" t="s">
        <v>514</v>
      </c>
      <c r="M156" s="3"/>
      <c r="N156" s="3">
        <v>4</v>
      </c>
      <c r="O156" s="3"/>
    </row>
    <row r="157" spans="1:15" x14ac:dyDescent="0.15">
      <c r="A157" s="3">
        <f t="shared" si="10"/>
        <v>1404034</v>
      </c>
      <c r="B157" s="3">
        <v>14</v>
      </c>
      <c r="C157" s="3">
        <v>0</v>
      </c>
      <c r="D157" s="3">
        <v>1</v>
      </c>
      <c r="E157" s="3">
        <f t="shared" si="12"/>
        <v>4</v>
      </c>
      <c r="F157" s="3">
        <f t="shared" si="11"/>
        <v>34</v>
      </c>
      <c r="G157" s="9" t="s">
        <v>186</v>
      </c>
      <c r="H157" s="3">
        <v>90</v>
      </c>
      <c r="I157" s="3" t="str">
        <f>VLOOKUP(A157,战役结算奖励!$A$1:$O$301,15,0)</f>
        <v>[{"id":14,"num":28},{"id":2,"num":1202000},{"id":1,"num":1200000}]</v>
      </c>
      <c r="J157" s="3" t="s">
        <v>33</v>
      </c>
      <c r="K157" s="3">
        <v>64</v>
      </c>
      <c r="L157" s="3" t="s">
        <v>514</v>
      </c>
      <c r="M157" s="3"/>
      <c r="N157" s="3">
        <v>4</v>
      </c>
      <c r="O157" s="3"/>
    </row>
    <row r="158" spans="1:15" x14ac:dyDescent="0.15">
      <c r="A158" s="3">
        <f t="shared" si="10"/>
        <v>1404035</v>
      </c>
      <c r="B158" s="3">
        <v>14</v>
      </c>
      <c r="C158" s="3">
        <v>0</v>
      </c>
      <c r="D158" s="3">
        <v>1</v>
      </c>
      <c r="E158" s="3">
        <f t="shared" si="12"/>
        <v>4</v>
      </c>
      <c r="F158" s="3">
        <f t="shared" si="11"/>
        <v>35</v>
      </c>
      <c r="G158" s="9" t="s">
        <v>187</v>
      </c>
      <c r="H158" s="3">
        <v>90</v>
      </c>
      <c r="I158" s="3" t="str">
        <f>VLOOKUP(A158,战役结算奖励!$A$1:$O$301,15,0)</f>
        <v>[{"id":14,"num":28},{"id":2,"num":1202000},{"id":1,"num":1200000}]</v>
      </c>
      <c r="J158" s="3" t="s">
        <v>33</v>
      </c>
      <c r="K158" s="3">
        <v>64</v>
      </c>
      <c r="L158" s="3" t="s">
        <v>514</v>
      </c>
      <c r="M158" s="3"/>
      <c r="N158" s="3">
        <v>4</v>
      </c>
      <c r="O158" s="3"/>
    </row>
    <row r="159" spans="1:15" x14ac:dyDescent="0.15">
      <c r="A159" s="3">
        <f t="shared" si="10"/>
        <v>1404036</v>
      </c>
      <c r="B159" s="3">
        <v>14</v>
      </c>
      <c r="C159" s="3">
        <v>0</v>
      </c>
      <c r="D159" s="3">
        <v>1</v>
      </c>
      <c r="E159" s="3">
        <f t="shared" si="12"/>
        <v>4</v>
      </c>
      <c r="F159" s="3">
        <f t="shared" si="11"/>
        <v>36</v>
      </c>
      <c r="G159" s="9" t="s">
        <v>188</v>
      </c>
      <c r="H159" s="3">
        <v>90</v>
      </c>
      <c r="I159" s="3" t="str">
        <f>VLOOKUP(A159,战役结算奖励!$A$1:$O$301,15,0)</f>
        <v>[{"id":14,"num":28},{"id":2,"num":1202000},{"id":1,"num":1200000}]</v>
      </c>
      <c r="J159" s="3" t="s">
        <v>33</v>
      </c>
      <c r="K159" s="3">
        <v>64</v>
      </c>
      <c r="L159" s="3" t="s">
        <v>514</v>
      </c>
      <c r="M159" s="3"/>
      <c r="N159" s="3">
        <v>4</v>
      </c>
      <c r="O159" s="3"/>
    </row>
    <row r="160" spans="1:15" x14ac:dyDescent="0.15">
      <c r="A160" s="3">
        <f t="shared" si="10"/>
        <v>1404037</v>
      </c>
      <c r="B160" s="3">
        <v>14</v>
      </c>
      <c r="C160" s="3">
        <v>0</v>
      </c>
      <c r="D160" s="3">
        <v>1</v>
      </c>
      <c r="E160" s="3">
        <f t="shared" si="12"/>
        <v>4</v>
      </c>
      <c r="F160" s="3">
        <f t="shared" si="11"/>
        <v>37</v>
      </c>
      <c r="G160" s="9" t="s">
        <v>189</v>
      </c>
      <c r="H160" s="3">
        <v>90</v>
      </c>
      <c r="I160" s="3" t="str">
        <f>VLOOKUP(A160,战役结算奖励!$A$1:$O$301,15,0)</f>
        <v>[{"id":14,"num":28},{"id":2,"num":1202000},{"id":1,"num":1200000}]</v>
      </c>
      <c r="J160" s="3" t="s">
        <v>33</v>
      </c>
      <c r="K160" s="3">
        <v>64</v>
      </c>
      <c r="L160" s="3" t="s">
        <v>514</v>
      </c>
      <c r="M160" s="3"/>
      <c r="N160" s="3">
        <v>4</v>
      </c>
      <c r="O160" s="3"/>
    </row>
    <row r="161" spans="1:15" x14ac:dyDescent="0.15">
      <c r="A161" s="3">
        <f t="shared" si="10"/>
        <v>1404038</v>
      </c>
      <c r="B161" s="3">
        <v>14</v>
      </c>
      <c r="C161" s="3">
        <v>0</v>
      </c>
      <c r="D161" s="3">
        <v>1</v>
      </c>
      <c r="E161" s="3">
        <f t="shared" si="12"/>
        <v>4</v>
      </c>
      <c r="F161" s="3">
        <f t="shared" si="11"/>
        <v>38</v>
      </c>
      <c r="G161" s="9" t="s">
        <v>190</v>
      </c>
      <c r="H161" s="3">
        <v>90</v>
      </c>
      <c r="I161" s="3" t="str">
        <f>VLOOKUP(A161,战役结算奖励!$A$1:$O$301,15,0)</f>
        <v>[{"id":14,"num":28},{"id":2,"num":1202000},{"id":1,"num":1200000}]</v>
      </c>
      <c r="J161" s="3" t="s">
        <v>33</v>
      </c>
      <c r="K161" s="3">
        <v>64</v>
      </c>
      <c r="L161" s="3" t="s">
        <v>514</v>
      </c>
      <c r="M161" s="3"/>
      <c r="N161" s="3">
        <v>4</v>
      </c>
      <c r="O161" s="3"/>
    </row>
    <row r="162" spans="1:15" x14ac:dyDescent="0.15">
      <c r="A162" s="3">
        <f t="shared" si="10"/>
        <v>1404039</v>
      </c>
      <c r="B162" s="3">
        <v>14</v>
      </c>
      <c r="C162" s="3">
        <v>0</v>
      </c>
      <c r="D162" s="3">
        <v>1</v>
      </c>
      <c r="E162" s="3">
        <f t="shared" si="12"/>
        <v>4</v>
      </c>
      <c r="F162" s="3">
        <f t="shared" si="11"/>
        <v>39</v>
      </c>
      <c r="G162" s="9" t="s">
        <v>191</v>
      </c>
      <c r="H162" s="3">
        <v>90</v>
      </c>
      <c r="I162" s="3" t="str">
        <f>VLOOKUP(A162,战役结算奖励!$A$1:$O$301,15,0)</f>
        <v>[{"id":14,"num":28},{"id":2,"num":1202000},{"id":1,"num":1200000}]</v>
      </c>
      <c r="J162" s="3" t="s">
        <v>33</v>
      </c>
      <c r="K162" s="3">
        <v>64</v>
      </c>
      <c r="L162" s="3" t="s">
        <v>514</v>
      </c>
      <c r="M162" s="3"/>
      <c r="N162" s="3">
        <v>4</v>
      </c>
      <c r="O162" s="3"/>
    </row>
    <row r="163" spans="1:15" s="4" customFormat="1" x14ac:dyDescent="0.15">
      <c r="A163" s="10">
        <f t="shared" si="10"/>
        <v>1404040</v>
      </c>
      <c r="B163" s="10">
        <v>14</v>
      </c>
      <c r="C163" s="10">
        <v>0</v>
      </c>
      <c r="D163" s="10">
        <v>1</v>
      </c>
      <c r="E163" s="10">
        <f t="shared" si="12"/>
        <v>4</v>
      </c>
      <c r="F163" s="10">
        <f t="shared" ref="F163:F185" si="13">F123</f>
        <v>40</v>
      </c>
      <c r="G163" s="9" t="s">
        <v>192</v>
      </c>
      <c r="H163" s="10">
        <v>90</v>
      </c>
      <c r="I163" s="10" t="str">
        <f>VLOOKUP(A163,战役结算奖励!$A$1:$O$301,15,0)</f>
        <v>[{"id":14,"num":28},{"id":2,"num":1202000},{"id":1,"num":1200000}]</v>
      </c>
      <c r="J163" s="10" t="s">
        <v>33</v>
      </c>
      <c r="K163" s="10">
        <v>64</v>
      </c>
      <c r="L163" s="3" t="s">
        <v>1218</v>
      </c>
      <c r="M163" s="10"/>
      <c r="N163" s="3">
        <v>4</v>
      </c>
      <c r="O163" s="10">
        <v>1</v>
      </c>
    </row>
    <row r="164" spans="1:15" x14ac:dyDescent="0.15">
      <c r="A164" s="3">
        <f t="shared" si="10"/>
        <v>1405001</v>
      </c>
      <c r="B164" s="3">
        <v>14</v>
      </c>
      <c r="C164" s="3">
        <v>0</v>
      </c>
      <c r="D164" s="3">
        <v>1</v>
      </c>
      <c r="E164" s="3">
        <f t="shared" si="12"/>
        <v>5</v>
      </c>
      <c r="F164" s="3">
        <f t="shared" si="13"/>
        <v>1</v>
      </c>
      <c r="G164" s="9" t="s">
        <v>193</v>
      </c>
      <c r="H164" s="3">
        <v>90</v>
      </c>
      <c r="I164" s="3" t="str">
        <f>VLOOKUP(A164,战役结算奖励!$A$1:$O$301,15,0)</f>
        <v>[{"id":14,"num":28},{"id":2,"num":1210000},{"id":1,"num":1210000}]</v>
      </c>
      <c r="J164" s="3" t="s">
        <v>33</v>
      </c>
      <c r="K164" s="3">
        <v>65</v>
      </c>
      <c r="L164" s="3" t="s">
        <v>514</v>
      </c>
      <c r="M164" s="3"/>
      <c r="N164" s="3">
        <v>5</v>
      </c>
      <c r="O164" s="3"/>
    </row>
    <row r="165" spans="1:15" x14ac:dyDescent="0.15">
      <c r="A165" s="3">
        <f t="shared" si="10"/>
        <v>1405002</v>
      </c>
      <c r="B165" s="3">
        <v>14</v>
      </c>
      <c r="C165" s="3">
        <v>0</v>
      </c>
      <c r="D165" s="3">
        <v>1</v>
      </c>
      <c r="E165" s="3">
        <f t="shared" si="12"/>
        <v>5</v>
      </c>
      <c r="F165" s="3">
        <f t="shared" si="13"/>
        <v>2</v>
      </c>
      <c r="G165" s="9" t="s">
        <v>194</v>
      </c>
      <c r="H165" s="3">
        <v>90</v>
      </c>
      <c r="I165" s="3" t="str">
        <f>VLOOKUP(A165,战役结算奖励!$A$1:$O$301,15,0)</f>
        <v>[{"id":14,"num":28},{"id":2,"num":1210000},{"id":1,"num":1210000}]</v>
      </c>
      <c r="J165" s="3" t="s">
        <v>33</v>
      </c>
      <c r="K165" s="3">
        <v>65</v>
      </c>
      <c r="L165" s="3" t="s">
        <v>514</v>
      </c>
      <c r="M165" s="3"/>
      <c r="N165" s="3">
        <v>5</v>
      </c>
      <c r="O165" s="3"/>
    </row>
    <row r="166" spans="1:15" x14ac:dyDescent="0.15">
      <c r="A166" s="3">
        <f t="shared" si="10"/>
        <v>1405003</v>
      </c>
      <c r="B166" s="3">
        <v>14</v>
      </c>
      <c r="C166" s="3">
        <v>0</v>
      </c>
      <c r="D166" s="3">
        <v>1</v>
      </c>
      <c r="E166" s="3">
        <f t="shared" si="12"/>
        <v>5</v>
      </c>
      <c r="F166" s="3">
        <f t="shared" si="13"/>
        <v>3</v>
      </c>
      <c r="G166" s="9" t="s">
        <v>195</v>
      </c>
      <c r="H166" s="3">
        <v>90</v>
      </c>
      <c r="I166" s="3" t="str">
        <f>VLOOKUP(A166,战役结算奖励!$A$1:$O$301,15,0)</f>
        <v>[{"id":14,"num":28},{"id":2,"num":1210000},{"id":1,"num":1210000}]</v>
      </c>
      <c r="J166" s="3" t="s">
        <v>33</v>
      </c>
      <c r="K166" s="3">
        <v>65</v>
      </c>
      <c r="L166" s="3" t="s">
        <v>514</v>
      </c>
      <c r="M166" s="3"/>
      <c r="N166" s="3">
        <v>5</v>
      </c>
      <c r="O166" s="3"/>
    </row>
    <row r="167" spans="1:15" x14ac:dyDescent="0.15">
      <c r="A167" s="3">
        <f t="shared" si="10"/>
        <v>1405004</v>
      </c>
      <c r="B167" s="3">
        <v>14</v>
      </c>
      <c r="C167" s="3">
        <v>0</v>
      </c>
      <c r="D167" s="3">
        <v>1</v>
      </c>
      <c r="E167" s="3">
        <f t="shared" si="12"/>
        <v>5</v>
      </c>
      <c r="F167" s="3">
        <f t="shared" si="13"/>
        <v>4</v>
      </c>
      <c r="G167" s="9" t="s">
        <v>196</v>
      </c>
      <c r="H167" s="3">
        <v>90</v>
      </c>
      <c r="I167" s="3" t="str">
        <f>VLOOKUP(A167,战役结算奖励!$A$1:$O$301,15,0)</f>
        <v>[{"id":14,"num":28},{"id":2,"num":1210000},{"id":1,"num":1210000}]</v>
      </c>
      <c r="J167" s="3" t="s">
        <v>33</v>
      </c>
      <c r="K167" s="3">
        <v>65</v>
      </c>
      <c r="L167" s="3" t="s">
        <v>514</v>
      </c>
      <c r="M167" s="3"/>
      <c r="N167" s="3">
        <v>5</v>
      </c>
      <c r="O167" s="3"/>
    </row>
    <row r="168" spans="1:15" x14ac:dyDescent="0.15">
      <c r="A168" s="3">
        <f t="shared" si="10"/>
        <v>1405005</v>
      </c>
      <c r="B168" s="3">
        <v>14</v>
      </c>
      <c r="C168" s="3">
        <v>0</v>
      </c>
      <c r="D168" s="3">
        <v>1</v>
      </c>
      <c r="E168" s="3">
        <f t="shared" si="12"/>
        <v>5</v>
      </c>
      <c r="F168" s="3">
        <f t="shared" si="13"/>
        <v>5</v>
      </c>
      <c r="G168" s="9" t="s">
        <v>197</v>
      </c>
      <c r="H168" s="3">
        <v>90</v>
      </c>
      <c r="I168" s="3" t="str">
        <f>VLOOKUP(A168,战役结算奖励!$A$1:$O$301,15,0)</f>
        <v>[{"id":14,"num":28},{"id":2,"num":1210000},{"id":1,"num":1210000}]</v>
      </c>
      <c r="J168" s="3" t="s">
        <v>33</v>
      </c>
      <c r="K168" s="3">
        <v>65</v>
      </c>
      <c r="L168" s="3" t="s">
        <v>514</v>
      </c>
      <c r="M168" s="3"/>
      <c r="N168" s="3">
        <v>5</v>
      </c>
      <c r="O168" s="3"/>
    </row>
    <row r="169" spans="1:15" x14ac:dyDescent="0.15">
      <c r="A169" s="3">
        <f t="shared" si="10"/>
        <v>1405006</v>
      </c>
      <c r="B169" s="3">
        <v>14</v>
      </c>
      <c r="C169" s="3">
        <v>0</v>
      </c>
      <c r="D169" s="3">
        <v>1</v>
      </c>
      <c r="E169" s="3">
        <f t="shared" ref="E169:E188" si="14">E129+1</f>
        <v>5</v>
      </c>
      <c r="F169" s="3">
        <f t="shared" si="13"/>
        <v>6</v>
      </c>
      <c r="G169" s="9" t="s">
        <v>198</v>
      </c>
      <c r="H169" s="3">
        <v>90</v>
      </c>
      <c r="I169" s="3" t="str">
        <f>VLOOKUP(A169,战役结算奖励!$A$1:$O$301,15,0)</f>
        <v>[{"id":14,"num":28},{"id":2,"num":1210000},{"id":1,"num":1210000}]</v>
      </c>
      <c r="J169" s="3" t="s">
        <v>33</v>
      </c>
      <c r="K169" s="3">
        <v>65</v>
      </c>
      <c r="L169" s="3" t="s">
        <v>514</v>
      </c>
      <c r="M169" s="3"/>
      <c r="N169" s="3">
        <v>5</v>
      </c>
      <c r="O169" s="3"/>
    </row>
    <row r="170" spans="1:15" x14ac:dyDescent="0.15">
      <c r="A170" s="3">
        <f t="shared" si="10"/>
        <v>1405007</v>
      </c>
      <c r="B170" s="3">
        <v>14</v>
      </c>
      <c r="C170" s="3">
        <v>0</v>
      </c>
      <c r="D170" s="3">
        <v>1</v>
      </c>
      <c r="E170" s="3">
        <f t="shared" si="14"/>
        <v>5</v>
      </c>
      <c r="F170" s="3">
        <f t="shared" si="13"/>
        <v>7</v>
      </c>
      <c r="G170" s="9" t="s">
        <v>199</v>
      </c>
      <c r="H170" s="3">
        <v>90</v>
      </c>
      <c r="I170" s="3" t="str">
        <f>VLOOKUP(A170,战役结算奖励!$A$1:$O$301,15,0)</f>
        <v>[{"id":14,"num":28},{"id":2,"num":1210000},{"id":1,"num":1210000}]</v>
      </c>
      <c r="J170" s="3" t="s">
        <v>33</v>
      </c>
      <c r="K170" s="3">
        <v>65</v>
      </c>
      <c r="L170" s="3" t="s">
        <v>514</v>
      </c>
      <c r="M170" s="3"/>
      <c r="N170" s="3">
        <v>5</v>
      </c>
      <c r="O170" s="3"/>
    </row>
    <row r="171" spans="1:15" x14ac:dyDescent="0.15">
      <c r="A171" s="3">
        <f t="shared" si="10"/>
        <v>1405008</v>
      </c>
      <c r="B171" s="3">
        <v>14</v>
      </c>
      <c r="C171" s="3">
        <v>0</v>
      </c>
      <c r="D171" s="3">
        <v>1</v>
      </c>
      <c r="E171" s="3">
        <f t="shared" si="14"/>
        <v>5</v>
      </c>
      <c r="F171" s="3">
        <f t="shared" si="13"/>
        <v>8</v>
      </c>
      <c r="G171" s="9" t="s">
        <v>200</v>
      </c>
      <c r="H171" s="3">
        <v>90</v>
      </c>
      <c r="I171" s="3" t="str">
        <f>VLOOKUP(A171,战役结算奖励!$A$1:$O$301,15,0)</f>
        <v>[{"id":14,"num":28},{"id":2,"num":1210000},{"id":1,"num":1210000}]</v>
      </c>
      <c r="J171" s="3" t="s">
        <v>33</v>
      </c>
      <c r="K171" s="3">
        <v>65</v>
      </c>
      <c r="L171" s="3" t="s">
        <v>514</v>
      </c>
      <c r="M171" s="3"/>
      <c r="N171" s="3">
        <v>5</v>
      </c>
      <c r="O171" s="3"/>
    </row>
    <row r="172" spans="1:15" x14ac:dyDescent="0.15">
      <c r="A172" s="3">
        <f t="shared" si="10"/>
        <v>1405009</v>
      </c>
      <c r="B172" s="3">
        <v>14</v>
      </c>
      <c r="C172" s="3">
        <v>0</v>
      </c>
      <c r="D172" s="3">
        <v>1</v>
      </c>
      <c r="E172" s="3">
        <f t="shared" si="14"/>
        <v>5</v>
      </c>
      <c r="F172" s="3">
        <f t="shared" si="13"/>
        <v>9</v>
      </c>
      <c r="G172" s="9" t="s">
        <v>201</v>
      </c>
      <c r="H172" s="3">
        <v>90</v>
      </c>
      <c r="I172" s="3" t="str">
        <f>VLOOKUP(A172,战役结算奖励!$A$1:$O$301,15,0)</f>
        <v>[{"id":14,"num":28},{"id":2,"num":1210000},{"id":1,"num":1210000}]</v>
      </c>
      <c r="J172" s="3" t="s">
        <v>33</v>
      </c>
      <c r="K172" s="3">
        <v>65</v>
      </c>
      <c r="L172" s="3" t="s">
        <v>514</v>
      </c>
      <c r="M172" s="3"/>
      <c r="N172" s="3">
        <v>5</v>
      </c>
      <c r="O172" s="3"/>
    </row>
    <row r="173" spans="1:15" s="4" customFormat="1" x14ac:dyDescent="0.15">
      <c r="A173" s="10">
        <f t="shared" ref="A173:A201" si="15">B173*100000+E173*1000+F173</f>
        <v>1405010</v>
      </c>
      <c r="B173" s="10">
        <v>14</v>
      </c>
      <c r="C173" s="10">
        <v>0</v>
      </c>
      <c r="D173" s="10">
        <v>1</v>
      </c>
      <c r="E173" s="10">
        <f t="shared" si="14"/>
        <v>5</v>
      </c>
      <c r="F173" s="10">
        <f t="shared" si="13"/>
        <v>10</v>
      </c>
      <c r="G173" s="9" t="s">
        <v>202</v>
      </c>
      <c r="H173" s="10">
        <v>90</v>
      </c>
      <c r="I173" s="10" t="str">
        <f>VLOOKUP(A173,战役结算奖励!$A$1:$O$301,15,0)</f>
        <v>[{"id":14,"num":28},{"id":2,"num":1210000},{"id":1,"num":1210000}]</v>
      </c>
      <c r="J173" s="10" t="s">
        <v>33</v>
      </c>
      <c r="K173" s="10">
        <v>65</v>
      </c>
      <c r="L173" s="3" t="s">
        <v>514</v>
      </c>
      <c r="M173" s="10"/>
      <c r="N173" s="3">
        <v>5</v>
      </c>
      <c r="O173" s="10"/>
    </row>
    <row r="174" spans="1:15" x14ac:dyDescent="0.15">
      <c r="A174" s="3">
        <f t="shared" si="15"/>
        <v>1405011</v>
      </c>
      <c r="B174" s="3">
        <v>14</v>
      </c>
      <c r="C174" s="3">
        <v>0</v>
      </c>
      <c r="D174" s="3">
        <v>1</v>
      </c>
      <c r="E174" s="3">
        <f t="shared" si="14"/>
        <v>5</v>
      </c>
      <c r="F174" s="3">
        <f t="shared" si="13"/>
        <v>11</v>
      </c>
      <c r="G174" s="9" t="s">
        <v>203</v>
      </c>
      <c r="H174" s="3">
        <v>90</v>
      </c>
      <c r="I174" s="3" t="str">
        <f>VLOOKUP(A174,战役结算奖励!$A$1:$O$301,15,0)</f>
        <v>[{"id":14,"num":28},{"id":2,"num":1210000},{"id":1,"num":1210000}]</v>
      </c>
      <c r="J174" s="3" t="s">
        <v>33</v>
      </c>
      <c r="K174" s="3">
        <v>65</v>
      </c>
      <c r="L174" s="3" t="s">
        <v>514</v>
      </c>
      <c r="M174" s="3"/>
      <c r="N174" s="3">
        <v>5</v>
      </c>
      <c r="O174" s="3"/>
    </row>
    <row r="175" spans="1:15" x14ac:dyDescent="0.15">
      <c r="A175" s="3">
        <f t="shared" si="15"/>
        <v>1405012</v>
      </c>
      <c r="B175" s="3">
        <v>14</v>
      </c>
      <c r="C175" s="3">
        <v>0</v>
      </c>
      <c r="D175" s="3">
        <v>1</v>
      </c>
      <c r="E175" s="3">
        <f t="shared" si="14"/>
        <v>5</v>
      </c>
      <c r="F175" s="3">
        <f t="shared" si="13"/>
        <v>12</v>
      </c>
      <c r="G175" s="9" t="s">
        <v>204</v>
      </c>
      <c r="H175" s="3">
        <v>90</v>
      </c>
      <c r="I175" s="3" t="str">
        <f>VLOOKUP(A175,战役结算奖励!$A$1:$O$301,15,0)</f>
        <v>[{"id":14,"num":28},{"id":2,"num":1210000},{"id":1,"num":1210000}]</v>
      </c>
      <c r="J175" s="3" t="s">
        <v>33</v>
      </c>
      <c r="K175" s="3">
        <v>65</v>
      </c>
      <c r="L175" s="3" t="s">
        <v>514</v>
      </c>
      <c r="M175" s="3"/>
      <c r="N175" s="3">
        <v>5</v>
      </c>
      <c r="O175" s="3"/>
    </row>
    <row r="176" spans="1:15" x14ac:dyDescent="0.15">
      <c r="A176" s="3">
        <f t="shared" si="15"/>
        <v>1405013</v>
      </c>
      <c r="B176" s="3">
        <v>14</v>
      </c>
      <c r="C176" s="3">
        <v>0</v>
      </c>
      <c r="D176" s="3">
        <v>1</v>
      </c>
      <c r="E176" s="3">
        <f t="shared" si="14"/>
        <v>5</v>
      </c>
      <c r="F176" s="3">
        <f t="shared" si="13"/>
        <v>13</v>
      </c>
      <c r="G176" s="9" t="s">
        <v>205</v>
      </c>
      <c r="H176" s="3">
        <v>90</v>
      </c>
      <c r="I176" s="3" t="str">
        <f>VLOOKUP(A176,战役结算奖励!$A$1:$O$301,15,0)</f>
        <v>[{"id":14,"num":28},{"id":2,"num":1210000},{"id":1,"num":1210000}]</v>
      </c>
      <c r="J176" s="3" t="s">
        <v>33</v>
      </c>
      <c r="K176" s="3">
        <v>65</v>
      </c>
      <c r="L176" s="3" t="s">
        <v>514</v>
      </c>
      <c r="M176" s="3"/>
      <c r="N176" s="3">
        <v>5</v>
      </c>
      <c r="O176" s="3"/>
    </row>
    <row r="177" spans="1:15" x14ac:dyDescent="0.15">
      <c r="A177" s="3">
        <f t="shared" si="15"/>
        <v>1405014</v>
      </c>
      <c r="B177" s="3">
        <v>14</v>
      </c>
      <c r="C177" s="3">
        <v>0</v>
      </c>
      <c r="D177" s="3">
        <v>1</v>
      </c>
      <c r="E177" s="3">
        <f t="shared" si="14"/>
        <v>5</v>
      </c>
      <c r="F177" s="3">
        <f t="shared" si="13"/>
        <v>14</v>
      </c>
      <c r="G177" s="9" t="s">
        <v>206</v>
      </c>
      <c r="H177" s="3">
        <v>90</v>
      </c>
      <c r="I177" s="3" t="str">
        <f>VLOOKUP(A177,战役结算奖励!$A$1:$O$301,15,0)</f>
        <v>[{"id":14,"num":28},{"id":2,"num":1210000},{"id":1,"num":1210000}]</v>
      </c>
      <c r="J177" s="3" t="s">
        <v>33</v>
      </c>
      <c r="K177" s="3">
        <v>65</v>
      </c>
      <c r="L177" s="3" t="s">
        <v>514</v>
      </c>
      <c r="M177" s="3"/>
      <c r="N177" s="3">
        <v>5</v>
      </c>
      <c r="O177" s="3"/>
    </row>
    <row r="178" spans="1:15" x14ac:dyDescent="0.15">
      <c r="A178" s="3">
        <f t="shared" si="15"/>
        <v>1405015</v>
      </c>
      <c r="B178" s="3">
        <v>14</v>
      </c>
      <c r="C178" s="3">
        <v>0</v>
      </c>
      <c r="D178" s="3">
        <v>1</v>
      </c>
      <c r="E178" s="3">
        <f t="shared" si="14"/>
        <v>5</v>
      </c>
      <c r="F178" s="3">
        <f t="shared" si="13"/>
        <v>15</v>
      </c>
      <c r="G178" s="9" t="s">
        <v>207</v>
      </c>
      <c r="H178" s="3">
        <v>90</v>
      </c>
      <c r="I178" s="3" t="str">
        <f>VLOOKUP(A178,战役结算奖励!$A$1:$O$301,15,0)</f>
        <v>[{"id":14,"num":28},{"id":2,"num":1210000},{"id":1,"num":1210000}]</v>
      </c>
      <c r="J178" s="3" t="s">
        <v>33</v>
      </c>
      <c r="K178" s="3">
        <v>65</v>
      </c>
      <c r="L178" s="3" t="s">
        <v>514</v>
      </c>
      <c r="M178" s="3"/>
      <c r="N178" s="3">
        <v>5</v>
      </c>
      <c r="O178" s="3"/>
    </row>
    <row r="179" spans="1:15" x14ac:dyDescent="0.15">
      <c r="A179" s="3">
        <f t="shared" si="15"/>
        <v>1405016</v>
      </c>
      <c r="B179" s="3">
        <v>14</v>
      </c>
      <c r="C179" s="3">
        <v>0</v>
      </c>
      <c r="D179" s="3">
        <v>1</v>
      </c>
      <c r="E179" s="3">
        <f t="shared" si="14"/>
        <v>5</v>
      </c>
      <c r="F179" s="3">
        <f t="shared" si="13"/>
        <v>16</v>
      </c>
      <c r="G179" s="9" t="s">
        <v>208</v>
      </c>
      <c r="H179" s="3">
        <v>90</v>
      </c>
      <c r="I179" s="3" t="str">
        <f>VLOOKUP(A179,战役结算奖励!$A$1:$O$301,15,0)</f>
        <v>[{"id":14,"num":28},{"id":2,"num":1210000},{"id":1,"num":1210000}]</v>
      </c>
      <c r="J179" s="3" t="s">
        <v>33</v>
      </c>
      <c r="K179" s="3">
        <v>65</v>
      </c>
      <c r="L179" s="3" t="s">
        <v>514</v>
      </c>
      <c r="M179" s="3"/>
      <c r="N179" s="3">
        <v>5</v>
      </c>
      <c r="O179" s="3"/>
    </row>
    <row r="180" spans="1:15" x14ac:dyDescent="0.15">
      <c r="A180" s="3">
        <f t="shared" si="15"/>
        <v>1405017</v>
      </c>
      <c r="B180" s="3">
        <v>14</v>
      </c>
      <c r="C180" s="3">
        <v>0</v>
      </c>
      <c r="D180" s="3">
        <v>1</v>
      </c>
      <c r="E180" s="3">
        <f t="shared" si="14"/>
        <v>5</v>
      </c>
      <c r="F180" s="3">
        <f t="shared" si="13"/>
        <v>17</v>
      </c>
      <c r="G180" s="9" t="s">
        <v>209</v>
      </c>
      <c r="H180" s="3">
        <v>90</v>
      </c>
      <c r="I180" s="3" t="str">
        <f>VLOOKUP(A180,战役结算奖励!$A$1:$O$301,15,0)</f>
        <v>[{"id":14,"num":28},{"id":2,"num":1210000},{"id":1,"num":1210000}]</v>
      </c>
      <c r="J180" s="3" t="s">
        <v>33</v>
      </c>
      <c r="K180" s="3">
        <v>65</v>
      </c>
      <c r="L180" s="3" t="s">
        <v>514</v>
      </c>
      <c r="M180" s="3"/>
      <c r="N180" s="3">
        <v>5</v>
      </c>
      <c r="O180" s="3"/>
    </row>
    <row r="181" spans="1:15" x14ac:dyDescent="0.15">
      <c r="A181" s="3">
        <f t="shared" si="15"/>
        <v>1405018</v>
      </c>
      <c r="B181" s="3">
        <v>14</v>
      </c>
      <c r="C181" s="3">
        <v>0</v>
      </c>
      <c r="D181" s="3">
        <v>1</v>
      </c>
      <c r="E181" s="3">
        <f t="shared" si="14"/>
        <v>5</v>
      </c>
      <c r="F181" s="3">
        <f t="shared" si="13"/>
        <v>18</v>
      </c>
      <c r="G181" s="9" t="s">
        <v>210</v>
      </c>
      <c r="H181" s="3">
        <v>90</v>
      </c>
      <c r="I181" s="3" t="str">
        <f>VLOOKUP(A181,战役结算奖励!$A$1:$O$301,15,0)</f>
        <v>[{"id":14,"num":28},{"id":2,"num":1210000},{"id":1,"num":1210000}]</v>
      </c>
      <c r="J181" s="3" t="s">
        <v>33</v>
      </c>
      <c r="K181" s="3">
        <v>65</v>
      </c>
      <c r="L181" s="3" t="s">
        <v>514</v>
      </c>
      <c r="M181" s="3"/>
      <c r="N181" s="3">
        <v>5</v>
      </c>
      <c r="O181" s="3"/>
    </row>
    <row r="182" spans="1:15" x14ac:dyDescent="0.15">
      <c r="A182" s="3">
        <f t="shared" si="15"/>
        <v>1405019</v>
      </c>
      <c r="B182" s="3">
        <v>14</v>
      </c>
      <c r="C182" s="3">
        <v>0</v>
      </c>
      <c r="D182" s="3">
        <v>1</v>
      </c>
      <c r="E182" s="3">
        <f t="shared" si="14"/>
        <v>5</v>
      </c>
      <c r="F182" s="3">
        <f t="shared" si="13"/>
        <v>19</v>
      </c>
      <c r="G182" s="9" t="s">
        <v>211</v>
      </c>
      <c r="H182" s="3">
        <v>90</v>
      </c>
      <c r="I182" s="3" t="str">
        <f>VLOOKUP(A182,战役结算奖励!$A$1:$O$301,15,0)</f>
        <v>[{"id":14,"num":28},{"id":2,"num":1210000},{"id":1,"num":1210000}]</v>
      </c>
      <c r="J182" s="3" t="s">
        <v>33</v>
      </c>
      <c r="K182" s="3">
        <v>65</v>
      </c>
      <c r="L182" s="3" t="s">
        <v>514</v>
      </c>
      <c r="M182" s="3"/>
      <c r="N182" s="3">
        <v>5</v>
      </c>
      <c r="O182" s="3"/>
    </row>
    <row r="183" spans="1:15" s="4" customFormat="1" x14ac:dyDescent="0.15">
      <c r="A183" s="10">
        <f t="shared" si="15"/>
        <v>1405020</v>
      </c>
      <c r="B183" s="10">
        <v>14</v>
      </c>
      <c r="C183" s="10">
        <v>0</v>
      </c>
      <c r="D183" s="10">
        <v>1</v>
      </c>
      <c r="E183" s="10">
        <f t="shared" si="14"/>
        <v>5</v>
      </c>
      <c r="F183" s="10">
        <f t="shared" si="13"/>
        <v>20</v>
      </c>
      <c r="G183" s="9" t="s">
        <v>212</v>
      </c>
      <c r="H183" s="10">
        <v>90</v>
      </c>
      <c r="I183" s="10" t="str">
        <f>VLOOKUP(A183,战役结算奖励!$A$1:$O$301,15,0)</f>
        <v>[{"id":14,"num":28},{"id":2,"num":1210000},{"id":1,"num":1210000}]</v>
      </c>
      <c r="J183" s="10" t="s">
        <v>33</v>
      </c>
      <c r="K183" s="10">
        <v>65</v>
      </c>
      <c r="L183" s="3" t="s">
        <v>514</v>
      </c>
      <c r="M183" s="10"/>
      <c r="N183" s="3">
        <v>5</v>
      </c>
      <c r="O183" s="10"/>
    </row>
    <row r="184" spans="1:15" x14ac:dyDescent="0.15">
      <c r="A184" s="3">
        <f t="shared" si="15"/>
        <v>1405021</v>
      </c>
      <c r="B184" s="3">
        <v>14</v>
      </c>
      <c r="C184" s="3">
        <v>0</v>
      </c>
      <c r="D184" s="3">
        <v>1</v>
      </c>
      <c r="E184" s="3">
        <f t="shared" si="14"/>
        <v>5</v>
      </c>
      <c r="F184" s="3">
        <f t="shared" si="13"/>
        <v>21</v>
      </c>
      <c r="G184" s="9" t="s">
        <v>213</v>
      </c>
      <c r="H184" s="3">
        <v>90</v>
      </c>
      <c r="I184" s="3" t="str">
        <f>VLOOKUP(A184,战役结算奖励!$A$1:$O$301,15,0)</f>
        <v>[{"id":14,"num":32},{"id":2,"num":1220000},{"id":1,"num":1220000}]</v>
      </c>
      <c r="J184" s="3" t="s">
        <v>33</v>
      </c>
      <c r="K184" s="3">
        <v>65</v>
      </c>
      <c r="L184" s="3" t="s">
        <v>514</v>
      </c>
      <c r="M184" s="3"/>
      <c r="N184" s="3">
        <v>5</v>
      </c>
      <c r="O184" s="3"/>
    </row>
    <row r="185" spans="1:15" x14ac:dyDescent="0.15">
      <c r="A185" s="3">
        <f t="shared" si="15"/>
        <v>1405022</v>
      </c>
      <c r="B185" s="3">
        <v>14</v>
      </c>
      <c r="C185" s="3">
        <v>0</v>
      </c>
      <c r="D185" s="3">
        <v>1</v>
      </c>
      <c r="E185" s="3">
        <f t="shared" si="14"/>
        <v>5</v>
      </c>
      <c r="F185" s="3">
        <f t="shared" si="13"/>
        <v>22</v>
      </c>
      <c r="G185" s="9" t="s">
        <v>214</v>
      </c>
      <c r="H185" s="3">
        <v>90</v>
      </c>
      <c r="I185" s="3" t="str">
        <f>VLOOKUP(A185,战役结算奖励!$A$1:$O$301,15,0)</f>
        <v>[{"id":14,"num":32},{"id":2,"num":1220000},{"id":1,"num":1220000}]</v>
      </c>
      <c r="J185" s="3" t="s">
        <v>33</v>
      </c>
      <c r="K185" s="3">
        <v>65</v>
      </c>
      <c r="L185" s="3" t="s">
        <v>514</v>
      </c>
      <c r="M185" s="3"/>
      <c r="N185" s="3">
        <v>5</v>
      </c>
      <c r="O185" s="3"/>
    </row>
    <row r="186" spans="1:15" x14ac:dyDescent="0.15">
      <c r="A186" s="3">
        <f t="shared" si="15"/>
        <v>1405023</v>
      </c>
      <c r="B186" s="3">
        <v>14</v>
      </c>
      <c r="C186" s="3">
        <v>0</v>
      </c>
      <c r="D186" s="3">
        <v>1</v>
      </c>
      <c r="E186" s="3">
        <f t="shared" si="14"/>
        <v>5</v>
      </c>
      <c r="F186" s="3">
        <f t="shared" ref="F186:F203" si="16">F146</f>
        <v>23</v>
      </c>
      <c r="G186" s="9" t="s">
        <v>215</v>
      </c>
      <c r="H186" s="3">
        <v>90</v>
      </c>
      <c r="I186" s="3" t="str">
        <f>VLOOKUP(A186,战役结算奖励!$A$1:$O$301,15,0)</f>
        <v>[{"id":14,"num":32},{"id":2,"num":1220000},{"id":1,"num":1220000}]</v>
      </c>
      <c r="J186" s="3" t="s">
        <v>33</v>
      </c>
      <c r="K186" s="3">
        <v>65</v>
      </c>
      <c r="L186" s="3" t="s">
        <v>514</v>
      </c>
      <c r="M186" s="3"/>
      <c r="N186" s="3">
        <v>5</v>
      </c>
      <c r="O186" s="3"/>
    </row>
    <row r="187" spans="1:15" x14ac:dyDescent="0.15">
      <c r="A187" s="3">
        <f t="shared" si="15"/>
        <v>1405024</v>
      </c>
      <c r="B187" s="3">
        <v>14</v>
      </c>
      <c r="C187" s="3">
        <v>0</v>
      </c>
      <c r="D187" s="3">
        <v>1</v>
      </c>
      <c r="E187" s="3">
        <f t="shared" si="14"/>
        <v>5</v>
      </c>
      <c r="F187" s="3">
        <f t="shared" si="16"/>
        <v>24</v>
      </c>
      <c r="G187" s="9" t="s">
        <v>216</v>
      </c>
      <c r="H187" s="3">
        <v>90</v>
      </c>
      <c r="I187" s="3" t="str">
        <f>VLOOKUP(A187,战役结算奖励!$A$1:$O$301,15,0)</f>
        <v>[{"id":14,"num":32},{"id":2,"num":1220000},{"id":1,"num":1220000}]</v>
      </c>
      <c r="J187" s="3" t="s">
        <v>33</v>
      </c>
      <c r="K187" s="3">
        <v>65</v>
      </c>
      <c r="L187" s="3" t="s">
        <v>514</v>
      </c>
      <c r="M187" s="3"/>
      <c r="N187" s="3">
        <v>5</v>
      </c>
      <c r="O187" s="3"/>
    </row>
    <row r="188" spans="1:15" x14ac:dyDescent="0.15">
      <c r="A188" s="3">
        <f t="shared" si="15"/>
        <v>1405025</v>
      </c>
      <c r="B188" s="3">
        <v>14</v>
      </c>
      <c r="C188" s="3">
        <v>0</v>
      </c>
      <c r="D188" s="3">
        <v>1</v>
      </c>
      <c r="E188" s="3">
        <f t="shared" si="14"/>
        <v>5</v>
      </c>
      <c r="F188" s="3">
        <f t="shared" si="16"/>
        <v>25</v>
      </c>
      <c r="G188" s="9" t="s">
        <v>217</v>
      </c>
      <c r="H188" s="3">
        <v>90</v>
      </c>
      <c r="I188" s="3" t="str">
        <f>VLOOKUP(A188,战役结算奖励!$A$1:$O$301,15,0)</f>
        <v>[{"id":14,"num":32},{"id":2,"num":1220000},{"id":1,"num":1220000}]</v>
      </c>
      <c r="J188" s="3" t="s">
        <v>33</v>
      </c>
      <c r="K188" s="3">
        <v>65</v>
      </c>
      <c r="L188" s="3" t="s">
        <v>514</v>
      </c>
      <c r="M188" s="3"/>
      <c r="N188" s="3">
        <v>5</v>
      </c>
      <c r="O188" s="3"/>
    </row>
    <row r="189" spans="1:15" x14ac:dyDescent="0.15">
      <c r="A189" s="3">
        <f t="shared" si="15"/>
        <v>1405026</v>
      </c>
      <c r="B189" s="3">
        <v>14</v>
      </c>
      <c r="C189" s="3">
        <v>0</v>
      </c>
      <c r="D189" s="3">
        <v>1</v>
      </c>
      <c r="E189" s="3">
        <f t="shared" ref="E189:E209" si="17">E149+1</f>
        <v>5</v>
      </c>
      <c r="F189" s="3">
        <f t="shared" si="16"/>
        <v>26</v>
      </c>
      <c r="G189" s="9" t="s">
        <v>218</v>
      </c>
      <c r="H189" s="3">
        <v>90</v>
      </c>
      <c r="I189" s="3" t="str">
        <f>VLOOKUP(A189,战役结算奖励!$A$1:$O$301,15,0)</f>
        <v>[{"id":14,"num":32},{"id":2,"num":1220000},{"id":1,"num":1220000}]</v>
      </c>
      <c r="J189" s="3" t="s">
        <v>33</v>
      </c>
      <c r="K189" s="3">
        <v>65</v>
      </c>
      <c r="L189" s="3" t="s">
        <v>514</v>
      </c>
      <c r="M189" s="3"/>
      <c r="N189" s="3">
        <v>5</v>
      </c>
      <c r="O189" s="3"/>
    </row>
    <row r="190" spans="1:15" x14ac:dyDescent="0.15">
      <c r="A190" s="3">
        <f t="shared" si="15"/>
        <v>1405027</v>
      </c>
      <c r="B190" s="3">
        <v>14</v>
      </c>
      <c r="C190" s="3">
        <v>0</v>
      </c>
      <c r="D190" s="3">
        <v>1</v>
      </c>
      <c r="E190" s="3">
        <f t="shared" si="17"/>
        <v>5</v>
      </c>
      <c r="F190" s="3">
        <f t="shared" si="16"/>
        <v>27</v>
      </c>
      <c r="G190" s="9" t="s">
        <v>219</v>
      </c>
      <c r="H190" s="3">
        <v>90</v>
      </c>
      <c r="I190" s="3" t="str">
        <f>VLOOKUP(A190,战役结算奖励!$A$1:$O$301,15,0)</f>
        <v>[{"id":14,"num":32},{"id":2,"num":1220000},{"id":1,"num":1220000}]</v>
      </c>
      <c r="J190" s="3" t="s">
        <v>33</v>
      </c>
      <c r="K190" s="3">
        <v>65</v>
      </c>
      <c r="L190" s="3" t="s">
        <v>514</v>
      </c>
      <c r="M190" s="3"/>
      <c r="N190" s="3">
        <v>5</v>
      </c>
      <c r="O190" s="3"/>
    </row>
    <row r="191" spans="1:15" x14ac:dyDescent="0.15">
      <c r="A191" s="3">
        <f t="shared" si="15"/>
        <v>1405028</v>
      </c>
      <c r="B191" s="3">
        <v>14</v>
      </c>
      <c r="C191" s="3">
        <v>0</v>
      </c>
      <c r="D191" s="3">
        <v>1</v>
      </c>
      <c r="E191" s="3">
        <f t="shared" si="17"/>
        <v>5</v>
      </c>
      <c r="F191" s="3">
        <f t="shared" si="16"/>
        <v>28</v>
      </c>
      <c r="G191" s="9" t="s">
        <v>220</v>
      </c>
      <c r="H191" s="3">
        <v>90</v>
      </c>
      <c r="I191" s="3" t="str">
        <f>VLOOKUP(A191,战役结算奖励!$A$1:$O$301,15,0)</f>
        <v>[{"id":14,"num":32},{"id":2,"num":1220000},{"id":1,"num":1220000}]</v>
      </c>
      <c r="J191" s="3" t="s">
        <v>33</v>
      </c>
      <c r="K191" s="3">
        <v>65</v>
      </c>
      <c r="L191" s="3" t="s">
        <v>514</v>
      </c>
      <c r="M191" s="3"/>
      <c r="N191" s="3">
        <v>5</v>
      </c>
      <c r="O191" s="3"/>
    </row>
    <row r="192" spans="1:15" x14ac:dyDescent="0.15">
      <c r="A192" s="3">
        <f t="shared" si="15"/>
        <v>1405029</v>
      </c>
      <c r="B192" s="3">
        <v>14</v>
      </c>
      <c r="C192" s="3">
        <v>0</v>
      </c>
      <c r="D192" s="3">
        <v>1</v>
      </c>
      <c r="E192" s="3">
        <f t="shared" si="17"/>
        <v>5</v>
      </c>
      <c r="F192" s="3">
        <f t="shared" si="16"/>
        <v>29</v>
      </c>
      <c r="G192" s="9" t="s">
        <v>221</v>
      </c>
      <c r="H192" s="3">
        <v>90</v>
      </c>
      <c r="I192" s="3" t="str">
        <f>VLOOKUP(A192,战役结算奖励!$A$1:$O$301,15,0)</f>
        <v>[{"id":14,"num":32},{"id":2,"num":1220000},{"id":1,"num":1220000}]</v>
      </c>
      <c r="J192" s="3" t="s">
        <v>33</v>
      </c>
      <c r="K192" s="3">
        <v>65</v>
      </c>
      <c r="L192" s="3" t="s">
        <v>514</v>
      </c>
      <c r="M192" s="3"/>
      <c r="N192" s="3">
        <v>5</v>
      </c>
      <c r="O192" s="3"/>
    </row>
    <row r="193" spans="1:15" s="4" customFormat="1" x14ac:dyDescent="0.15">
      <c r="A193" s="10">
        <f t="shared" si="15"/>
        <v>1405030</v>
      </c>
      <c r="B193" s="10">
        <v>14</v>
      </c>
      <c r="C193" s="10">
        <v>0</v>
      </c>
      <c r="D193" s="10">
        <v>1</v>
      </c>
      <c r="E193" s="10">
        <f t="shared" si="17"/>
        <v>5</v>
      </c>
      <c r="F193" s="10">
        <f t="shared" si="16"/>
        <v>30</v>
      </c>
      <c r="G193" s="9" t="s">
        <v>222</v>
      </c>
      <c r="H193" s="10">
        <v>90</v>
      </c>
      <c r="I193" s="10" t="str">
        <f>VLOOKUP(A193,战役结算奖励!$A$1:$O$301,15,0)</f>
        <v>[{"id":14,"num":32},{"id":2,"num":1220000},{"id":1,"num":1220000}]</v>
      </c>
      <c r="J193" s="10" t="s">
        <v>33</v>
      </c>
      <c r="K193" s="10">
        <v>65</v>
      </c>
      <c r="L193" s="3" t="s">
        <v>514</v>
      </c>
      <c r="M193" s="10"/>
      <c r="N193" s="3">
        <v>5</v>
      </c>
      <c r="O193" s="10"/>
    </row>
    <row r="194" spans="1:15" x14ac:dyDescent="0.15">
      <c r="A194" s="3">
        <f t="shared" si="15"/>
        <v>1405031</v>
      </c>
      <c r="B194" s="3">
        <v>14</v>
      </c>
      <c r="C194" s="3">
        <v>0</v>
      </c>
      <c r="D194" s="3">
        <v>1</v>
      </c>
      <c r="E194" s="3">
        <f t="shared" si="17"/>
        <v>5</v>
      </c>
      <c r="F194" s="3">
        <f t="shared" si="16"/>
        <v>31</v>
      </c>
      <c r="G194" s="9" t="s">
        <v>223</v>
      </c>
      <c r="H194" s="3">
        <v>90</v>
      </c>
      <c r="I194" s="3" t="str">
        <f>VLOOKUP(A194,战役结算奖励!$A$1:$O$301,15,0)</f>
        <v>[{"id":14,"num":32},{"id":2,"num":1220000},{"id":1,"num":1220000}]</v>
      </c>
      <c r="J194" s="3" t="s">
        <v>33</v>
      </c>
      <c r="K194" s="3">
        <v>65</v>
      </c>
      <c r="L194" s="3" t="s">
        <v>514</v>
      </c>
      <c r="M194" s="3"/>
      <c r="N194" s="3">
        <v>5</v>
      </c>
      <c r="O194" s="3"/>
    </row>
    <row r="195" spans="1:15" x14ac:dyDescent="0.15">
      <c r="A195" s="3">
        <f t="shared" si="15"/>
        <v>1405032</v>
      </c>
      <c r="B195" s="3">
        <v>14</v>
      </c>
      <c r="C195" s="3">
        <v>0</v>
      </c>
      <c r="D195" s="3">
        <v>1</v>
      </c>
      <c r="E195" s="3">
        <f t="shared" si="17"/>
        <v>5</v>
      </c>
      <c r="F195" s="3">
        <f t="shared" si="16"/>
        <v>32</v>
      </c>
      <c r="G195" s="9" t="s">
        <v>224</v>
      </c>
      <c r="H195" s="3">
        <v>90</v>
      </c>
      <c r="I195" s="3" t="str">
        <f>VLOOKUP(A195,战役结算奖励!$A$1:$O$301,15,0)</f>
        <v>[{"id":14,"num":32},{"id":2,"num":1220000},{"id":1,"num":1220000}]</v>
      </c>
      <c r="J195" s="3" t="s">
        <v>33</v>
      </c>
      <c r="K195" s="3">
        <v>65</v>
      </c>
      <c r="L195" s="3" t="s">
        <v>514</v>
      </c>
      <c r="M195" s="3"/>
      <c r="N195" s="3">
        <v>5</v>
      </c>
      <c r="O195" s="3"/>
    </row>
    <row r="196" spans="1:15" x14ac:dyDescent="0.15">
      <c r="A196" s="3">
        <f t="shared" si="15"/>
        <v>1405033</v>
      </c>
      <c r="B196" s="3">
        <v>14</v>
      </c>
      <c r="C196" s="3">
        <v>0</v>
      </c>
      <c r="D196" s="3">
        <v>1</v>
      </c>
      <c r="E196" s="3">
        <f t="shared" si="17"/>
        <v>5</v>
      </c>
      <c r="F196" s="3">
        <f t="shared" si="16"/>
        <v>33</v>
      </c>
      <c r="G196" s="9" t="s">
        <v>225</v>
      </c>
      <c r="H196" s="3">
        <v>90</v>
      </c>
      <c r="I196" s="3" t="str">
        <f>VLOOKUP(A196,战役结算奖励!$A$1:$O$301,15,0)</f>
        <v>[{"id":14,"num":32},{"id":2,"num":1220000},{"id":1,"num":1220000}]</v>
      </c>
      <c r="J196" s="3" t="s">
        <v>33</v>
      </c>
      <c r="K196" s="3">
        <v>65</v>
      </c>
      <c r="L196" s="3" t="s">
        <v>514</v>
      </c>
      <c r="M196" s="3"/>
      <c r="N196" s="3">
        <v>5</v>
      </c>
      <c r="O196" s="3"/>
    </row>
    <row r="197" spans="1:15" x14ac:dyDescent="0.15">
      <c r="A197" s="3">
        <f t="shared" si="15"/>
        <v>1405034</v>
      </c>
      <c r="B197" s="3">
        <v>14</v>
      </c>
      <c r="C197" s="3">
        <v>0</v>
      </c>
      <c r="D197" s="3">
        <v>1</v>
      </c>
      <c r="E197" s="3">
        <f t="shared" si="17"/>
        <v>5</v>
      </c>
      <c r="F197" s="3">
        <f t="shared" si="16"/>
        <v>34</v>
      </c>
      <c r="G197" s="9" t="s">
        <v>226</v>
      </c>
      <c r="H197" s="3">
        <v>90</v>
      </c>
      <c r="I197" s="3" t="str">
        <f>VLOOKUP(A197,战役结算奖励!$A$1:$O$301,15,0)</f>
        <v>[{"id":14,"num":32},{"id":2,"num":1220000},{"id":1,"num":1220000}]</v>
      </c>
      <c r="J197" s="3" t="s">
        <v>33</v>
      </c>
      <c r="K197" s="3">
        <v>65</v>
      </c>
      <c r="L197" s="3" t="s">
        <v>514</v>
      </c>
      <c r="M197" s="3"/>
      <c r="N197" s="3">
        <v>5</v>
      </c>
      <c r="O197" s="3"/>
    </row>
    <row r="198" spans="1:15" x14ac:dyDescent="0.15">
      <c r="A198" s="3">
        <f t="shared" si="15"/>
        <v>1405035</v>
      </c>
      <c r="B198" s="3">
        <v>14</v>
      </c>
      <c r="C198" s="3">
        <v>0</v>
      </c>
      <c r="D198" s="3">
        <v>1</v>
      </c>
      <c r="E198" s="3">
        <f t="shared" si="17"/>
        <v>5</v>
      </c>
      <c r="F198" s="3">
        <f t="shared" si="16"/>
        <v>35</v>
      </c>
      <c r="G198" s="9" t="s">
        <v>227</v>
      </c>
      <c r="H198" s="3">
        <v>90</v>
      </c>
      <c r="I198" s="3" t="str">
        <f>VLOOKUP(A198,战役结算奖励!$A$1:$O$301,15,0)</f>
        <v>[{"id":14,"num":32},{"id":2,"num":1220000},{"id":1,"num":1220000}]</v>
      </c>
      <c r="J198" s="3" t="s">
        <v>33</v>
      </c>
      <c r="K198" s="3">
        <v>65</v>
      </c>
      <c r="L198" s="3" t="s">
        <v>514</v>
      </c>
      <c r="M198" s="3"/>
      <c r="N198" s="3">
        <v>5</v>
      </c>
      <c r="O198" s="3"/>
    </row>
    <row r="199" spans="1:15" x14ac:dyDescent="0.15">
      <c r="A199" s="3">
        <f t="shared" si="15"/>
        <v>1405036</v>
      </c>
      <c r="B199" s="3">
        <v>14</v>
      </c>
      <c r="C199" s="3">
        <v>0</v>
      </c>
      <c r="D199" s="3">
        <v>1</v>
      </c>
      <c r="E199" s="3">
        <f t="shared" si="17"/>
        <v>5</v>
      </c>
      <c r="F199" s="3">
        <f t="shared" si="16"/>
        <v>36</v>
      </c>
      <c r="G199" s="9" t="s">
        <v>228</v>
      </c>
      <c r="H199" s="3">
        <v>90</v>
      </c>
      <c r="I199" s="3" t="str">
        <f>VLOOKUP(A199,战役结算奖励!$A$1:$O$301,15,0)</f>
        <v>[{"id":14,"num":32},{"id":2,"num":1220000},{"id":1,"num":1220000}]</v>
      </c>
      <c r="J199" s="3" t="s">
        <v>33</v>
      </c>
      <c r="K199" s="3">
        <v>65</v>
      </c>
      <c r="L199" s="3" t="s">
        <v>514</v>
      </c>
      <c r="M199" s="3"/>
      <c r="N199" s="3">
        <v>5</v>
      </c>
      <c r="O199" s="3"/>
    </row>
    <row r="200" spans="1:15" x14ac:dyDescent="0.15">
      <c r="A200" s="3">
        <f t="shared" si="15"/>
        <v>1405037</v>
      </c>
      <c r="B200" s="3">
        <v>14</v>
      </c>
      <c r="C200" s="3">
        <v>0</v>
      </c>
      <c r="D200" s="3">
        <v>1</v>
      </c>
      <c r="E200" s="3">
        <f t="shared" si="17"/>
        <v>5</v>
      </c>
      <c r="F200" s="3">
        <f t="shared" si="16"/>
        <v>37</v>
      </c>
      <c r="G200" s="9" t="s">
        <v>229</v>
      </c>
      <c r="H200" s="3">
        <v>90</v>
      </c>
      <c r="I200" s="3" t="str">
        <f>VLOOKUP(A200,战役结算奖励!$A$1:$O$301,15,0)</f>
        <v>[{"id":14,"num":32},{"id":2,"num":1220000},{"id":1,"num":1220000}]</v>
      </c>
      <c r="J200" s="3" t="s">
        <v>33</v>
      </c>
      <c r="K200" s="3">
        <v>65</v>
      </c>
      <c r="L200" s="3" t="s">
        <v>514</v>
      </c>
      <c r="M200" s="3"/>
      <c r="N200" s="3">
        <v>5</v>
      </c>
      <c r="O200" s="3"/>
    </row>
    <row r="201" spans="1:15" x14ac:dyDescent="0.15">
      <c r="A201" s="3">
        <f t="shared" si="15"/>
        <v>1405038</v>
      </c>
      <c r="B201" s="3">
        <v>14</v>
      </c>
      <c r="C201" s="3">
        <v>0</v>
      </c>
      <c r="D201" s="3">
        <v>1</v>
      </c>
      <c r="E201" s="3">
        <f t="shared" si="17"/>
        <v>5</v>
      </c>
      <c r="F201" s="3">
        <f t="shared" si="16"/>
        <v>38</v>
      </c>
      <c r="G201" s="9" t="s">
        <v>230</v>
      </c>
      <c r="H201" s="3">
        <v>90</v>
      </c>
      <c r="I201" s="3" t="str">
        <f>VLOOKUP(A201,战役结算奖励!$A$1:$O$301,15,0)</f>
        <v>[{"id":14,"num":32},{"id":2,"num":1220000},{"id":1,"num":1220000}]</v>
      </c>
      <c r="J201" s="3" t="s">
        <v>33</v>
      </c>
      <c r="K201" s="3">
        <v>65</v>
      </c>
      <c r="L201" s="3" t="s">
        <v>514</v>
      </c>
      <c r="M201" s="3"/>
      <c r="N201" s="3">
        <v>5</v>
      </c>
      <c r="O201" s="3"/>
    </row>
    <row r="202" spans="1:15" x14ac:dyDescent="0.15">
      <c r="A202" s="3">
        <f t="shared" ref="A202:A223" si="18">B202*100000+E202*1000+F202</f>
        <v>1405039</v>
      </c>
      <c r="B202" s="3">
        <v>14</v>
      </c>
      <c r="C202" s="3">
        <v>0</v>
      </c>
      <c r="D202" s="3">
        <v>1</v>
      </c>
      <c r="E202" s="3">
        <f t="shared" si="17"/>
        <v>5</v>
      </c>
      <c r="F202" s="3">
        <f t="shared" si="16"/>
        <v>39</v>
      </c>
      <c r="G202" s="9" t="s">
        <v>231</v>
      </c>
      <c r="H202" s="3">
        <v>90</v>
      </c>
      <c r="I202" s="3" t="str">
        <f>VLOOKUP(A202,战役结算奖励!$A$1:$O$301,15,0)</f>
        <v>[{"id":14,"num":32},{"id":2,"num":1220000},{"id":1,"num":1220000}]</v>
      </c>
      <c r="J202" s="3" t="s">
        <v>33</v>
      </c>
      <c r="K202" s="3">
        <v>65</v>
      </c>
      <c r="L202" s="3" t="s">
        <v>514</v>
      </c>
      <c r="M202" s="3"/>
      <c r="N202" s="3">
        <v>5</v>
      </c>
      <c r="O202" s="3"/>
    </row>
    <row r="203" spans="1:15" s="4" customFormat="1" x14ac:dyDescent="0.15">
      <c r="A203" s="10">
        <f t="shared" si="18"/>
        <v>1405040</v>
      </c>
      <c r="B203" s="10">
        <v>14</v>
      </c>
      <c r="C203" s="10">
        <v>0</v>
      </c>
      <c r="D203" s="10">
        <v>1</v>
      </c>
      <c r="E203" s="10">
        <f t="shared" si="17"/>
        <v>5</v>
      </c>
      <c r="F203" s="10">
        <f t="shared" si="16"/>
        <v>40</v>
      </c>
      <c r="G203" s="9" t="s">
        <v>232</v>
      </c>
      <c r="H203" s="10">
        <v>90</v>
      </c>
      <c r="I203" s="10" t="str">
        <f>VLOOKUP(A203,战役结算奖励!$A$1:$O$301,15,0)</f>
        <v>[{"id":14,"num":32},{"id":2,"num":1220000},{"id":1,"num":1220000}]</v>
      </c>
      <c r="J203" s="10" t="s">
        <v>33</v>
      </c>
      <c r="K203" s="10">
        <v>65</v>
      </c>
      <c r="L203" s="3" t="s">
        <v>1219</v>
      </c>
      <c r="M203" s="10"/>
      <c r="N203" s="3">
        <v>5</v>
      </c>
      <c r="O203" s="10">
        <v>1</v>
      </c>
    </row>
    <row r="204" spans="1:15" x14ac:dyDescent="0.15">
      <c r="A204" s="3">
        <f t="shared" si="18"/>
        <v>1406001</v>
      </c>
      <c r="B204" s="3">
        <v>14</v>
      </c>
      <c r="C204" s="3">
        <v>0</v>
      </c>
      <c r="D204" s="3">
        <v>1</v>
      </c>
      <c r="E204" s="3">
        <f t="shared" si="17"/>
        <v>6</v>
      </c>
      <c r="F204" s="3">
        <f t="shared" ref="F204:F228" si="19">F164</f>
        <v>1</v>
      </c>
      <c r="G204" s="9" t="s">
        <v>233</v>
      </c>
      <c r="H204" s="3">
        <v>90</v>
      </c>
      <c r="I204" s="3" t="str">
        <f>VLOOKUP(A204,战役结算奖励!$A$1:$O$301,15,0)</f>
        <v>[{"id":14,"num":32},{"id":2,"num":1230000},{"id":1,"num":1230000}]</v>
      </c>
      <c r="J204" s="3" t="s">
        <v>33</v>
      </c>
      <c r="K204" s="3">
        <v>66</v>
      </c>
      <c r="L204" s="3" t="s">
        <v>514</v>
      </c>
      <c r="M204" s="3"/>
      <c r="N204" s="3">
        <v>6</v>
      </c>
      <c r="O204" s="3"/>
    </row>
    <row r="205" spans="1:15" x14ac:dyDescent="0.15">
      <c r="A205" s="3">
        <f t="shared" si="18"/>
        <v>1406002</v>
      </c>
      <c r="B205" s="3">
        <v>14</v>
      </c>
      <c r="C205" s="3">
        <v>0</v>
      </c>
      <c r="D205" s="3">
        <v>1</v>
      </c>
      <c r="E205" s="3">
        <f t="shared" si="17"/>
        <v>6</v>
      </c>
      <c r="F205" s="3">
        <f t="shared" si="19"/>
        <v>2</v>
      </c>
      <c r="G205" s="9" t="s">
        <v>234</v>
      </c>
      <c r="H205" s="3">
        <v>90</v>
      </c>
      <c r="I205" s="3" t="str">
        <f>VLOOKUP(A205,战役结算奖励!$A$1:$O$301,15,0)</f>
        <v>[{"id":14,"num":32},{"id":2,"num":1230000},{"id":1,"num":1230000}]</v>
      </c>
      <c r="J205" s="3" t="s">
        <v>33</v>
      </c>
      <c r="K205" s="3">
        <v>66</v>
      </c>
      <c r="L205" s="3" t="s">
        <v>514</v>
      </c>
      <c r="M205" s="3"/>
      <c r="N205" s="3">
        <v>6</v>
      </c>
      <c r="O205" s="3"/>
    </row>
    <row r="206" spans="1:15" x14ac:dyDescent="0.15">
      <c r="A206" s="3">
        <f t="shared" si="18"/>
        <v>1406003</v>
      </c>
      <c r="B206" s="3">
        <v>14</v>
      </c>
      <c r="C206" s="3">
        <v>0</v>
      </c>
      <c r="D206" s="3">
        <v>1</v>
      </c>
      <c r="E206" s="3">
        <f t="shared" si="17"/>
        <v>6</v>
      </c>
      <c r="F206" s="3">
        <f t="shared" si="19"/>
        <v>3</v>
      </c>
      <c r="G206" s="9" t="s">
        <v>235</v>
      </c>
      <c r="H206" s="3">
        <v>90</v>
      </c>
      <c r="I206" s="3" t="str">
        <f>VLOOKUP(A206,战役结算奖励!$A$1:$O$301,15,0)</f>
        <v>[{"id":14,"num":32},{"id":2,"num":1230000},{"id":1,"num":1230000}]</v>
      </c>
      <c r="J206" s="3" t="s">
        <v>33</v>
      </c>
      <c r="K206" s="3">
        <v>66</v>
      </c>
      <c r="L206" s="3" t="s">
        <v>514</v>
      </c>
      <c r="M206" s="3"/>
      <c r="N206" s="3">
        <v>6</v>
      </c>
      <c r="O206" s="3"/>
    </row>
    <row r="207" spans="1:15" x14ac:dyDescent="0.15">
      <c r="A207" s="3">
        <f t="shared" si="18"/>
        <v>1406004</v>
      </c>
      <c r="B207" s="3">
        <v>14</v>
      </c>
      <c r="C207" s="3">
        <v>0</v>
      </c>
      <c r="D207" s="3">
        <v>1</v>
      </c>
      <c r="E207" s="3">
        <f t="shared" si="17"/>
        <v>6</v>
      </c>
      <c r="F207" s="3">
        <f t="shared" si="19"/>
        <v>4</v>
      </c>
      <c r="G207" s="9" t="s">
        <v>236</v>
      </c>
      <c r="H207" s="3">
        <v>90</v>
      </c>
      <c r="I207" s="3" t="str">
        <f>VLOOKUP(A207,战役结算奖励!$A$1:$O$301,15,0)</f>
        <v>[{"id":14,"num":32},{"id":2,"num":1230000},{"id":1,"num":1230000}]</v>
      </c>
      <c r="J207" s="3" t="s">
        <v>33</v>
      </c>
      <c r="K207" s="3">
        <v>66</v>
      </c>
      <c r="L207" s="3" t="s">
        <v>514</v>
      </c>
      <c r="M207" s="3"/>
      <c r="N207" s="3">
        <v>6</v>
      </c>
      <c r="O207" s="3"/>
    </row>
    <row r="208" spans="1:15" x14ac:dyDescent="0.15">
      <c r="A208" s="3">
        <f t="shared" si="18"/>
        <v>1406005</v>
      </c>
      <c r="B208" s="3">
        <v>14</v>
      </c>
      <c r="C208" s="3">
        <v>0</v>
      </c>
      <c r="D208" s="3">
        <v>1</v>
      </c>
      <c r="E208" s="3">
        <f t="shared" si="17"/>
        <v>6</v>
      </c>
      <c r="F208" s="3">
        <f t="shared" si="19"/>
        <v>5</v>
      </c>
      <c r="G208" s="9" t="s">
        <v>237</v>
      </c>
      <c r="H208" s="3">
        <v>90</v>
      </c>
      <c r="I208" s="3" t="str">
        <f>VLOOKUP(A208,战役结算奖励!$A$1:$O$301,15,0)</f>
        <v>[{"id":14,"num":32},{"id":2,"num":1230000},{"id":1,"num":1230000}]</v>
      </c>
      <c r="J208" s="3" t="s">
        <v>33</v>
      </c>
      <c r="K208" s="3">
        <v>66</v>
      </c>
      <c r="L208" s="3" t="s">
        <v>514</v>
      </c>
      <c r="M208" s="3"/>
      <c r="N208" s="3">
        <v>6</v>
      </c>
      <c r="O208" s="3"/>
    </row>
    <row r="209" spans="1:15" x14ac:dyDescent="0.15">
      <c r="A209" s="3">
        <f t="shared" si="18"/>
        <v>1406006</v>
      </c>
      <c r="B209" s="3">
        <v>14</v>
      </c>
      <c r="C209" s="3">
        <v>0</v>
      </c>
      <c r="D209" s="3">
        <v>1</v>
      </c>
      <c r="E209" s="3">
        <f t="shared" si="17"/>
        <v>6</v>
      </c>
      <c r="F209" s="3">
        <f t="shared" si="19"/>
        <v>6</v>
      </c>
      <c r="G209" s="9" t="s">
        <v>238</v>
      </c>
      <c r="H209" s="3">
        <v>90</v>
      </c>
      <c r="I209" s="3" t="str">
        <f>VLOOKUP(A209,战役结算奖励!$A$1:$O$301,15,0)</f>
        <v>[{"id":14,"num":32},{"id":2,"num":1230000},{"id":1,"num":1230000}]</v>
      </c>
      <c r="J209" s="3" t="s">
        <v>33</v>
      </c>
      <c r="K209" s="3">
        <v>66</v>
      </c>
      <c r="L209" s="3" t="s">
        <v>514</v>
      </c>
      <c r="M209" s="3"/>
      <c r="N209" s="3">
        <v>6</v>
      </c>
      <c r="O209" s="3"/>
    </row>
    <row r="210" spans="1:15" x14ac:dyDescent="0.15">
      <c r="A210" s="3">
        <f t="shared" si="18"/>
        <v>1406007</v>
      </c>
      <c r="B210" s="3">
        <v>14</v>
      </c>
      <c r="C210" s="3">
        <v>0</v>
      </c>
      <c r="D210" s="3">
        <v>1</v>
      </c>
      <c r="E210" s="3">
        <f t="shared" ref="E210:E233" si="20">E170+1</f>
        <v>6</v>
      </c>
      <c r="F210" s="3">
        <f t="shared" si="19"/>
        <v>7</v>
      </c>
      <c r="G210" s="9" t="s">
        <v>239</v>
      </c>
      <c r="H210" s="3">
        <v>90</v>
      </c>
      <c r="I210" s="3" t="str">
        <f>VLOOKUP(A210,战役结算奖励!$A$1:$O$301,15,0)</f>
        <v>[{"id":14,"num":32},{"id":2,"num":1230000},{"id":1,"num":1230000}]</v>
      </c>
      <c r="J210" s="3" t="s">
        <v>33</v>
      </c>
      <c r="K210" s="3">
        <v>66</v>
      </c>
      <c r="L210" s="3" t="s">
        <v>514</v>
      </c>
      <c r="M210" s="3"/>
      <c r="N210" s="3">
        <v>6</v>
      </c>
      <c r="O210" s="3"/>
    </row>
    <row r="211" spans="1:15" x14ac:dyDescent="0.15">
      <c r="A211" s="3">
        <f t="shared" si="18"/>
        <v>1406008</v>
      </c>
      <c r="B211" s="3">
        <v>14</v>
      </c>
      <c r="C211" s="3">
        <v>0</v>
      </c>
      <c r="D211" s="3">
        <v>1</v>
      </c>
      <c r="E211" s="3">
        <f t="shared" si="20"/>
        <v>6</v>
      </c>
      <c r="F211" s="3">
        <f t="shared" si="19"/>
        <v>8</v>
      </c>
      <c r="G211" s="9" t="s">
        <v>240</v>
      </c>
      <c r="H211" s="3">
        <v>90</v>
      </c>
      <c r="I211" s="3" t="str">
        <f>VLOOKUP(A211,战役结算奖励!$A$1:$O$301,15,0)</f>
        <v>[{"id":14,"num":32},{"id":2,"num":1230000},{"id":1,"num":1230000}]</v>
      </c>
      <c r="J211" s="3" t="s">
        <v>33</v>
      </c>
      <c r="K211" s="3">
        <v>66</v>
      </c>
      <c r="L211" s="3" t="s">
        <v>514</v>
      </c>
      <c r="M211" s="3"/>
      <c r="N211" s="3">
        <v>6</v>
      </c>
      <c r="O211" s="3"/>
    </row>
    <row r="212" spans="1:15" x14ac:dyDescent="0.15">
      <c r="A212" s="3">
        <f t="shared" si="18"/>
        <v>1406009</v>
      </c>
      <c r="B212" s="3">
        <v>14</v>
      </c>
      <c r="C212" s="3">
        <v>0</v>
      </c>
      <c r="D212" s="3">
        <v>1</v>
      </c>
      <c r="E212" s="3">
        <f t="shared" si="20"/>
        <v>6</v>
      </c>
      <c r="F212" s="3">
        <f t="shared" si="19"/>
        <v>9</v>
      </c>
      <c r="G212" s="9" t="s">
        <v>241</v>
      </c>
      <c r="H212" s="3">
        <v>90</v>
      </c>
      <c r="I212" s="3" t="str">
        <f>VLOOKUP(A212,战役结算奖励!$A$1:$O$301,15,0)</f>
        <v>[{"id":14,"num":32},{"id":2,"num":1230000},{"id":1,"num":1230000}]</v>
      </c>
      <c r="J212" s="3" t="s">
        <v>33</v>
      </c>
      <c r="K212" s="3">
        <v>66</v>
      </c>
      <c r="L212" s="3" t="s">
        <v>514</v>
      </c>
      <c r="M212" s="3"/>
      <c r="N212" s="3">
        <v>6</v>
      </c>
      <c r="O212" s="3"/>
    </row>
    <row r="213" spans="1:15" s="4" customFormat="1" x14ac:dyDescent="0.15">
      <c r="A213" s="10">
        <f t="shared" si="18"/>
        <v>1406010</v>
      </c>
      <c r="B213" s="10">
        <v>14</v>
      </c>
      <c r="C213" s="10">
        <v>0</v>
      </c>
      <c r="D213" s="10">
        <v>1</v>
      </c>
      <c r="E213" s="10">
        <f t="shared" si="20"/>
        <v>6</v>
      </c>
      <c r="F213" s="10">
        <f t="shared" si="19"/>
        <v>10</v>
      </c>
      <c r="G213" s="9" t="s">
        <v>242</v>
      </c>
      <c r="H213" s="10">
        <v>90</v>
      </c>
      <c r="I213" s="10" t="str">
        <f>VLOOKUP(A213,战役结算奖励!$A$1:$O$301,15,0)</f>
        <v>[{"id":14,"num":32},{"id":2,"num":1230000},{"id":1,"num":1230000}]</v>
      </c>
      <c r="J213" s="10" t="s">
        <v>33</v>
      </c>
      <c r="K213" s="10">
        <v>66</v>
      </c>
      <c r="L213" s="3" t="s">
        <v>514</v>
      </c>
      <c r="M213" s="10"/>
      <c r="N213" s="3">
        <v>6</v>
      </c>
      <c r="O213" s="10"/>
    </row>
    <row r="214" spans="1:15" x14ac:dyDescent="0.15">
      <c r="A214" s="3">
        <f t="shared" si="18"/>
        <v>1406011</v>
      </c>
      <c r="B214" s="3">
        <v>14</v>
      </c>
      <c r="C214" s="3">
        <v>0</v>
      </c>
      <c r="D214" s="3">
        <v>1</v>
      </c>
      <c r="E214" s="3">
        <f t="shared" si="20"/>
        <v>6</v>
      </c>
      <c r="F214" s="3">
        <f t="shared" si="19"/>
        <v>11</v>
      </c>
      <c r="G214" s="9" t="s">
        <v>243</v>
      </c>
      <c r="H214" s="3">
        <v>90</v>
      </c>
      <c r="I214" s="3" t="str">
        <f>VLOOKUP(A214,战役结算奖励!$A$1:$O$301,15,0)</f>
        <v>[{"id":14,"num":32},{"id":2,"num":1230000},{"id":1,"num":1230000}]</v>
      </c>
      <c r="J214" s="3" t="s">
        <v>33</v>
      </c>
      <c r="K214" s="3">
        <v>66</v>
      </c>
      <c r="L214" s="3" t="s">
        <v>514</v>
      </c>
      <c r="M214" s="3"/>
      <c r="N214" s="3">
        <v>6</v>
      </c>
      <c r="O214" s="3"/>
    </row>
    <row r="215" spans="1:15" x14ac:dyDescent="0.15">
      <c r="A215" s="3">
        <f t="shared" si="18"/>
        <v>1406012</v>
      </c>
      <c r="B215" s="3">
        <v>14</v>
      </c>
      <c r="C215" s="3">
        <v>0</v>
      </c>
      <c r="D215" s="3">
        <v>1</v>
      </c>
      <c r="E215" s="3">
        <f t="shared" si="20"/>
        <v>6</v>
      </c>
      <c r="F215" s="3">
        <f t="shared" si="19"/>
        <v>12</v>
      </c>
      <c r="G215" s="9" t="s">
        <v>244</v>
      </c>
      <c r="H215" s="3">
        <v>90</v>
      </c>
      <c r="I215" s="3" t="str">
        <f>VLOOKUP(A215,战役结算奖励!$A$1:$O$301,15,0)</f>
        <v>[{"id":14,"num":32},{"id":2,"num":1230000},{"id":1,"num":1230000}]</v>
      </c>
      <c r="J215" s="3" t="s">
        <v>33</v>
      </c>
      <c r="K215" s="3">
        <v>66</v>
      </c>
      <c r="L215" s="3" t="s">
        <v>514</v>
      </c>
      <c r="M215" s="3"/>
      <c r="N215" s="3">
        <v>6</v>
      </c>
      <c r="O215" s="3"/>
    </row>
    <row r="216" spans="1:15" x14ac:dyDescent="0.15">
      <c r="A216" s="3">
        <f t="shared" si="18"/>
        <v>1406013</v>
      </c>
      <c r="B216" s="3">
        <v>14</v>
      </c>
      <c r="C216" s="3">
        <v>0</v>
      </c>
      <c r="D216" s="3">
        <v>1</v>
      </c>
      <c r="E216" s="3">
        <f t="shared" si="20"/>
        <v>6</v>
      </c>
      <c r="F216" s="3">
        <f t="shared" si="19"/>
        <v>13</v>
      </c>
      <c r="G216" s="9" t="s">
        <v>245</v>
      </c>
      <c r="H216" s="3">
        <v>90</v>
      </c>
      <c r="I216" s="3" t="str">
        <f>VLOOKUP(A216,战役结算奖励!$A$1:$O$301,15,0)</f>
        <v>[{"id":14,"num":32},{"id":2,"num":1230000},{"id":1,"num":1230000}]</v>
      </c>
      <c r="J216" s="3" t="s">
        <v>33</v>
      </c>
      <c r="K216" s="3">
        <v>66</v>
      </c>
      <c r="L216" s="3" t="s">
        <v>514</v>
      </c>
      <c r="M216" s="3"/>
      <c r="N216" s="3">
        <v>6</v>
      </c>
      <c r="O216" s="3"/>
    </row>
    <row r="217" spans="1:15" x14ac:dyDescent="0.15">
      <c r="A217" s="3">
        <f t="shared" si="18"/>
        <v>1406014</v>
      </c>
      <c r="B217" s="3">
        <v>14</v>
      </c>
      <c r="C217" s="3">
        <v>0</v>
      </c>
      <c r="D217" s="3">
        <v>1</v>
      </c>
      <c r="E217" s="3">
        <f t="shared" si="20"/>
        <v>6</v>
      </c>
      <c r="F217" s="3">
        <f t="shared" si="19"/>
        <v>14</v>
      </c>
      <c r="G217" s="9" t="s">
        <v>246</v>
      </c>
      <c r="H217" s="3">
        <v>90</v>
      </c>
      <c r="I217" s="3" t="str">
        <f>VLOOKUP(A217,战役结算奖励!$A$1:$O$301,15,0)</f>
        <v>[{"id":14,"num":32},{"id":2,"num":1230000},{"id":1,"num":1230000}]</v>
      </c>
      <c r="J217" s="3" t="s">
        <v>33</v>
      </c>
      <c r="K217" s="3">
        <v>66</v>
      </c>
      <c r="L217" s="3" t="s">
        <v>514</v>
      </c>
      <c r="M217" s="3"/>
      <c r="N217" s="3">
        <v>6</v>
      </c>
      <c r="O217" s="3"/>
    </row>
    <row r="218" spans="1:15" x14ac:dyDescent="0.15">
      <c r="A218" s="3">
        <f t="shared" si="18"/>
        <v>1406015</v>
      </c>
      <c r="B218" s="3">
        <v>14</v>
      </c>
      <c r="C218" s="3">
        <v>0</v>
      </c>
      <c r="D218" s="3">
        <v>1</v>
      </c>
      <c r="E218" s="3">
        <f t="shared" si="20"/>
        <v>6</v>
      </c>
      <c r="F218" s="3">
        <f t="shared" si="19"/>
        <v>15</v>
      </c>
      <c r="G218" s="9" t="s">
        <v>247</v>
      </c>
      <c r="H218" s="3">
        <v>90</v>
      </c>
      <c r="I218" s="3" t="str">
        <f>VLOOKUP(A218,战役结算奖励!$A$1:$O$301,15,0)</f>
        <v>[{"id":14,"num":32},{"id":2,"num":1230000},{"id":1,"num":1230000}]</v>
      </c>
      <c r="J218" s="3" t="s">
        <v>33</v>
      </c>
      <c r="K218" s="3">
        <v>66</v>
      </c>
      <c r="L218" s="3" t="s">
        <v>514</v>
      </c>
      <c r="M218" s="3"/>
      <c r="N218" s="3">
        <v>6</v>
      </c>
      <c r="O218" s="3"/>
    </row>
    <row r="219" spans="1:15" x14ac:dyDescent="0.15">
      <c r="A219" s="3">
        <f t="shared" si="18"/>
        <v>1406016</v>
      </c>
      <c r="B219" s="3">
        <v>14</v>
      </c>
      <c r="C219" s="3">
        <v>0</v>
      </c>
      <c r="D219" s="3">
        <v>1</v>
      </c>
      <c r="E219" s="3">
        <f t="shared" si="20"/>
        <v>6</v>
      </c>
      <c r="F219" s="3">
        <f t="shared" si="19"/>
        <v>16</v>
      </c>
      <c r="G219" s="9" t="s">
        <v>248</v>
      </c>
      <c r="H219" s="3">
        <v>90</v>
      </c>
      <c r="I219" s="3" t="str">
        <f>VLOOKUP(A219,战役结算奖励!$A$1:$O$301,15,0)</f>
        <v>[{"id":14,"num":32},{"id":2,"num":1230000},{"id":1,"num":1230000}]</v>
      </c>
      <c r="J219" s="3" t="s">
        <v>33</v>
      </c>
      <c r="K219" s="3">
        <v>66</v>
      </c>
      <c r="L219" s="3" t="s">
        <v>514</v>
      </c>
      <c r="M219" s="3"/>
      <c r="N219" s="3">
        <v>6</v>
      </c>
      <c r="O219" s="3"/>
    </row>
    <row r="220" spans="1:15" x14ac:dyDescent="0.15">
      <c r="A220" s="3">
        <f t="shared" si="18"/>
        <v>1406017</v>
      </c>
      <c r="B220" s="3">
        <v>14</v>
      </c>
      <c r="C220" s="3">
        <v>0</v>
      </c>
      <c r="D220" s="3">
        <v>1</v>
      </c>
      <c r="E220" s="3">
        <f t="shared" si="20"/>
        <v>6</v>
      </c>
      <c r="F220" s="3">
        <f t="shared" si="19"/>
        <v>17</v>
      </c>
      <c r="G220" s="9" t="s">
        <v>249</v>
      </c>
      <c r="H220" s="3">
        <v>90</v>
      </c>
      <c r="I220" s="3" t="str">
        <f>VLOOKUP(A220,战役结算奖励!$A$1:$O$301,15,0)</f>
        <v>[{"id":14,"num":32},{"id":2,"num":1230000},{"id":1,"num":1230000}]</v>
      </c>
      <c r="J220" s="3" t="s">
        <v>33</v>
      </c>
      <c r="K220" s="3">
        <v>66</v>
      </c>
      <c r="L220" s="3" t="s">
        <v>514</v>
      </c>
      <c r="M220" s="3"/>
      <c r="N220" s="3">
        <v>6</v>
      </c>
      <c r="O220" s="3"/>
    </row>
    <row r="221" spans="1:15" x14ac:dyDescent="0.15">
      <c r="A221" s="3">
        <f t="shared" si="18"/>
        <v>1406018</v>
      </c>
      <c r="B221" s="3">
        <v>14</v>
      </c>
      <c r="C221" s="3">
        <v>0</v>
      </c>
      <c r="D221" s="3">
        <v>1</v>
      </c>
      <c r="E221" s="3">
        <f t="shared" si="20"/>
        <v>6</v>
      </c>
      <c r="F221" s="3">
        <f t="shared" si="19"/>
        <v>18</v>
      </c>
      <c r="G221" s="9" t="s">
        <v>250</v>
      </c>
      <c r="H221" s="3">
        <v>90</v>
      </c>
      <c r="I221" s="3" t="str">
        <f>VLOOKUP(A221,战役结算奖励!$A$1:$O$301,15,0)</f>
        <v>[{"id":14,"num":32},{"id":2,"num":1230000},{"id":1,"num":1230000}]</v>
      </c>
      <c r="J221" s="3" t="s">
        <v>33</v>
      </c>
      <c r="K221" s="3">
        <v>66</v>
      </c>
      <c r="L221" s="3" t="s">
        <v>514</v>
      </c>
      <c r="M221" s="3"/>
      <c r="N221" s="3">
        <v>6</v>
      </c>
      <c r="O221" s="3"/>
    </row>
    <row r="222" spans="1:15" x14ac:dyDescent="0.15">
      <c r="A222" s="3">
        <f t="shared" si="18"/>
        <v>1406019</v>
      </c>
      <c r="B222" s="3">
        <v>14</v>
      </c>
      <c r="C222" s="3">
        <v>0</v>
      </c>
      <c r="D222" s="3">
        <v>1</v>
      </c>
      <c r="E222" s="3">
        <f t="shared" si="20"/>
        <v>6</v>
      </c>
      <c r="F222" s="3">
        <f t="shared" si="19"/>
        <v>19</v>
      </c>
      <c r="G222" s="9" t="s">
        <v>251</v>
      </c>
      <c r="H222" s="3">
        <v>90</v>
      </c>
      <c r="I222" s="3" t="str">
        <f>VLOOKUP(A222,战役结算奖励!$A$1:$O$301,15,0)</f>
        <v>[{"id":14,"num":32},{"id":2,"num":1230000},{"id":1,"num":1230000}]</v>
      </c>
      <c r="J222" s="3" t="s">
        <v>33</v>
      </c>
      <c r="K222" s="3">
        <v>66</v>
      </c>
      <c r="L222" s="3" t="s">
        <v>514</v>
      </c>
      <c r="M222" s="3"/>
      <c r="N222" s="3">
        <v>6</v>
      </c>
      <c r="O222" s="3"/>
    </row>
    <row r="223" spans="1:15" s="4" customFormat="1" x14ac:dyDescent="0.15">
      <c r="A223" s="10">
        <f t="shared" si="18"/>
        <v>1406020</v>
      </c>
      <c r="B223" s="10">
        <v>14</v>
      </c>
      <c r="C223" s="10">
        <v>0</v>
      </c>
      <c r="D223" s="10">
        <v>1</v>
      </c>
      <c r="E223" s="10">
        <f t="shared" si="20"/>
        <v>6</v>
      </c>
      <c r="F223" s="10">
        <f t="shared" si="19"/>
        <v>20</v>
      </c>
      <c r="G223" s="9" t="s">
        <v>252</v>
      </c>
      <c r="H223" s="10">
        <v>90</v>
      </c>
      <c r="I223" s="10" t="str">
        <f>VLOOKUP(A223,战役结算奖励!$A$1:$O$301,15,0)</f>
        <v>[{"id":14,"num":32},{"id":2,"num":1230000},{"id":1,"num":1230000}]</v>
      </c>
      <c r="J223" s="10" t="s">
        <v>33</v>
      </c>
      <c r="K223" s="10">
        <v>66</v>
      </c>
      <c r="L223" s="3" t="s">
        <v>514</v>
      </c>
      <c r="M223" s="10"/>
      <c r="N223" s="3">
        <v>6</v>
      </c>
      <c r="O223" s="10"/>
    </row>
    <row r="224" spans="1:15" x14ac:dyDescent="0.15">
      <c r="A224" s="3">
        <f t="shared" ref="A224:A255" si="21">B224*100000+E224*1000+F224</f>
        <v>1406021</v>
      </c>
      <c r="B224" s="3">
        <v>14</v>
      </c>
      <c r="C224" s="3">
        <v>0</v>
      </c>
      <c r="D224" s="3">
        <v>1</v>
      </c>
      <c r="E224" s="3">
        <f t="shared" si="20"/>
        <v>6</v>
      </c>
      <c r="F224" s="3">
        <f t="shared" si="19"/>
        <v>21</v>
      </c>
      <c r="G224" s="9" t="s">
        <v>253</v>
      </c>
      <c r="H224" s="3">
        <v>90</v>
      </c>
      <c r="I224" s="3" t="str">
        <f>VLOOKUP(A224,战役结算奖励!$A$1:$O$301,15,0)</f>
        <v>[{"id":14,"num":36},{"id":2,"num":1264000},{"id":1,"num":1260000}]</v>
      </c>
      <c r="J224" s="3" t="s">
        <v>33</v>
      </c>
      <c r="K224" s="3">
        <v>66</v>
      </c>
      <c r="L224" s="3" t="s">
        <v>514</v>
      </c>
      <c r="M224" s="3"/>
      <c r="N224" s="3">
        <v>6</v>
      </c>
      <c r="O224" s="3"/>
    </row>
    <row r="225" spans="1:15" x14ac:dyDescent="0.15">
      <c r="A225" s="3">
        <f t="shared" si="21"/>
        <v>1406022</v>
      </c>
      <c r="B225" s="3">
        <v>14</v>
      </c>
      <c r="C225" s="3">
        <v>0</v>
      </c>
      <c r="D225" s="3">
        <v>1</v>
      </c>
      <c r="E225" s="3">
        <f t="shared" si="20"/>
        <v>6</v>
      </c>
      <c r="F225" s="3">
        <f t="shared" si="19"/>
        <v>22</v>
      </c>
      <c r="G225" s="9" t="s">
        <v>254</v>
      </c>
      <c r="H225" s="3">
        <v>90</v>
      </c>
      <c r="I225" s="3" t="str">
        <f>VLOOKUP(A225,战役结算奖励!$A$1:$O$301,15,0)</f>
        <v>[{"id":14,"num":36},{"id":2,"num":1264000},{"id":1,"num":1260000}]</v>
      </c>
      <c r="J225" s="3" t="s">
        <v>33</v>
      </c>
      <c r="K225" s="3">
        <v>66</v>
      </c>
      <c r="L225" s="3" t="s">
        <v>514</v>
      </c>
      <c r="M225" s="3"/>
      <c r="N225" s="3">
        <v>6</v>
      </c>
      <c r="O225" s="3"/>
    </row>
    <row r="226" spans="1:15" x14ac:dyDescent="0.15">
      <c r="A226" s="3">
        <f t="shared" si="21"/>
        <v>1406023</v>
      </c>
      <c r="B226" s="3">
        <v>14</v>
      </c>
      <c r="C226" s="3">
        <v>0</v>
      </c>
      <c r="D226" s="3">
        <v>1</v>
      </c>
      <c r="E226" s="3">
        <f t="shared" si="20"/>
        <v>6</v>
      </c>
      <c r="F226" s="3">
        <f t="shared" si="19"/>
        <v>23</v>
      </c>
      <c r="G226" s="9" t="s">
        <v>255</v>
      </c>
      <c r="H226" s="3">
        <v>90</v>
      </c>
      <c r="I226" s="3" t="str">
        <f>VLOOKUP(A226,战役结算奖励!$A$1:$O$301,15,0)</f>
        <v>[{"id":14,"num":36},{"id":2,"num":1264000},{"id":1,"num":1260000}]</v>
      </c>
      <c r="J226" s="3" t="s">
        <v>33</v>
      </c>
      <c r="K226" s="3">
        <v>66</v>
      </c>
      <c r="L226" s="3" t="s">
        <v>514</v>
      </c>
      <c r="M226" s="3"/>
      <c r="N226" s="3">
        <v>6</v>
      </c>
      <c r="O226" s="3"/>
    </row>
    <row r="227" spans="1:15" x14ac:dyDescent="0.15">
      <c r="A227" s="3">
        <f t="shared" si="21"/>
        <v>1406024</v>
      </c>
      <c r="B227" s="3">
        <v>14</v>
      </c>
      <c r="C227" s="3">
        <v>0</v>
      </c>
      <c r="D227" s="3">
        <v>1</v>
      </c>
      <c r="E227" s="3">
        <f t="shared" si="20"/>
        <v>6</v>
      </c>
      <c r="F227" s="3">
        <f t="shared" si="19"/>
        <v>24</v>
      </c>
      <c r="G227" s="9" t="s">
        <v>256</v>
      </c>
      <c r="H227" s="3">
        <v>90</v>
      </c>
      <c r="I227" s="3" t="str">
        <f>VLOOKUP(A227,战役结算奖励!$A$1:$O$301,15,0)</f>
        <v>[{"id":14,"num":36},{"id":2,"num":1264000},{"id":1,"num":1260000}]</v>
      </c>
      <c r="J227" s="3" t="s">
        <v>33</v>
      </c>
      <c r="K227" s="3">
        <v>66</v>
      </c>
      <c r="L227" s="3" t="s">
        <v>514</v>
      </c>
      <c r="M227" s="3"/>
      <c r="N227" s="3">
        <v>6</v>
      </c>
      <c r="O227" s="3"/>
    </row>
    <row r="228" spans="1:15" x14ac:dyDescent="0.15">
      <c r="A228" s="3">
        <f t="shared" si="21"/>
        <v>1406025</v>
      </c>
      <c r="B228" s="3">
        <v>14</v>
      </c>
      <c r="C228" s="3">
        <v>0</v>
      </c>
      <c r="D228" s="3">
        <v>1</v>
      </c>
      <c r="E228" s="3">
        <f t="shared" si="20"/>
        <v>6</v>
      </c>
      <c r="F228" s="3">
        <f t="shared" si="19"/>
        <v>25</v>
      </c>
      <c r="G228" s="9" t="s">
        <v>257</v>
      </c>
      <c r="H228" s="3">
        <v>90</v>
      </c>
      <c r="I228" s="3" t="str">
        <f>VLOOKUP(A228,战役结算奖励!$A$1:$O$301,15,0)</f>
        <v>[{"id":14,"num":36},{"id":2,"num":1264000},{"id":1,"num":1260000}]</v>
      </c>
      <c r="J228" s="3" t="s">
        <v>33</v>
      </c>
      <c r="K228" s="3">
        <v>66</v>
      </c>
      <c r="L228" s="3" t="s">
        <v>514</v>
      </c>
      <c r="M228" s="3"/>
      <c r="N228" s="3">
        <v>6</v>
      </c>
      <c r="O228" s="3"/>
    </row>
    <row r="229" spans="1:15" x14ac:dyDescent="0.15">
      <c r="A229" s="3">
        <f t="shared" si="21"/>
        <v>1406026</v>
      </c>
      <c r="B229" s="3">
        <v>14</v>
      </c>
      <c r="C229" s="3">
        <v>0</v>
      </c>
      <c r="D229" s="3">
        <v>1</v>
      </c>
      <c r="E229" s="3">
        <f t="shared" si="20"/>
        <v>6</v>
      </c>
      <c r="F229" s="3">
        <f t="shared" ref="F229:F253" si="22">F189</f>
        <v>26</v>
      </c>
      <c r="G229" s="9" t="s">
        <v>258</v>
      </c>
      <c r="H229" s="3">
        <v>90</v>
      </c>
      <c r="I229" s="3" t="str">
        <f>VLOOKUP(A229,战役结算奖励!$A$1:$O$301,15,0)</f>
        <v>[{"id":14,"num":36},{"id":2,"num":1264000},{"id":1,"num":1260000}]</v>
      </c>
      <c r="J229" s="3" t="s">
        <v>33</v>
      </c>
      <c r="K229" s="3">
        <v>66</v>
      </c>
      <c r="L229" s="3" t="s">
        <v>514</v>
      </c>
      <c r="M229" s="3"/>
      <c r="N229" s="3">
        <v>6</v>
      </c>
      <c r="O229" s="3"/>
    </row>
    <row r="230" spans="1:15" x14ac:dyDescent="0.15">
      <c r="A230" s="3">
        <f t="shared" si="21"/>
        <v>1406027</v>
      </c>
      <c r="B230" s="3">
        <v>14</v>
      </c>
      <c r="C230" s="3">
        <v>0</v>
      </c>
      <c r="D230" s="3">
        <v>1</v>
      </c>
      <c r="E230" s="3">
        <f t="shared" si="20"/>
        <v>6</v>
      </c>
      <c r="F230" s="3">
        <f t="shared" si="22"/>
        <v>27</v>
      </c>
      <c r="G230" s="9" t="s">
        <v>259</v>
      </c>
      <c r="H230" s="3">
        <v>90</v>
      </c>
      <c r="I230" s="3" t="str">
        <f>VLOOKUP(A230,战役结算奖励!$A$1:$O$301,15,0)</f>
        <v>[{"id":14,"num":36},{"id":2,"num":1264000},{"id":1,"num":1260000}]</v>
      </c>
      <c r="J230" s="3" t="s">
        <v>33</v>
      </c>
      <c r="K230" s="3">
        <v>66</v>
      </c>
      <c r="L230" s="3" t="s">
        <v>514</v>
      </c>
      <c r="M230" s="3"/>
      <c r="N230" s="3">
        <v>6</v>
      </c>
      <c r="O230" s="3"/>
    </row>
    <row r="231" spans="1:15" x14ac:dyDescent="0.15">
      <c r="A231" s="3">
        <f t="shared" si="21"/>
        <v>1406028</v>
      </c>
      <c r="B231" s="3">
        <v>14</v>
      </c>
      <c r="C231" s="3">
        <v>0</v>
      </c>
      <c r="D231" s="3">
        <v>1</v>
      </c>
      <c r="E231" s="3">
        <f t="shared" si="20"/>
        <v>6</v>
      </c>
      <c r="F231" s="3">
        <f t="shared" si="22"/>
        <v>28</v>
      </c>
      <c r="G231" s="9" t="s">
        <v>260</v>
      </c>
      <c r="H231" s="3">
        <v>90</v>
      </c>
      <c r="I231" s="3" t="str">
        <f>VLOOKUP(A231,战役结算奖励!$A$1:$O$301,15,0)</f>
        <v>[{"id":14,"num":36},{"id":2,"num":1264000},{"id":1,"num":1260000}]</v>
      </c>
      <c r="J231" s="3" t="s">
        <v>33</v>
      </c>
      <c r="K231" s="3">
        <v>66</v>
      </c>
      <c r="L231" s="3" t="s">
        <v>514</v>
      </c>
      <c r="M231" s="3"/>
      <c r="N231" s="3">
        <v>6</v>
      </c>
      <c r="O231" s="3"/>
    </row>
    <row r="232" spans="1:15" x14ac:dyDescent="0.15">
      <c r="A232" s="3">
        <f t="shared" si="21"/>
        <v>1406029</v>
      </c>
      <c r="B232" s="3">
        <v>14</v>
      </c>
      <c r="C232" s="3">
        <v>0</v>
      </c>
      <c r="D232" s="3">
        <v>1</v>
      </c>
      <c r="E232" s="3">
        <f t="shared" si="20"/>
        <v>6</v>
      </c>
      <c r="F232" s="3">
        <f t="shared" si="22"/>
        <v>29</v>
      </c>
      <c r="G232" s="9" t="s">
        <v>261</v>
      </c>
      <c r="H232" s="3">
        <v>90</v>
      </c>
      <c r="I232" s="3" t="str">
        <f>VLOOKUP(A232,战役结算奖励!$A$1:$O$301,15,0)</f>
        <v>[{"id":14,"num":36},{"id":2,"num":1264000},{"id":1,"num":1260000}]</v>
      </c>
      <c r="J232" s="3" t="s">
        <v>33</v>
      </c>
      <c r="K232" s="3">
        <v>66</v>
      </c>
      <c r="L232" s="3" t="s">
        <v>514</v>
      </c>
      <c r="M232" s="3"/>
      <c r="N232" s="3">
        <v>6</v>
      </c>
      <c r="O232" s="3"/>
    </row>
    <row r="233" spans="1:15" s="4" customFormat="1" x14ac:dyDescent="0.15">
      <c r="A233" s="10">
        <f t="shared" si="21"/>
        <v>1406030</v>
      </c>
      <c r="B233" s="10">
        <v>14</v>
      </c>
      <c r="C233" s="10">
        <v>0</v>
      </c>
      <c r="D233" s="10">
        <v>1</v>
      </c>
      <c r="E233" s="10">
        <f t="shared" si="20"/>
        <v>6</v>
      </c>
      <c r="F233" s="10">
        <f t="shared" si="22"/>
        <v>30</v>
      </c>
      <c r="G233" s="9" t="s">
        <v>262</v>
      </c>
      <c r="H233" s="10">
        <v>90</v>
      </c>
      <c r="I233" s="10" t="str">
        <f>VLOOKUP(A233,战役结算奖励!$A$1:$O$301,15,0)</f>
        <v>[{"id":14,"num":36},{"id":2,"num":1264000},{"id":1,"num":1260000}]</v>
      </c>
      <c r="J233" s="10" t="s">
        <v>33</v>
      </c>
      <c r="K233" s="10">
        <v>66</v>
      </c>
      <c r="L233" s="3" t="s">
        <v>514</v>
      </c>
      <c r="M233" s="10"/>
      <c r="N233" s="3">
        <v>6</v>
      </c>
      <c r="O233" s="10"/>
    </row>
    <row r="234" spans="1:15" x14ac:dyDescent="0.15">
      <c r="A234" s="3">
        <f t="shared" si="21"/>
        <v>1406031</v>
      </c>
      <c r="B234" s="3">
        <v>14</v>
      </c>
      <c r="C234" s="3">
        <v>0</v>
      </c>
      <c r="D234" s="3">
        <v>1</v>
      </c>
      <c r="E234" s="3">
        <f t="shared" ref="E234:E262" si="23">E194+1</f>
        <v>6</v>
      </c>
      <c r="F234" s="3">
        <f t="shared" si="22"/>
        <v>31</v>
      </c>
      <c r="G234" s="9" t="s">
        <v>263</v>
      </c>
      <c r="H234" s="3">
        <v>90</v>
      </c>
      <c r="I234" s="3" t="str">
        <f>VLOOKUP(A234,战役结算奖励!$A$1:$O$301,15,0)</f>
        <v>[{"id":14,"num":36},{"id":2,"num":1264000},{"id":1,"num":1260000}]</v>
      </c>
      <c r="J234" s="3" t="s">
        <v>33</v>
      </c>
      <c r="K234" s="3">
        <v>66</v>
      </c>
      <c r="L234" s="3" t="s">
        <v>514</v>
      </c>
      <c r="M234" s="3"/>
      <c r="N234" s="3">
        <v>6</v>
      </c>
      <c r="O234" s="3"/>
    </row>
    <row r="235" spans="1:15" x14ac:dyDescent="0.15">
      <c r="A235" s="3">
        <f t="shared" si="21"/>
        <v>1406032</v>
      </c>
      <c r="B235" s="3">
        <v>14</v>
      </c>
      <c r="C235" s="3">
        <v>0</v>
      </c>
      <c r="D235" s="3">
        <v>1</v>
      </c>
      <c r="E235" s="3">
        <f t="shared" si="23"/>
        <v>6</v>
      </c>
      <c r="F235" s="3">
        <f t="shared" si="22"/>
        <v>32</v>
      </c>
      <c r="G235" s="9" t="s">
        <v>264</v>
      </c>
      <c r="H235" s="3">
        <v>90</v>
      </c>
      <c r="I235" s="3" t="str">
        <f>VLOOKUP(A235,战役结算奖励!$A$1:$O$301,15,0)</f>
        <v>[{"id":14,"num":36},{"id":2,"num":1264000},{"id":1,"num":1260000}]</v>
      </c>
      <c r="J235" s="3" t="s">
        <v>33</v>
      </c>
      <c r="K235" s="3">
        <v>66</v>
      </c>
      <c r="L235" s="3" t="s">
        <v>514</v>
      </c>
      <c r="M235" s="3"/>
      <c r="N235" s="3">
        <v>6</v>
      </c>
      <c r="O235" s="3"/>
    </row>
    <row r="236" spans="1:15" x14ac:dyDescent="0.15">
      <c r="A236" s="3">
        <f t="shared" si="21"/>
        <v>1406033</v>
      </c>
      <c r="B236" s="3">
        <v>14</v>
      </c>
      <c r="C236" s="3">
        <v>0</v>
      </c>
      <c r="D236" s="3">
        <v>1</v>
      </c>
      <c r="E236" s="3">
        <f t="shared" si="23"/>
        <v>6</v>
      </c>
      <c r="F236" s="3">
        <f t="shared" si="22"/>
        <v>33</v>
      </c>
      <c r="G236" s="9" t="s">
        <v>265</v>
      </c>
      <c r="H236" s="3">
        <v>90</v>
      </c>
      <c r="I236" s="3" t="str">
        <f>VLOOKUP(A236,战役结算奖励!$A$1:$O$301,15,0)</f>
        <v>[{"id":14,"num":36},{"id":2,"num":1264000},{"id":1,"num":1260000}]</v>
      </c>
      <c r="J236" s="3" t="s">
        <v>33</v>
      </c>
      <c r="K236" s="3">
        <v>66</v>
      </c>
      <c r="L236" s="3" t="s">
        <v>514</v>
      </c>
      <c r="M236" s="3"/>
      <c r="N236" s="3">
        <v>6</v>
      </c>
      <c r="O236" s="3"/>
    </row>
    <row r="237" spans="1:15" x14ac:dyDescent="0.15">
      <c r="A237" s="3">
        <f t="shared" si="21"/>
        <v>1406034</v>
      </c>
      <c r="B237" s="3">
        <v>14</v>
      </c>
      <c r="C237" s="3">
        <v>0</v>
      </c>
      <c r="D237" s="3">
        <v>1</v>
      </c>
      <c r="E237" s="3">
        <f t="shared" si="23"/>
        <v>6</v>
      </c>
      <c r="F237" s="3">
        <f t="shared" si="22"/>
        <v>34</v>
      </c>
      <c r="G237" s="9" t="s">
        <v>266</v>
      </c>
      <c r="H237" s="3">
        <v>90</v>
      </c>
      <c r="I237" s="3" t="str">
        <f>VLOOKUP(A237,战役结算奖励!$A$1:$O$301,15,0)</f>
        <v>[{"id":14,"num":36},{"id":2,"num":1264000},{"id":1,"num":1260000}]</v>
      </c>
      <c r="J237" s="3" t="s">
        <v>33</v>
      </c>
      <c r="K237" s="3">
        <v>66</v>
      </c>
      <c r="L237" s="3" t="s">
        <v>514</v>
      </c>
      <c r="M237" s="3"/>
      <c r="N237" s="3">
        <v>6</v>
      </c>
      <c r="O237" s="3"/>
    </row>
    <row r="238" spans="1:15" x14ac:dyDescent="0.15">
      <c r="A238" s="3">
        <f t="shared" si="21"/>
        <v>1406035</v>
      </c>
      <c r="B238" s="3">
        <v>14</v>
      </c>
      <c r="C238" s="3">
        <v>0</v>
      </c>
      <c r="D238" s="3">
        <v>1</v>
      </c>
      <c r="E238" s="3">
        <f t="shared" si="23"/>
        <v>6</v>
      </c>
      <c r="F238" s="3">
        <f t="shared" si="22"/>
        <v>35</v>
      </c>
      <c r="G238" s="9" t="s">
        <v>267</v>
      </c>
      <c r="H238" s="3">
        <v>90</v>
      </c>
      <c r="I238" s="3" t="str">
        <f>VLOOKUP(A238,战役结算奖励!$A$1:$O$301,15,0)</f>
        <v>[{"id":14,"num":36},{"id":2,"num":1264000},{"id":1,"num":1260000}]</v>
      </c>
      <c r="J238" s="3" t="s">
        <v>33</v>
      </c>
      <c r="K238" s="3">
        <v>66</v>
      </c>
      <c r="L238" s="3" t="s">
        <v>514</v>
      </c>
      <c r="M238" s="3"/>
      <c r="N238" s="3">
        <v>6</v>
      </c>
      <c r="O238" s="3"/>
    </row>
    <row r="239" spans="1:15" x14ac:dyDescent="0.15">
      <c r="A239" s="3">
        <f t="shared" si="21"/>
        <v>1406036</v>
      </c>
      <c r="B239" s="3">
        <v>14</v>
      </c>
      <c r="C239" s="3">
        <v>0</v>
      </c>
      <c r="D239" s="3">
        <v>1</v>
      </c>
      <c r="E239" s="3">
        <f t="shared" si="23"/>
        <v>6</v>
      </c>
      <c r="F239" s="3">
        <f t="shared" si="22"/>
        <v>36</v>
      </c>
      <c r="G239" s="9" t="s">
        <v>268</v>
      </c>
      <c r="H239" s="3">
        <v>90</v>
      </c>
      <c r="I239" s="3" t="str">
        <f>VLOOKUP(A239,战役结算奖励!$A$1:$O$301,15,0)</f>
        <v>[{"id":14,"num":36},{"id":2,"num":1264000},{"id":1,"num":1260000}]</v>
      </c>
      <c r="J239" s="3" t="s">
        <v>33</v>
      </c>
      <c r="K239" s="3">
        <v>66</v>
      </c>
      <c r="L239" s="3" t="s">
        <v>514</v>
      </c>
      <c r="M239" s="3"/>
      <c r="N239" s="3">
        <v>6</v>
      </c>
      <c r="O239" s="3"/>
    </row>
    <row r="240" spans="1:15" x14ac:dyDescent="0.15">
      <c r="A240" s="3">
        <f t="shared" si="21"/>
        <v>1406037</v>
      </c>
      <c r="B240" s="3">
        <v>14</v>
      </c>
      <c r="C240" s="3">
        <v>0</v>
      </c>
      <c r="D240" s="3">
        <v>1</v>
      </c>
      <c r="E240" s="3">
        <f t="shared" si="23"/>
        <v>6</v>
      </c>
      <c r="F240" s="3">
        <f t="shared" si="22"/>
        <v>37</v>
      </c>
      <c r="G240" s="9" t="s">
        <v>269</v>
      </c>
      <c r="H240" s="3">
        <v>90</v>
      </c>
      <c r="I240" s="3" t="str">
        <f>VLOOKUP(A240,战役结算奖励!$A$1:$O$301,15,0)</f>
        <v>[{"id":14,"num":36},{"id":2,"num":1264000},{"id":1,"num":1260000}]</v>
      </c>
      <c r="J240" s="3" t="s">
        <v>33</v>
      </c>
      <c r="K240" s="3">
        <v>66</v>
      </c>
      <c r="L240" s="3" t="s">
        <v>514</v>
      </c>
      <c r="M240" s="3"/>
      <c r="N240" s="3">
        <v>6</v>
      </c>
      <c r="O240" s="3"/>
    </row>
    <row r="241" spans="1:15" x14ac:dyDescent="0.15">
      <c r="A241" s="3">
        <f t="shared" si="21"/>
        <v>1406038</v>
      </c>
      <c r="B241" s="3">
        <v>14</v>
      </c>
      <c r="C241" s="3">
        <v>0</v>
      </c>
      <c r="D241" s="3">
        <v>1</v>
      </c>
      <c r="E241" s="3">
        <f t="shared" si="23"/>
        <v>6</v>
      </c>
      <c r="F241" s="3">
        <f t="shared" si="22"/>
        <v>38</v>
      </c>
      <c r="G241" s="9" t="s">
        <v>270</v>
      </c>
      <c r="H241" s="3">
        <v>90</v>
      </c>
      <c r="I241" s="3" t="str">
        <f>VLOOKUP(A241,战役结算奖励!$A$1:$O$301,15,0)</f>
        <v>[{"id":14,"num":36},{"id":2,"num":1264000},{"id":1,"num":1260000}]</v>
      </c>
      <c r="J241" s="3" t="s">
        <v>33</v>
      </c>
      <c r="K241" s="3">
        <v>66</v>
      </c>
      <c r="L241" s="3" t="s">
        <v>514</v>
      </c>
      <c r="M241" s="3"/>
      <c r="N241" s="3">
        <v>6</v>
      </c>
      <c r="O241" s="3"/>
    </row>
    <row r="242" spans="1:15" x14ac:dyDescent="0.15">
      <c r="A242" s="3">
        <f t="shared" si="21"/>
        <v>1406039</v>
      </c>
      <c r="B242" s="3">
        <v>14</v>
      </c>
      <c r="C242" s="3">
        <v>0</v>
      </c>
      <c r="D242" s="3">
        <v>1</v>
      </c>
      <c r="E242" s="3">
        <f t="shared" si="23"/>
        <v>6</v>
      </c>
      <c r="F242" s="3">
        <f t="shared" si="22"/>
        <v>39</v>
      </c>
      <c r="G242" s="9" t="s">
        <v>271</v>
      </c>
      <c r="H242" s="3">
        <v>90</v>
      </c>
      <c r="I242" s="3" t="str">
        <f>VLOOKUP(A242,战役结算奖励!$A$1:$O$301,15,0)</f>
        <v>[{"id":14,"num":36},{"id":2,"num":1264000},{"id":1,"num":1260000}]</v>
      </c>
      <c r="J242" s="3" t="s">
        <v>33</v>
      </c>
      <c r="K242" s="3">
        <v>66</v>
      </c>
      <c r="L242" s="3" t="s">
        <v>514</v>
      </c>
      <c r="M242" s="3"/>
      <c r="N242" s="3">
        <v>6</v>
      </c>
      <c r="O242" s="3"/>
    </row>
    <row r="243" spans="1:15" s="4" customFormat="1" x14ac:dyDescent="0.15">
      <c r="A243" s="10">
        <f t="shared" si="21"/>
        <v>1406040</v>
      </c>
      <c r="B243" s="10">
        <v>14</v>
      </c>
      <c r="C243" s="10">
        <v>0</v>
      </c>
      <c r="D243" s="10">
        <v>1</v>
      </c>
      <c r="E243" s="10">
        <f t="shared" si="23"/>
        <v>6</v>
      </c>
      <c r="F243" s="10">
        <f t="shared" si="22"/>
        <v>40</v>
      </c>
      <c r="G243" s="9" t="s">
        <v>272</v>
      </c>
      <c r="H243" s="10">
        <v>90</v>
      </c>
      <c r="I243" s="10" t="str">
        <f>VLOOKUP(A243,战役结算奖励!$A$1:$O$301,15,0)</f>
        <v>[{"id":14,"num":36},{"id":2,"num":1264000},{"id":1,"num":1260000}]</v>
      </c>
      <c r="J243" s="10" t="s">
        <v>33</v>
      </c>
      <c r="K243" s="10">
        <v>66</v>
      </c>
      <c r="L243" s="3" t="s">
        <v>1220</v>
      </c>
      <c r="M243" s="10"/>
      <c r="N243" s="3">
        <v>6</v>
      </c>
      <c r="O243" s="10">
        <v>1</v>
      </c>
    </row>
    <row r="244" spans="1:15" x14ac:dyDescent="0.15">
      <c r="A244" s="3">
        <f t="shared" si="21"/>
        <v>1407001</v>
      </c>
      <c r="B244" s="3">
        <v>14</v>
      </c>
      <c r="C244" s="3">
        <v>0</v>
      </c>
      <c r="D244" s="3">
        <v>1</v>
      </c>
      <c r="E244" s="3">
        <f t="shared" si="23"/>
        <v>7</v>
      </c>
      <c r="F244" s="3">
        <f t="shared" si="22"/>
        <v>1</v>
      </c>
      <c r="G244" s="9" t="s">
        <v>273</v>
      </c>
      <c r="H244" s="3">
        <v>90</v>
      </c>
      <c r="I244" s="3" t="str">
        <f>VLOOKUP(A244,战役结算奖励!$A$1:$O$301,15,0)</f>
        <v>[{"id":14,"num":36},{"id":2,"num":1424000},{"id":1,"num":1420000}]</v>
      </c>
      <c r="J244" s="3" t="s">
        <v>33</v>
      </c>
      <c r="K244" s="3">
        <v>67</v>
      </c>
      <c r="L244" s="3" t="s">
        <v>514</v>
      </c>
      <c r="M244" s="3"/>
      <c r="N244" s="3">
        <v>7</v>
      </c>
      <c r="O244" s="3"/>
    </row>
    <row r="245" spans="1:15" x14ac:dyDescent="0.15">
      <c r="A245" s="3">
        <f t="shared" si="21"/>
        <v>1407002</v>
      </c>
      <c r="B245" s="3">
        <v>14</v>
      </c>
      <c r="C245" s="3">
        <v>0</v>
      </c>
      <c r="D245" s="3">
        <v>1</v>
      </c>
      <c r="E245" s="3">
        <f t="shared" si="23"/>
        <v>7</v>
      </c>
      <c r="F245" s="3">
        <f t="shared" si="22"/>
        <v>2</v>
      </c>
      <c r="G245" s="9" t="s">
        <v>274</v>
      </c>
      <c r="H245" s="3">
        <v>90</v>
      </c>
      <c r="I245" s="3" t="str">
        <f>VLOOKUP(A245,战役结算奖励!$A$1:$O$301,15,0)</f>
        <v>[{"id":14,"num":36},{"id":2,"num":1424000},{"id":1,"num":1420000}]</v>
      </c>
      <c r="J245" s="3" t="s">
        <v>33</v>
      </c>
      <c r="K245" s="3">
        <v>67</v>
      </c>
      <c r="L245" s="3" t="s">
        <v>514</v>
      </c>
      <c r="M245" s="3"/>
      <c r="N245" s="3">
        <v>7</v>
      </c>
      <c r="O245" s="3"/>
    </row>
    <row r="246" spans="1:15" x14ac:dyDescent="0.15">
      <c r="A246" s="3">
        <f t="shared" si="21"/>
        <v>1407003</v>
      </c>
      <c r="B246" s="3">
        <v>14</v>
      </c>
      <c r="C246" s="3">
        <v>0</v>
      </c>
      <c r="D246" s="3">
        <v>1</v>
      </c>
      <c r="E246" s="3">
        <f t="shared" si="23"/>
        <v>7</v>
      </c>
      <c r="F246" s="3">
        <f t="shared" si="22"/>
        <v>3</v>
      </c>
      <c r="G246" s="9" t="s">
        <v>275</v>
      </c>
      <c r="H246" s="3">
        <v>90</v>
      </c>
      <c r="I246" s="3" t="str">
        <f>VLOOKUP(A246,战役结算奖励!$A$1:$O$301,15,0)</f>
        <v>[{"id":14,"num":36},{"id":2,"num":1424000},{"id":1,"num":1420000}]</v>
      </c>
      <c r="J246" s="3" t="s">
        <v>33</v>
      </c>
      <c r="K246" s="3">
        <v>67</v>
      </c>
      <c r="L246" s="3" t="s">
        <v>514</v>
      </c>
      <c r="M246" s="3"/>
      <c r="N246" s="3">
        <v>7</v>
      </c>
      <c r="O246" s="3"/>
    </row>
    <row r="247" spans="1:15" x14ac:dyDescent="0.15">
      <c r="A247" s="3">
        <f t="shared" si="21"/>
        <v>1407004</v>
      </c>
      <c r="B247" s="3">
        <v>14</v>
      </c>
      <c r="C247" s="3">
        <v>0</v>
      </c>
      <c r="D247" s="3">
        <v>1</v>
      </c>
      <c r="E247" s="3">
        <f t="shared" si="23"/>
        <v>7</v>
      </c>
      <c r="F247" s="3">
        <f t="shared" si="22"/>
        <v>4</v>
      </c>
      <c r="G247" s="9" t="s">
        <v>276</v>
      </c>
      <c r="H247" s="3">
        <v>90</v>
      </c>
      <c r="I247" s="3" t="str">
        <f>VLOOKUP(A247,战役结算奖励!$A$1:$O$301,15,0)</f>
        <v>[{"id":14,"num":36},{"id":2,"num":1424000},{"id":1,"num":1420000}]</v>
      </c>
      <c r="J247" s="3" t="s">
        <v>33</v>
      </c>
      <c r="K247" s="3">
        <v>67</v>
      </c>
      <c r="L247" s="3" t="s">
        <v>514</v>
      </c>
      <c r="M247" s="3"/>
      <c r="N247" s="3">
        <v>7</v>
      </c>
      <c r="O247" s="3"/>
    </row>
    <row r="248" spans="1:15" x14ac:dyDescent="0.15">
      <c r="A248" s="3">
        <f t="shared" si="21"/>
        <v>1407005</v>
      </c>
      <c r="B248" s="3">
        <v>14</v>
      </c>
      <c r="C248" s="3">
        <v>0</v>
      </c>
      <c r="D248" s="3">
        <v>1</v>
      </c>
      <c r="E248" s="3">
        <f t="shared" si="23"/>
        <v>7</v>
      </c>
      <c r="F248" s="3">
        <f t="shared" si="22"/>
        <v>5</v>
      </c>
      <c r="G248" s="9" t="s">
        <v>277</v>
      </c>
      <c r="H248" s="3">
        <v>90</v>
      </c>
      <c r="I248" s="3" t="str">
        <f>VLOOKUP(A248,战役结算奖励!$A$1:$O$301,15,0)</f>
        <v>[{"id":14,"num":36},{"id":2,"num":1424000},{"id":1,"num":1420000}]</v>
      </c>
      <c r="J248" s="3" t="s">
        <v>33</v>
      </c>
      <c r="K248" s="3">
        <v>67</v>
      </c>
      <c r="L248" s="3" t="s">
        <v>514</v>
      </c>
      <c r="M248" s="3"/>
      <c r="N248" s="3">
        <v>7</v>
      </c>
      <c r="O248" s="3"/>
    </row>
    <row r="249" spans="1:15" x14ac:dyDescent="0.15">
      <c r="A249" s="3">
        <f t="shared" si="21"/>
        <v>1407006</v>
      </c>
      <c r="B249" s="3">
        <v>14</v>
      </c>
      <c r="C249" s="3">
        <v>0</v>
      </c>
      <c r="D249" s="3">
        <v>1</v>
      </c>
      <c r="E249" s="3">
        <f t="shared" si="23"/>
        <v>7</v>
      </c>
      <c r="F249" s="3">
        <f t="shared" si="22"/>
        <v>6</v>
      </c>
      <c r="G249" s="9" t="s">
        <v>278</v>
      </c>
      <c r="H249" s="3">
        <v>90</v>
      </c>
      <c r="I249" s="3" t="str">
        <f>VLOOKUP(A249,战役结算奖励!$A$1:$O$301,15,0)</f>
        <v>[{"id":14,"num":36},{"id":2,"num":1424000},{"id":1,"num":1420000}]</v>
      </c>
      <c r="J249" s="3" t="s">
        <v>33</v>
      </c>
      <c r="K249" s="3">
        <v>67</v>
      </c>
      <c r="L249" s="3" t="s">
        <v>514</v>
      </c>
      <c r="M249" s="3"/>
      <c r="N249" s="3">
        <v>7</v>
      </c>
      <c r="O249" s="3"/>
    </row>
    <row r="250" spans="1:15" x14ac:dyDescent="0.15">
      <c r="A250" s="3">
        <f t="shared" si="21"/>
        <v>1407007</v>
      </c>
      <c r="B250" s="3">
        <v>14</v>
      </c>
      <c r="C250" s="3">
        <v>0</v>
      </c>
      <c r="D250" s="3">
        <v>1</v>
      </c>
      <c r="E250" s="3">
        <f t="shared" si="23"/>
        <v>7</v>
      </c>
      <c r="F250" s="3">
        <f t="shared" si="22"/>
        <v>7</v>
      </c>
      <c r="G250" s="9" t="s">
        <v>279</v>
      </c>
      <c r="H250" s="3">
        <v>90</v>
      </c>
      <c r="I250" s="3" t="str">
        <f>VLOOKUP(A250,战役结算奖励!$A$1:$O$301,15,0)</f>
        <v>[{"id":14,"num":36},{"id":2,"num":1424000},{"id":1,"num":1420000}]</v>
      </c>
      <c r="J250" s="3" t="s">
        <v>33</v>
      </c>
      <c r="K250" s="3">
        <v>67</v>
      </c>
      <c r="L250" s="3" t="s">
        <v>514</v>
      </c>
      <c r="M250" s="3"/>
      <c r="N250" s="3">
        <v>7</v>
      </c>
      <c r="O250" s="3"/>
    </row>
    <row r="251" spans="1:15" x14ac:dyDescent="0.15">
      <c r="A251" s="3">
        <f t="shared" si="21"/>
        <v>1407008</v>
      </c>
      <c r="B251" s="3">
        <v>14</v>
      </c>
      <c r="C251" s="3">
        <v>0</v>
      </c>
      <c r="D251" s="3">
        <v>1</v>
      </c>
      <c r="E251" s="3">
        <f t="shared" si="23"/>
        <v>7</v>
      </c>
      <c r="F251" s="3">
        <f t="shared" si="22"/>
        <v>8</v>
      </c>
      <c r="G251" s="9" t="s">
        <v>280</v>
      </c>
      <c r="H251" s="3">
        <v>90</v>
      </c>
      <c r="I251" s="3" t="str">
        <f>VLOOKUP(A251,战役结算奖励!$A$1:$O$301,15,0)</f>
        <v>[{"id":14,"num":36},{"id":2,"num":1424000},{"id":1,"num":1420000}]</v>
      </c>
      <c r="J251" s="3" t="s">
        <v>33</v>
      </c>
      <c r="K251" s="3">
        <v>67</v>
      </c>
      <c r="L251" s="3" t="s">
        <v>514</v>
      </c>
      <c r="M251" s="3"/>
      <c r="N251" s="3">
        <v>7</v>
      </c>
      <c r="O251" s="3"/>
    </row>
    <row r="252" spans="1:15" x14ac:dyDescent="0.15">
      <c r="A252" s="3">
        <f t="shared" si="21"/>
        <v>1407009</v>
      </c>
      <c r="B252" s="3">
        <v>14</v>
      </c>
      <c r="C252" s="3">
        <v>0</v>
      </c>
      <c r="D252" s="3">
        <v>1</v>
      </c>
      <c r="E252" s="3">
        <f t="shared" si="23"/>
        <v>7</v>
      </c>
      <c r="F252" s="3">
        <f t="shared" si="22"/>
        <v>9</v>
      </c>
      <c r="G252" s="9" t="s">
        <v>281</v>
      </c>
      <c r="H252" s="3">
        <v>90</v>
      </c>
      <c r="I252" s="3" t="str">
        <f>VLOOKUP(A252,战役结算奖励!$A$1:$O$301,15,0)</f>
        <v>[{"id":14,"num":36},{"id":2,"num":1424000},{"id":1,"num":1420000}]</v>
      </c>
      <c r="J252" s="3" t="s">
        <v>33</v>
      </c>
      <c r="K252" s="3">
        <v>67</v>
      </c>
      <c r="L252" s="3" t="s">
        <v>514</v>
      </c>
      <c r="M252" s="3"/>
      <c r="N252" s="3">
        <v>7</v>
      </c>
      <c r="O252" s="3"/>
    </row>
    <row r="253" spans="1:15" s="4" customFormat="1" x14ac:dyDescent="0.15">
      <c r="A253" s="10">
        <f t="shared" si="21"/>
        <v>1407010</v>
      </c>
      <c r="B253" s="10">
        <v>14</v>
      </c>
      <c r="C253" s="10">
        <v>0</v>
      </c>
      <c r="D253" s="10">
        <v>1</v>
      </c>
      <c r="E253" s="10">
        <f t="shared" si="23"/>
        <v>7</v>
      </c>
      <c r="F253" s="10">
        <f t="shared" si="22"/>
        <v>10</v>
      </c>
      <c r="G253" s="9" t="s">
        <v>282</v>
      </c>
      <c r="H253" s="10">
        <v>90</v>
      </c>
      <c r="I253" s="10" t="str">
        <f>VLOOKUP(A253,战役结算奖励!$A$1:$O$301,15,0)</f>
        <v>[{"id":14,"num":36},{"id":2,"num":1424000},{"id":1,"num":1420000}]</v>
      </c>
      <c r="J253" s="10" t="s">
        <v>33</v>
      </c>
      <c r="K253" s="10">
        <v>67</v>
      </c>
      <c r="L253" s="3" t="s">
        <v>514</v>
      </c>
      <c r="M253" s="10"/>
      <c r="N253" s="3">
        <v>7</v>
      </c>
      <c r="O253" s="10"/>
    </row>
    <row r="254" spans="1:15" x14ac:dyDescent="0.15">
      <c r="A254" s="3">
        <f t="shared" si="21"/>
        <v>1407011</v>
      </c>
      <c r="B254" s="3">
        <v>14</v>
      </c>
      <c r="C254" s="3">
        <v>0</v>
      </c>
      <c r="D254" s="3">
        <v>1</v>
      </c>
      <c r="E254" s="3">
        <f t="shared" si="23"/>
        <v>7</v>
      </c>
      <c r="F254" s="3">
        <f t="shared" ref="F254:F274" si="24">F214</f>
        <v>11</v>
      </c>
      <c r="G254" s="9" t="s">
        <v>283</v>
      </c>
      <c r="H254" s="3">
        <v>90</v>
      </c>
      <c r="I254" s="3" t="str">
        <f>VLOOKUP(A254,战役结算奖励!$A$1:$O$301,15,0)</f>
        <v>[{"id":14,"num":36},{"id":2,"num":1424000},{"id":1,"num":1420000}]</v>
      </c>
      <c r="J254" s="3" t="s">
        <v>33</v>
      </c>
      <c r="K254" s="3">
        <v>67</v>
      </c>
      <c r="L254" s="3" t="s">
        <v>514</v>
      </c>
      <c r="M254" s="3"/>
      <c r="N254" s="3">
        <v>7</v>
      </c>
      <c r="O254" s="3"/>
    </row>
    <row r="255" spans="1:15" x14ac:dyDescent="0.15">
      <c r="A255" s="3">
        <f t="shared" si="21"/>
        <v>1407012</v>
      </c>
      <c r="B255" s="3">
        <v>14</v>
      </c>
      <c r="C255" s="3">
        <v>0</v>
      </c>
      <c r="D255" s="3">
        <v>1</v>
      </c>
      <c r="E255" s="3">
        <f t="shared" si="23"/>
        <v>7</v>
      </c>
      <c r="F255" s="3">
        <f t="shared" si="24"/>
        <v>12</v>
      </c>
      <c r="G255" s="9" t="s">
        <v>284</v>
      </c>
      <c r="H255" s="3">
        <v>90</v>
      </c>
      <c r="I255" s="3" t="str">
        <f>VLOOKUP(A255,战役结算奖励!$A$1:$O$301,15,0)</f>
        <v>[{"id":14,"num":36},{"id":2,"num":1424000},{"id":1,"num":1420000}]</v>
      </c>
      <c r="J255" s="3" t="s">
        <v>33</v>
      </c>
      <c r="K255" s="3">
        <v>67</v>
      </c>
      <c r="L255" s="3" t="s">
        <v>514</v>
      </c>
      <c r="M255" s="3"/>
      <c r="N255" s="3">
        <v>7</v>
      </c>
      <c r="O255" s="3"/>
    </row>
    <row r="256" spans="1:15" x14ac:dyDescent="0.15">
      <c r="A256" s="3">
        <f t="shared" ref="A256:A286" si="25">B256*100000+E256*1000+F256</f>
        <v>1407013</v>
      </c>
      <c r="B256" s="3">
        <v>14</v>
      </c>
      <c r="C256" s="3">
        <v>0</v>
      </c>
      <c r="D256" s="3">
        <v>1</v>
      </c>
      <c r="E256" s="3">
        <f t="shared" si="23"/>
        <v>7</v>
      </c>
      <c r="F256" s="3">
        <f t="shared" si="24"/>
        <v>13</v>
      </c>
      <c r="G256" s="9" t="s">
        <v>285</v>
      </c>
      <c r="H256" s="3">
        <v>90</v>
      </c>
      <c r="I256" s="3" t="str">
        <f>VLOOKUP(A256,战役结算奖励!$A$1:$O$301,15,0)</f>
        <v>[{"id":14,"num":36},{"id":2,"num":1424000},{"id":1,"num":1420000}]</v>
      </c>
      <c r="J256" s="3" t="s">
        <v>33</v>
      </c>
      <c r="K256" s="3">
        <v>67</v>
      </c>
      <c r="L256" s="3" t="s">
        <v>514</v>
      </c>
      <c r="M256" s="3"/>
      <c r="N256" s="3">
        <v>7</v>
      </c>
      <c r="O256" s="3"/>
    </row>
    <row r="257" spans="1:15" x14ac:dyDescent="0.15">
      <c r="A257" s="3">
        <f t="shared" si="25"/>
        <v>1407014</v>
      </c>
      <c r="B257" s="3">
        <v>14</v>
      </c>
      <c r="C257" s="3">
        <v>0</v>
      </c>
      <c r="D257" s="3">
        <v>1</v>
      </c>
      <c r="E257" s="3">
        <f t="shared" si="23"/>
        <v>7</v>
      </c>
      <c r="F257" s="3">
        <f t="shared" si="24"/>
        <v>14</v>
      </c>
      <c r="G257" s="9" t="s">
        <v>286</v>
      </c>
      <c r="H257" s="3">
        <v>90</v>
      </c>
      <c r="I257" s="3" t="str">
        <f>VLOOKUP(A257,战役结算奖励!$A$1:$O$301,15,0)</f>
        <v>[{"id":14,"num":36},{"id":2,"num":1424000},{"id":1,"num":1420000}]</v>
      </c>
      <c r="J257" s="3" t="s">
        <v>33</v>
      </c>
      <c r="K257" s="3">
        <v>67</v>
      </c>
      <c r="L257" s="3" t="s">
        <v>514</v>
      </c>
      <c r="M257" s="3"/>
      <c r="N257" s="3">
        <v>7</v>
      </c>
      <c r="O257" s="3"/>
    </row>
    <row r="258" spans="1:15" x14ac:dyDescent="0.15">
      <c r="A258" s="3">
        <f t="shared" si="25"/>
        <v>1407015</v>
      </c>
      <c r="B258" s="3">
        <v>14</v>
      </c>
      <c r="C258" s="3">
        <v>0</v>
      </c>
      <c r="D258" s="3">
        <v>1</v>
      </c>
      <c r="E258" s="3">
        <f t="shared" si="23"/>
        <v>7</v>
      </c>
      <c r="F258" s="3">
        <f t="shared" si="24"/>
        <v>15</v>
      </c>
      <c r="G258" s="9" t="s">
        <v>287</v>
      </c>
      <c r="H258" s="3">
        <v>90</v>
      </c>
      <c r="I258" s="3" t="str">
        <f>VLOOKUP(A258,战役结算奖励!$A$1:$O$301,15,0)</f>
        <v>[{"id":14,"num":36},{"id":2,"num":1424000},{"id":1,"num":1420000}]</v>
      </c>
      <c r="J258" s="3" t="s">
        <v>33</v>
      </c>
      <c r="K258" s="3">
        <v>67</v>
      </c>
      <c r="L258" s="3" t="s">
        <v>514</v>
      </c>
      <c r="M258" s="3"/>
      <c r="N258" s="3">
        <v>7</v>
      </c>
      <c r="O258" s="3"/>
    </row>
    <row r="259" spans="1:15" x14ac:dyDescent="0.15">
      <c r="A259" s="3">
        <f t="shared" si="25"/>
        <v>1407016</v>
      </c>
      <c r="B259" s="3">
        <v>14</v>
      </c>
      <c r="C259" s="3">
        <v>0</v>
      </c>
      <c r="D259" s="3">
        <v>1</v>
      </c>
      <c r="E259" s="3">
        <f t="shared" si="23"/>
        <v>7</v>
      </c>
      <c r="F259" s="3">
        <f t="shared" si="24"/>
        <v>16</v>
      </c>
      <c r="G259" s="9" t="s">
        <v>288</v>
      </c>
      <c r="H259" s="3">
        <v>90</v>
      </c>
      <c r="I259" s="3" t="str">
        <f>VLOOKUP(A259,战役结算奖励!$A$1:$O$301,15,0)</f>
        <v>[{"id":14,"num":36},{"id":2,"num":1424000},{"id":1,"num":1420000}]</v>
      </c>
      <c r="J259" s="3" t="s">
        <v>33</v>
      </c>
      <c r="K259" s="3">
        <v>67</v>
      </c>
      <c r="L259" s="3" t="s">
        <v>514</v>
      </c>
      <c r="M259" s="3"/>
      <c r="N259" s="3">
        <v>7</v>
      </c>
      <c r="O259" s="3"/>
    </row>
    <row r="260" spans="1:15" x14ac:dyDescent="0.15">
      <c r="A260" s="3">
        <f t="shared" si="25"/>
        <v>1407017</v>
      </c>
      <c r="B260" s="3">
        <v>14</v>
      </c>
      <c r="C260" s="3">
        <v>0</v>
      </c>
      <c r="D260" s="3">
        <v>1</v>
      </c>
      <c r="E260" s="3">
        <f t="shared" si="23"/>
        <v>7</v>
      </c>
      <c r="F260" s="3">
        <f t="shared" si="24"/>
        <v>17</v>
      </c>
      <c r="G260" s="9" t="s">
        <v>289</v>
      </c>
      <c r="H260" s="3">
        <v>90</v>
      </c>
      <c r="I260" s="3" t="str">
        <f>VLOOKUP(A260,战役结算奖励!$A$1:$O$301,15,0)</f>
        <v>[{"id":14,"num":36},{"id":2,"num":1424000},{"id":1,"num":1420000}]</v>
      </c>
      <c r="J260" s="3" t="s">
        <v>33</v>
      </c>
      <c r="K260" s="3">
        <v>67</v>
      </c>
      <c r="L260" s="3" t="s">
        <v>514</v>
      </c>
      <c r="M260" s="3"/>
      <c r="N260" s="3">
        <v>7</v>
      </c>
      <c r="O260" s="3"/>
    </row>
    <row r="261" spans="1:15" x14ac:dyDescent="0.15">
      <c r="A261" s="3">
        <f t="shared" si="25"/>
        <v>1407018</v>
      </c>
      <c r="B261" s="3">
        <v>14</v>
      </c>
      <c r="C261" s="3">
        <v>0</v>
      </c>
      <c r="D261" s="3">
        <v>1</v>
      </c>
      <c r="E261" s="3">
        <f t="shared" si="23"/>
        <v>7</v>
      </c>
      <c r="F261" s="3">
        <f t="shared" si="24"/>
        <v>18</v>
      </c>
      <c r="G261" s="9" t="s">
        <v>290</v>
      </c>
      <c r="H261" s="3">
        <v>90</v>
      </c>
      <c r="I261" s="3" t="str">
        <f>VLOOKUP(A261,战役结算奖励!$A$1:$O$301,15,0)</f>
        <v>[{"id":14,"num":36},{"id":2,"num":1424000},{"id":1,"num":1420000}]</v>
      </c>
      <c r="J261" s="3" t="s">
        <v>33</v>
      </c>
      <c r="K261" s="3">
        <v>67</v>
      </c>
      <c r="L261" s="3" t="s">
        <v>514</v>
      </c>
      <c r="M261" s="3"/>
      <c r="N261" s="3">
        <v>7</v>
      </c>
      <c r="O261" s="3"/>
    </row>
    <row r="262" spans="1:15" x14ac:dyDescent="0.15">
      <c r="A262" s="3">
        <f t="shared" si="25"/>
        <v>1407019</v>
      </c>
      <c r="B262" s="3">
        <v>14</v>
      </c>
      <c r="C262" s="3">
        <v>0</v>
      </c>
      <c r="D262" s="3">
        <v>1</v>
      </c>
      <c r="E262" s="3">
        <f t="shared" si="23"/>
        <v>7</v>
      </c>
      <c r="F262" s="3">
        <f t="shared" si="24"/>
        <v>19</v>
      </c>
      <c r="G262" s="9" t="s">
        <v>291</v>
      </c>
      <c r="H262" s="3">
        <v>90</v>
      </c>
      <c r="I262" s="3" t="str">
        <f>VLOOKUP(A262,战役结算奖励!$A$1:$O$301,15,0)</f>
        <v>[{"id":14,"num":36},{"id":2,"num":1424000},{"id":1,"num":1420000}]</v>
      </c>
      <c r="J262" s="3" t="s">
        <v>33</v>
      </c>
      <c r="K262" s="3">
        <v>67</v>
      </c>
      <c r="L262" s="3" t="s">
        <v>514</v>
      </c>
      <c r="M262" s="3"/>
      <c r="N262" s="3">
        <v>7</v>
      </c>
      <c r="O262" s="3"/>
    </row>
    <row r="263" spans="1:15" s="4" customFormat="1" x14ac:dyDescent="0.15">
      <c r="A263" s="10">
        <f t="shared" si="25"/>
        <v>1407020</v>
      </c>
      <c r="B263" s="10">
        <v>14</v>
      </c>
      <c r="C263" s="10">
        <v>0</v>
      </c>
      <c r="D263" s="10">
        <v>1</v>
      </c>
      <c r="E263" s="10">
        <f t="shared" ref="E263:E283" si="26">E223+1</f>
        <v>7</v>
      </c>
      <c r="F263" s="10">
        <f t="shared" si="24"/>
        <v>20</v>
      </c>
      <c r="G263" s="9" t="s">
        <v>292</v>
      </c>
      <c r="H263" s="10">
        <v>90</v>
      </c>
      <c r="I263" s="10" t="str">
        <f>VLOOKUP(A263,战役结算奖励!$A$1:$O$301,15,0)</f>
        <v>[{"id":14,"num":36},{"id":2,"num":1424000},{"id":1,"num":1420000}]</v>
      </c>
      <c r="J263" s="10" t="s">
        <v>33</v>
      </c>
      <c r="K263" s="10">
        <v>67</v>
      </c>
      <c r="L263" s="3" t="s">
        <v>514</v>
      </c>
      <c r="M263" s="10"/>
      <c r="N263" s="3">
        <v>7</v>
      </c>
      <c r="O263" s="10"/>
    </row>
    <row r="264" spans="1:15" x14ac:dyDescent="0.15">
      <c r="A264" s="3">
        <f t="shared" si="25"/>
        <v>1407021</v>
      </c>
      <c r="B264" s="3">
        <v>14</v>
      </c>
      <c r="C264" s="3">
        <v>0</v>
      </c>
      <c r="D264" s="3">
        <v>1</v>
      </c>
      <c r="E264" s="3">
        <f t="shared" si="26"/>
        <v>7</v>
      </c>
      <c r="F264" s="3">
        <f t="shared" si="24"/>
        <v>21</v>
      </c>
      <c r="G264" s="9" t="s">
        <v>293</v>
      </c>
      <c r="H264" s="3">
        <v>90</v>
      </c>
      <c r="I264" s="3" t="str">
        <f>VLOOKUP(A264,战役结算奖励!$A$1:$O$301,15,0)</f>
        <v>[{"id":14,"num":40},{"id":2,"num":1628000},{"id":1,"num":1620000}]</v>
      </c>
      <c r="J264" s="3" t="s">
        <v>33</v>
      </c>
      <c r="K264" s="3">
        <v>67</v>
      </c>
      <c r="L264" s="3" t="s">
        <v>514</v>
      </c>
      <c r="M264" s="3"/>
      <c r="N264" s="3">
        <v>7</v>
      </c>
      <c r="O264" s="3"/>
    </row>
    <row r="265" spans="1:15" x14ac:dyDescent="0.15">
      <c r="A265" s="3">
        <f t="shared" si="25"/>
        <v>1407022</v>
      </c>
      <c r="B265" s="3">
        <v>14</v>
      </c>
      <c r="C265" s="3">
        <v>0</v>
      </c>
      <c r="D265" s="3">
        <v>1</v>
      </c>
      <c r="E265" s="3">
        <f t="shared" si="26"/>
        <v>7</v>
      </c>
      <c r="F265" s="3">
        <f t="shared" si="24"/>
        <v>22</v>
      </c>
      <c r="G265" s="9" t="s">
        <v>294</v>
      </c>
      <c r="H265" s="3">
        <v>90</v>
      </c>
      <c r="I265" s="3" t="str">
        <f>VLOOKUP(A265,战役结算奖励!$A$1:$O$301,15,0)</f>
        <v>[{"id":14,"num":40},{"id":2,"num":1628000},{"id":1,"num":1620000}]</v>
      </c>
      <c r="J265" s="3" t="s">
        <v>33</v>
      </c>
      <c r="K265" s="3">
        <v>67</v>
      </c>
      <c r="L265" s="3" t="s">
        <v>514</v>
      </c>
      <c r="M265" s="3"/>
      <c r="N265" s="3">
        <v>7</v>
      </c>
      <c r="O265" s="3"/>
    </row>
    <row r="266" spans="1:15" x14ac:dyDescent="0.15">
      <c r="A266" s="3">
        <f t="shared" si="25"/>
        <v>1407023</v>
      </c>
      <c r="B266" s="3">
        <v>14</v>
      </c>
      <c r="C266" s="3">
        <v>0</v>
      </c>
      <c r="D266" s="3">
        <v>1</v>
      </c>
      <c r="E266" s="3">
        <f t="shared" si="26"/>
        <v>7</v>
      </c>
      <c r="F266" s="3">
        <f t="shared" si="24"/>
        <v>23</v>
      </c>
      <c r="G266" s="9" t="s">
        <v>295</v>
      </c>
      <c r="H266" s="3">
        <v>90</v>
      </c>
      <c r="I266" s="3" t="str">
        <f>VLOOKUP(A266,战役结算奖励!$A$1:$O$301,15,0)</f>
        <v>[{"id":14,"num":40},{"id":2,"num":1628000},{"id":1,"num":1620000}]</v>
      </c>
      <c r="J266" s="3" t="s">
        <v>33</v>
      </c>
      <c r="K266" s="3">
        <v>67</v>
      </c>
      <c r="L266" s="3" t="s">
        <v>514</v>
      </c>
      <c r="M266" s="3"/>
      <c r="N266" s="3">
        <v>7</v>
      </c>
      <c r="O266" s="3"/>
    </row>
    <row r="267" spans="1:15" x14ac:dyDescent="0.15">
      <c r="A267" s="3">
        <f t="shared" si="25"/>
        <v>1407024</v>
      </c>
      <c r="B267" s="3">
        <v>14</v>
      </c>
      <c r="C267" s="3">
        <v>0</v>
      </c>
      <c r="D267" s="3">
        <v>1</v>
      </c>
      <c r="E267" s="3">
        <f t="shared" si="26"/>
        <v>7</v>
      </c>
      <c r="F267" s="3">
        <f t="shared" si="24"/>
        <v>24</v>
      </c>
      <c r="G267" s="9" t="s">
        <v>296</v>
      </c>
      <c r="H267" s="3">
        <v>90</v>
      </c>
      <c r="I267" s="3" t="str">
        <f>VLOOKUP(A267,战役结算奖励!$A$1:$O$301,15,0)</f>
        <v>[{"id":14,"num":40},{"id":2,"num":1628000},{"id":1,"num":1620000}]</v>
      </c>
      <c r="J267" s="3" t="s">
        <v>33</v>
      </c>
      <c r="K267" s="3">
        <v>67</v>
      </c>
      <c r="L267" s="3" t="s">
        <v>514</v>
      </c>
      <c r="M267" s="3"/>
      <c r="N267" s="3">
        <v>7</v>
      </c>
      <c r="O267" s="3"/>
    </row>
    <row r="268" spans="1:15" x14ac:dyDescent="0.15">
      <c r="A268" s="3">
        <f t="shared" si="25"/>
        <v>1407025</v>
      </c>
      <c r="B268" s="3">
        <v>14</v>
      </c>
      <c r="C268" s="3">
        <v>0</v>
      </c>
      <c r="D268" s="3">
        <v>1</v>
      </c>
      <c r="E268" s="3">
        <f t="shared" si="26"/>
        <v>7</v>
      </c>
      <c r="F268" s="3">
        <f t="shared" si="24"/>
        <v>25</v>
      </c>
      <c r="G268" s="9" t="s">
        <v>297</v>
      </c>
      <c r="H268" s="3">
        <v>90</v>
      </c>
      <c r="I268" s="3" t="str">
        <f>VLOOKUP(A268,战役结算奖励!$A$1:$O$301,15,0)</f>
        <v>[{"id":14,"num":40},{"id":2,"num":1628000},{"id":1,"num":1620000}]</v>
      </c>
      <c r="J268" s="3" t="s">
        <v>33</v>
      </c>
      <c r="K268" s="3">
        <v>67</v>
      </c>
      <c r="L268" s="3" t="s">
        <v>514</v>
      </c>
      <c r="M268" s="3"/>
      <c r="N268" s="3">
        <v>7</v>
      </c>
      <c r="O268" s="3"/>
    </row>
    <row r="269" spans="1:15" x14ac:dyDescent="0.15">
      <c r="A269" s="3">
        <f t="shared" si="25"/>
        <v>1407026</v>
      </c>
      <c r="B269" s="3">
        <v>14</v>
      </c>
      <c r="C269" s="3">
        <v>0</v>
      </c>
      <c r="D269" s="3">
        <v>1</v>
      </c>
      <c r="E269" s="3">
        <f t="shared" si="26"/>
        <v>7</v>
      </c>
      <c r="F269" s="3">
        <f t="shared" si="24"/>
        <v>26</v>
      </c>
      <c r="G269" s="9" t="s">
        <v>298</v>
      </c>
      <c r="H269" s="3">
        <v>90</v>
      </c>
      <c r="I269" s="3" t="str">
        <f>VLOOKUP(A269,战役结算奖励!$A$1:$O$301,15,0)</f>
        <v>[{"id":14,"num":40},{"id":2,"num":1628000},{"id":1,"num":1620000}]</v>
      </c>
      <c r="J269" s="3" t="s">
        <v>33</v>
      </c>
      <c r="K269" s="3">
        <v>67</v>
      </c>
      <c r="L269" s="3" t="s">
        <v>514</v>
      </c>
      <c r="M269" s="3"/>
      <c r="N269" s="3">
        <v>7</v>
      </c>
      <c r="O269" s="3"/>
    </row>
    <row r="270" spans="1:15" x14ac:dyDescent="0.15">
      <c r="A270" s="3">
        <f t="shared" si="25"/>
        <v>1407027</v>
      </c>
      <c r="B270" s="3">
        <v>14</v>
      </c>
      <c r="C270" s="3">
        <v>0</v>
      </c>
      <c r="D270" s="3">
        <v>1</v>
      </c>
      <c r="E270" s="3">
        <f t="shared" si="26"/>
        <v>7</v>
      </c>
      <c r="F270" s="3">
        <f t="shared" si="24"/>
        <v>27</v>
      </c>
      <c r="G270" s="9" t="s">
        <v>299</v>
      </c>
      <c r="H270" s="3">
        <v>90</v>
      </c>
      <c r="I270" s="3" t="str">
        <f>VLOOKUP(A270,战役结算奖励!$A$1:$O$301,15,0)</f>
        <v>[{"id":14,"num":40},{"id":2,"num":1628000},{"id":1,"num":1620000}]</v>
      </c>
      <c r="J270" s="3" t="s">
        <v>33</v>
      </c>
      <c r="K270" s="3">
        <v>67</v>
      </c>
      <c r="L270" s="3" t="s">
        <v>514</v>
      </c>
      <c r="M270" s="3"/>
      <c r="N270" s="3">
        <v>7</v>
      </c>
      <c r="O270" s="3"/>
    </row>
    <row r="271" spans="1:15" x14ac:dyDescent="0.15">
      <c r="A271" s="3">
        <f t="shared" si="25"/>
        <v>1407028</v>
      </c>
      <c r="B271" s="3">
        <v>14</v>
      </c>
      <c r="C271" s="3">
        <v>0</v>
      </c>
      <c r="D271" s="3">
        <v>1</v>
      </c>
      <c r="E271" s="3">
        <f t="shared" si="26"/>
        <v>7</v>
      </c>
      <c r="F271" s="3">
        <f t="shared" si="24"/>
        <v>28</v>
      </c>
      <c r="G271" s="9" t="s">
        <v>300</v>
      </c>
      <c r="H271" s="3">
        <v>90</v>
      </c>
      <c r="I271" s="3" t="str">
        <f>VLOOKUP(A271,战役结算奖励!$A$1:$O$301,15,0)</f>
        <v>[{"id":14,"num":40},{"id":2,"num":1628000},{"id":1,"num":1620000}]</v>
      </c>
      <c r="J271" s="3" t="s">
        <v>33</v>
      </c>
      <c r="K271" s="3">
        <v>67</v>
      </c>
      <c r="L271" s="3" t="s">
        <v>514</v>
      </c>
      <c r="M271" s="3"/>
      <c r="N271" s="3">
        <v>7</v>
      </c>
      <c r="O271" s="3"/>
    </row>
    <row r="272" spans="1:15" x14ac:dyDescent="0.15">
      <c r="A272" s="3">
        <f t="shared" si="25"/>
        <v>1407029</v>
      </c>
      <c r="B272" s="3">
        <v>14</v>
      </c>
      <c r="C272" s="3">
        <v>0</v>
      </c>
      <c r="D272" s="3">
        <v>1</v>
      </c>
      <c r="E272" s="3">
        <f t="shared" si="26"/>
        <v>7</v>
      </c>
      <c r="F272" s="3">
        <f t="shared" si="24"/>
        <v>29</v>
      </c>
      <c r="G272" s="9" t="s">
        <v>301</v>
      </c>
      <c r="H272" s="3">
        <v>90</v>
      </c>
      <c r="I272" s="3" t="str">
        <f>VLOOKUP(A272,战役结算奖励!$A$1:$O$301,15,0)</f>
        <v>[{"id":14,"num":40},{"id":2,"num":1628000},{"id":1,"num":1620000}]</v>
      </c>
      <c r="J272" s="3" t="s">
        <v>33</v>
      </c>
      <c r="K272" s="3">
        <v>67</v>
      </c>
      <c r="L272" s="3" t="s">
        <v>514</v>
      </c>
      <c r="M272" s="3"/>
      <c r="N272" s="3">
        <v>7</v>
      </c>
      <c r="O272" s="3"/>
    </row>
    <row r="273" spans="1:15" s="4" customFormat="1" x14ac:dyDescent="0.15">
      <c r="A273" s="10">
        <f t="shared" si="25"/>
        <v>1407030</v>
      </c>
      <c r="B273" s="10">
        <v>14</v>
      </c>
      <c r="C273" s="10">
        <v>0</v>
      </c>
      <c r="D273" s="10">
        <v>1</v>
      </c>
      <c r="E273" s="10">
        <f t="shared" si="26"/>
        <v>7</v>
      </c>
      <c r="F273" s="10">
        <f t="shared" si="24"/>
        <v>30</v>
      </c>
      <c r="G273" s="9" t="s">
        <v>302</v>
      </c>
      <c r="H273" s="10">
        <v>90</v>
      </c>
      <c r="I273" s="10" t="str">
        <f>VLOOKUP(A273,战役结算奖励!$A$1:$O$301,15,0)</f>
        <v>[{"id":14,"num":40},{"id":2,"num":1628000},{"id":1,"num":1620000}]</v>
      </c>
      <c r="J273" s="10" t="s">
        <v>33</v>
      </c>
      <c r="K273" s="10">
        <v>67</v>
      </c>
      <c r="L273" s="3" t="s">
        <v>514</v>
      </c>
      <c r="M273" s="10"/>
      <c r="N273" s="3">
        <v>7</v>
      </c>
      <c r="O273" s="10"/>
    </row>
    <row r="274" spans="1:15" x14ac:dyDescent="0.15">
      <c r="A274" s="3">
        <f t="shared" si="25"/>
        <v>1407031</v>
      </c>
      <c r="B274" s="3">
        <v>14</v>
      </c>
      <c r="C274" s="3">
        <v>0</v>
      </c>
      <c r="D274" s="3">
        <v>1</v>
      </c>
      <c r="E274" s="3">
        <f t="shared" si="26"/>
        <v>7</v>
      </c>
      <c r="F274" s="3">
        <f t="shared" si="24"/>
        <v>31</v>
      </c>
      <c r="G274" s="9" t="s">
        <v>303</v>
      </c>
      <c r="H274" s="3">
        <v>90</v>
      </c>
      <c r="I274" s="3" t="str">
        <f>VLOOKUP(A274,战役结算奖励!$A$1:$O$301,15,0)</f>
        <v>[{"id":14,"num":40},{"id":2,"num":1628000},{"id":1,"num":1620000}]</v>
      </c>
      <c r="J274" s="3" t="s">
        <v>33</v>
      </c>
      <c r="K274" s="3">
        <v>67</v>
      </c>
      <c r="L274" s="3" t="s">
        <v>514</v>
      </c>
      <c r="M274" s="3"/>
      <c r="N274" s="3">
        <v>7</v>
      </c>
      <c r="O274" s="3"/>
    </row>
    <row r="275" spans="1:15" x14ac:dyDescent="0.15">
      <c r="A275" s="3">
        <f t="shared" si="25"/>
        <v>1407032</v>
      </c>
      <c r="B275" s="3">
        <v>14</v>
      </c>
      <c r="C275" s="3">
        <v>0</v>
      </c>
      <c r="D275" s="3">
        <v>1</v>
      </c>
      <c r="E275" s="3">
        <f t="shared" si="26"/>
        <v>7</v>
      </c>
      <c r="F275" s="3">
        <f t="shared" ref="F275:F298" si="27">F235</f>
        <v>32</v>
      </c>
      <c r="G275" s="9" t="s">
        <v>304</v>
      </c>
      <c r="H275" s="3">
        <v>90</v>
      </c>
      <c r="I275" s="3" t="str">
        <f>VLOOKUP(A275,战役结算奖励!$A$1:$O$301,15,0)</f>
        <v>[{"id":14,"num":40},{"id":2,"num":1628000},{"id":1,"num":1620000}]</v>
      </c>
      <c r="J275" s="3" t="s">
        <v>33</v>
      </c>
      <c r="K275" s="3">
        <v>67</v>
      </c>
      <c r="L275" s="3" t="s">
        <v>514</v>
      </c>
      <c r="M275" s="3"/>
      <c r="N275" s="3">
        <v>7</v>
      </c>
      <c r="O275" s="3"/>
    </row>
    <row r="276" spans="1:15" x14ac:dyDescent="0.15">
      <c r="A276" s="3">
        <f t="shared" si="25"/>
        <v>1407033</v>
      </c>
      <c r="B276" s="3">
        <v>14</v>
      </c>
      <c r="C276" s="3">
        <v>0</v>
      </c>
      <c r="D276" s="3">
        <v>1</v>
      </c>
      <c r="E276" s="3">
        <f t="shared" si="26"/>
        <v>7</v>
      </c>
      <c r="F276" s="3">
        <f t="shared" si="27"/>
        <v>33</v>
      </c>
      <c r="G276" s="9" t="s">
        <v>305</v>
      </c>
      <c r="H276" s="3">
        <v>90</v>
      </c>
      <c r="I276" s="3" t="str">
        <f>VLOOKUP(A276,战役结算奖励!$A$1:$O$301,15,0)</f>
        <v>[{"id":14,"num":40},{"id":2,"num":1628000},{"id":1,"num":1620000}]</v>
      </c>
      <c r="J276" s="3" t="s">
        <v>33</v>
      </c>
      <c r="K276" s="3">
        <v>67</v>
      </c>
      <c r="L276" s="3" t="s">
        <v>514</v>
      </c>
      <c r="M276" s="3"/>
      <c r="N276" s="3">
        <v>7</v>
      </c>
      <c r="O276" s="3"/>
    </row>
    <row r="277" spans="1:15" x14ac:dyDescent="0.15">
      <c r="A277" s="3">
        <f t="shared" si="25"/>
        <v>1407034</v>
      </c>
      <c r="B277" s="3">
        <v>14</v>
      </c>
      <c r="C277" s="3">
        <v>0</v>
      </c>
      <c r="D277" s="3">
        <v>1</v>
      </c>
      <c r="E277" s="3">
        <f t="shared" si="26"/>
        <v>7</v>
      </c>
      <c r="F277" s="3">
        <f t="shared" si="27"/>
        <v>34</v>
      </c>
      <c r="G277" s="9" t="s">
        <v>306</v>
      </c>
      <c r="H277" s="3">
        <v>90</v>
      </c>
      <c r="I277" s="3" t="str">
        <f>VLOOKUP(A277,战役结算奖励!$A$1:$O$301,15,0)</f>
        <v>[{"id":14,"num":40},{"id":2,"num":1628000},{"id":1,"num":1620000}]</v>
      </c>
      <c r="J277" s="3" t="s">
        <v>33</v>
      </c>
      <c r="K277" s="3">
        <v>67</v>
      </c>
      <c r="L277" s="3" t="s">
        <v>514</v>
      </c>
      <c r="M277" s="3"/>
      <c r="N277" s="3">
        <v>7</v>
      </c>
      <c r="O277" s="3"/>
    </row>
    <row r="278" spans="1:15" x14ac:dyDescent="0.15">
      <c r="A278" s="3">
        <f t="shared" si="25"/>
        <v>1407035</v>
      </c>
      <c r="B278" s="3">
        <v>14</v>
      </c>
      <c r="C278" s="3">
        <v>0</v>
      </c>
      <c r="D278" s="3">
        <v>1</v>
      </c>
      <c r="E278" s="3">
        <f t="shared" si="26"/>
        <v>7</v>
      </c>
      <c r="F278" s="3">
        <f t="shared" si="27"/>
        <v>35</v>
      </c>
      <c r="G278" s="9" t="s">
        <v>307</v>
      </c>
      <c r="H278" s="3">
        <v>90</v>
      </c>
      <c r="I278" s="3" t="str">
        <f>VLOOKUP(A278,战役结算奖励!$A$1:$O$301,15,0)</f>
        <v>[{"id":14,"num":40},{"id":2,"num":1628000},{"id":1,"num":1620000}]</v>
      </c>
      <c r="J278" s="3" t="s">
        <v>33</v>
      </c>
      <c r="K278" s="3">
        <v>67</v>
      </c>
      <c r="L278" s="3" t="s">
        <v>514</v>
      </c>
      <c r="M278" s="3"/>
      <c r="N278" s="3">
        <v>7</v>
      </c>
      <c r="O278" s="3"/>
    </row>
    <row r="279" spans="1:15" x14ac:dyDescent="0.15">
      <c r="A279" s="3">
        <f t="shared" si="25"/>
        <v>1407036</v>
      </c>
      <c r="B279" s="3">
        <v>14</v>
      </c>
      <c r="C279" s="3">
        <v>0</v>
      </c>
      <c r="D279" s="3">
        <v>1</v>
      </c>
      <c r="E279" s="3">
        <f t="shared" si="26"/>
        <v>7</v>
      </c>
      <c r="F279" s="3">
        <f t="shared" si="27"/>
        <v>36</v>
      </c>
      <c r="G279" s="9" t="s">
        <v>308</v>
      </c>
      <c r="H279" s="3">
        <v>90</v>
      </c>
      <c r="I279" s="3" t="str">
        <f>VLOOKUP(A279,战役结算奖励!$A$1:$O$301,15,0)</f>
        <v>[{"id":14,"num":40},{"id":2,"num":1628000},{"id":1,"num":1620000}]</v>
      </c>
      <c r="J279" s="3" t="s">
        <v>33</v>
      </c>
      <c r="K279" s="3">
        <v>67</v>
      </c>
      <c r="L279" s="3" t="s">
        <v>514</v>
      </c>
      <c r="M279" s="3"/>
      <c r="N279" s="3">
        <v>7</v>
      </c>
      <c r="O279" s="3"/>
    </row>
    <row r="280" spans="1:15" x14ac:dyDescent="0.15">
      <c r="A280" s="3">
        <f t="shared" si="25"/>
        <v>1407037</v>
      </c>
      <c r="B280" s="3">
        <v>14</v>
      </c>
      <c r="C280" s="3">
        <v>0</v>
      </c>
      <c r="D280" s="3">
        <v>1</v>
      </c>
      <c r="E280" s="3">
        <f t="shared" si="26"/>
        <v>7</v>
      </c>
      <c r="F280" s="3">
        <f t="shared" si="27"/>
        <v>37</v>
      </c>
      <c r="G280" s="9" t="s">
        <v>309</v>
      </c>
      <c r="H280" s="3">
        <v>90</v>
      </c>
      <c r="I280" s="3" t="str">
        <f>VLOOKUP(A280,战役结算奖励!$A$1:$O$301,15,0)</f>
        <v>[{"id":14,"num":40},{"id":2,"num":1628000},{"id":1,"num":1620000}]</v>
      </c>
      <c r="J280" s="3" t="s">
        <v>33</v>
      </c>
      <c r="K280" s="3">
        <v>67</v>
      </c>
      <c r="L280" s="3" t="s">
        <v>514</v>
      </c>
      <c r="M280" s="3"/>
      <c r="N280" s="3">
        <v>7</v>
      </c>
      <c r="O280" s="3"/>
    </row>
    <row r="281" spans="1:15" x14ac:dyDescent="0.15">
      <c r="A281" s="3">
        <f t="shared" si="25"/>
        <v>1407038</v>
      </c>
      <c r="B281" s="3">
        <v>14</v>
      </c>
      <c r="C281" s="3">
        <v>0</v>
      </c>
      <c r="D281" s="3">
        <v>1</v>
      </c>
      <c r="E281" s="3">
        <f t="shared" si="26"/>
        <v>7</v>
      </c>
      <c r="F281" s="3">
        <f t="shared" si="27"/>
        <v>38</v>
      </c>
      <c r="G281" s="9" t="s">
        <v>310</v>
      </c>
      <c r="H281" s="3">
        <v>90</v>
      </c>
      <c r="I281" s="3" t="str">
        <f>VLOOKUP(A281,战役结算奖励!$A$1:$O$301,15,0)</f>
        <v>[{"id":14,"num":40},{"id":2,"num":1628000},{"id":1,"num":1620000}]</v>
      </c>
      <c r="J281" s="3" t="s">
        <v>33</v>
      </c>
      <c r="K281" s="3">
        <v>67</v>
      </c>
      <c r="L281" s="3" t="s">
        <v>514</v>
      </c>
      <c r="M281" s="3"/>
      <c r="N281" s="3">
        <v>7</v>
      </c>
      <c r="O281" s="3"/>
    </row>
    <row r="282" spans="1:15" x14ac:dyDescent="0.15">
      <c r="A282" s="3">
        <f t="shared" si="25"/>
        <v>1407039</v>
      </c>
      <c r="B282" s="3">
        <v>14</v>
      </c>
      <c r="C282" s="3">
        <v>0</v>
      </c>
      <c r="D282" s="3">
        <v>1</v>
      </c>
      <c r="E282" s="3">
        <f t="shared" si="26"/>
        <v>7</v>
      </c>
      <c r="F282" s="3">
        <f t="shared" si="27"/>
        <v>39</v>
      </c>
      <c r="G282" s="9" t="s">
        <v>311</v>
      </c>
      <c r="H282" s="3">
        <v>90</v>
      </c>
      <c r="I282" s="3" t="str">
        <f>VLOOKUP(A282,战役结算奖励!$A$1:$O$301,15,0)</f>
        <v>[{"id":14,"num":40},{"id":2,"num":1628000},{"id":1,"num":1620000}]</v>
      </c>
      <c r="J282" s="3" t="s">
        <v>33</v>
      </c>
      <c r="K282" s="3">
        <v>67</v>
      </c>
      <c r="L282" s="3" t="s">
        <v>514</v>
      </c>
      <c r="M282" s="3"/>
      <c r="N282" s="3">
        <v>7</v>
      </c>
      <c r="O282" s="3"/>
    </row>
    <row r="283" spans="1:15" s="4" customFormat="1" x14ac:dyDescent="0.15">
      <c r="A283" s="10">
        <f t="shared" si="25"/>
        <v>1407040</v>
      </c>
      <c r="B283" s="10">
        <v>14</v>
      </c>
      <c r="C283" s="10">
        <v>0</v>
      </c>
      <c r="D283" s="10">
        <v>1</v>
      </c>
      <c r="E283" s="10">
        <f t="shared" si="26"/>
        <v>7</v>
      </c>
      <c r="F283" s="10">
        <f t="shared" si="27"/>
        <v>40</v>
      </c>
      <c r="G283" s="9" t="s">
        <v>312</v>
      </c>
      <c r="H283" s="10">
        <v>90</v>
      </c>
      <c r="I283" s="10" t="str">
        <f>VLOOKUP(A283,战役结算奖励!$A$1:$O$301,15,0)</f>
        <v>[{"id":14,"num":40},{"id":2,"num":1628000},{"id":1,"num":1620000}]</v>
      </c>
      <c r="J283" s="10" t="s">
        <v>33</v>
      </c>
      <c r="K283" s="10">
        <v>67</v>
      </c>
      <c r="L283" s="3" t="s">
        <v>1221</v>
      </c>
      <c r="M283" s="10"/>
      <c r="N283" s="3">
        <v>7</v>
      </c>
      <c r="O283" s="10">
        <v>1</v>
      </c>
    </row>
    <row r="284" spans="1:15" x14ac:dyDescent="0.15">
      <c r="A284" s="3">
        <f t="shared" si="25"/>
        <v>1408001</v>
      </c>
      <c r="B284" s="3">
        <v>14</v>
      </c>
      <c r="C284" s="3">
        <v>0</v>
      </c>
      <c r="D284" s="3">
        <v>1</v>
      </c>
      <c r="E284" s="3">
        <f t="shared" ref="E284:E302" si="28">E244+1</f>
        <v>8</v>
      </c>
      <c r="F284" s="3">
        <f t="shared" si="27"/>
        <v>1</v>
      </c>
      <c r="G284" s="9" t="s">
        <v>313</v>
      </c>
      <c r="H284" s="3">
        <v>90</v>
      </c>
      <c r="I284" s="3" t="str">
        <f>VLOOKUP(A284,战役结算奖励!$A$1:$O$301,15,0)</f>
        <v>[{"id":14,"num":40},{"id":2,"num":1878000},{"id":1,"num":1870000}]</v>
      </c>
      <c r="J284" s="3" t="s">
        <v>33</v>
      </c>
      <c r="K284" s="3">
        <v>68</v>
      </c>
      <c r="L284" s="3" t="s">
        <v>514</v>
      </c>
      <c r="M284" s="3"/>
      <c r="N284" s="3">
        <v>7</v>
      </c>
      <c r="O284" s="3"/>
    </row>
    <row r="285" spans="1:15" x14ac:dyDescent="0.15">
      <c r="A285" s="3">
        <f t="shared" si="25"/>
        <v>1408002</v>
      </c>
      <c r="B285" s="3">
        <v>14</v>
      </c>
      <c r="C285" s="3">
        <v>0</v>
      </c>
      <c r="D285" s="3">
        <v>1</v>
      </c>
      <c r="E285" s="3">
        <f t="shared" si="28"/>
        <v>8</v>
      </c>
      <c r="F285" s="3">
        <f t="shared" si="27"/>
        <v>2</v>
      </c>
      <c r="G285" s="9" t="s">
        <v>314</v>
      </c>
      <c r="H285" s="3">
        <v>90</v>
      </c>
      <c r="I285" s="3" t="str">
        <f>VLOOKUP(A285,战役结算奖励!$A$1:$O$301,15,0)</f>
        <v>[{"id":14,"num":40},{"id":2,"num":1878000},{"id":1,"num":1870000}]</v>
      </c>
      <c r="J285" s="3" t="s">
        <v>33</v>
      </c>
      <c r="K285" s="3">
        <v>68</v>
      </c>
      <c r="L285" s="3" t="s">
        <v>514</v>
      </c>
      <c r="M285" s="3"/>
      <c r="N285" s="3">
        <v>7</v>
      </c>
      <c r="O285" s="3"/>
    </row>
    <row r="286" spans="1:15" x14ac:dyDescent="0.15">
      <c r="A286" s="3">
        <f t="shared" si="25"/>
        <v>1408003</v>
      </c>
      <c r="B286" s="3">
        <v>14</v>
      </c>
      <c r="C286" s="3">
        <v>0</v>
      </c>
      <c r="D286" s="3">
        <v>1</v>
      </c>
      <c r="E286" s="3">
        <f t="shared" si="28"/>
        <v>8</v>
      </c>
      <c r="F286" s="3">
        <f t="shared" si="27"/>
        <v>3</v>
      </c>
      <c r="G286" s="9" t="s">
        <v>315</v>
      </c>
      <c r="H286" s="3">
        <v>90</v>
      </c>
      <c r="I286" s="3" t="str">
        <f>VLOOKUP(A286,战役结算奖励!$A$1:$O$301,15,0)</f>
        <v>[{"id":14,"num":40},{"id":2,"num":1878000},{"id":1,"num":1870000}]</v>
      </c>
      <c r="J286" s="3" t="s">
        <v>33</v>
      </c>
      <c r="K286" s="3">
        <v>68</v>
      </c>
      <c r="L286" s="3" t="s">
        <v>514</v>
      </c>
      <c r="M286" s="3"/>
      <c r="N286" s="3">
        <v>7</v>
      </c>
      <c r="O286" s="3"/>
    </row>
    <row r="287" spans="1:15" x14ac:dyDescent="0.15">
      <c r="A287" s="3">
        <f t="shared" ref="A287:A311" si="29">B287*100000+E287*1000+F287</f>
        <v>1408004</v>
      </c>
      <c r="B287" s="3">
        <v>14</v>
      </c>
      <c r="C287" s="3">
        <v>0</v>
      </c>
      <c r="D287" s="3">
        <v>1</v>
      </c>
      <c r="E287" s="3">
        <f t="shared" si="28"/>
        <v>8</v>
      </c>
      <c r="F287" s="3">
        <f t="shared" si="27"/>
        <v>4</v>
      </c>
      <c r="G287" s="9" t="s">
        <v>316</v>
      </c>
      <c r="H287" s="3">
        <v>90</v>
      </c>
      <c r="I287" s="3" t="str">
        <f>VLOOKUP(A287,战役结算奖励!$A$1:$O$301,15,0)</f>
        <v>[{"id":14,"num":40},{"id":2,"num":1878000},{"id":1,"num":1870000}]</v>
      </c>
      <c r="J287" s="3" t="s">
        <v>33</v>
      </c>
      <c r="K287" s="3">
        <v>68</v>
      </c>
      <c r="L287" s="3" t="s">
        <v>514</v>
      </c>
      <c r="M287" s="3"/>
      <c r="N287" s="3">
        <v>7</v>
      </c>
      <c r="O287" s="3"/>
    </row>
    <row r="288" spans="1:15" x14ac:dyDescent="0.15">
      <c r="A288" s="3">
        <f t="shared" si="29"/>
        <v>1408005</v>
      </c>
      <c r="B288" s="3">
        <v>14</v>
      </c>
      <c r="C288" s="3">
        <v>0</v>
      </c>
      <c r="D288" s="3">
        <v>1</v>
      </c>
      <c r="E288" s="3">
        <f t="shared" si="28"/>
        <v>8</v>
      </c>
      <c r="F288" s="3">
        <f t="shared" si="27"/>
        <v>5</v>
      </c>
      <c r="G288" s="9" t="s">
        <v>317</v>
      </c>
      <c r="H288" s="3">
        <v>90</v>
      </c>
      <c r="I288" s="3" t="str">
        <f>VLOOKUP(A288,战役结算奖励!$A$1:$O$301,15,0)</f>
        <v>[{"id":14,"num":40},{"id":2,"num":1878000},{"id":1,"num":1870000}]</v>
      </c>
      <c r="J288" s="3" t="s">
        <v>33</v>
      </c>
      <c r="K288" s="3">
        <v>68</v>
      </c>
      <c r="L288" s="3" t="s">
        <v>514</v>
      </c>
      <c r="M288" s="3"/>
      <c r="N288" s="3">
        <v>7</v>
      </c>
      <c r="O288" s="3"/>
    </row>
    <row r="289" spans="1:15" x14ac:dyDescent="0.15">
      <c r="A289" s="3">
        <f t="shared" si="29"/>
        <v>1408006</v>
      </c>
      <c r="B289" s="3">
        <v>14</v>
      </c>
      <c r="C289" s="3">
        <v>0</v>
      </c>
      <c r="D289" s="3">
        <v>1</v>
      </c>
      <c r="E289" s="3">
        <f t="shared" si="28"/>
        <v>8</v>
      </c>
      <c r="F289" s="3">
        <f t="shared" si="27"/>
        <v>6</v>
      </c>
      <c r="G289" s="9" t="s">
        <v>318</v>
      </c>
      <c r="H289" s="3">
        <v>90</v>
      </c>
      <c r="I289" s="3" t="str">
        <f>VLOOKUP(A289,战役结算奖励!$A$1:$O$301,15,0)</f>
        <v>[{"id":14,"num":40},{"id":2,"num":1878000},{"id":1,"num":1870000}]</v>
      </c>
      <c r="J289" s="3" t="s">
        <v>33</v>
      </c>
      <c r="K289" s="3">
        <v>68</v>
      </c>
      <c r="L289" s="3" t="s">
        <v>514</v>
      </c>
      <c r="M289" s="3"/>
      <c r="N289" s="3">
        <v>7</v>
      </c>
      <c r="O289" s="3"/>
    </row>
    <row r="290" spans="1:15" x14ac:dyDescent="0.15">
      <c r="A290" s="3">
        <f t="shared" si="29"/>
        <v>1408007</v>
      </c>
      <c r="B290" s="3">
        <v>14</v>
      </c>
      <c r="C290" s="3">
        <v>0</v>
      </c>
      <c r="D290" s="3">
        <v>1</v>
      </c>
      <c r="E290" s="3">
        <f t="shared" si="28"/>
        <v>8</v>
      </c>
      <c r="F290" s="3">
        <f t="shared" si="27"/>
        <v>7</v>
      </c>
      <c r="G290" s="9" t="s">
        <v>319</v>
      </c>
      <c r="H290" s="3">
        <v>90</v>
      </c>
      <c r="I290" s="3" t="str">
        <f>VLOOKUP(A290,战役结算奖励!$A$1:$O$301,15,0)</f>
        <v>[{"id":14,"num":40},{"id":2,"num":1878000},{"id":1,"num":1870000}]</v>
      </c>
      <c r="J290" s="3" t="s">
        <v>33</v>
      </c>
      <c r="K290" s="3">
        <v>68</v>
      </c>
      <c r="L290" s="3" t="s">
        <v>514</v>
      </c>
      <c r="M290" s="3"/>
      <c r="N290" s="3">
        <v>7</v>
      </c>
      <c r="O290" s="3"/>
    </row>
    <row r="291" spans="1:15" x14ac:dyDescent="0.15">
      <c r="A291" s="3">
        <f t="shared" si="29"/>
        <v>1408008</v>
      </c>
      <c r="B291" s="3">
        <v>14</v>
      </c>
      <c r="C291" s="3">
        <v>0</v>
      </c>
      <c r="D291" s="3">
        <v>1</v>
      </c>
      <c r="E291" s="3">
        <f t="shared" si="28"/>
        <v>8</v>
      </c>
      <c r="F291" s="3">
        <f t="shared" si="27"/>
        <v>8</v>
      </c>
      <c r="G291" s="9" t="s">
        <v>320</v>
      </c>
      <c r="H291" s="3">
        <v>90</v>
      </c>
      <c r="I291" s="3" t="str">
        <f>VLOOKUP(A291,战役结算奖励!$A$1:$O$301,15,0)</f>
        <v>[{"id":14,"num":40},{"id":2,"num":1878000},{"id":1,"num":1870000}]</v>
      </c>
      <c r="J291" s="3" t="s">
        <v>33</v>
      </c>
      <c r="K291" s="3">
        <v>68</v>
      </c>
      <c r="L291" s="3" t="s">
        <v>514</v>
      </c>
      <c r="M291" s="3"/>
      <c r="N291" s="3">
        <v>7</v>
      </c>
      <c r="O291" s="3"/>
    </row>
    <row r="292" spans="1:15" x14ac:dyDescent="0.15">
      <c r="A292" s="3">
        <f t="shared" si="29"/>
        <v>1408009</v>
      </c>
      <c r="B292" s="3">
        <v>14</v>
      </c>
      <c r="C292" s="3">
        <v>0</v>
      </c>
      <c r="D292" s="3">
        <v>1</v>
      </c>
      <c r="E292" s="3">
        <f t="shared" si="28"/>
        <v>8</v>
      </c>
      <c r="F292" s="3">
        <f t="shared" si="27"/>
        <v>9</v>
      </c>
      <c r="G292" s="9" t="s">
        <v>321</v>
      </c>
      <c r="H292" s="3">
        <v>90</v>
      </c>
      <c r="I292" s="3" t="str">
        <f>VLOOKUP(A292,战役结算奖励!$A$1:$O$301,15,0)</f>
        <v>[{"id":14,"num":40},{"id":2,"num":1878000},{"id":1,"num":1870000}]</v>
      </c>
      <c r="J292" s="3" t="s">
        <v>33</v>
      </c>
      <c r="K292" s="3">
        <v>68</v>
      </c>
      <c r="L292" s="3" t="s">
        <v>514</v>
      </c>
      <c r="M292" s="3"/>
      <c r="N292" s="3">
        <v>7</v>
      </c>
      <c r="O292" s="3"/>
    </row>
    <row r="293" spans="1:15" s="4" customFormat="1" x14ac:dyDescent="0.15">
      <c r="A293" s="10">
        <f t="shared" si="29"/>
        <v>1408010</v>
      </c>
      <c r="B293" s="10">
        <v>14</v>
      </c>
      <c r="C293" s="10">
        <v>0</v>
      </c>
      <c r="D293" s="10">
        <v>1</v>
      </c>
      <c r="E293" s="10">
        <f t="shared" si="28"/>
        <v>8</v>
      </c>
      <c r="F293" s="10">
        <f t="shared" si="27"/>
        <v>10</v>
      </c>
      <c r="G293" s="9" t="s">
        <v>322</v>
      </c>
      <c r="H293" s="10">
        <v>90</v>
      </c>
      <c r="I293" s="10" t="str">
        <f>VLOOKUP(A293,战役结算奖励!$A$1:$O$301,15,0)</f>
        <v>[{"id":14,"num":40},{"id":2,"num":1878000},{"id":1,"num":1870000}]</v>
      </c>
      <c r="J293" s="10" t="s">
        <v>33</v>
      </c>
      <c r="K293" s="10">
        <v>68</v>
      </c>
      <c r="L293" s="3" t="s">
        <v>514</v>
      </c>
      <c r="M293" s="10"/>
      <c r="N293" s="3">
        <v>7</v>
      </c>
      <c r="O293" s="10"/>
    </row>
    <row r="294" spans="1:15" x14ac:dyDescent="0.15">
      <c r="A294" s="3">
        <f t="shared" si="29"/>
        <v>1408011</v>
      </c>
      <c r="B294" s="3">
        <v>14</v>
      </c>
      <c r="C294" s="3">
        <v>0</v>
      </c>
      <c r="D294" s="3">
        <v>1</v>
      </c>
      <c r="E294" s="3">
        <f t="shared" si="28"/>
        <v>8</v>
      </c>
      <c r="F294" s="3">
        <f t="shared" si="27"/>
        <v>11</v>
      </c>
      <c r="G294" s="9" t="s">
        <v>323</v>
      </c>
      <c r="H294" s="3">
        <v>90</v>
      </c>
      <c r="I294" s="3" t="str">
        <f>VLOOKUP(A294,战役结算奖励!$A$1:$O$301,15,0)</f>
        <v>[{"id":14,"num":40},{"id":2,"num":1878000},{"id":1,"num":1870000}]</v>
      </c>
      <c r="J294" s="3" t="s">
        <v>33</v>
      </c>
      <c r="K294" s="3">
        <v>68</v>
      </c>
      <c r="L294" s="3" t="s">
        <v>514</v>
      </c>
      <c r="M294" s="3"/>
      <c r="N294" s="3">
        <v>7</v>
      </c>
      <c r="O294" s="3"/>
    </row>
    <row r="295" spans="1:15" x14ac:dyDescent="0.15">
      <c r="A295" s="3">
        <f t="shared" si="29"/>
        <v>1408012</v>
      </c>
      <c r="B295" s="3">
        <v>14</v>
      </c>
      <c r="C295" s="3">
        <v>0</v>
      </c>
      <c r="D295" s="3">
        <v>1</v>
      </c>
      <c r="E295" s="3">
        <f t="shared" si="28"/>
        <v>8</v>
      </c>
      <c r="F295" s="3">
        <f t="shared" si="27"/>
        <v>12</v>
      </c>
      <c r="G295" s="9" t="s">
        <v>324</v>
      </c>
      <c r="H295" s="3">
        <v>90</v>
      </c>
      <c r="I295" s="3" t="str">
        <f>VLOOKUP(A295,战役结算奖励!$A$1:$O$301,15,0)</f>
        <v>[{"id":14,"num":40},{"id":2,"num":1878000},{"id":1,"num":1870000}]</v>
      </c>
      <c r="J295" s="3" t="s">
        <v>33</v>
      </c>
      <c r="K295" s="3">
        <v>68</v>
      </c>
      <c r="L295" s="3" t="s">
        <v>514</v>
      </c>
      <c r="M295" s="3"/>
      <c r="N295" s="3">
        <v>7</v>
      </c>
      <c r="O295" s="3"/>
    </row>
    <row r="296" spans="1:15" x14ac:dyDescent="0.15">
      <c r="A296" s="3">
        <f t="shared" si="29"/>
        <v>1408013</v>
      </c>
      <c r="B296" s="3">
        <v>14</v>
      </c>
      <c r="C296" s="3">
        <v>0</v>
      </c>
      <c r="D296" s="3">
        <v>1</v>
      </c>
      <c r="E296" s="3">
        <f t="shared" si="28"/>
        <v>8</v>
      </c>
      <c r="F296" s="3">
        <f t="shared" si="27"/>
        <v>13</v>
      </c>
      <c r="G296" s="9" t="s">
        <v>325</v>
      </c>
      <c r="H296" s="3">
        <v>90</v>
      </c>
      <c r="I296" s="3" t="str">
        <f>VLOOKUP(A296,战役结算奖励!$A$1:$O$301,15,0)</f>
        <v>[{"id":14,"num":40},{"id":2,"num":1878000},{"id":1,"num":1870000}]</v>
      </c>
      <c r="J296" s="3" t="s">
        <v>33</v>
      </c>
      <c r="K296" s="3">
        <v>68</v>
      </c>
      <c r="L296" s="3" t="s">
        <v>514</v>
      </c>
      <c r="M296" s="3"/>
      <c r="N296" s="3">
        <v>7</v>
      </c>
      <c r="O296" s="3"/>
    </row>
    <row r="297" spans="1:15" x14ac:dyDescent="0.15">
      <c r="A297" s="3">
        <f t="shared" si="29"/>
        <v>1408014</v>
      </c>
      <c r="B297" s="3">
        <v>14</v>
      </c>
      <c r="C297" s="3">
        <v>0</v>
      </c>
      <c r="D297" s="3">
        <v>1</v>
      </c>
      <c r="E297" s="3">
        <f t="shared" si="28"/>
        <v>8</v>
      </c>
      <c r="F297" s="3">
        <f t="shared" si="27"/>
        <v>14</v>
      </c>
      <c r="G297" s="9" t="s">
        <v>326</v>
      </c>
      <c r="H297" s="3">
        <v>90</v>
      </c>
      <c r="I297" s="3" t="str">
        <f>VLOOKUP(A297,战役结算奖励!$A$1:$O$301,15,0)</f>
        <v>[{"id":14,"num":40},{"id":2,"num":1878000},{"id":1,"num":1870000}]</v>
      </c>
      <c r="J297" s="3" t="s">
        <v>33</v>
      </c>
      <c r="K297" s="3">
        <v>68</v>
      </c>
      <c r="L297" s="3" t="s">
        <v>514</v>
      </c>
      <c r="M297" s="3"/>
      <c r="N297" s="3">
        <v>7</v>
      </c>
      <c r="O297" s="3"/>
    </row>
    <row r="298" spans="1:15" x14ac:dyDescent="0.15">
      <c r="A298" s="3">
        <f t="shared" si="29"/>
        <v>1408015</v>
      </c>
      <c r="B298" s="3">
        <v>14</v>
      </c>
      <c r="C298" s="3">
        <v>0</v>
      </c>
      <c r="D298" s="3">
        <v>1</v>
      </c>
      <c r="E298" s="3">
        <f t="shared" si="28"/>
        <v>8</v>
      </c>
      <c r="F298" s="3">
        <f t="shared" si="27"/>
        <v>15</v>
      </c>
      <c r="G298" s="9" t="s">
        <v>327</v>
      </c>
      <c r="H298" s="3">
        <v>90</v>
      </c>
      <c r="I298" s="3" t="str">
        <f>VLOOKUP(A298,战役结算奖励!$A$1:$O$301,15,0)</f>
        <v>[{"id":14,"num":40},{"id":2,"num":1878000},{"id":1,"num":1870000}]</v>
      </c>
      <c r="J298" s="3" t="s">
        <v>33</v>
      </c>
      <c r="K298" s="3">
        <v>68</v>
      </c>
      <c r="L298" s="3" t="s">
        <v>514</v>
      </c>
      <c r="M298" s="3"/>
      <c r="N298" s="3">
        <v>7</v>
      </c>
      <c r="O298" s="3"/>
    </row>
    <row r="299" spans="1:15" x14ac:dyDescent="0.15">
      <c r="A299" s="3">
        <f t="shared" si="29"/>
        <v>1408016</v>
      </c>
      <c r="B299" s="3">
        <v>14</v>
      </c>
      <c r="C299" s="3">
        <v>0</v>
      </c>
      <c r="D299" s="3">
        <v>1</v>
      </c>
      <c r="E299" s="3">
        <f t="shared" si="28"/>
        <v>8</v>
      </c>
      <c r="F299" s="3">
        <f t="shared" ref="F299:F323" si="30">F259</f>
        <v>16</v>
      </c>
      <c r="G299" s="9" t="s">
        <v>328</v>
      </c>
      <c r="H299" s="3">
        <v>90</v>
      </c>
      <c r="I299" s="3" t="str">
        <f>VLOOKUP(A299,战役结算奖励!$A$1:$O$301,15,0)</f>
        <v>[{"id":14,"num":40},{"id":2,"num":1878000},{"id":1,"num":1870000}]</v>
      </c>
      <c r="J299" s="3" t="s">
        <v>33</v>
      </c>
      <c r="K299" s="3">
        <v>68</v>
      </c>
      <c r="L299" s="3" t="s">
        <v>514</v>
      </c>
      <c r="M299" s="3"/>
      <c r="N299" s="3">
        <v>7</v>
      </c>
      <c r="O299" s="3"/>
    </row>
    <row r="300" spans="1:15" x14ac:dyDescent="0.15">
      <c r="A300" s="3">
        <f t="shared" si="29"/>
        <v>1408017</v>
      </c>
      <c r="B300" s="3">
        <v>14</v>
      </c>
      <c r="C300" s="3">
        <v>0</v>
      </c>
      <c r="D300" s="3">
        <v>1</v>
      </c>
      <c r="E300" s="3">
        <f t="shared" si="28"/>
        <v>8</v>
      </c>
      <c r="F300" s="3">
        <f t="shared" si="30"/>
        <v>17</v>
      </c>
      <c r="G300" s="9" t="s">
        <v>329</v>
      </c>
      <c r="H300" s="3">
        <v>90</v>
      </c>
      <c r="I300" s="3" t="str">
        <f>VLOOKUP(A300,战役结算奖励!$A$1:$O$301,15,0)</f>
        <v>[{"id":14,"num":40},{"id":2,"num":1878000},{"id":1,"num":1870000}]</v>
      </c>
      <c r="J300" s="3" t="s">
        <v>33</v>
      </c>
      <c r="K300" s="3">
        <v>68</v>
      </c>
      <c r="L300" s="3" t="s">
        <v>514</v>
      </c>
      <c r="M300" s="3"/>
      <c r="N300" s="3">
        <v>7</v>
      </c>
      <c r="O300" s="3"/>
    </row>
    <row r="301" spans="1:15" x14ac:dyDescent="0.15">
      <c r="A301" s="3">
        <f t="shared" si="29"/>
        <v>1408018</v>
      </c>
      <c r="B301" s="3">
        <v>14</v>
      </c>
      <c r="C301" s="3">
        <v>0</v>
      </c>
      <c r="D301" s="3">
        <v>1</v>
      </c>
      <c r="E301" s="3">
        <f t="shared" si="28"/>
        <v>8</v>
      </c>
      <c r="F301" s="3">
        <f t="shared" si="30"/>
        <v>18</v>
      </c>
      <c r="G301" s="9" t="s">
        <v>330</v>
      </c>
      <c r="H301" s="3">
        <v>90</v>
      </c>
      <c r="I301" s="3" t="str">
        <f>VLOOKUP(A301,战役结算奖励!$A$1:$O$301,15,0)</f>
        <v>[{"id":14,"num":40},{"id":2,"num":1878000},{"id":1,"num":1870000}]</v>
      </c>
      <c r="J301" s="3" t="s">
        <v>33</v>
      </c>
      <c r="K301" s="3">
        <v>68</v>
      </c>
      <c r="L301" s="3" t="s">
        <v>514</v>
      </c>
      <c r="M301" s="3"/>
      <c r="N301" s="3">
        <v>7</v>
      </c>
      <c r="O301" s="3"/>
    </row>
    <row r="302" spans="1:15" x14ac:dyDescent="0.15">
      <c r="A302" s="3">
        <f t="shared" si="29"/>
        <v>1408019</v>
      </c>
      <c r="B302" s="3">
        <v>14</v>
      </c>
      <c r="C302" s="3">
        <v>0</v>
      </c>
      <c r="D302" s="3">
        <v>1</v>
      </c>
      <c r="E302" s="3">
        <f t="shared" si="28"/>
        <v>8</v>
      </c>
      <c r="F302" s="3">
        <f t="shared" si="30"/>
        <v>19</v>
      </c>
      <c r="G302" s="9" t="s">
        <v>331</v>
      </c>
      <c r="H302" s="3">
        <v>90</v>
      </c>
      <c r="I302" s="3" t="str">
        <f>VLOOKUP(A302,战役结算奖励!$A$1:$O$301,15,0)</f>
        <v>[{"id":14,"num":40},{"id":2,"num":1878000},{"id":1,"num":1870000}]</v>
      </c>
      <c r="J302" s="3" t="s">
        <v>33</v>
      </c>
      <c r="K302" s="3">
        <v>68</v>
      </c>
      <c r="L302" s="3" t="s">
        <v>514</v>
      </c>
      <c r="M302" s="3"/>
      <c r="N302" s="3">
        <v>7</v>
      </c>
      <c r="O302" s="3"/>
    </row>
    <row r="303" spans="1:15" s="4" customFormat="1" x14ac:dyDescent="0.15">
      <c r="A303" s="10">
        <f t="shared" si="29"/>
        <v>1408020</v>
      </c>
      <c r="B303" s="10">
        <v>14</v>
      </c>
      <c r="C303" s="10">
        <v>0</v>
      </c>
      <c r="D303" s="10">
        <v>1</v>
      </c>
      <c r="E303" s="10">
        <f t="shared" ref="E303:E323" si="31">E263+1</f>
        <v>8</v>
      </c>
      <c r="F303" s="10">
        <f t="shared" si="30"/>
        <v>20</v>
      </c>
      <c r="G303" s="9" t="s">
        <v>332</v>
      </c>
      <c r="H303" s="10">
        <v>90</v>
      </c>
      <c r="I303" s="10" t="str">
        <f>VLOOKUP(A303,战役结算奖励!$A$1:$O$332,15,0)</f>
        <v>[{"id":14,"num":40},{"id":2,"num":1878000},{"id":1,"num":1870000}]</v>
      </c>
      <c r="J303" s="10" t="s">
        <v>33</v>
      </c>
      <c r="K303" s="10">
        <v>68</v>
      </c>
      <c r="L303" s="3" t="s">
        <v>514</v>
      </c>
      <c r="M303" s="10"/>
      <c r="N303" s="3">
        <v>7</v>
      </c>
      <c r="O303" s="10"/>
    </row>
    <row r="304" spans="1:15" x14ac:dyDescent="0.15">
      <c r="A304" s="3">
        <f t="shared" si="29"/>
        <v>1408021</v>
      </c>
      <c r="B304" s="3">
        <v>14</v>
      </c>
      <c r="C304" s="3">
        <v>0</v>
      </c>
      <c r="D304" s="3">
        <v>1</v>
      </c>
      <c r="E304" s="3">
        <f t="shared" si="31"/>
        <v>8</v>
      </c>
      <c r="F304" s="3">
        <f t="shared" si="30"/>
        <v>21</v>
      </c>
      <c r="G304" s="9" t="s">
        <v>333</v>
      </c>
      <c r="H304" s="3">
        <v>90</v>
      </c>
      <c r="I304" s="3" t="str">
        <f>VLOOKUP(A304,战役结算奖励!$A$1:$O$332,15,0)</f>
        <v>[{"id":14,"num":40},{"id":2,"num":1878000},{"id":1,"num":1870000}]</v>
      </c>
      <c r="J304" s="3" t="s">
        <v>33</v>
      </c>
      <c r="K304" s="3">
        <v>68</v>
      </c>
      <c r="L304" s="3" t="s">
        <v>514</v>
      </c>
      <c r="M304" s="3"/>
      <c r="N304" s="3">
        <v>7</v>
      </c>
      <c r="O304" s="3"/>
    </row>
    <row r="305" spans="1:15" x14ac:dyDescent="0.15">
      <c r="A305" s="3">
        <f t="shared" si="29"/>
        <v>1408022</v>
      </c>
      <c r="B305" s="3">
        <v>14</v>
      </c>
      <c r="C305" s="3">
        <v>0</v>
      </c>
      <c r="D305" s="3">
        <v>1</v>
      </c>
      <c r="E305" s="3">
        <f t="shared" si="31"/>
        <v>8</v>
      </c>
      <c r="F305" s="3">
        <f t="shared" si="30"/>
        <v>22</v>
      </c>
      <c r="G305" s="9" t="s">
        <v>334</v>
      </c>
      <c r="H305" s="3">
        <v>90</v>
      </c>
      <c r="I305" s="3" t="str">
        <f>VLOOKUP(A305,战役结算奖励!$A$1:$O$332,15,0)</f>
        <v>[{"id":14,"num":40},{"id":2,"num":1878000},{"id":1,"num":1870000}]</v>
      </c>
      <c r="J305" s="3" t="s">
        <v>33</v>
      </c>
      <c r="K305" s="3">
        <v>68</v>
      </c>
      <c r="L305" s="3" t="s">
        <v>514</v>
      </c>
      <c r="M305" s="3"/>
      <c r="N305" s="3">
        <v>7</v>
      </c>
      <c r="O305" s="3"/>
    </row>
    <row r="306" spans="1:15" x14ac:dyDescent="0.15">
      <c r="A306" s="3">
        <f t="shared" si="29"/>
        <v>1408023</v>
      </c>
      <c r="B306" s="3">
        <v>14</v>
      </c>
      <c r="C306" s="3">
        <v>0</v>
      </c>
      <c r="D306" s="3">
        <v>1</v>
      </c>
      <c r="E306" s="3">
        <f t="shared" si="31"/>
        <v>8</v>
      </c>
      <c r="F306" s="3">
        <f t="shared" si="30"/>
        <v>23</v>
      </c>
      <c r="G306" s="9" t="s">
        <v>335</v>
      </c>
      <c r="H306" s="3">
        <v>90</v>
      </c>
      <c r="I306" s="3" t="str">
        <f>VLOOKUP(A306,战役结算奖励!$A$1:$O$332,15,0)</f>
        <v>[{"id":14,"num":40},{"id":2,"num":1878000},{"id":1,"num":1870000}]</v>
      </c>
      <c r="J306" s="3" t="s">
        <v>33</v>
      </c>
      <c r="K306" s="3">
        <v>68</v>
      </c>
      <c r="L306" s="3" t="s">
        <v>514</v>
      </c>
      <c r="M306" s="3"/>
      <c r="N306" s="3">
        <v>7</v>
      </c>
      <c r="O306" s="3"/>
    </row>
    <row r="307" spans="1:15" x14ac:dyDescent="0.15">
      <c r="A307" s="3">
        <f t="shared" si="29"/>
        <v>1408024</v>
      </c>
      <c r="B307" s="3">
        <v>14</v>
      </c>
      <c r="C307" s="3">
        <v>0</v>
      </c>
      <c r="D307" s="3">
        <v>1</v>
      </c>
      <c r="E307" s="3">
        <f t="shared" si="31"/>
        <v>8</v>
      </c>
      <c r="F307" s="3">
        <f t="shared" si="30"/>
        <v>24</v>
      </c>
      <c r="G307" s="9" t="s">
        <v>336</v>
      </c>
      <c r="H307" s="3">
        <v>90</v>
      </c>
      <c r="I307" s="3" t="str">
        <f>VLOOKUP(A307,战役结算奖励!$A$1:$O$332,15,0)</f>
        <v>[{"id":14,"num":40},{"id":2,"num":1878000},{"id":1,"num":1870000}]</v>
      </c>
      <c r="J307" s="3" t="s">
        <v>33</v>
      </c>
      <c r="K307" s="3">
        <v>68</v>
      </c>
      <c r="L307" s="3" t="s">
        <v>514</v>
      </c>
      <c r="M307" s="3"/>
      <c r="N307" s="3">
        <v>7</v>
      </c>
      <c r="O307" s="3"/>
    </row>
    <row r="308" spans="1:15" x14ac:dyDescent="0.15">
      <c r="A308" s="3">
        <f t="shared" si="29"/>
        <v>1408025</v>
      </c>
      <c r="B308" s="3">
        <v>14</v>
      </c>
      <c r="C308" s="3">
        <v>0</v>
      </c>
      <c r="D308" s="3">
        <v>1</v>
      </c>
      <c r="E308" s="3">
        <f t="shared" si="31"/>
        <v>8</v>
      </c>
      <c r="F308" s="3">
        <f t="shared" si="30"/>
        <v>25</v>
      </c>
      <c r="G308" s="9" t="s">
        <v>337</v>
      </c>
      <c r="H308" s="3">
        <v>90</v>
      </c>
      <c r="I308" s="3" t="str">
        <f>VLOOKUP(A308,战役结算奖励!$A$1:$O$332,15,0)</f>
        <v>[{"id":14,"num":40},{"id":2,"num":1878000},{"id":1,"num":1870000}]</v>
      </c>
      <c r="J308" s="3" t="s">
        <v>33</v>
      </c>
      <c r="K308" s="3">
        <v>68</v>
      </c>
      <c r="L308" s="3" t="s">
        <v>514</v>
      </c>
      <c r="M308" s="3"/>
      <c r="N308" s="3">
        <v>7</v>
      </c>
      <c r="O308" s="3"/>
    </row>
    <row r="309" spans="1:15" x14ac:dyDescent="0.15">
      <c r="A309" s="3">
        <f t="shared" si="29"/>
        <v>1408026</v>
      </c>
      <c r="B309" s="3">
        <v>14</v>
      </c>
      <c r="C309" s="3">
        <v>0</v>
      </c>
      <c r="D309" s="3">
        <v>1</v>
      </c>
      <c r="E309" s="3">
        <f t="shared" si="31"/>
        <v>8</v>
      </c>
      <c r="F309" s="3">
        <f t="shared" si="30"/>
        <v>26</v>
      </c>
      <c r="G309" s="9" t="s">
        <v>338</v>
      </c>
      <c r="H309" s="3">
        <v>90</v>
      </c>
      <c r="I309" s="3" t="str">
        <f>VLOOKUP(A309,战役结算奖励!$A$1:$O$332,15,0)</f>
        <v>[{"id":14,"num":40},{"id":2,"num":1878000},{"id":1,"num":1870000}]</v>
      </c>
      <c r="J309" s="3" t="s">
        <v>33</v>
      </c>
      <c r="K309" s="3">
        <v>68</v>
      </c>
      <c r="L309" s="3" t="s">
        <v>514</v>
      </c>
      <c r="M309" s="3"/>
      <c r="N309" s="3">
        <v>7</v>
      </c>
      <c r="O309" s="3"/>
    </row>
    <row r="310" spans="1:15" x14ac:dyDescent="0.15">
      <c r="A310" s="3">
        <f t="shared" si="29"/>
        <v>1408027</v>
      </c>
      <c r="B310" s="3">
        <v>14</v>
      </c>
      <c r="C310" s="3">
        <v>0</v>
      </c>
      <c r="D310" s="3">
        <v>1</v>
      </c>
      <c r="E310" s="3">
        <f t="shared" si="31"/>
        <v>8</v>
      </c>
      <c r="F310" s="3">
        <f t="shared" si="30"/>
        <v>27</v>
      </c>
      <c r="G310" s="9" t="s">
        <v>339</v>
      </c>
      <c r="H310" s="3">
        <v>90</v>
      </c>
      <c r="I310" s="3" t="str">
        <f>VLOOKUP(A310,战役结算奖励!$A$1:$O$332,15,0)</f>
        <v>[{"id":14,"num":40},{"id":2,"num":1878000},{"id":1,"num":1870000}]</v>
      </c>
      <c r="J310" s="3" t="s">
        <v>33</v>
      </c>
      <c r="K310" s="3">
        <v>68</v>
      </c>
      <c r="L310" s="3" t="s">
        <v>514</v>
      </c>
      <c r="M310" s="3"/>
      <c r="N310" s="3">
        <v>7</v>
      </c>
      <c r="O310" s="3"/>
    </row>
    <row r="311" spans="1:15" x14ac:dyDescent="0.15">
      <c r="A311" s="3">
        <f t="shared" si="29"/>
        <v>1408028</v>
      </c>
      <c r="B311" s="3">
        <v>14</v>
      </c>
      <c r="C311" s="3">
        <v>0</v>
      </c>
      <c r="D311" s="3">
        <v>1</v>
      </c>
      <c r="E311" s="3">
        <f t="shared" si="31"/>
        <v>8</v>
      </c>
      <c r="F311" s="3">
        <f t="shared" si="30"/>
        <v>28</v>
      </c>
      <c r="G311" s="9" t="s">
        <v>340</v>
      </c>
      <c r="H311" s="3">
        <v>90</v>
      </c>
      <c r="I311" s="3" t="str">
        <f>VLOOKUP(A311,战役结算奖励!$A$1:$O$332,15,0)</f>
        <v>[{"id":14,"num":40},{"id":2,"num":1878000},{"id":1,"num":1870000}]</v>
      </c>
      <c r="J311" s="3" t="s">
        <v>33</v>
      </c>
      <c r="K311" s="3">
        <v>68</v>
      </c>
      <c r="L311" s="3" t="s">
        <v>514</v>
      </c>
      <c r="M311" s="3"/>
      <c r="N311" s="3">
        <v>7</v>
      </c>
      <c r="O311" s="3"/>
    </row>
    <row r="312" spans="1:15" x14ac:dyDescent="0.15">
      <c r="A312" s="3">
        <f t="shared" ref="A312:A323" si="32">B312*100000+E312*1000+F312</f>
        <v>1408029</v>
      </c>
      <c r="B312" s="3">
        <v>14</v>
      </c>
      <c r="C312" s="3">
        <v>0</v>
      </c>
      <c r="D312" s="3">
        <v>1</v>
      </c>
      <c r="E312" s="3">
        <f t="shared" si="31"/>
        <v>8</v>
      </c>
      <c r="F312" s="3">
        <f t="shared" si="30"/>
        <v>29</v>
      </c>
      <c r="G312" s="9" t="s">
        <v>341</v>
      </c>
      <c r="H312" s="3">
        <v>90</v>
      </c>
      <c r="I312" s="3" t="str">
        <f>VLOOKUP(A312,战役结算奖励!$A$1:$O$332,15,0)</f>
        <v>[{"id":14,"num":40},{"id":2,"num":1878000},{"id":1,"num":1870000}]</v>
      </c>
      <c r="J312" s="3" t="s">
        <v>33</v>
      </c>
      <c r="K312" s="3">
        <v>68</v>
      </c>
      <c r="L312" s="3" t="s">
        <v>514</v>
      </c>
      <c r="M312" s="3"/>
      <c r="N312" s="3">
        <v>7</v>
      </c>
      <c r="O312" s="3"/>
    </row>
    <row r="313" spans="1:15" s="4" customFormat="1" x14ac:dyDescent="0.15">
      <c r="A313" s="10">
        <f t="shared" si="32"/>
        <v>1408030</v>
      </c>
      <c r="B313" s="10">
        <v>14</v>
      </c>
      <c r="C313" s="10">
        <v>0</v>
      </c>
      <c r="D313" s="10">
        <v>1</v>
      </c>
      <c r="E313" s="10">
        <f t="shared" si="31"/>
        <v>8</v>
      </c>
      <c r="F313" s="10">
        <f t="shared" si="30"/>
        <v>30</v>
      </c>
      <c r="G313" s="9" t="s">
        <v>342</v>
      </c>
      <c r="H313" s="10">
        <v>90</v>
      </c>
      <c r="I313" s="10" t="str">
        <f>VLOOKUP(A313,战役结算奖励!$A$1:$O$332,15,0)</f>
        <v>[{"id":14,"num":40},{"id":2,"num":1878000},{"id":1,"num":1870000}]</v>
      </c>
      <c r="J313" s="10" t="s">
        <v>33</v>
      </c>
      <c r="K313" s="10">
        <v>68</v>
      </c>
      <c r="L313" s="3" t="s">
        <v>514</v>
      </c>
      <c r="M313" s="10"/>
      <c r="N313" s="3">
        <v>7</v>
      </c>
      <c r="O313" s="10"/>
    </row>
    <row r="314" spans="1:15" x14ac:dyDescent="0.15">
      <c r="A314" s="3">
        <f t="shared" si="32"/>
        <v>1408031</v>
      </c>
      <c r="B314" s="3">
        <v>14</v>
      </c>
      <c r="C314" s="3">
        <v>0</v>
      </c>
      <c r="D314" s="3">
        <v>1</v>
      </c>
      <c r="E314" s="3">
        <f t="shared" si="31"/>
        <v>8</v>
      </c>
      <c r="F314" s="3">
        <f t="shared" si="30"/>
        <v>31</v>
      </c>
      <c r="G314" s="9" t="s">
        <v>343</v>
      </c>
      <c r="H314" s="3">
        <v>90</v>
      </c>
      <c r="I314" s="3" t="str">
        <f>VLOOKUP(A314,战役结算奖励!$A$1:$O$332,15,0)</f>
        <v>[{"id":14,"num":40},{"id":2,"num":1878000},{"id":1,"num":1870000}]</v>
      </c>
      <c r="J314" s="3" t="s">
        <v>33</v>
      </c>
      <c r="K314" s="3">
        <v>68</v>
      </c>
      <c r="L314" s="3" t="s">
        <v>514</v>
      </c>
      <c r="M314" s="3"/>
      <c r="N314" s="3">
        <v>7</v>
      </c>
      <c r="O314" s="3"/>
    </row>
    <row r="315" spans="1:15" x14ac:dyDescent="0.15">
      <c r="A315" s="3">
        <f t="shared" si="32"/>
        <v>1408032</v>
      </c>
      <c r="B315" s="3">
        <v>14</v>
      </c>
      <c r="C315" s="3">
        <v>0</v>
      </c>
      <c r="D315" s="3">
        <v>1</v>
      </c>
      <c r="E315" s="3">
        <f t="shared" si="31"/>
        <v>8</v>
      </c>
      <c r="F315" s="3">
        <f t="shared" si="30"/>
        <v>32</v>
      </c>
      <c r="G315" s="9" t="s">
        <v>344</v>
      </c>
      <c r="H315" s="3">
        <v>90</v>
      </c>
      <c r="I315" s="3" t="str">
        <f>VLOOKUP(A315,战役结算奖励!$A$1:$O$332,15,0)</f>
        <v>[{"id":14,"num":40},{"id":2,"num":1878000},{"id":1,"num":1870000}]</v>
      </c>
      <c r="J315" s="3" t="s">
        <v>33</v>
      </c>
      <c r="K315" s="3">
        <v>68</v>
      </c>
      <c r="L315" s="3" t="s">
        <v>514</v>
      </c>
      <c r="M315" s="3"/>
      <c r="N315" s="3">
        <v>7</v>
      </c>
      <c r="O315" s="3"/>
    </row>
    <row r="316" spans="1:15" x14ac:dyDescent="0.15">
      <c r="A316" s="3">
        <f t="shared" si="32"/>
        <v>1408033</v>
      </c>
      <c r="B316" s="3">
        <v>14</v>
      </c>
      <c r="C316" s="3">
        <v>0</v>
      </c>
      <c r="D316" s="3">
        <v>1</v>
      </c>
      <c r="E316" s="3">
        <f t="shared" si="31"/>
        <v>8</v>
      </c>
      <c r="F316" s="3">
        <f t="shared" si="30"/>
        <v>33</v>
      </c>
      <c r="G316" s="9" t="s">
        <v>345</v>
      </c>
      <c r="H316" s="3">
        <v>90</v>
      </c>
      <c r="I316" s="3" t="str">
        <f>VLOOKUP(A316,战役结算奖励!$A$1:$O$332,15,0)</f>
        <v>[{"id":14,"num":40},{"id":2,"num":1878000},{"id":1,"num":1870000}]</v>
      </c>
      <c r="J316" s="3" t="s">
        <v>33</v>
      </c>
      <c r="K316" s="3">
        <v>68</v>
      </c>
      <c r="L316" s="3" t="s">
        <v>514</v>
      </c>
      <c r="M316" s="3"/>
      <c r="N316" s="3">
        <v>7</v>
      </c>
      <c r="O316" s="3"/>
    </row>
    <row r="317" spans="1:15" x14ac:dyDescent="0.15">
      <c r="A317" s="3">
        <f t="shared" si="32"/>
        <v>1408034</v>
      </c>
      <c r="B317" s="3">
        <v>14</v>
      </c>
      <c r="C317" s="3">
        <v>0</v>
      </c>
      <c r="D317" s="3">
        <v>1</v>
      </c>
      <c r="E317" s="3">
        <f t="shared" si="31"/>
        <v>8</v>
      </c>
      <c r="F317" s="3">
        <f t="shared" si="30"/>
        <v>34</v>
      </c>
      <c r="G317" s="9" t="s">
        <v>346</v>
      </c>
      <c r="H317" s="3">
        <v>90</v>
      </c>
      <c r="I317" s="3" t="str">
        <f>VLOOKUP(A317,战役结算奖励!$A$1:$O$332,15,0)</f>
        <v>[{"id":14,"num":40},{"id":2,"num":1878000},{"id":1,"num":1870000}]</v>
      </c>
      <c r="J317" s="3" t="s">
        <v>33</v>
      </c>
      <c r="K317" s="3">
        <v>68</v>
      </c>
      <c r="L317" s="3" t="s">
        <v>514</v>
      </c>
      <c r="M317" s="3"/>
      <c r="N317" s="3">
        <v>7</v>
      </c>
      <c r="O317" s="3"/>
    </row>
    <row r="318" spans="1:15" x14ac:dyDescent="0.15">
      <c r="A318" s="3">
        <f t="shared" si="32"/>
        <v>1408035</v>
      </c>
      <c r="B318" s="3">
        <v>14</v>
      </c>
      <c r="C318" s="3">
        <v>0</v>
      </c>
      <c r="D318" s="3">
        <v>1</v>
      </c>
      <c r="E318" s="3">
        <f t="shared" si="31"/>
        <v>8</v>
      </c>
      <c r="F318" s="3">
        <f t="shared" si="30"/>
        <v>35</v>
      </c>
      <c r="G318" s="9" t="s">
        <v>347</v>
      </c>
      <c r="H318" s="3">
        <v>90</v>
      </c>
      <c r="I318" s="3" t="str">
        <f>VLOOKUP(A318,战役结算奖励!$A$1:$O$332,15,0)</f>
        <v>[{"id":14,"num":40},{"id":2,"num":1878000},{"id":1,"num":1870000}]</v>
      </c>
      <c r="J318" s="3" t="s">
        <v>33</v>
      </c>
      <c r="K318" s="3">
        <v>68</v>
      </c>
      <c r="L318" s="3" t="s">
        <v>514</v>
      </c>
      <c r="M318" s="3"/>
      <c r="N318" s="3">
        <v>7</v>
      </c>
      <c r="O318" s="3"/>
    </row>
    <row r="319" spans="1:15" x14ac:dyDescent="0.15">
      <c r="A319" s="3">
        <f t="shared" si="32"/>
        <v>1408036</v>
      </c>
      <c r="B319" s="3">
        <v>14</v>
      </c>
      <c r="C319" s="3">
        <v>0</v>
      </c>
      <c r="D319" s="3">
        <v>1</v>
      </c>
      <c r="E319" s="3">
        <f t="shared" si="31"/>
        <v>8</v>
      </c>
      <c r="F319" s="3">
        <f t="shared" si="30"/>
        <v>36</v>
      </c>
      <c r="G319" s="9" t="s">
        <v>348</v>
      </c>
      <c r="H319" s="3">
        <v>90</v>
      </c>
      <c r="I319" s="3" t="str">
        <f>VLOOKUP(A319,战役结算奖励!$A$1:$O$332,15,0)</f>
        <v>[{"id":14,"num":40},{"id":2,"num":1878000},{"id":1,"num":1870000}]</v>
      </c>
      <c r="J319" s="3" t="s">
        <v>33</v>
      </c>
      <c r="K319" s="3">
        <v>68</v>
      </c>
      <c r="L319" s="3" t="s">
        <v>514</v>
      </c>
      <c r="M319" s="3"/>
      <c r="N319" s="3">
        <v>7</v>
      </c>
      <c r="O319" s="3"/>
    </row>
    <row r="320" spans="1:15" x14ac:dyDescent="0.15">
      <c r="A320" s="3">
        <f t="shared" si="32"/>
        <v>1408037</v>
      </c>
      <c r="B320" s="3">
        <v>14</v>
      </c>
      <c r="C320" s="3">
        <v>0</v>
      </c>
      <c r="D320" s="3">
        <v>1</v>
      </c>
      <c r="E320" s="3">
        <f t="shared" si="31"/>
        <v>8</v>
      </c>
      <c r="F320" s="3">
        <f t="shared" si="30"/>
        <v>37</v>
      </c>
      <c r="G320" s="9" t="s">
        <v>349</v>
      </c>
      <c r="H320" s="3">
        <v>90</v>
      </c>
      <c r="I320" s="3" t="str">
        <f>VLOOKUP(A320,战役结算奖励!$A$1:$O$332,15,0)</f>
        <v>[{"id":14,"num":40},{"id":2,"num":1878000},{"id":1,"num":1870000}]</v>
      </c>
      <c r="J320" s="3" t="s">
        <v>33</v>
      </c>
      <c r="K320" s="3">
        <v>68</v>
      </c>
      <c r="L320" s="3" t="s">
        <v>514</v>
      </c>
      <c r="M320" s="3"/>
      <c r="N320" s="3">
        <v>7</v>
      </c>
      <c r="O320" s="3"/>
    </row>
    <row r="321" spans="1:15" x14ac:dyDescent="0.15">
      <c r="A321" s="3">
        <f t="shared" si="32"/>
        <v>1408038</v>
      </c>
      <c r="B321" s="3">
        <v>14</v>
      </c>
      <c r="C321" s="3">
        <v>0</v>
      </c>
      <c r="D321" s="3">
        <v>1</v>
      </c>
      <c r="E321" s="3">
        <f t="shared" si="31"/>
        <v>8</v>
      </c>
      <c r="F321" s="3">
        <f t="shared" si="30"/>
        <v>38</v>
      </c>
      <c r="G321" s="9" t="s">
        <v>350</v>
      </c>
      <c r="H321" s="3">
        <v>90</v>
      </c>
      <c r="I321" s="3" t="str">
        <f>VLOOKUP(A321,战役结算奖励!$A$1:$O$332,15,0)</f>
        <v>[{"id":14,"num":40},{"id":2,"num":1878000},{"id":1,"num":1870000}]</v>
      </c>
      <c r="J321" s="3" t="s">
        <v>33</v>
      </c>
      <c r="K321" s="3">
        <v>68</v>
      </c>
      <c r="L321" s="3" t="s">
        <v>514</v>
      </c>
      <c r="M321" s="3"/>
      <c r="N321" s="3">
        <v>7</v>
      </c>
      <c r="O321" s="3"/>
    </row>
    <row r="322" spans="1:15" x14ac:dyDescent="0.15">
      <c r="A322" s="3">
        <f t="shared" si="32"/>
        <v>1408039</v>
      </c>
      <c r="B322" s="3">
        <v>14</v>
      </c>
      <c r="C322" s="3">
        <v>0</v>
      </c>
      <c r="D322" s="3">
        <v>1</v>
      </c>
      <c r="E322" s="3">
        <f t="shared" si="31"/>
        <v>8</v>
      </c>
      <c r="F322" s="3">
        <f t="shared" si="30"/>
        <v>39</v>
      </c>
      <c r="G322" s="9" t="s">
        <v>351</v>
      </c>
      <c r="H322" s="3">
        <v>90</v>
      </c>
      <c r="I322" s="3" t="str">
        <f>VLOOKUP(A322,战役结算奖励!$A$1:$O$332,15,0)</f>
        <v>[{"id":14,"num":40},{"id":2,"num":1878000},{"id":1,"num":1870000}]</v>
      </c>
      <c r="J322" s="3" t="s">
        <v>33</v>
      </c>
      <c r="K322" s="3">
        <v>68</v>
      </c>
      <c r="L322" s="3" t="s">
        <v>514</v>
      </c>
      <c r="M322" s="3"/>
      <c r="N322" s="3">
        <v>7</v>
      </c>
      <c r="O322" s="3"/>
    </row>
    <row r="323" spans="1:15" s="4" customFormat="1" x14ac:dyDescent="0.15">
      <c r="A323" s="10">
        <f t="shared" si="32"/>
        <v>1408040</v>
      </c>
      <c r="B323" s="10">
        <v>14</v>
      </c>
      <c r="C323" s="10">
        <v>0</v>
      </c>
      <c r="D323" s="10">
        <v>1</v>
      </c>
      <c r="E323" s="10">
        <f t="shared" si="31"/>
        <v>8</v>
      </c>
      <c r="F323" s="10">
        <f t="shared" si="30"/>
        <v>40</v>
      </c>
      <c r="G323" s="9" t="s">
        <v>352</v>
      </c>
      <c r="H323" s="10">
        <v>90</v>
      </c>
      <c r="I323" s="10" t="str">
        <f>VLOOKUP(A323,战役结算奖励!$A$1:$O$332,15,0)</f>
        <v>[{"id":14,"num":40},{"id":2,"num":1878000},{"id":1,"num":1870000}]</v>
      </c>
      <c r="J323" s="10" t="s">
        <v>33</v>
      </c>
      <c r="K323" s="10">
        <v>68</v>
      </c>
      <c r="L323" s="3" t="s">
        <v>1222</v>
      </c>
      <c r="M323" s="10"/>
      <c r="N323" s="3">
        <v>7</v>
      </c>
      <c r="O323" s="10">
        <v>1</v>
      </c>
    </row>
    <row r="324" spans="1:15" x14ac:dyDescent="0.15">
      <c r="A324" s="3">
        <f t="shared" ref="A324:A355" si="33">B324*100000+E324*1000+F324</f>
        <v>1409001</v>
      </c>
      <c r="B324" s="3">
        <v>14</v>
      </c>
      <c r="C324" s="3">
        <v>0</v>
      </c>
      <c r="D324" s="3">
        <v>1</v>
      </c>
      <c r="E324" s="3">
        <v>9</v>
      </c>
      <c r="F324" s="3">
        <v>1</v>
      </c>
      <c r="G324" s="9" t="s">
        <v>353</v>
      </c>
      <c r="H324" s="3">
        <v>90</v>
      </c>
      <c r="I324" s="10" t="str">
        <f>VLOOKUP(A324,战役结算奖励!$A$1:$O$491,15,0)</f>
        <v>[{"id":14,"num":45},{"id":2,"num":1900000},{"id":1,"num":1900000}]</v>
      </c>
      <c r="J324" s="3" t="s">
        <v>33</v>
      </c>
      <c r="K324" s="3">
        <v>63</v>
      </c>
      <c r="L324" s="3" t="s">
        <v>514</v>
      </c>
      <c r="M324" s="3"/>
      <c r="N324" s="3">
        <v>7</v>
      </c>
      <c r="O324" s="3"/>
    </row>
    <row r="325" spans="1:15" x14ac:dyDescent="0.15">
      <c r="A325" s="3">
        <f t="shared" si="33"/>
        <v>1409002</v>
      </c>
      <c r="B325" s="3">
        <v>14</v>
      </c>
      <c r="C325" s="3">
        <v>0</v>
      </c>
      <c r="D325" s="3">
        <v>1</v>
      </c>
      <c r="E325" s="3">
        <v>9</v>
      </c>
      <c r="F325" s="3">
        <v>2</v>
      </c>
      <c r="G325" s="9" t="s">
        <v>354</v>
      </c>
      <c r="H325" s="3">
        <v>90</v>
      </c>
      <c r="I325" s="10" t="str">
        <f>VLOOKUP(A325,战役结算奖励!$A$1:$O$491,15,0)</f>
        <v>[{"id":14,"num":45},{"id":2,"num":1900000},{"id":1,"num":1900000}]</v>
      </c>
      <c r="J325" s="3" t="s">
        <v>33</v>
      </c>
      <c r="K325" s="3">
        <v>63</v>
      </c>
      <c r="L325" s="3" t="s">
        <v>514</v>
      </c>
      <c r="M325" s="3"/>
      <c r="N325" s="3">
        <v>7</v>
      </c>
      <c r="O325" s="3"/>
    </row>
    <row r="326" spans="1:15" x14ac:dyDescent="0.15">
      <c r="A326" s="3">
        <f t="shared" si="33"/>
        <v>1409003</v>
      </c>
      <c r="B326" s="3">
        <v>14</v>
      </c>
      <c r="C326" s="3">
        <v>0</v>
      </c>
      <c r="D326" s="3">
        <v>1</v>
      </c>
      <c r="E326" s="3">
        <v>9</v>
      </c>
      <c r="F326" s="3">
        <v>3</v>
      </c>
      <c r="G326" s="9" t="s">
        <v>355</v>
      </c>
      <c r="H326" s="3">
        <v>90</v>
      </c>
      <c r="I326" s="10" t="str">
        <f>VLOOKUP(A326,战役结算奖励!$A$1:$O$491,15,0)</f>
        <v>[{"id":14,"num":45},{"id":2,"num":1900000},{"id":1,"num":1900000}]</v>
      </c>
      <c r="J326" s="3" t="s">
        <v>33</v>
      </c>
      <c r="K326" s="3">
        <v>63</v>
      </c>
      <c r="L326" s="3" t="s">
        <v>514</v>
      </c>
      <c r="M326" s="3"/>
      <c r="N326" s="3">
        <v>7</v>
      </c>
      <c r="O326" s="3"/>
    </row>
    <row r="327" spans="1:15" x14ac:dyDescent="0.15">
      <c r="A327" s="3">
        <f t="shared" si="33"/>
        <v>1409004</v>
      </c>
      <c r="B327" s="3">
        <v>14</v>
      </c>
      <c r="C327" s="3">
        <v>0</v>
      </c>
      <c r="D327" s="3">
        <v>1</v>
      </c>
      <c r="E327" s="3">
        <v>9</v>
      </c>
      <c r="F327" s="3">
        <v>4</v>
      </c>
      <c r="G327" s="9" t="s">
        <v>356</v>
      </c>
      <c r="H327" s="3">
        <v>90</v>
      </c>
      <c r="I327" s="10" t="str">
        <f>VLOOKUP(A327,战役结算奖励!$A$1:$O$491,15,0)</f>
        <v>[{"id":14,"num":45},{"id":2,"num":1900000},{"id":1,"num":1900000}]</v>
      </c>
      <c r="J327" s="3" t="s">
        <v>33</v>
      </c>
      <c r="K327" s="3">
        <v>63</v>
      </c>
      <c r="L327" s="3" t="s">
        <v>514</v>
      </c>
      <c r="M327" s="3"/>
      <c r="N327" s="3">
        <v>7</v>
      </c>
      <c r="O327" s="3"/>
    </row>
    <row r="328" spans="1:15" s="4" customFormat="1" x14ac:dyDescent="0.15">
      <c r="A328" s="10">
        <f t="shared" si="33"/>
        <v>1409005</v>
      </c>
      <c r="B328" s="10">
        <v>14</v>
      </c>
      <c r="C328" s="10">
        <v>0</v>
      </c>
      <c r="D328" s="10">
        <v>1</v>
      </c>
      <c r="E328" s="10">
        <v>9</v>
      </c>
      <c r="F328" s="10">
        <v>5</v>
      </c>
      <c r="G328" s="9" t="s">
        <v>357</v>
      </c>
      <c r="H328" s="10">
        <v>90</v>
      </c>
      <c r="I328" s="10" t="str">
        <f>VLOOKUP(A328,战役结算奖励!$A$1:$O$491,15,0)</f>
        <v>[{"id":14,"num":45},{"id":2,"num":1900000},{"id":1,"num":1900000}]</v>
      </c>
      <c r="J328" s="10" t="s">
        <v>33</v>
      </c>
      <c r="K328" s="3">
        <v>63</v>
      </c>
      <c r="L328" s="3" t="s">
        <v>514</v>
      </c>
      <c r="M328" s="10"/>
      <c r="N328" s="3">
        <v>7</v>
      </c>
      <c r="O328" s="10"/>
    </row>
    <row r="329" spans="1:15" x14ac:dyDescent="0.15">
      <c r="A329" s="3">
        <f t="shared" si="33"/>
        <v>1409006</v>
      </c>
      <c r="B329" s="3">
        <v>14</v>
      </c>
      <c r="C329" s="3">
        <v>0</v>
      </c>
      <c r="D329" s="3">
        <v>1</v>
      </c>
      <c r="E329" s="3">
        <v>9</v>
      </c>
      <c r="F329" s="3">
        <v>6</v>
      </c>
      <c r="G329" s="9" t="s">
        <v>358</v>
      </c>
      <c r="H329" s="3">
        <v>90</v>
      </c>
      <c r="I329" s="10" t="str">
        <f>VLOOKUP(A329,战役结算奖励!$A$1:$O$491,15,0)</f>
        <v>[{"id":14,"num":45},{"id":2,"num":1900000},{"id":1,"num":1900000}]</v>
      </c>
      <c r="J329" s="3" t="s">
        <v>33</v>
      </c>
      <c r="K329" s="3">
        <v>64</v>
      </c>
      <c r="L329" s="3" t="s">
        <v>514</v>
      </c>
      <c r="M329" s="3"/>
      <c r="N329" s="3">
        <v>7</v>
      </c>
      <c r="O329" s="3"/>
    </row>
    <row r="330" spans="1:15" x14ac:dyDescent="0.15">
      <c r="A330" s="3">
        <f t="shared" si="33"/>
        <v>1409007</v>
      </c>
      <c r="B330" s="3">
        <v>14</v>
      </c>
      <c r="C330" s="3">
        <v>0</v>
      </c>
      <c r="D330" s="3">
        <v>1</v>
      </c>
      <c r="E330" s="3">
        <v>9</v>
      </c>
      <c r="F330" s="3">
        <v>7</v>
      </c>
      <c r="G330" s="9" t="s">
        <v>359</v>
      </c>
      <c r="H330" s="3">
        <v>90</v>
      </c>
      <c r="I330" s="10" t="str">
        <f>VLOOKUP(A330,战役结算奖励!$A$1:$O$491,15,0)</f>
        <v>[{"id":14,"num":45},{"id":2,"num":1900000},{"id":1,"num":1900000}]</v>
      </c>
      <c r="J330" s="3" t="s">
        <v>33</v>
      </c>
      <c r="K330" s="3">
        <v>64</v>
      </c>
      <c r="L330" s="3" t="s">
        <v>514</v>
      </c>
      <c r="M330" s="3"/>
      <c r="N330" s="3">
        <v>7</v>
      </c>
      <c r="O330" s="3"/>
    </row>
    <row r="331" spans="1:15" x14ac:dyDescent="0.15">
      <c r="A331" s="3">
        <f t="shared" si="33"/>
        <v>1409008</v>
      </c>
      <c r="B331" s="3">
        <v>14</v>
      </c>
      <c r="C331" s="3">
        <v>0</v>
      </c>
      <c r="D331" s="3">
        <v>1</v>
      </c>
      <c r="E331" s="3">
        <v>9</v>
      </c>
      <c r="F331" s="3">
        <v>8</v>
      </c>
      <c r="G331" s="9" t="s">
        <v>360</v>
      </c>
      <c r="H331" s="3">
        <v>90</v>
      </c>
      <c r="I331" s="10" t="str">
        <f>VLOOKUP(A331,战役结算奖励!$A$1:$O$491,15,0)</f>
        <v>[{"id":14,"num":45},{"id":2,"num":1900000},{"id":1,"num":1900000}]</v>
      </c>
      <c r="J331" s="3" t="s">
        <v>33</v>
      </c>
      <c r="K331" s="3">
        <v>64</v>
      </c>
      <c r="L331" s="3" t="s">
        <v>514</v>
      </c>
      <c r="M331" s="3"/>
      <c r="N331" s="3">
        <v>7</v>
      </c>
      <c r="O331" s="3"/>
    </row>
    <row r="332" spans="1:15" x14ac:dyDescent="0.15">
      <c r="A332" s="3">
        <f t="shared" si="33"/>
        <v>1409009</v>
      </c>
      <c r="B332" s="3">
        <v>14</v>
      </c>
      <c r="C332" s="3">
        <v>0</v>
      </c>
      <c r="D332" s="3">
        <v>1</v>
      </c>
      <c r="E332" s="3">
        <v>9</v>
      </c>
      <c r="F332" s="3">
        <v>9</v>
      </c>
      <c r="G332" s="9" t="s">
        <v>361</v>
      </c>
      <c r="H332" s="3">
        <v>90</v>
      </c>
      <c r="I332" s="10" t="str">
        <f>VLOOKUP(A332,战役结算奖励!$A$1:$O$491,15,0)</f>
        <v>[{"id":14,"num":45},{"id":2,"num":1900000},{"id":1,"num":1900000}]</v>
      </c>
      <c r="J332" s="3" t="s">
        <v>33</v>
      </c>
      <c r="K332" s="3">
        <v>64</v>
      </c>
      <c r="L332" s="3" t="s">
        <v>514</v>
      </c>
      <c r="M332" s="3"/>
      <c r="N332" s="3">
        <v>7</v>
      </c>
      <c r="O332" s="3"/>
    </row>
    <row r="333" spans="1:15" s="4" customFormat="1" x14ac:dyDescent="0.15">
      <c r="A333" s="10">
        <f t="shared" si="33"/>
        <v>1409010</v>
      </c>
      <c r="B333" s="10">
        <v>14</v>
      </c>
      <c r="C333" s="10">
        <v>0</v>
      </c>
      <c r="D333" s="10">
        <v>1</v>
      </c>
      <c r="E333" s="10">
        <v>9</v>
      </c>
      <c r="F333" s="10">
        <v>10</v>
      </c>
      <c r="G333" s="9" t="s">
        <v>362</v>
      </c>
      <c r="H333" s="10">
        <v>90</v>
      </c>
      <c r="I333" s="10" t="str">
        <f>VLOOKUP(A333,战役结算奖励!$A$1:$O$491,15,0)</f>
        <v>[{"id":14,"num":45},{"id":2,"num":1900000},{"id":1,"num":1900000}]</v>
      </c>
      <c r="J333" s="10" t="s">
        <v>33</v>
      </c>
      <c r="K333" s="3">
        <v>64</v>
      </c>
      <c r="L333" s="3" t="s">
        <v>514</v>
      </c>
      <c r="M333" s="10"/>
      <c r="N333" s="3">
        <v>7</v>
      </c>
      <c r="O333" s="10"/>
    </row>
    <row r="334" spans="1:15" x14ac:dyDescent="0.15">
      <c r="A334" s="3">
        <f t="shared" si="33"/>
        <v>1409011</v>
      </c>
      <c r="B334" s="3">
        <v>14</v>
      </c>
      <c r="C334" s="3">
        <v>0</v>
      </c>
      <c r="D334" s="3">
        <v>1</v>
      </c>
      <c r="E334" s="3">
        <v>9</v>
      </c>
      <c r="F334" s="3">
        <v>11</v>
      </c>
      <c r="G334" s="9" t="s">
        <v>363</v>
      </c>
      <c r="H334" s="3">
        <v>90</v>
      </c>
      <c r="I334" s="10" t="str">
        <f>VLOOKUP(A334,战役结算奖励!$A$1:$O$491,15,0)</f>
        <v>[{"id":14,"num":45},{"id":2,"num":1900000},{"id":1,"num":1900000}]</v>
      </c>
      <c r="J334" s="3" t="s">
        <v>33</v>
      </c>
      <c r="K334" s="3">
        <f>K329+1</f>
        <v>65</v>
      </c>
      <c r="L334" s="3" t="s">
        <v>514</v>
      </c>
      <c r="M334" s="3"/>
      <c r="N334" s="3">
        <v>7</v>
      </c>
      <c r="O334" s="3"/>
    </row>
    <row r="335" spans="1:15" x14ac:dyDescent="0.15">
      <c r="A335" s="3">
        <f t="shared" si="33"/>
        <v>1409012</v>
      </c>
      <c r="B335" s="3">
        <v>14</v>
      </c>
      <c r="C335" s="3">
        <v>0</v>
      </c>
      <c r="D335" s="3">
        <v>1</v>
      </c>
      <c r="E335" s="3">
        <v>9</v>
      </c>
      <c r="F335" s="3">
        <v>12</v>
      </c>
      <c r="G335" s="9" t="s">
        <v>364</v>
      </c>
      <c r="H335" s="3">
        <v>90</v>
      </c>
      <c r="I335" s="10" t="str">
        <f>VLOOKUP(A335,战役结算奖励!$A$1:$O$491,15,0)</f>
        <v>[{"id":14,"num":45},{"id":2,"num":1900000},{"id":1,"num":1900000}]</v>
      </c>
      <c r="J335" s="3" t="s">
        <v>33</v>
      </c>
      <c r="K335" s="3">
        <f t="shared" ref="K335:K359" si="34">K330+1</f>
        <v>65</v>
      </c>
      <c r="L335" s="3" t="s">
        <v>514</v>
      </c>
      <c r="M335" s="3"/>
      <c r="N335" s="3">
        <v>7</v>
      </c>
      <c r="O335" s="3"/>
    </row>
    <row r="336" spans="1:15" x14ac:dyDescent="0.15">
      <c r="A336" s="3">
        <f t="shared" si="33"/>
        <v>1409013</v>
      </c>
      <c r="B336" s="3">
        <v>14</v>
      </c>
      <c r="C336" s="3">
        <v>0</v>
      </c>
      <c r="D336" s="3">
        <v>1</v>
      </c>
      <c r="E336" s="3">
        <v>9</v>
      </c>
      <c r="F336" s="3">
        <v>13</v>
      </c>
      <c r="G336" s="9" t="s">
        <v>365</v>
      </c>
      <c r="H336" s="3">
        <v>90</v>
      </c>
      <c r="I336" s="10" t="str">
        <f>VLOOKUP(A336,战役结算奖励!$A$1:$O$491,15,0)</f>
        <v>[{"id":14,"num":45},{"id":2,"num":1900000},{"id":1,"num":1900000}]</v>
      </c>
      <c r="J336" s="3" t="s">
        <v>33</v>
      </c>
      <c r="K336" s="3">
        <f t="shared" si="34"/>
        <v>65</v>
      </c>
      <c r="L336" s="3" t="s">
        <v>514</v>
      </c>
      <c r="M336" s="3"/>
      <c r="N336" s="3">
        <v>7</v>
      </c>
      <c r="O336" s="3"/>
    </row>
    <row r="337" spans="1:15" x14ac:dyDescent="0.15">
      <c r="A337" s="3">
        <f t="shared" si="33"/>
        <v>1409014</v>
      </c>
      <c r="B337" s="3">
        <v>14</v>
      </c>
      <c r="C337" s="3">
        <v>0</v>
      </c>
      <c r="D337" s="3">
        <v>1</v>
      </c>
      <c r="E337" s="3">
        <v>9</v>
      </c>
      <c r="F337" s="3">
        <v>14</v>
      </c>
      <c r="G337" s="9" t="s">
        <v>366</v>
      </c>
      <c r="H337" s="3">
        <v>90</v>
      </c>
      <c r="I337" s="10" t="str">
        <f>VLOOKUP(A337,战役结算奖励!$A$1:$O$491,15,0)</f>
        <v>[{"id":14,"num":45},{"id":2,"num":1900000},{"id":1,"num":1900000}]</v>
      </c>
      <c r="J337" s="3" t="s">
        <v>33</v>
      </c>
      <c r="K337" s="3">
        <f t="shared" si="34"/>
        <v>65</v>
      </c>
      <c r="L337" s="3" t="s">
        <v>514</v>
      </c>
      <c r="M337" s="3"/>
      <c r="N337" s="3">
        <v>7</v>
      </c>
      <c r="O337" s="3"/>
    </row>
    <row r="338" spans="1:15" s="4" customFormat="1" x14ac:dyDescent="0.15">
      <c r="A338" s="10">
        <f t="shared" si="33"/>
        <v>1409015</v>
      </c>
      <c r="B338" s="10">
        <v>14</v>
      </c>
      <c r="C338" s="10">
        <v>0</v>
      </c>
      <c r="D338" s="10">
        <v>1</v>
      </c>
      <c r="E338" s="10">
        <v>9</v>
      </c>
      <c r="F338" s="10">
        <v>15</v>
      </c>
      <c r="G338" s="9" t="s">
        <v>367</v>
      </c>
      <c r="H338" s="10">
        <v>90</v>
      </c>
      <c r="I338" s="10" t="str">
        <f>VLOOKUP(A338,战役结算奖励!$A$1:$O$491,15,0)</f>
        <v>[{"id":14,"num":45},{"id":2,"num":1900000},{"id":1,"num":1900000}]</v>
      </c>
      <c r="J338" s="10" t="s">
        <v>33</v>
      </c>
      <c r="K338" s="3">
        <f t="shared" si="34"/>
        <v>65</v>
      </c>
      <c r="L338" s="3" t="s">
        <v>514</v>
      </c>
      <c r="M338" s="10"/>
      <c r="N338" s="3">
        <v>7</v>
      </c>
      <c r="O338" s="10"/>
    </row>
    <row r="339" spans="1:15" x14ac:dyDescent="0.15">
      <c r="A339" s="3">
        <f t="shared" si="33"/>
        <v>1409016</v>
      </c>
      <c r="B339" s="3">
        <v>14</v>
      </c>
      <c r="C339" s="3">
        <v>0</v>
      </c>
      <c r="D339" s="3">
        <v>1</v>
      </c>
      <c r="E339" s="3">
        <v>9</v>
      </c>
      <c r="F339" s="3">
        <v>16</v>
      </c>
      <c r="G339" s="9" t="s">
        <v>368</v>
      </c>
      <c r="H339" s="3">
        <v>90</v>
      </c>
      <c r="I339" s="10" t="str">
        <f>VLOOKUP(A339,战役结算奖励!$A$1:$O$491,15,0)</f>
        <v>[{"id":14,"num":45},{"id":2,"num":1900000},{"id":1,"num":1900000}]</v>
      </c>
      <c r="J339" s="3" t="s">
        <v>33</v>
      </c>
      <c r="K339" s="3">
        <f t="shared" si="34"/>
        <v>66</v>
      </c>
      <c r="L339" s="3" t="s">
        <v>514</v>
      </c>
      <c r="M339" s="3"/>
      <c r="N339" s="3">
        <v>7</v>
      </c>
      <c r="O339" s="3"/>
    </row>
    <row r="340" spans="1:15" x14ac:dyDescent="0.15">
      <c r="A340" s="3">
        <f t="shared" si="33"/>
        <v>1409017</v>
      </c>
      <c r="B340" s="3">
        <v>14</v>
      </c>
      <c r="C340" s="3">
        <v>0</v>
      </c>
      <c r="D340" s="3">
        <v>1</v>
      </c>
      <c r="E340" s="3">
        <v>9</v>
      </c>
      <c r="F340" s="3">
        <v>17</v>
      </c>
      <c r="G340" s="9" t="s">
        <v>369</v>
      </c>
      <c r="H340" s="3">
        <v>90</v>
      </c>
      <c r="I340" s="10" t="str">
        <f>VLOOKUP(A340,战役结算奖励!$A$1:$O$491,15,0)</f>
        <v>[{"id":14,"num":45},{"id":2,"num":1900000},{"id":1,"num":1900000}]</v>
      </c>
      <c r="J340" s="3" t="s">
        <v>33</v>
      </c>
      <c r="K340" s="3">
        <f t="shared" si="34"/>
        <v>66</v>
      </c>
      <c r="L340" s="3" t="s">
        <v>514</v>
      </c>
      <c r="M340" s="3"/>
      <c r="N340" s="3">
        <v>7</v>
      </c>
      <c r="O340" s="3"/>
    </row>
    <row r="341" spans="1:15" x14ac:dyDescent="0.15">
      <c r="A341" s="3">
        <f t="shared" si="33"/>
        <v>1409018</v>
      </c>
      <c r="B341" s="3">
        <v>14</v>
      </c>
      <c r="C341" s="3">
        <v>0</v>
      </c>
      <c r="D341" s="3">
        <v>1</v>
      </c>
      <c r="E341" s="3">
        <v>9</v>
      </c>
      <c r="F341" s="3">
        <v>18</v>
      </c>
      <c r="G341" s="9" t="s">
        <v>370</v>
      </c>
      <c r="H341" s="3">
        <v>90</v>
      </c>
      <c r="I341" s="10" t="str">
        <f>VLOOKUP(A341,战役结算奖励!$A$1:$O$491,15,0)</f>
        <v>[{"id":14,"num":45},{"id":2,"num":1900000},{"id":1,"num":1900000}]</v>
      </c>
      <c r="J341" s="3" t="s">
        <v>33</v>
      </c>
      <c r="K341" s="3">
        <f t="shared" si="34"/>
        <v>66</v>
      </c>
      <c r="L341" s="3" t="s">
        <v>514</v>
      </c>
      <c r="M341" s="3"/>
      <c r="N341" s="3">
        <v>7</v>
      </c>
      <c r="O341" s="3"/>
    </row>
    <row r="342" spans="1:15" x14ac:dyDescent="0.15">
      <c r="A342" s="3">
        <f t="shared" si="33"/>
        <v>1409019</v>
      </c>
      <c r="B342" s="3">
        <v>14</v>
      </c>
      <c r="C342" s="3">
        <v>0</v>
      </c>
      <c r="D342" s="3">
        <v>1</v>
      </c>
      <c r="E342" s="3">
        <v>9</v>
      </c>
      <c r="F342" s="3">
        <v>19</v>
      </c>
      <c r="G342" s="9" t="s">
        <v>371</v>
      </c>
      <c r="H342" s="3">
        <v>90</v>
      </c>
      <c r="I342" s="10" t="str">
        <f>VLOOKUP(A342,战役结算奖励!$A$1:$O$491,15,0)</f>
        <v>[{"id":14,"num":45},{"id":2,"num":1900000},{"id":1,"num":1900000}]</v>
      </c>
      <c r="J342" s="3" t="s">
        <v>33</v>
      </c>
      <c r="K342" s="3">
        <f t="shared" si="34"/>
        <v>66</v>
      </c>
      <c r="L342" s="3" t="s">
        <v>514</v>
      </c>
      <c r="M342" s="3"/>
      <c r="N342" s="3">
        <v>7</v>
      </c>
      <c r="O342" s="3"/>
    </row>
    <row r="343" spans="1:15" s="4" customFormat="1" x14ac:dyDescent="0.15">
      <c r="A343" s="10">
        <f t="shared" si="33"/>
        <v>1409020</v>
      </c>
      <c r="B343" s="10">
        <v>14</v>
      </c>
      <c r="C343" s="10">
        <v>0</v>
      </c>
      <c r="D343" s="10">
        <v>1</v>
      </c>
      <c r="E343" s="10">
        <v>9</v>
      </c>
      <c r="F343" s="10">
        <v>20</v>
      </c>
      <c r="G343" s="9" t="s">
        <v>372</v>
      </c>
      <c r="H343" s="10">
        <v>90</v>
      </c>
      <c r="I343" s="10" t="str">
        <f>VLOOKUP(A343,战役结算奖励!$A$1:$O$491,15,0)</f>
        <v>[{"id":14,"num":45},{"id":2,"num":1900000},{"id":1,"num":1900000}]</v>
      </c>
      <c r="J343" s="10" t="s">
        <v>33</v>
      </c>
      <c r="K343" s="3">
        <f t="shared" si="34"/>
        <v>66</v>
      </c>
      <c r="L343" s="3" t="s">
        <v>514</v>
      </c>
      <c r="M343" s="10"/>
      <c r="N343" s="3">
        <v>7</v>
      </c>
      <c r="O343" s="10"/>
    </row>
    <row r="344" spans="1:15" x14ac:dyDescent="0.15">
      <c r="A344" s="3">
        <f t="shared" si="33"/>
        <v>1409021</v>
      </c>
      <c r="B344" s="3">
        <v>14</v>
      </c>
      <c r="C344" s="3">
        <v>0</v>
      </c>
      <c r="D344" s="3">
        <v>1</v>
      </c>
      <c r="E344" s="3">
        <v>9</v>
      </c>
      <c r="F344" s="3">
        <v>21</v>
      </c>
      <c r="G344" s="9" t="s">
        <v>373</v>
      </c>
      <c r="H344" s="3">
        <v>90</v>
      </c>
      <c r="I344" s="10" t="str">
        <f>VLOOKUP(A344,战役结算奖励!$A$1:$O$491,15,0)</f>
        <v>[{"id":14,"num":45},{"id":2,"num":1900000},{"id":1,"num":1900000}]</v>
      </c>
      <c r="J344" s="3" t="s">
        <v>33</v>
      </c>
      <c r="K344" s="3">
        <f t="shared" si="34"/>
        <v>67</v>
      </c>
      <c r="L344" s="3" t="s">
        <v>514</v>
      </c>
      <c r="M344" s="3"/>
      <c r="N344" s="3">
        <v>7</v>
      </c>
      <c r="O344" s="3"/>
    </row>
    <row r="345" spans="1:15" x14ac:dyDescent="0.15">
      <c r="A345" s="3">
        <f t="shared" si="33"/>
        <v>1409022</v>
      </c>
      <c r="B345" s="3">
        <v>14</v>
      </c>
      <c r="C345" s="3">
        <v>0</v>
      </c>
      <c r="D345" s="3">
        <v>1</v>
      </c>
      <c r="E345" s="3">
        <v>9</v>
      </c>
      <c r="F345" s="3">
        <v>22</v>
      </c>
      <c r="G345" s="9" t="s">
        <v>374</v>
      </c>
      <c r="H345" s="3">
        <v>90</v>
      </c>
      <c r="I345" s="10" t="str">
        <f>VLOOKUP(A345,战役结算奖励!$A$1:$O$491,15,0)</f>
        <v>[{"id":14,"num":45},{"id":2,"num":1900000},{"id":1,"num":1900000}]</v>
      </c>
      <c r="J345" s="3" t="s">
        <v>33</v>
      </c>
      <c r="K345" s="3">
        <f t="shared" si="34"/>
        <v>67</v>
      </c>
      <c r="L345" s="3" t="s">
        <v>514</v>
      </c>
      <c r="M345" s="3"/>
      <c r="N345" s="3">
        <v>7</v>
      </c>
      <c r="O345" s="3"/>
    </row>
    <row r="346" spans="1:15" x14ac:dyDescent="0.15">
      <c r="A346" s="3">
        <f t="shared" si="33"/>
        <v>1409023</v>
      </c>
      <c r="B346" s="3">
        <v>14</v>
      </c>
      <c r="C346" s="3">
        <v>0</v>
      </c>
      <c r="D346" s="3">
        <v>1</v>
      </c>
      <c r="E346" s="3">
        <v>9</v>
      </c>
      <c r="F346" s="3">
        <v>23</v>
      </c>
      <c r="G346" s="9" t="s">
        <v>375</v>
      </c>
      <c r="H346" s="3">
        <v>90</v>
      </c>
      <c r="I346" s="10" t="str">
        <f>VLOOKUP(A346,战役结算奖励!$A$1:$O$491,15,0)</f>
        <v>[{"id":14,"num":45},{"id":2,"num":1900000},{"id":1,"num":1900000}]</v>
      </c>
      <c r="J346" s="3" t="s">
        <v>33</v>
      </c>
      <c r="K346" s="3">
        <f t="shared" si="34"/>
        <v>67</v>
      </c>
      <c r="L346" s="3" t="s">
        <v>514</v>
      </c>
      <c r="M346" s="3"/>
      <c r="N346" s="3">
        <v>7</v>
      </c>
      <c r="O346" s="3"/>
    </row>
    <row r="347" spans="1:15" x14ac:dyDescent="0.15">
      <c r="A347" s="3">
        <f t="shared" si="33"/>
        <v>1409024</v>
      </c>
      <c r="B347" s="3">
        <v>14</v>
      </c>
      <c r="C347" s="3">
        <v>0</v>
      </c>
      <c r="D347" s="3">
        <v>1</v>
      </c>
      <c r="E347" s="3">
        <v>9</v>
      </c>
      <c r="F347" s="3">
        <v>24</v>
      </c>
      <c r="G347" s="9" t="s">
        <v>376</v>
      </c>
      <c r="H347" s="3">
        <v>90</v>
      </c>
      <c r="I347" s="10" t="str">
        <f>VLOOKUP(A347,战役结算奖励!$A$1:$O$491,15,0)</f>
        <v>[{"id":14,"num":45},{"id":2,"num":1900000},{"id":1,"num":1900000}]</v>
      </c>
      <c r="J347" s="3" t="s">
        <v>33</v>
      </c>
      <c r="K347" s="3">
        <f t="shared" si="34"/>
        <v>67</v>
      </c>
      <c r="L347" s="3" t="s">
        <v>514</v>
      </c>
      <c r="M347" s="3"/>
      <c r="N347" s="3">
        <v>7</v>
      </c>
      <c r="O347" s="3"/>
    </row>
    <row r="348" spans="1:15" s="4" customFormat="1" x14ac:dyDescent="0.15">
      <c r="A348" s="10">
        <f t="shared" si="33"/>
        <v>1409025</v>
      </c>
      <c r="B348" s="10">
        <v>14</v>
      </c>
      <c r="C348" s="10">
        <v>0</v>
      </c>
      <c r="D348" s="10">
        <v>1</v>
      </c>
      <c r="E348" s="10">
        <v>9</v>
      </c>
      <c r="F348" s="10">
        <v>25</v>
      </c>
      <c r="G348" s="9" t="s">
        <v>377</v>
      </c>
      <c r="H348" s="10">
        <v>90</v>
      </c>
      <c r="I348" s="10" t="str">
        <f>VLOOKUP(A348,战役结算奖励!$A$1:$O$491,15,0)</f>
        <v>[{"id":14,"num":45},{"id":2,"num":1900000},{"id":1,"num":1900000}]</v>
      </c>
      <c r="J348" s="10" t="s">
        <v>33</v>
      </c>
      <c r="K348" s="3">
        <f t="shared" si="34"/>
        <v>67</v>
      </c>
      <c r="L348" s="3" t="s">
        <v>514</v>
      </c>
      <c r="M348" s="10"/>
      <c r="N348" s="3">
        <v>7</v>
      </c>
      <c r="O348" s="10"/>
    </row>
    <row r="349" spans="1:15" x14ac:dyDescent="0.15">
      <c r="A349" s="3">
        <f t="shared" si="33"/>
        <v>1409026</v>
      </c>
      <c r="B349" s="3">
        <v>14</v>
      </c>
      <c r="C349" s="3">
        <v>0</v>
      </c>
      <c r="D349" s="3">
        <v>1</v>
      </c>
      <c r="E349" s="3">
        <v>9</v>
      </c>
      <c r="F349" s="3">
        <v>26</v>
      </c>
      <c r="G349" s="9" t="s">
        <v>378</v>
      </c>
      <c r="H349" s="3">
        <v>90</v>
      </c>
      <c r="I349" s="10" t="str">
        <f>VLOOKUP(A349,战役结算奖励!$A$1:$O$491,15,0)</f>
        <v>[{"id":14,"num":45},{"id":2,"num":1900000},{"id":1,"num":1900000}]</v>
      </c>
      <c r="J349" s="3" t="s">
        <v>33</v>
      </c>
      <c r="K349" s="3">
        <f t="shared" si="34"/>
        <v>68</v>
      </c>
      <c r="L349" s="3" t="s">
        <v>514</v>
      </c>
      <c r="M349" s="3"/>
      <c r="N349" s="3">
        <v>7</v>
      </c>
      <c r="O349" s="3"/>
    </row>
    <row r="350" spans="1:15" x14ac:dyDescent="0.15">
      <c r="A350" s="3">
        <f t="shared" si="33"/>
        <v>1409027</v>
      </c>
      <c r="B350" s="3">
        <v>14</v>
      </c>
      <c r="C350" s="3">
        <v>0</v>
      </c>
      <c r="D350" s="3">
        <v>1</v>
      </c>
      <c r="E350" s="3">
        <v>9</v>
      </c>
      <c r="F350" s="3">
        <v>27</v>
      </c>
      <c r="G350" s="9" t="s">
        <v>379</v>
      </c>
      <c r="H350" s="3">
        <v>90</v>
      </c>
      <c r="I350" s="10" t="str">
        <f>VLOOKUP(A350,战役结算奖励!$A$1:$O$491,15,0)</f>
        <v>[{"id":14,"num":45},{"id":2,"num":1900000},{"id":1,"num":1900000}]</v>
      </c>
      <c r="J350" s="3" t="s">
        <v>33</v>
      </c>
      <c r="K350" s="3">
        <f t="shared" si="34"/>
        <v>68</v>
      </c>
      <c r="L350" s="3" t="s">
        <v>514</v>
      </c>
      <c r="M350" s="3"/>
      <c r="N350" s="3">
        <v>7</v>
      </c>
      <c r="O350" s="3"/>
    </row>
    <row r="351" spans="1:15" x14ac:dyDescent="0.15">
      <c r="A351" s="3">
        <f t="shared" si="33"/>
        <v>1409028</v>
      </c>
      <c r="B351" s="3">
        <v>14</v>
      </c>
      <c r="C351" s="3">
        <v>0</v>
      </c>
      <c r="D351" s="3">
        <v>1</v>
      </c>
      <c r="E351" s="3">
        <v>9</v>
      </c>
      <c r="F351" s="3">
        <v>28</v>
      </c>
      <c r="G351" s="9" t="s">
        <v>380</v>
      </c>
      <c r="H351" s="3">
        <v>90</v>
      </c>
      <c r="I351" s="10" t="str">
        <f>VLOOKUP(A351,战役结算奖励!$A$1:$O$491,15,0)</f>
        <v>[{"id":14,"num":45},{"id":2,"num":1900000},{"id":1,"num":1900000}]</v>
      </c>
      <c r="J351" s="3" t="s">
        <v>33</v>
      </c>
      <c r="K351" s="3">
        <f t="shared" si="34"/>
        <v>68</v>
      </c>
      <c r="L351" s="3" t="s">
        <v>514</v>
      </c>
      <c r="M351" s="3"/>
      <c r="N351" s="3">
        <v>7</v>
      </c>
      <c r="O351" s="3"/>
    </row>
    <row r="352" spans="1:15" x14ac:dyDescent="0.15">
      <c r="A352" s="3">
        <f t="shared" si="33"/>
        <v>1409029</v>
      </c>
      <c r="B352" s="3">
        <v>14</v>
      </c>
      <c r="C352" s="3">
        <v>0</v>
      </c>
      <c r="D352" s="3">
        <v>1</v>
      </c>
      <c r="E352" s="3">
        <v>9</v>
      </c>
      <c r="F352" s="3">
        <v>29</v>
      </c>
      <c r="G352" s="9" t="s">
        <v>381</v>
      </c>
      <c r="H352" s="3">
        <v>90</v>
      </c>
      <c r="I352" s="10" t="str">
        <f>VLOOKUP(A352,战役结算奖励!$A$1:$O$491,15,0)</f>
        <v>[{"id":14,"num":45},{"id":2,"num":1900000},{"id":1,"num":1900000}]</v>
      </c>
      <c r="J352" s="3" t="s">
        <v>33</v>
      </c>
      <c r="K352" s="3">
        <f t="shared" si="34"/>
        <v>68</v>
      </c>
      <c r="L352" s="3" t="s">
        <v>514</v>
      </c>
      <c r="M352" s="3"/>
      <c r="N352" s="3">
        <v>7</v>
      </c>
      <c r="O352" s="3"/>
    </row>
    <row r="353" spans="1:15" s="4" customFormat="1" x14ac:dyDescent="0.15">
      <c r="A353" s="10">
        <f t="shared" si="33"/>
        <v>1409030</v>
      </c>
      <c r="B353" s="10">
        <v>14</v>
      </c>
      <c r="C353" s="10">
        <v>0</v>
      </c>
      <c r="D353" s="10">
        <v>1</v>
      </c>
      <c r="E353" s="10">
        <v>9</v>
      </c>
      <c r="F353" s="10">
        <v>30</v>
      </c>
      <c r="G353" s="9" t="s">
        <v>382</v>
      </c>
      <c r="H353" s="10">
        <v>90</v>
      </c>
      <c r="I353" s="10" t="str">
        <f>VLOOKUP(A353,战役结算奖励!$A$1:$O$491,15,0)</f>
        <v>[{"id":14,"num":45},{"id":2,"num":1900000},{"id":1,"num":1900000}]</v>
      </c>
      <c r="J353" s="10" t="s">
        <v>33</v>
      </c>
      <c r="K353" s="3">
        <f t="shared" si="34"/>
        <v>68</v>
      </c>
      <c r="L353" s="3" t="s">
        <v>514</v>
      </c>
      <c r="M353" s="10"/>
      <c r="N353" s="3">
        <v>7</v>
      </c>
      <c r="O353" s="10"/>
    </row>
    <row r="354" spans="1:15" x14ac:dyDescent="0.15">
      <c r="A354" s="3">
        <f t="shared" si="33"/>
        <v>1409031</v>
      </c>
      <c r="B354" s="3">
        <v>14</v>
      </c>
      <c r="C354" s="3">
        <v>0</v>
      </c>
      <c r="D354" s="3">
        <v>1</v>
      </c>
      <c r="E354" s="3">
        <v>9</v>
      </c>
      <c r="F354" s="3">
        <v>31</v>
      </c>
      <c r="G354" s="9" t="s">
        <v>383</v>
      </c>
      <c r="H354" s="3">
        <v>90</v>
      </c>
      <c r="I354" s="10" t="str">
        <f>VLOOKUP(A354,战役结算奖励!$A$1:$O$491,15,0)</f>
        <v>[{"id":14,"num":45},{"id":2,"num":1900000},{"id":1,"num":1900000}]</v>
      </c>
      <c r="J354" s="3" t="s">
        <v>33</v>
      </c>
      <c r="K354" s="3">
        <f t="shared" si="34"/>
        <v>69</v>
      </c>
      <c r="L354" s="3" t="s">
        <v>514</v>
      </c>
      <c r="M354" s="3"/>
      <c r="N354" s="3">
        <v>7</v>
      </c>
      <c r="O354" s="3"/>
    </row>
    <row r="355" spans="1:15" x14ac:dyDescent="0.15">
      <c r="A355" s="3">
        <f t="shared" si="33"/>
        <v>1409032</v>
      </c>
      <c r="B355" s="3">
        <v>14</v>
      </c>
      <c r="C355" s="3">
        <v>0</v>
      </c>
      <c r="D355" s="3">
        <v>1</v>
      </c>
      <c r="E355" s="3">
        <v>9</v>
      </c>
      <c r="F355" s="3">
        <v>32</v>
      </c>
      <c r="G355" s="9" t="s">
        <v>384</v>
      </c>
      <c r="H355" s="3">
        <v>90</v>
      </c>
      <c r="I355" s="10" t="str">
        <f>VLOOKUP(A355,战役结算奖励!$A$1:$O$491,15,0)</f>
        <v>[{"id":14,"num":45},{"id":2,"num":1900000},{"id":1,"num":1900000}]</v>
      </c>
      <c r="J355" s="3" t="s">
        <v>33</v>
      </c>
      <c r="K355" s="3">
        <f t="shared" si="34"/>
        <v>69</v>
      </c>
      <c r="L355" s="3" t="s">
        <v>514</v>
      </c>
      <c r="M355" s="3"/>
      <c r="N355" s="3">
        <v>7</v>
      </c>
      <c r="O355" s="3"/>
    </row>
    <row r="356" spans="1:15" x14ac:dyDescent="0.15">
      <c r="A356" s="3">
        <f t="shared" ref="A356:A387" si="35">B356*100000+E356*1000+F356</f>
        <v>1409033</v>
      </c>
      <c r="B356" s="3">
        <v>14</v>
      </c>
      <c r="C356" s="3">
        <v>0</v>
      </c>
      <c r="D356" s="3">
        <v>1</v>
      </c>
      <c r="E356" s="3">
        <v>9</v>
      </c>
      <c r="F356" s="3">
        <v>33</v>
      </c>
      <c r="G356" s="9" t="s">
        <v>385</v>
      </c>
      <c r="H356" s="3">
        <v>90</v>
      </c>
      <c r="I356" s="10" t="str">
        <f>VLOOKUP(A356,战役结算奖励!$A$1:$O$491,15,0)</f>
        <v>[{"id":14,"num":45},{"id":2,"num":1900000},{"id":1,"num":1900000}]</v>
      </c>
      <c r="J356" s="3" t="s">
        <v>33</v>
      </c>
      <c r="K356" s="3">
        <f t="shared" si="34"/>
        <v>69</v>
      </c>
      <c r="L356" s="3" t="s">
        <v>514</v>
      </c>
      <c r="M356" s="3"/>
      <c r="N356" s="3">
        <v>7</v>
      </c>
      <c r="O356" s="3"/>
    </row>
    <row r="357" spans="1:15" x14ac:dyDescent="0.15">
      <c r="A357" s="3">
        <f t="shared" si="35"/>
        <v>1409034</v>
      </c>
      <c r="B357" s="3">
        <v>14</v>
      </c>
      <c r="C357" s="3">
        <v>0</v>
      </c>
      <c r="D357" s="3">
        <v>1</v>
      </c>
      <c r="E357" s="3">
        <v>9</v>
      </c>
      <c r="F357" s="3">
        <v>34</v>
      </c>
      <c r="G357" s="9" t="s">
        <v>386</v>
      </c>
      <c r="H357" s="3">
        <v>90</v>
      </c>
      <c r="I357" s="10" t="str">
        <f>VLOOKUP(A357,战役结算奖励!$A$1:$O$491,15,0)</f>
        <v>[{"id":14,"num":45},{"id":2,"num":1900000},{"id":1,"num":1900000}]</v>
      </c>
      <c r="J357" s="3" t="s">
        <v>33</v>
      </c>
      <c r="K357" s="3">
        <f t="shared" si="34"/>
        <v>69</v>
      </c>
      <c r="L357" s="3" t="s">
        <v>514</v>
      </c>
      <c r="M357" s="3"/>
      <c r="N357" s="3">
        <v>7</v>
      </c>
      <c r="O357" s="3"/>
    </row>
    <row r="358" spans="1:15" s="4" customFormat="1" x14ac:dyDescent="0.15">
      <c r="A358" s="10">
        <f t="shared" si="35"/>
        <v>1409035</v>
      </c>
      <c r="B358" s="10">
        <v>14</v>
      </c>
      <c r="C358" s="10">
        <v>0</v>
      </c>
      <c r="D358" s="10">
        <v>1</v>
      </c>
      <c r="E358" s="10">
        <v>9</v>
      </c>
      <c r="F358" s="10">
        <v>35</v>
      </c>
      <c r="G358" s="9" t="s">
        <v>387</v>
      </c>
      <c r="H358" s="10">
        <v>90</v>
      </c>
      <c r="I358" s="10" t="str">
        <f>VLOOKUP(A358,战役结算奖励!$A$1:$O$491,15,0)</f>
        <v>[{"id":14,"num":45},{"id":2,"num":1900000},{"id":1,"num":1900000}]</v>
      </c>
      <c r="J358" s="10" t="s">
        <v>33</v>
      </c>
      <c r="K358" s="3">
        <f t="shared" si="34"/>
        <v>69</v>
      </c>
      <c r="L358" s="3" t="s">
        <v>514</v>
      </c>
      <c r="M358" s="10"/>
      <c r="N358" s="3">
        <v>7</v>
      </c>
      <c r="O358" s="10"/>
    </row>
    <row r="359" spans="1:15" x14ac:dyDescent="0.15">
      <c r="A359" s="3">
        <f t="shared" si="35"/>
        <v>1409036</v>
      </c>
      <c r="B359" s="3">
        <v>14</v>
      </c>
      <c r="C359" s="3">
        <v>0</v>
      </c>
      <c r="D359" s="3">
        <v>1</v>
      </c>
      <c r="E359" s="3">
        <v>9</v>
      </c>
      <c r="F359" s="3">
        <v>36</v>
      </c>
      <c r="G359" s="9" t="s">
        <v>388</v>
      </c>
      <c r="H359" s="3">
        <v>90</v>
      </c>
      <c r="I359" s="10" t="str">
        <f>VLOOKUP(A359,战役结算奖励!$A$1:$O$491,15,0)</f>
        <v>[{"id":14,"num":45},{"id":2,"num":1900000},{"id":1,"num":1900000}]</v>
      </c>
      <c r="J359" s="3" t="s">
        <v>33</v>
      </c>
      <c r="K359" s="3">
        <f t="shared" si="34"/>
        <v>70</v>
      </c>
      <c r="L359" s="3" t="s">
        <v>514</v>
      </c>
      <c r="M359" s="3"/>
      <c r="N359" s="3">
        <v>7</v>
      </c>
      <c r="O359" s="3"/>
    </row>
    <row r="360" spans="1:15" x14ac:dyDescent="0.15">
      <c r="A360" s="3">
        <f t="shared" si="35"/>
        <v>1409037</v>
      </c>
      <c r="B360" s="3">
        <v>14</v>
      </c>
      <c r="C360" s="3">
        <v>0</v>
      </c>
      <c r="D360" s="3">
        <v>1</v>
      </c>
      <c r="E360" s="3">
        <v>9</v>
      </c>
      <c r="F360" s="3">
        <v>37</v>
      </c>
      <c r="G360" s="9" t="s">
        <v>389</v>
      </c>
      <c r="H360" s="3">
        <v>90</v>
      </c>
      <c r="I360" s="10" t="str">
        <f>VLOOKUP(A360,战役结算奖励!$A$1:$O$491,15,0)</f>
        <v>[{"id":14,"num":45},{"id":2,"num":1900000},{"id":1,"num":1900000}]</v>
      </c>
      <c r="J360" s="3" t="s">
        <v>33</v>
      </c>
      <c r="K360" s="3">
        <f t="shared" ref="K360:K384" si="36">K355+1</f>
        <v>70</v>
      </c>
      <c r="L360" s="3" t="s">
        <v>514</v>
      </c>
      <c r="M360" s="3"/>
      <c r="N360" s="3">
        <v>7</v>
      </c>
      <c r="O360" s="3"/>
    </row>
    <row r="361" spans="1:15" x14ac:dyDescent="0.15">
      <c r="A361" s="3">
        <f t="shared" si="35"/>
        <v>1409038</v>
      </c>
      <c r="B361" s="3">
        <v>14</v>
      </c>
      <c r="C361" s="3">
        <v>0</v>
      </c>
      <c r="D361" s="3">
        <v>1</v>
      </c>
      <c r="E361" s="3">
        <v>9</v>
      </c>
      <c r="F361" s="3">
        <v>38</v>
      </c>
      <c r="G361" s="9" t="s">
        <v>390</v>
      </c>
      <c r="H361" s="3">
        <v>90</v>
      </c>
      <c r="I361" s="10" t="str">
        <f>VLOOKUP(A361,战役结算奖励!$A$1:$O$491,15,0)</f>
        <v>[{"id":14,"num":45},{"id":2,"num":1900000},{"id":1,"num":1900000}]</v>
      </c>
      <c r="J361" s="3" t="s">
        <v>33</v>
      </c>
      <c r="K361" s="3">
        <f t="shared" si="36"/>
        <v>70</v>
      </c>
      <c r="L361" s="3" t="s">
        <v>514</v>
      </c>
      <c r="M361" s="3"/>
      <c r="N361" s="3">
        <v>7</v>
      </c>
      <c r="O361" s="3"/>
    </row>
    <row r="362" spans="1:15" x14ac:dyDescent="0.15">
      <c r="A362" s="3">
        <f t="shared" si="35"/>
        <v>1409039</v>
      </c>
      <c r="B362" s="3">
        <v>14</v>
      </c>
      <c r="C362" s="3">
        <v>0</v>
      </c>
      <c r="D362" s="3">
        <v>1</v>
      </c>
      <c r="E362" s="3">
        <v>9</v>
      </c>
      <c r="F362" s="3">
        <v>39</v>
      </c>
      <c r="G362" s="9" t="s">
        <v>391</v>
      </c>
      <c r="H362" s="3">
        <v>90</v>
      </c>
      <c r="I362" s="10" t="str">
        <f>VLOOKUP(A362,战役结算奖励!$A$1:$O$491,15,0)</f>
        <v>[{"id":14,"num":45},{"id":2,"num":1900000},{"id":1,"num":1900000}]</v>
      </c>
      <c r="J362" s="3" t="s">
        <v>33</v>
      </c>
      <c r="K362" s="3">
        <f t="shared" si="36"/>
        <v>70</v>
      </c>
      <c r="L362" s="3" t="s">
        <v>514</v>
      </c>
      <c r="M362" s="3"/>
      <c r="N362" s="3">
        <v>7</v>
      </c>
      <c r="O362" s="3"/>
    </row>
    <row r="363" spans="1:15" s="4" customFormat="1" x14ac:dyDescent="0.15">
      <c r="A363" s="10">
        <f t="shared" si="35"/>
        <v>1409040</v>
      </c>
      <c r="B363" s="10">
        <v>14</v>
      </c>
      <c r="C363" s="10">
        <v>0</v>
      </c>
      <c r="D363" s="10">
        <v>1</v>
      </c>
      <c r="E363" s="10">
        <v>9</v>
      </c>
      <c r="F363" s="10">
        <v>40</v>
      </c>
      <c r="G363" s="9" t="s">
        <v>392</v>
      </c>
      <c r="H363" s="10">
        <v>90</v>
      </c>
      <c r="I363" s="10" t="str">
        <f>VLOOKUP(A363,战役结算奖励!$A$1:$O$491,15,0)</f>
        <v>[{"id":14,"num":45},{"id":2,"num":1900000},{"id":1,"num":1900000}]</v>
      </c>
      <c r="J363" s="10" t="s">
        <v>33</v>
      </c>
      <c r="K363" s="3">
        <f t="shared" si="36"/>
        <v>70</v>
      </c>
      <c r="L363" s="3" t="s">
        <v>1223</v>
      </c>
      <c r="M363" s="10"/>
      <c r="N363" s="3">
        <v>7</v>
      </c>
      <c r="O363" s="10">
        <v>1</v>
      </c>
    </row>
    <row r="364" spans="1:15" x14ac:dyDescent="0.15">
      <c r="A364" s="3">
        <f t="shared" si="35"/>
        <v>1410001</v>
      </c>
      <c r="B364" s="3">
        <v>14</v>
      </c>
      <c r="C364" s="3">
        <v>0</v>
      </c>
      <c r="D364" s="3">
        <v>1</v>
      </c>
      <c r="E364" s="3">
        <v>10</v>
      </c>
      <c r="F364" s="3">
        <v>1</v>
      </c>
      <c r="G364" s="9" t="s">
        <v>393</v>
      </c>
      <c r="H364" s="3">
        <v>90</v>
      </c>
      <c r="I364" s="10" t="str">
        <f>VLOOKUP(A364,战役结算奖励!$A$1:$O$491,15,0)</f>
        <v>[{"id":14,"num":50},{"id":2,"num":2100000},{"id":1,"num":2100000}]</v>
      </c>
      <c r="J364" s="3" t="s">
        <v>33</v>
      </c>
      <c r="K364" s="3">
        <f t="shared" si="36"/>
        <v>71</v>
      </c>
      <c r="L364" s="3" t="s">
        <v>514</v>
      </c>
      <c r="M364" s="3"/>
      <c r="N364" s="3">
        <v>7</v>
      </c>
      <c r="O364" s="3"/>
    </row>
    <row r="365" spans="1:15" x14ac:dyDescent="0.15">
      <c r="A365" s="3">
        <f t="shared" si="35"/>
        <v>1410002</v>
      </c>
      <c r="B365" s="3">
        <v>14</v>
      </c>
      <c r="C365" s="3">
        <v>0</v>
      </c>
      <c r="D365" s="3">
        <v>1</v>
      </c>
      <c r="E365" s="3">
        <v>10</v>
      </c>
      <c r="F365" s="3">
        <v>2</v>
      </c>
      <c r="G365" s="9" t="s">
        <v>394</v>
      </c>
      <c r="H365" s="3">
        <v>90</v>
      </c>
      <c r="I365" s="10" t="str">
        <f>VLOOKUP(A365,战役结算奖励!$A$1:$O$491,15,0)</f>
        <v>[{"id":14,"num":50},{"id":2,"num":2100000},{"id":1,"num":2100000}]</v>
      </c>
      <c r="J365" s="3" t="s">
        <v>33</v>
      </c>
      <c r="K365" s="3">
        <f t="shared" si="36"/>
        <v>71</v>
      </c>
      <c r="L365" s="3" t="s">
        <v>514</v>
      </c>
      <c r="M365" s="3"/>
      <c r="N365" s="3">
        <v>7</v>
      </c>
      <c r="O365" s="3"/>
    </row>
    <row r="366" spans="1:15" x14ac:dyDescent="0.15">
      <c r="A366" s="3">
        <f t="shared" si="35"/>
        <v>1410003</v>
      </c>
      <c r="B366" s="3">
        <v>14</v>
      </c>
      <c r="C366" s="3">
        <v>0</v>
      </c>
      <c r="D366" s="3">
        <v>1</v>
      </c>
      <c r="E366" s="3">
        <v>10</v>
      </c>
      <c r="F366" s="3">
        <v>3</v>
      </c>
      <c r="G366" s="9" t="s">
        <v>395</v>
      </c>
      <c r="H366" s="3">
        <v>90</v>
      </c>
      <c r="I366" s="10" t="str">
        <f>VLOOKUP(A366,战役结算奖励!$A$1:$O$491,15,0)</f>
        <v>[{"id":14,"num":50},{"id":2,"num":2100000},{"id":1,"num":2100000}]</v>
      </c>
      <c r="J366" s="3" t="s">
        <v>33</v>
      </c>
      <c r="K366" s="3">
        <f t="shared" si="36"/>
        <v>71</v>
      </c>
      <c r="L366" s="3" t="s">
        <v>514</v>
      </c>
      <c r="M366" s="3"/>
      <c r="N366" s="3">
        <v>7</v>
      </c>
      <c r="O366" s="3"/>
    </row>
    <row r="367" spans="1:15" x14ac:dyDescent="0.15">
      <c r="A367" s="3">
        <f t="shared" si="35"/>
        <v>1410004</v>
      </c>
      <c r="B367" s="3">
        <v>14</v>
      </c>
      <c r="C367" s="3">
        <v>0</v>
      </c>
      <c r="D367" s="3">
        <v>1</v>
      </c>
      <c r="E367" s="3">
        <v>10</v>
      </c>
      <c r="F367" s="3">
        <v>4</v>
      </c>
      <c r="G367" s="9" t="s">
        <v>396</v>
      </c>
      <c r="H367" s="3">
        <v>90</v>
      </c>
      <c r="I367" s="10" t="str">
        <f>VLOOKUP(A367,战役结算奖励!$A$1:$O$491,15,0)</f>
        <v>[{"id":14,"num":50},{"id":2,"num":2100000},{"id":1,"num":2100000}]</v>
      </c>
      <c r="J367" s="3" t="s">
        <v>33</v>
      </c>
      <c r="K367" s="3">
        <f t="shared" si="36"/>
        <v>71</v>
      </c>
      <c r="L367" s="3" t="s">
        <v>514</v>
      </c>
      <c r="M367" s="3"/>
      <c r="N367" s="3">
        <v>7</v>
      </c>
      <c r="O367" s="3"/>
    </row>
    <row r="368" spans="1:15" s="4" customFormat="1" x14ac:dyDescent="0.15">
      <c r="A368" s="10">
        <f t="shared" si="35"/>
        <v>1410005</v>
      </c>
      <c r="B368" s="10">
        <v>14</v>
      </c>
      <c r="C368" s="10">
        <v>0</v>
      </c>
      <c r="D368" s="10">
        <v>1</v>
      </c>
      <c r="E368" s="10">
        <v>10</v>
      </c>
      <c r="F368" s="10">
        <v>5</v>
      </c>
      <c r="G368" s="9" t="s">
        <v>397</v>
      </c>
      <c r="H368" s="10">
        <v>90</v>
      </c>
      <c r="I368" s="10" t="str">
        <f>VLOOKUP(A368,战役结算奖励!$A$1:$O$491,15,0)</f>
        <v>[{"id":14,"num":50},{"id":2,"num":2100000},{"id":1,"num":2100000}]</v>
      </c>
      <c r="J368" s="10" t="s">
        <v>33</v>
      </c>
      <c r="K368" s="3">
        <f t="shared" si="36"/>
        <v>71</v>
      </c>
      <c r="L368" s="3" t="s">
        <v>514</v>
      </c>
      <c r="M368" s="10"/>
      <c r="N368" s="3">
        <v>7</v>
      </c>
      <c r="O368" s="10"/>
    </row>
    <row r="369" spans="1:15" x14ac:dyDescent="0.15">
      <c r="A369" s="3">
        <f t="shared" si="35"/>
        <v>1410006</v>
      </c>
      <c r="B369" s="3">
        <v>14</v>
      </c>
      <c r="C369" s="3">
        <v>0</v>
      </c>
      <c r="D369" s="3">
        <v>1</v>
      </c>
      <c r="E369" s="3">
        <v>10</v>
      </c>
      <c r="F369" s="3">
        <v>6</v>
      </c>
      <c r="G369" s="9" t="s">
        <v>398</v>
      </c>
      <c r="H369" s="3">
        <v>90</v>
      </c>
      <c r="I369" s="10" t="str">
        <f>VLOOKUP(A369,战役结算奖励!$A$1:$O$491,15,0)</f>
        <v>[{"id":14,"num":50},{"id":2,"num":2100000},{"id":1,"num":2100000}]</v>
      </c>
      <c r="J369" s="3" t="s">
        <v>33</v>
      </c>
      <c r="K369" s="3">
        <f t="shared" si="36"/>
        <v>72</v>
      </c>
      <c r="L369" s="3" t="s">
        <v>514</v>
      </c>
      <c r="M369" s="3"/>
      <c r="N369" s="3">
        <v>7</v>
      </c>
      <c r="O369" s="3"/>
    </row>
    <row r="370" spans="1:15" x14ac:dyDescent="0.15">
      <c r="A370" s="3">
        <f t="shared" si="35"/>
        <v>1410007</v>
      </c>
      <c r="B370" s="3">
        <v>14</v>
      </c>
      <c r="C370" s="3">
        <v>0</v>
      </c>
      <c r="D370" s="3">
        <v>1</v>
      </c>
      <c r="E370" s="3">
        <v>10</v>
      </c>
      <c r="F370" s="3">
        <v>7</v>
      </c>
      <c r="G370" s="9" t="s">
        <v>399</v>
      </c>
      <c r="H370" s="3">
        <v>90</v>
      </c>
      <c r="I370" s="10" t="str">
        <f>VLOOKUP(A370,战役结算奖励!$A$1:$O$491,15,0)</f>
        <v>[{"id":14,"num":50},{"id":2,"num":2100000},{"id":1,"num":2100000}]</v>
      </c>
      <c r="J370" s="3" t="s">
        <v>33</v>
      </c>
      <c r="K370" s="3">
        <f t="shared" si="36"/>
        <v>72</v>
      </c>
      <c r="L370" s="3" t="s">
        <v>514</v>
      </c>
      <c r="M370" s="3"/>
      <c r="N370" s="3">
        <v>7</v>
      </c>
      <c r="O370" s="3"/>
    </row>
    <row r="371" spans="1:15" x14ac:dyDescent="0.15">
      <c r="A371" s="3">
        <f t="shared" si="35"/>
        <v>1410008</v>
      </c>
      <c r="B371" s="3">
        <v>14</v>
      </c>
      <c r="C371" s="3">
        <v>0</v>
      </c>
      <c r="D371" s="3">
        <v>1</v>
      </c>
      <c r="E371" s="3">
        <v>10</v>
      </c>
      <c r="F371" s="3">
        <v>8</v>
      </c>
      <c r="G371" s="9" t="s">
        <v>400</v>
      </c>
      <c r="H371" s="3">
        <v>90</v>
      </c>
      <c r="I371" s="10" t="str">
        <f>VLOOKUP(A371,战役结算奖励!$A$1:$O$491,15,0)</f>
        <v>[{"id":14,"num":50},{"id":2,"num":2100000},{"id":1,"num":2100000}]</v>
      </c>
      <c r="J371" s="3" t="s">
        <v>33</v>
      </c>
      <c r="K371" s="3">
        <f t="shared" si="36"/>
        <v>72</v>
      </c>
      <c r="L371" s="3" t="s">
        <v>514</v>
      </c>
      <c r="M371" s="3"/>
      <c r="N371" s="3">
        <v>7</v>
      </c>
      <c r="O371" s="3"/>
    </row>
    <row r="372" spans="1:15" x14ac:dyDescent="0.15">
      <c r="A372" s="3">
        <f t="shared" si="35"/>
        <v>1410009</v>
      </c>
      <c r="B372" s="3">
        <v>14</v>
      </c>
      <c r="C372" s="3">
        <v>0</v>
      </c>
      <c r="D372" s="3">
        <v>1</v>
      </c>
      <c r="E372" s="3">
        <v>10</v>
      </c>
      <c r="F372" s="3">
        <v>9</v>
      </c>
      <c r="G372" s="9" t="s">
        <v>401</v>
      </c>
      <c r="H372" s="3">
        <v>90</v>
      </c>
      <c r="I372" s="10" t="str">
        <f>VLOOKUP(A372,战役结算奖励!$A$1:$O$491,15,0)</f>
        <v>[{"id":14,"num":50},{"id":2,"num":2100000},{"id":1,"num":2100000}]</v>
      </c>
      <c r="J372" s="3" t="s">
        <v>33</v>
      </c>
      <c r="K372" s="3">
        <f t="shared" si="36"/>
        <v>72</v>
      </c>
      <c r="L372" s="3" t="s">
        <v>514</v>
      </c>
      <c r="M372" s="3"/>
      <c r="N372" s="3">
        <v>7</v>
      </c>
      <c r="O372" s="3"/>
    </row>
    <row r="373" spans="1:15" s="4" customFormat="1" x14ac:dyDescent="0.15">
      <c r="A373" s="10">
        <f t="shared" si="35"/>
        <v>1410010</v>
      </c>
      <c r="B373" s="10">
        <v>14</v>
      </c>
      <c r="C373" s="10">
        <v>0</v>
      </c>
      <c r="D373" s="10">
        <v>1</v>
      </c>
      <c r="E373" s="10">
        <v>10</v>
      </c>
      <c r="F373" s="10">
        <v>10</v>
      </c>
      <c r="G373" s="9" t="s">
        <v>402</v>
      </c>
      <c r="H373" s="10">
        <v>90</v>
      </c>
      <c r="I373" s="10" t="str">
        <f>VLOOKUP(A373,战役结算奖励!$A$1:$O$491,15,0)</f>
        <v>[{"id":14,"num":50},{"id":2,"num":2100000},{"id":1,"num":2100000}]</v>
      </c>
      <c r="J373" s="10" t="s">
        <v>33</v>
      </c>
      <c r="K373" s="3">
        <f t="shared" si="36"/>
        <v>72</v>
      </c>
      <c r="L373" s="3" t="s">
        <v>514</v>
      </c>
      <c r="M373" s="10"/>
      <c r="N373" s="3">
        <v>7</v>
      </c>
      <c r="O373" s="10"/>
    </row>
    <row r="374" spans="1:15" x14ac:dyDescent="0.15">
      <c r="A374" s="3">
        <f t="shared" si="35"/>
        <v>1410011</v>
      </c>
      <c r="B374" s="3">
        <v>14</v>
      </c>
      <c r="C374" s="3">
        <v>0</v>
      </c>
      <c r="D374" s="3">
        <v>1</v>
      </c>
      <c r="E374" s="3">
        <v>10</v>
      </c>
      <c r="F374" s="3">
        <v>11</v>
      </c>
      <c r="G374" s="9" t="s">
        <v>403</v>
      </c>
      <c r="H374" s="3">
        <v>90</v>
      </c>
      <c r="I374" s="10" t="str">
        <f>VLOOKUP(A374,战役结算奖励!$A$1:$O$491,15,0)</f>
        <v>[{"id":14,"num":50},{"id":2,"num":2100000},{"id":1,"num":2100000}]</v>
      </c>
      <c r="J374" s="3" t="s">
        <v>33</v>
      </c>
      <c r="K374" s="3">
        <f t="shared" si="36"/>
        <v>73</v>
      </c>
      <c r="L374" s="3" t="s">
        <v>514</v>
      </c>
      <c r="M374" s="3"/>
      <c r="N374" s="3">
        <v>7</v>
      </c>
      <c r="O374" s="3"/>
    </row>
    <row r="375" spans="1:15" x14ac:dyDescent="0.15">
      <c r="A375" s="3">
        <f t="shared" si="35"/>
        <v>1410012</v>
      </c>
      <c r="B375" s="3">
        <v>14</v>
      </c>
      <c r="C375" s="3">
        <v>0</v>
      </c>
      <c r="D375" s="3">
        <v>1</v>
      </c>
      <c r="E375" s="3">
        <v>10</v>
      </c>
      <c r="F375" s="3">
        <v>12</v>
      </c>
      <c r="G375" s="9" t="s">
        <v>404</v>
      </c>
      <c r="H375" s="3">
        <v>90</v>
      </c>
      <c r="I375" s="10" t="str">
        <f>VLOOKUP(A375,战役结算奖励!$A$1:$O$491,15,0)</f>
        <v>[{"id":14,"num":50},{"id":2,"num":2100000},{"id":1,"num":2100000}]</v>
      </c>
      <c r="J375" s="3" t="s">
        <v>33</v>
      </c>
      <c r="K375" s="3">
        <f t="shared" si="36"/>
        <v>73</v>
      </c>
      <c r="L375" s="3" t="s">
        <v>514</v>
      </c>
      <c r="M375" s="3"/>
      <c r="N375" s="3">
        <v>7</v>
      </c>
      <c r="O375" s="3"/>
    </row>
    <row r="376" spans="1:15" x14ac:dyDescent="0.15">
      <c r="A376" s="3">
        <f t="shared" si="35"/>
        <v>1410013</v>
      </c>
      <c r="B376" s="3">
        <v>14</v>
      </c>
      <c r="C376" s="3">
        <v>0</v>
      </c>
      <c r="D376" s="3">
        <v>1</v>
      </c>
      <c r="E376" s="3">
        <v>10</v>
      </c>
      <c r="F376" s="3">
        <v>13</v>
      </c>
      <c r="G376" s="9" t="s">
        <v>405</v>
      </c>
      <c r="H376" s="3">
        <v>90</v>
      </c>
      <c r="I376" s="10" t="str">
        <f>VLOOKUP(A376,战役结算奖励!$A$1:$O$491,15,0)</f>
        <v>[{"id":14,"num":50},{"id":2,"num":2100000},{"id":1,"num":2100000}]</v>
      </c>
      <c r="J376" s="3" t="s">
        <v>33</v>
      </c>
      <c r="K376" s="3">
        <f t="shared" si="36"/>
        <v>73</v>
      </c>
      <c r="L376" s="3" t="s">
        <v>514</v>
      </c>
      <c r="M376" s="3"/>
      <c r="N376" s="3">
        <v>7</v>
      </c>
      <c r="O376" s="3"/>
    </row>
    <row r="377" spans="1:15" x14ac:dyDescent="0.15">
      <c r="A377" s="3">
        <f t="shared" si="35"/>
        <v>1410014</v>
      </c>
      <c r="B377" s="3">
        <v>14</v>
      </c>
      <c r="C377" s="3">
        <v>0</v>
      </c>
      <c r="D377" s="3">
        <v>1</v>
      </c>
      <c r="E377" s="3">
        <v>10</v>
      </c>
      <c r="F377" s="3">
        <v>14</v>
      </c>
      <c r="G377" s="9" t="s">
        <v>406</v>
      </c>
      <c r="H377" s="3">
        <v>90</v>
      </c>
      <c r="I377" s="10" t="str">
        <f>VLOOKUP(A377,战役结算奖励!$A$1:$O$491,15,0)</f>
        <v>[{"id":14,"num":50},{"id":2,"num":2100000},{"id":1,"num":2100000}]</v>
      </c>
      <c r="J377" s="3" t="s">
        <v>33</v>
      </c>
      <c r="K377" s="3">
        <f t="shared" si="36"/>
        <v>73</v>
      </c>
      <c r="L377" s="3" t="s">
        <v>514</v>
      </c>
      <c r="M377" s="3"/>
      <c r="N377" s="3">
        <v>7</v>
      </c>
      <c r="O377" s="3"/>
    </row>
    <row r="378" spans="1:15" s="4" customFormat="1" x14ac:dyDescent="0.15">
      <c r="A378" s="10">
        <f t="shared" si="35"/>
        <v>1410015</v>
      </c>
      <c r="B378" s="10">
        <v>14</v>
      </c>
      <c r="C378" s="10">
        <v>0</v>
      </c>
      <c r="D378" s="10">
        <v>1</v>
      </c>
      <c r="E378" s="10">
        <v>10</v>
      </c>
      <c r="F378" s="10">
        <v>15</v>
      </c>
      <c r="G378" s="9" t="s">
        <v>407</v>
      </c>
      <c r="H378" s="10">
        <v>90</v>
      </c>
      <c r="I378" s="10" t="str">
        <f>VLOOKUP(A378,战役结算奖励!$A$1:$O$491,15,0)</f>
        <v>[{"id":14,"num":50},{"id":2,"num":2100000},{"id":1,"num":2100000}]</v>
      </c>
      <c r="J378" s="10" t="s">
        <v>33</v>
      </c>
      <c r="K378" s="3">
        <f t="shared" si="36"/>
        <v>73</v>
      </c>
      <c r="L378" s="3" t="s">
        <v>514</v>
      </c>
      <c r="M378" s="10"/>
      <c r="N378" s="3">
        <v>7</v>
      </c>
      <c r="O378" s="10"/>
    </row>
    <row r="379" spans="1:15" x14ac:dyDescent="0.15">
      <c r="A379" s="3">
        <f t="shared" si="35"/>
        <v>1410016</v>
      </c>
      <c r="B379" s="3">
        <v>14</v>
      </c>
      <c r="C379" s="3">
        <v>0</v>
      </c>
      <c r="D379" s="3">
        <v>1</v>
      </c>
      <c r="E379" s="3">
        <v>10</v>
      </c>
      <c r="F379" s="3">
        <v>16</v>
      </c>
      <c r="G379" s="9" t="s">
        <v>408</v>
      </c>
      <c r="H379" s="3">
        <v>90</v>
      </c>
      <c r="I379" s="10" t="str">
        <f>VLOOKUP(A379,战役结算奖励!$A$1:$O$491,15,0)</f>
        <v>[{"id":14,"num":50},{"id":2,"num":2100000},{"id":1,"num":2100000}]</v>
      </c>
      <c r="J379" s="3" t="s">
        <v>33</v>
      </c>
      <c r="K379" s="3">
        <f t="shared" si="36"/>
        <v>74</v>
      </c>
      <c r="L379" s="3" t="s">
        <v>514</v>
      </c>
      <c r="M379" s="3"/>
      <c r="N379" s="3">
        <v>7</v>
      </c>
      <c r="O379" s="3"/>
    </row>
    <row r="380" spans="1:15" x14ac:dyDescent="0.15">
      <c r="A380" s="3">
        <f t="shared" si="35"/>
        <v>1410017</v>
      </c>
      <c r="B380" s="3">
        <v>14</v>
      </c>
      <c r="C380" s="3">
        <v>0</v>
      </c>
      <c r="D380" s="3">
        <v>1</v>
      </c>
      <c r="E380" s="3">
        <v>10</v>
      </c>
      <c r="F380" s="3">
        <v>17</v>
      </c>
      <c r="G380" s="9" t="s">
        <v>409</v>
      </c>
      <c r="H380" s="3">
        <v>90</v>
      </c>
      <c r="I380" s="10" t="str">
        <f>VLOOKUP(A380,战役结算奖励!$A$1:$O$491,15,0)</f>
        <v>[{"id":14,"num":50},{"id":2,"num":2100000},{"id":1,"num":2100000}]</v>
      </c>
      <c r="J380" s="3" t="s">
        <v>33</v>
      </c>
      <c r="K380" s="3">
        <f t="shared" si="36"/>
        <v>74</v>
      </c>
      <c r="L380" s="3" t="s">
        <v>514</v>
      </c>
      <c r="M380" s="3"/>
      <c r="N380" s="3">
        <v>7</v>
      </c>
      <c r="O380" s="3"/>
    </row>
    <row r="381" spans="1:15" x14ac:dyDescent="0.15">
      <c r="A381" s="3">
        <f t="shared" si="35"/>
        <v>1410018</v>
      </c>
      <c r="B381" s="3">
        <v>14</v>
      </c>
      <c r="C381" s="3">
        <v>0</v>
      </c>
      <c r="D381" s="3">
        <v>1</v>
      </c>
      <c r="E381" s="3">
        <v>10</v>
      </c>
      <c r="F381" s="3">
        <v>18</v>
      </c>
      <c r="G381" s="9" t="s">
        <v>410</v>
      </c>
      <c r="H381" s="3">
        <v>90</v>
      </c>
      <c r="I381" s="10" t="str">
        <f>VLOOKUP(A381,战役结算奖励!$A$1:$O$491,15,0)</f>
        <v>[{"id":14,"num":50},{"id":2,"num":2100000},{"id":1,"num":2100000}]</v>
      </c>
      <c r="J381" s="3" t="s">
        <v>33</v>
      </c>
      <c r="K381" s="3">
        <f t="shared" si="36"/>
        <v>74</v>
      </c>
      <c r="L381" s="3" t="s">
        <v>514</v>
      </c>
      <c r="M381" s="3"/>
      <c r="N381" s="3">
        <v>7</v>
      </c>
      <c r="O381" s="3"/>
    </row>
    <row r="382" spans="1:15" x14ac:dyDescent="0.15">
      <c r="A382" s="3">
        <f t="shared" si="35"/>
        <v>1410019</v>
      </c>
      <c r="B382" s="3">
        <v>14</v>
      </c>
      <c r="C382" s="3">
        <v>0</v>
      </c>
      <c r="D382" s="3">
        <v>1</v>
      </c>
      <c r="E382" s="3">
        <v>10</v>
      </c>
      <c r="F382" s="3">
        <v>19</v>
      </c>
      <c r="G382" s="9" t="s">
        <v>411</v>
      </c>
      <c r="H382" s="3">
        <v>90</v>
      </c>
      <c r="I382" s="10" t="str">
        <f>VLOOKUP(A382,战役结算奖励!$A$1:$O$491,15,0)</f>
        <v>[{"id":14,"num":50},{"id":2,"num":2100000},{"id":1,"num":2100000}]</v>
      </c>
      <c r="J382" s="3" t="s">
        <v>33</v>
      </c>
      <c r="K382" s="3">
        <f t="shared" si="36"/>
        <v>74</v>
      </c>
      <c r="L382" s="3" t="s">
        <v>514</v>
      </c>
      <c r="M382" s="3"/>
      <c r="N382" s="3">
        <v>7</v>
      </c>
      <c r="O382" s="3"/>
    </row>
    <row r="383" spans="1:15" s="4" customFormat="1" x14ac:dyDescent="0.15">
      <c r="A383" s="10">
        <f t="shared" si="35"/>
        <v>1410020</v>
      </c>
      <c r="B383" s="10">
        <v>14</v>
      </c>
      <c r="C383" s="10">
        <v>0</v>
      </c>
      <c r="D383" s="10">
        <v>1</v>
      </c>
      <c r="E383" s="10">
        <v>10</v>
      </c>
      <c r="F383" s="10">
        <v>20</v>
      </c>
      <c r="G383" s="9" t="s">
        <v>412</v>
      </c>
      <c r="H383" s="10">
        <v>90</v>
      </c>
      <c r="I383" s="10" t="str">
        <f>VLOOKUP(A383,战役结算奖励!$A$1:$O$491,15,0)</f>
        <v>[{"id":14,"num":50},{"id":2,"num":2100000},{"id":1,"num":2100000}]</v>
      </c>
      <c r="J383" s="10" t="s">
        <v>33</v>
      </c>
      <c r="K383" s="3">
        <f t="shared" si="36"/>
        <v>74</v>
      </c>
      <c r="L383" s="3" t="s">
        <v>514</v>
      </c>
      <c r="M383" s="10"/>
      <c r="N383" s="3">
        <v>7</v>
      </c>
      <c r="O383" s="10"/>
    </row>
    <row r="384" spans="1:15" x14ac:dyDescent="0.15">
      <c r="A384" s="3">
        <f t="shared" si="35"/>
        <v>1410021</v>
      </c>
      <c r="B384" s="3">
        <v>14</v>
      </c>
      <c r="C384" s="3">
        <v>0</v>
      </c>
      <c r="D384" s="3">
        <v>1</v>
      </c>
      <c r="E384" s="3">
        <v>10</v>
      </c>
      <c r="F384" s="3">
        <v>21</v>
      </c>
      <c r="G384" s="9" t="s">
        <v>413</v>
      </c>
      <c r="H384" s="3">
        <v>90</v>
      </c>
      <c r="I384" s="10" t="str">
        <f>VLOOKUP(A384,战役结算奖励!$A$1:$O$491,15,0)</f>
        <v>[{"id":14,"num":50},{"id":2,"num":2100000},{"id":1,"num":2100000}]</v>
      </c>
      <c r="J384" s="3" t="s">
        <v>33</v>
      </c>
      <c r="K384" s="3">
        <f t="shared" si="36"/>
        <v>75</v>
      </c>
      <c r="L384" s="3" t="s">
        <v>514</v>
      </c>
      <c r="M384" s="3"/>
      <c r="N384" s="3">
        <v>7</v>
      </c>
      <c r="O384" s="3"/>
    </row>
    <row r="385" spans="1:15" x14ac:dyDescent="0.15">
      <c r="A385" s="3">
        <f t="shared" si="35"/>
        <v>1410022</v>
      </c>
      <c r="B385" s="3">
        <v>14</v>
      </c>
      <c r="C385" s="3">
        <v>0</v>
      </c>
      <c r="D385" s="3">
        <v>1</v>
      </c>
      <c r="E385" s="3">
        <v>10</v>
      </c>
      <c r="F385" s="3">
        <v>22</v>
      </c>
      <c r="G385" s="9" t="s">
        <v>414</v>
      </c>
      <c r="H385" s="3">
        <v>90</v>
      </c>
      <c r="I385" s="10" t="str">
        <f>VLOOKUP(A385,战役结算奖励!$A$1:$O$491,15,0)</f>
        <v>[{"id":14,"num":50},{"id":2,"num":2100000},{"id":1,"num":2100000}]</v>
      </c>
      <c r="J385" s="3" t="s">
        <v>33</v>
      </c>
      <c r="K385" s="3">
        <f t="shared" ref="K385:K413" si="37">K380+1</f>
        <v>75</v>
      </c>
      <c r="L385" s="3" t="s">
        <v>514</v>
      </c>
      <c r="M385" s="3"/>
      <c r="N385" s="3">
        <v>7</v>
      </c>
      <c r="O385" s="3"/>
    </row>
    <row r="386" spans="1:15" x14ac:dyDescent="0.15">
      <c r="A386" s="3">
        <f t="shared" si="35"/>
        <v>1410023</v>
      </c>
      <c r="B386" s="3">
        <v>14</v>
      </c>
      <c r="C386" s="3">
        <v>0</v>
      </c>
      <c r="D386" s="3">
        <v>1</v>
      </c>
      <c r="E386" s="3">
        <v>10</v>
      </c>
      <c r="F386" s="3">
        <v>23</v>
      </c>
      <c r="G386" s="9" t="s">
        <v>415</v>
      </c>
      <c r="H386" s="3">
        <v>90</v>
      </c>
      <c r="I386" s="10" t="str">
        <f>VLOOKUP(A386,战役结算奖励!$A$1:$O$491,15,0)</f>
        <v>[{"id":14,"num":50},{"id":2,"num":2100000},{"id":1,"num":2100000}]</v>
      </c>
      <c r="J386" s="3" t="s">
        <v>33</v>
      </c>
      <c r="K386" s="3">
        <f t="shared" si="37"/>
        <v>75</v>
      </c>
      <c r="L386" s="3" t="s">
        <v>514</v>
      </c>
      <c r="M386" s="3"/>
      <c r="N386" s="3">
        <v>7</v>
      </c>
      <c r="O386" s="3"/>
    </row>
    <row r="387" spans="1:15" x14ac:dyDescent="0.15">
      <c r="A387" s="3">
        <f t="shared" si="35"/>
        <v>1410024</v>
      </c>
      <c r="B387" s="3">
        <v>14</v>
      </c>
      <c r="C387" s="3">
        <v>0</v>
      </c>
      <c r="D387" s="3">
        <v>1</v>
      </c>
      <c r="E387" s="3">
        <v>10</v>
      </c>
      <c r="F387" s="3">
        <v>24</v>
      </c>
      <c r="G387" s="9" t="s">
        <v>416</v>
      </c>
      <c r="H387" s="3">
        <v>90</v>
      </c>
      <c r="I387" s="10" t="str">
        <f>VLOOKUP(A387,战役结算奖励!$A$1:$O$491,15,0)</f>
        <v>[{"id":14,"num":50},{"id":2,"num":2100000},{"id":1,"num":2100000}]</v>
      </c>
      <c r="J387" s="3" t="s">
        <v>33</v>
      </c>
      <c r="K387" s="3">
        <f t="shared" si="37"/>
        <v>75</v>
      </c>
      <c r="L387" s="3" t="s">
        <v>514</v>
      </c>
      <c r="M387" s="3"/>
      <c r="N387" s="3">
        <v>7</v>
      </c>
      <c r="O387" s="3"/>
    </row>
    <row r="388" spans="1:15" s="4" customFormat="1" x14ac:dyDescent="0.15">
      <c r="A388" s="10">
        <f t="shared" ref="A388:A419" si="38">B388*100000+E388*1000+F388</f>
        <v>1410025</v>
      </c>
      <c r="B388" s="10">
        <v>14</v>
      </c>
      <c r="C388" s="10">
        <v>0</v>
      </c>
      <c r="D388" s="10">
        <v>1</v>
      </c>
      <c r="E388" s="10">
        <v>10</v>
      </c>
      <c r="F388" s="10">
        <v>25</v>
      </c>
      <c r="G388" s="9" t="s">
        <v>417</v>
      </c>
      <c r="H388" s="10">
        <v>90</v>
      </c>
      <c r="I388" s="10" t="str">
        <f>VLOOKUP(A388,战役结算奖励!$A$1:$O$491,15,0)</f>
        <v>[{"id":14,"num":50},{"id":2,"num":2100000},{"id":1,"num":2100000}]</v>
      </c>
      <c r="J388" s="10" t="s">
        <v>33</v>
      </c>
      <c r="K388" s="3">
        <f t="shared" si="37"/>
        <v>75</v>
      </c>
      <c r="L388" s="3" t="s">
        <v>514</v>
      </c>
      <c r="M388" s="10"/>
      <c r="N388" s="3">
        <v>7</v>
      </c>
      <c r="O388" s="10"/>
    </row>
    <row r="389" spans="1:15" x14ac:dyDescent="0.15">
      <c r="A389" s="3">
        <f t="shared" si="38"/>
        <v>1410026</v>
      </c>
      <c r="B389" s="3">
        <v>14</v>
      </c>
      <c r="C389" s="3">
        <v>0</v>
      </c>
      <c r="D389" s="3">
        <v>1</v>
      </c>
      <c r="E389" s="3">
        <v>10</v>
      </c>
      <c r="F389" s="3">
        <v>26</v>
      </c>
      <c r="G389" s="9" t="s">
        <v>418</v>
      </c>
      <c r="H389" s="3">
        <v>90</v>
      </c>
      <c r="I389" s="10" t="str">
        <f>VLOOKUP(A389,战役结算奖励!$A$1:$O$491,15,0)</f>
        <v>[{"id":14,"num":50},{"id":2,"num":2100000},{"id":1,"num":2100000}]</v>
      </c>
      <c r="J389" s="3" t="s">
        <v>33</v>
      </c>
      <c r="K389" s="3">
        <f t="shared" si="37"/>
        <v>76</v>
      </c>
      <c r="L389" s="3" t="s">
        <v>514</v>
      </c>
      <c r="M389" s="3"/>
      <c r="N389" s="3">
        <v>7</v>
      </c>
      <c r="O389" s="3"/>
    </row>
    <row r="390" spans="1:15" x14ac:dyDescent="0.15">
      <c r="A390" s="3">
        <f t="shared" si="38"/>
        <v>1410027</v>
      </c>
      <c r="B390" s="3">
        <v>14</v>
      </c>
      <c r="C390" s="3">
        <v>0</v>
      </c>
      <c r="D390" s="3">
        <v>1</v>
      </c>
      <c r="E390" s="3">
        <v>10</v>
      </c>
      <c r="F390" s="3">
        <v>27</v>
      </c>
      <c r="G390" s="9" t="s">
        <v>419</v>
      </c>
      <c r="H390" s="3">
        <v>90</v>
      </c>
      <c r="I390" s="10" t="str">
        <f>VLOOKUP(A390,战役结算奖励!$A$1:$O$491,15,0)</f>
        <v>[{"id":14,"num":50},{"id":2,"num":2100000},{"id":1,"num":2100000}]</v>
      </c>
      <c r="J390" s="3" t="s">
        <v>33</v>
      </c>
      <c r="K390" s="3">
        <f t="shared" si="37"/>
        <v>76</v>
      </c>
      <c r="L390" s="3" t="s">
        <v>514</v>
      </c>
      <c r="M390" s="3"/>
      <c r="N390" s="3">
        <v>7</v>
      </c>
      <c r="O390" s="3"/>
    </row>
    <row r="391" spans="1:15" x14ac:dyDescent="0.15">
      <c r="A391" s="3">
        <f t="shared" si="38"/>
        <v>1410028</v>
      </c>
      <c r="B391" s="3">
        <v>14</v>
      </c>
      <c r="C391" s="3">
        <v>0</v>
      </c>
      <c r="D391" s="3">
        <v>1</v>
      </c>
      <c r="E391" s="3">
        <v>10</v>
      </c>
      <c r="F391" s="3">
        <v>28</v>
      </c>
      <c r="G391" s="9" t="s">
        <v>420</v>
      </c>
      <c r="H391" s="3">
        <v>90</v>
      </c>
      <c r="I391" s="10" t="str">
        <f>VLOOKUP(A391,战役结算奖励!$A$1:$O$491,15,0)</f>
        <v>[{"id":14,"num":50},{"id":2,"num":2100000},{"id":1,"num":2100000}]</v>
      </c>
      <c r="J391" s="3" t="s">
        <v>33</v>
      </c>
      <c r="K391" s="3">
        <f t="shared" si="37"/>
        <v>76</v>
      </c>
      <c r="L391" s="3" t="s">
        <v>514</v>
      </c>
      <c r="M391" s="3"/>
      <c r="N391" s="3">
        <v>7</v>
      </c>
      <c r="O391" s="3"/>
    </row>
    <row r="392" spans="1:15" x14ac:dyDescent="0.15">
      <c r="A392" s="3">
        <f t="shared" si="38"/>
        <v>1410029</v>
      </c>
      <c r="B392" s="3">
        <v>14</v>
      </c>
      <c r="C392" s="3">
        <v>0</v>
      </c>
      <c r="D392" s="3">
        <v>1</v>
      </c>
      <c r="E392" s="3">
        <v>10</v>
      </c>
      <c r="F392" s="3">
        <v>29</v>
      </c>
      <c r="G392" s="9" t="s">
        <v>421</v>
      </c>
      <c r="H392" s="3">
        <v>90</v>
      </c>
      <c r="I392" s="10" t="str">
        <f>VLOOKUP(A392,战役结算奖励!$A$1:$O$491,15,0)</f>
        <v>[{"id":14,"num":50},{"id":2,"num":2100000},{"id":1,"num":2100000}]</v>
      </c>
      <c r="J392" s="3" t="s">
        <v>33</v>
      </c>
      <c r="K392" s="3">
        <f t="shared" si="37"/>
        <v>76</v>
      </c>
      <c r="L392" s="3" t="s">
        <v>514</v>
      </c>
      <c r="M392" s="3"/>
      <c r="N392" s="3">
        <v>7</v>
      </c>
      <c r="O392" s="3"/>
    </row>
    <row r="393" spans="1:15" s="4" customFormat="1" x14ac:dyDescent="0.15">
      <c r="A393" s="10">
        <f t="shared" si="38"/>
        <v>1410030</v>
      </c>
      <c r="B393" s="10">
        <v>14</v>
      </c>
      <c r="C393" s="10">
        <v>0</v>
      </c>
      <c r="D393" s="10">
        <v>1</v>
      </c>
      <c r="E393" s="10">
        <v>10</v>
      </c>
      <c r="F393" s="10">
        <v>30</v>
      </c>
      <c r="G393" s="9" t="s">
        <v>422</v>
      </c>
      <c r="H393" s="10">
        <v>90</v>
      </c>
      <c r="I393" s="10" t="str">
        <f>VLOOKUP(A393,战役结算奖励!$A$1:$O$491,15,0)</f>
        <v>[{"id":14,"num":50},{"id":2,"num":2100000},{"id":1,"num":2100000}]</v>
      </c>
      <c r="J393" s="10" t="s">
        <v>33</v>
      </c>
      <c r="K393" s="3">
        <f t="shared" si="37"/>
        <v>76</v>
      </c>
      <c r="L393" s="3" t="s">
        <v>514</v>
      </c>
      <c r="M393" s="10"/>
      <c r="N393" s="3">
        <v>7</v>
      </c>
      <c r="O393" s="10"/>
    </row>
    <row r="394" spans="1:15" x14ac:dyDescent="0.15">
      <c r="A394" s="3">
        <f t="shared" si="38"/>
        <v>1410031</v>
      </c>
      <c r="B394" s="3">
        <v>14</v>
      </c>
      <c r="C394" s="3">
        <v>0</v>
      </c>
      <c r="D394" s="3">
        <v>1</v>
      </c>
      <c r="E394" s="3">
        <v>10</v>
      </c>
      <c r="F394" s="3">
        <v>31</v>
      </c>
      <c r="G394" s="9" t="s">
        <v>423</v>
      </c>
      <c r="H394" s="3">
        <v>90</v>
      </c>
      <c r="I394" s="10" t="str">
        <f>VLOOKUP(A394,战役结算奖励!$A$1:$O$491,15,0)</f>
        <v>[{"id":14,"num":50},{"id":2,"num":2100000},{"id":1,"num":2100000}]</v>
      </c>
      <c r="J394" s="3" t="s">
        <v>33</v>
      </c>
      <c r="K394" s="3">
        <f t="shared" si="37"/>
        <v>77</v>
      </c>
      <c r="L394" s="3" t="s">
        <v>514</v>
      </c>
      <c r="M394" s="3"/>
      <c r="N394" s="3">
        <v>7</v>
      </c>
      <c r="O394" s="3"/>
    </row>
    <row r="395" spans="1:15" x14ac:dyDescent="0.15">
      <c r="A395" s="3">
        <f t="shared" si="38"/>
        <v>1410032</v>
      </c>
      <c r="B395" s="3">
        <v>14</v>
      </c>
      <c r="C395" s="3">
        <v>0</v>
      </c>
      <c r="D395" s="3">
        <v>1</v>
      </c>
      <c r="E395" s="3">
        <v>10</v>
      </c>
      <c r="F395" s="3">
        <v>32</v>
      </c>
      <c r="G395" s="9" t="s">
        <v>424</v>
      </c>
      <c r="H395" s="3">
        <v>90</v>
      </c>
      <c r="I395" s="10" t="str">
        <f>VLOOKUP(A395,战役结算奖励!$A$1:$O$491,15,0)</f>
        <v>[{"id":14,"num":50},{"id":2,"num":2100000},{"id":1,"num":2100000}]</v>
      </c>
      <c r="J395" s="3" t="s">
        <v>33</v>
      </c>
      <c r="K395" s="3">
        <f t="shared" si="37"/>
        <v>77</v>
      </c>
      <c r="L395" s="3" t="s">
        <v>514</v>
      </c>
      <c r="M395" s="3"/>
      <c r="N395" s="3">
        <v>7</v>
      </c>
      <c r="O395" s="3"/>
    </row>
    <row r="396" spans="1:15" x14ac:dyDescent="0.15">
      <c r="A396" s="3">
        <f t="shared" si="38"/>
        <v>1410033</v>
      </c>
      <c r="B396" s="3">
        <v>14</v>
      </c>
      <c r="C396" s="3">
        <v>0</v>
      </c>
      <c r="D396" s="3">
        <v>1</v>
      </c>
      <c r="E396" s="3">
        <v>10</v>
      </c>
      <c r="F396" s="3">
        <v>33</v>
      </c>
      <c r="G396" s="9" t="s">
        <v>425</v>
      </c>
      <c r="H396" s="3">
        <v>90</v>
      </c>
      <c r="I396" s="10" t="str">
        <f>VLOOKUP(A396,战役结算奖励!$A$1:$O$491,15,0)</f>
        <v>[{"id":14,"num":50},{"id":2,"num":2100000},{"id":1,"num":2100000}]</v>
      </c>
      <c r="J396" s="3" t="s">
        <v>33</v>
      </c>
      <c r="K396" s="3">
        <f t="shared" si="37"/>
        <v>77</v>
      </c>
      <c r="L396" s="3" t="s">
        <v>514</v>
      </c>
      <c r="M396" s="3"/>
      <c r="N396" s="3">
        <v>7</v>
      </c>
      <c r="O396" s="3"/>
    </row>
    <row r="397" spans="1:15" x14ac:dyDescent="0.15">
      <c r="A397" s="3">
        <f t="shared" si="38"/>
        <v>1410034</v>
      </c>
      <c r="B397" s="3">
        <v>14</v>
      </c>
      <c r="C397" s="3">
        <v>0</v>
      </c>
      <c r="D397" s="3">
        <v>1</v>
      </c>
      <c r="E397" s="3">
        <v>10</v>
      </c>
      <c r="F397" s="3">
        <v>34</v>
      </c>
      <c r="G397" s="9" t="s">
        <v>426</v>
      </c>
      <c r="H397" s="3">
        <v>90</v>
      </c>
      <c r="I397" s="10" t="str">
        <f>VLOOKUP(A397,战役结算奖励!$A$1:$O$491,15,0)</f>
        <v>[{"id":14,"num":50},{"id":2,"num":2100000},{"id":1,"num":2100000}]</v>
      </c>
      <c r="J397" s="3" t="s">
        <v>33</v>
      </c>
      <c r="K397" s="3">
        <f t="shared" si="37"/>
        <v>77</v>
      </c>
      <c r="L397" s="3" t="s">
        <v>514</v>
      </c>
      <c r="M397" s="3"/>
      <c r="N397" s="3">
        <v>7</v>
      </c>
      <c r="O397" s="3"/>
    </row>
    <row r="398" spans="1:15" s="4" customFormat="1" x14ac:dyDescent="0.15">
      <c r="A398" s="10">
        <f t="shared" si="38"/>
        <v>1410035</v>
      </c>
      <c r="B398" s="10">
        <v>14</v>
      </c>
      <c r="C398" s="10">
        <v>0</v>
      </c>
      <c r="D398" s="10">
        <v>1</v>
      </c>
      <c r="E398" s="10">
        <v>10</v>
      </c>
      <c r="F398" s="10">
        <v>35</v>
      </c>
      <c r="G398" s="9" t="s">
        <v>427</v>
      </c>
      <c r="H398" s="10">
        <v>90</v>
      </c>
      <c r="I398" s="10" t="str">
        <f>VLOOKUP(A398,战役结算奖励!$A$1:$O$491,15,0)</f>
        <v>[{"id":14,"num":50},{"id":2,"num":2100000},{"id":1,"num":2100000}]</v>
      </c>
      <c r="J398" s="10" t="s">
        <v>33</v>
      </c>
      <c r="K398" s="3">
        <f t="shared" si="37"/>
        <v>77</v>
      </c>
      <c r="L398" s="3" t="s">
        <v>514</v>
      </c>
      <c r="M398" s="10"/>
      <c r="N398" s="3">
        <v>7</v>
      </c>
      <c r="O398" s="10"/>
    </row>
    <row r="399" spans="1:15" x14ac:dyDescent="0.15">
      <c r="A399" s="3">
        <f t="shared" si="38"/>
        <v>1410036</v>
      </c>
      <c r="B399" s="3">
        <v>14</v>
      </c>
      <c r="C399" s="3">
        <v>0</v>
      </c>
      <c r="D399" s="3">
        <v>1</v>
      </c>
      <c r="E399" s="3">
        <v>10</v>
      </c>
      <c r="F399" s="3">
        <v>36</v>
      </c>
      <c r="G399" s="9" t="s">
        <v>428</v>
      </c>
      <c r="H399" s="3">
        <v>90</v>
      </c>
      <c r="I399" s="10" t="str">
        <f>VLOOKUP(A399,战役结算奖励!$A$1:$O$491,15,0)</f>
        <v>[{"id":14,"num":50},{"id":2,"num":2100000},{"id":1,"num":2100000}]</v>
      </c>
      <c r="J399" s="3" t="s">
        <v>33</v>
      </c>
      <c r="K399" s="3">
        <f t="shared" si="37"/>
        <v>78</v>
      </c>
      <c r="L399" s="3" t="s">
        <v>514</v>
      </c>
      <c r="M399" s="3"/>
      <c r="N399" s="3">
        <v>7</v>
      </c>
      <c r="O399" s="3"/>
    </row>
    <row r="400" spans="1:15" x14ac:dyDescent="0.15">
      <c r="A400" s="3">
        <f t="shared" si="38"/>
        <v>1410037</v>
      </c>
      <c r="B400" s="3">
        <v>14</v>
      </c>
      <c r="C400" s="3">
        <v>0</v>
      </c>
      <c r="D400" s="3">
        <v>1</v>
      </c>
      <c r="E400" s="3">
        <v>10</v>
      </c>
      <c r="F400" s="3">
        <v>37</v>
      </c>
      <c r="G400" s="9" t="s">
        <v>429</v>
      </c>
      <c r="H400" s="3">
        <v>90</v>
      </c>
      <c r="I400" s="10" t="str">
        <f>VLOOKUP(A400,战役结算奖励!$A$1:$O$491,15,0)</f>
        <v>[{"id":14,"num":50},{"id":2,"num":2100000},{"id":1,"num":2100000}]</v>
      </c>
      <c r="J400" s="3" t="s">
        <v>33</v>
      </c>
      <c r="K400" s="3">
        <f t="shared" si="37"/>
        <v>78</v>
      </c>
      <c r="L400" s="3" t="s">
        <v>514</v>
      </c>
      <c r="M400" s="3"/>
      <c r="N400" s="3">
        <v>7</v>
      </c>
      <c r="O400" s="3"/>
    </row>
    <row r="401" spans="1:15" x14ac:dyDescent="0.15">
      <c r="A401" s="3">
        <f t="shared" si="38"/>
        <v>1410038</v>
      </c>
      <c r="B401" s="3">
        <v>14</v>
      </c>
      <c r="C401" s="3">
        <v>0</v>
      </c>
      <c r="D401" s="3">
        <v>1</v>
      </c>
      <c r="E401" s="3">
        <v>10</v>
      </c>
      <c r="F401" s="3">
        <v>38</v>
      </c>
      <c r="G401" s="9" t="s">
        <v>430</v>
      </c>
      <c r="H401" s="3">
        <v>90</v>
      </c>
      <c r="I401" s="10" t="str">
        <f>VLOOKUP(A401,战役结算奖励!$A$1:$O$491,15,0)</f>
        <v>[{"id":14,"num":50},{"id":2,"num":2100000},{"id":1,"num":2100000}]</v>
      </c>
      <c r="J401" s="3" t="s">
        <v>33</v>
      </c>
      <c r="K401" s="3">
        <f t="shared" si="37"/>
        <v>78</v>
      </c>
      <c r="L401" s="3" t="s">
        <v>514</v>
      </c>
      <c r="M401" s="3"/>
      <c r="N401" s="3">
        <v>7</v>
      </c>
      <c r="O401" s="3"/>
    </row>
    <row r="402" spans="1:15" x14ac:dyDescent="0.15">
      <c r="A402" s="3">
        <f t="shared" si="38"/>
        <v>1410039</v>
      </c>
      <c r="B402" s="3">
        <v>14</v>
      </c>
      <c r="C402" s="3">
        <v>0</v>
      </c>
      <c r="D402" s="3">
        <v>1</v>
      </c>
      <c r="E402" s="3">
        <v>10</v>
      </c>
      <c r="F402" s="3">
        <v>39</v>
      </c>
      <c r="G402" s="9" t="s">
        <v>431</v>
      </c>
      <c r="H402" s="3">
        <v>90</v>
      </c>
      <c r="I402" s="10" t="str">
        <f>VLOOKUP(A402,战役结算奖励!$A$1:$O$491,15,0)</f>
        <v>[{"id":14,"num":50},{"id":2,"num":2100000},{"id":1,"num":2100000}]</v>
      </c>
      <c r="J402" s="3" t="s">
        <v>33</v>
      </c>
      <c r="K402" s="3">
        <f t="shared" si="37"/>
        <v>78</v>
      </c>
      <c r="L402" s="3" t="s">
        <v>514</v>
      </c>
      <c r="M402" s="3"/>
      <c r="N402" s="3">
        <v>7</v>
      </c>
      <c r="O402" s="3"/>
    </row>
    <row r="403" spans="1:15" s="4" customFormat="1" x14ac:dyDescent="0.15">
      <c r="A403" s="10">
        <f t="shared" si="38"/>
        <v>1410040</v>
      </c>
      <c r="B403" s="10">
        <v>14</v>
      </c>
      <c r="C403" s="10">
        <v>0</v>
      </c>
      <c r="D403" s="10">
        <v>1</v>
      </c>
      <c r="E403" s="10">
        <v>10</v>
      </c>
      <c r="F403" s="10">
        <v>40</v>
      </c>
      <c r="G403" s="9" t="s">
        <v>432</v>
      </c>
      <c r="H403" s="10">
        <v>90</v>
      </c>
      <c r="I403" s="10" t="str">
        <f>VLOOKUP(A403,战役结算奖励!$A$1:$O$491,15,0)</f>
        <v>[{"id":14,"num":50},{"id":2,"num":2100000},{"id":1,"num":2100000}]</v>
      </c>
      <c r="J403" s="10" t="s">
        <v>33</v>
      </c>
      <c r="K403" s="3">
        <f t="shared" si="37"/>
        <v>78</v>
      </c>
      <c r="L403" s="3" t="s">
        <v>1224</v>
      </c>
      <c r="M403" s="10"/>
      <c r="N403" s="3">
        <v>7</v>
      </c>
      <c r="O403" s="10">
        <v>1</v>
      </c>
    </row>
    <row r="404" spans="1:15" x14ac:dyDescent="0.15">
      <c r="A404" s="3">
        <f t="shared" si="38"/>
        <v>1411001</v>
      </c>
      <c r="B404" s="3">
        <v>14</v>
      </c>
      <c r="C404" s="3">
        <v>0</v>
      </c>
      <c r="D404" s="3">
        <v>1</v>
      </c>
      <c r="E404" s="3">
        <v>11</v>
      </c>
      <c r="F404" s="3">
        <v>1</v>
      </c>
      <c r="G404" s="9" t="s">
        <v>433</v>
      </c>
      <c r="H404" s="3">
        <v>90</v>
      </c>
      <c r="I404" s="10" t="str">
        <f>VLOOKUP(A404,战役结算奖励!$A$1:$O$491,15,0)</f>
        <v>[{"id":14,"num":55},{"id":2,"num":2300000},{"id":1,"num":2300000}]</v>
      </c>
      <c r="J404" s="3" t="s">
        <v>33</v>
      </c>
      <c r="K404" s="3">
        <f t="shared" si="37"/>
        <v>79</v>
      </c>
      <c r="L404" s="3" t="s">
        <v>514</v>
      </c>
      <c r="M404" s="3"/>
      <c r="N404" s="3">
        <v>7</v>
      </c>
      <c r="O404" s="3"/>
    </row>
    <row r="405" spans="1:15" x14ac:dyDescent="0.15">
      <c r="A405" s="3">
        <f t="shared" si="38"/>
        <v>1411002</v>
      </c>
      <c r="B405" s="3">
        <v>14</v>
      </c>
      <c r="C405" s="3">
        <v>0</v>
      </c>
      <c r="D405" s="3">
        <v>1</v>
      </c>
      <c r="E405" s="3">
        <v>11</v>
      </c>
      <c r="F405" s="3">
        <v>2</v>
      </c>
      <c r="G405" s="9" t="s">
        <v>434</v>
      </c>
      <c r="H405" s="3">
        <v>90</v>
      </c>
      <c r="I405" s="10" t="str">
        <f>VLOOKUP(A405,战役结算奖励!$A$1:$O$491,15,0)</f>
        <v>[{"id":14,"num":55},{"id":2,"num":2300000},{"id":1,"num":2300000}]</v>
      </c>
      <c r="J405" s="3" t="s">
        <v>33</v>
      </c>
      <c r="K405" s="3">
        <f t="shared" si="37"/>
        <v>79</v>
      </c>
      <c r="L405" s="3" t="s">
        <v>514</v>
      </c>
      <c r="M405" s="3"/>
      <c r="N405" s="3">
        <v>7</v>
      </c>
      <c r="O405" s="3"/>
    </row>
    <row r="406" spans="1:15" x14ac:dyDescent="0.15">
      <c r="A406" s="3">
        <f t="shared" si="38"/>
        <v>1411003</v>
      </c>
      <c r="B406" s="3">
        <v>14</v>
      </c>
      <c r="C406" s="3">
        <v>0</v>
      </c>
      <c r="D406" s="3">
        <v>1</v>
      </c>
      <c r="E406" s="3">
        <v>11</v>
      </c>
      <c r="F406" s="3">
        <v>3</v>
      </c>
      <c r="G406" s="9" t="s">
        <v>435</v>
      </c>
      <c r="H406" s="3">
        <v>90</v>
      </c>
      <c r="I406" s="10" t="str">
        <f>VLOOKUP(A406,战役结算奖励!$A$1:$O$491,15,0)</f>
        <v>[{"id":14,"num":55},{"id":2,"num":2300000},{"id":1,"num":2300000}]</v>
      </c>
      <c r="J406" s="3" t="s">
        <v>33</v>
      </c>
      <c r="K406" s="3">
        <f t="shared" si="37"/>
        <v>79</v>
      </c>
      <c r="L406" s="3" t="s">
        <v>514</v>
      </c>
      <c r="M406" s="3"/>
      <c r="N406" s="3">
        <v>7</v>
      </c>
      <c r="O406" s="3"/>
    </row>
    <row r="407" spans="1:15" x14ac:dyDescent="0.15">
      <c r="A407" s="3">
        <f t="shared" si="38"/>
        <v>1411004</v>
      </c>
      <c r="B407" s="3">
        <v>14</v>
      </c>
      <c r="C407" s="3">
        <v>0</v>
      </c>
      <c r="D407" s="3">
        <v>1</v>
      </c>
      <c r="E407" s="3">
        <v>11</v>
      </c>
      <c r="F407" s="3">
        <v>4</v>
      </c>
      <c r="G407" s="9" t="s">
        <v>436</v>
      </c>
      <c r="H407" s="3">
        <v>90</v>
      </c>
      <c r="I407" s="10" t="str">
        <f>VLOOKUP(A407,战役结算奖励!$A$1:$O$491,15,0)</f>
        <v>[{"id":14,"num":55},{"id":2,"num":2300000},{"id":1,"num":2300000}]</v>
      </c>
      <c r="J407" s="3" t="s">
        <v>33</v>
      </c>
      <c r="K407" s="3">
        <f t="shared" si="37"/>
        <v>79</v>
      </c>
      <c r="L407" s="3" t="s">
        <v>514</v>
      </c>
      <c r="M407" s="3"/>
      <c r="N407" s="3">
        <v>7</v>
      </c>
      <c r="O407" s="3"/>
    </row>
    <row r="408" spans="1:15" s="4" customFormat="1" x14ac:dyDescent="0.15">
      <c r="A408" s="10">
        <f t="shared" si="38"/>
        <v>1411005</v>
      </c>
      <c r="B408" s="10">
        <v>14</v>
      </c>
      <c r="C408" s="10">
        <v>0</v>
      </c>
      <c r="D408" s="10">
        <v>1</v>
      </c>
      <c r="E408" s="10">
        <v>11</v>
      </c>
      <c r="F408" s="10">
        <v>5</v>
      </c>
      <c r="G408" s="9" t="s">
        <v>437</v>
      </c>
      <c r="H408" s="10">
        <v>90</v>
      </c>
      <c r="I408" s="10" t="str">
        <f>VLOOKUP(A408,战役结算奖励!$A$1:$O$491,15,0)</f>
        <v>[{"id":14,"num":55},{"id":2,"num":2300000},{"id":1,"num":2300000}]</v>
      </c>
      <c r="J408" s="10" t="s">
        <v>33</v>
      </c>
      <c r="K408" s="3">
        <f t="shared" si="37"/>
        <v>79</v>
      </c>
      <c r="L408" s="3" t="s">
        <v>514</v>
      </c>
      <c r="M408" s="10"/>
      <c r="N408" s="3">
        <v>7</v>
      </c>
      <c r="O408" s="10"/>
    </row>
    <row r="409" spans="1:15" x14ac:dyDescent="0.15">
      <c r="A409" s="3">
        <f t="shared" si="38"/>
        <v>1411006</v>
      </c>
      <c r="B409" s="3">
        <v>14</v>
      </c>
      <c r="C409" s="3">
        <v>0</v>
      </c>
      <c r="D409" s="3">
        <v>1</v>
      </c>
      <c r="E409" s="3">
        <v>11</v>
      </c>
      <c r="F409" s="3">
        <v>6</v>
      </c>
      <c r="G409" s="9" t="s">
        <v>438</v>
      </c>
      <c r="H409" s="3">
        <v>90</v>
      </c>
      <c r="I409" s="10" t="str">
        <f>VLOOKUP(A409,战役结算奖励!$A$1:$O$491,15,0)</f>
        <v>[{"id":14,"num":55},{"id":2,"num":2300000},{"id":1,"num":2300000}]</v>
      </c>
      <c r="J409" s="3" t="s">
        <v>33</v>
      </c>
      <c r="K409" s="3">
        <f t="shared" si="37"/>
        <v>80</v>
      </c>
      <c r="L409" s="3" t="s">
        <v>514</v>
      </c>
      <c r="M409" s="3"/>
      <c r="N409" s="3">
        <v>7</v>
      </c>
      <c r="O409" s="3"/>
    </row>
    <row r="410" spans="1:15" x14ac:dyDescent="0.15">
      <c r="A410" s="3">
        <f t="shared" si="38"/>
        <v>1411007</v>
      </c>
      <c r="B410" s="3">
        <v>14</v>
      </c>
      <c r="C410" s="3">
        <v>0</v>
      </c>
      <c r="D410" s="3">
        <v>1</v>
      </c>
      <c r="E410" s="3">
        <v>11</v>
      </c>
      <c r="F410" s="3">
        <v>7</v>
      </c>
      <c r="G410" s="9" t="s">
        <v>439</v>
      </c>
      <c r="H410" s="3">
        <v>90</v>
      </c>
      <c r="I410" s="10" t="str">
        <f>VLOOKUP(A410,战役结算奖励!$A$1:$O$491,15,0)</f>
        <v>[{"id":14,"num":55},{"id":2,"num":2300000},{"id":1,"num":2300000}]</v>
      </c>
      <c r="J410" s="3" t="s">
        <v>33</v>
      </c>
      <c r="K410" s="3">
        <f t="shared" si="37"/>
        <v>80</v>
      </c>
      <c r="L410" s="3" t="s">
        <v>514</v>
      </c>
      <c r="M410" s="3"/>
      <c r="N410" s="3">
        <v>7</v>
      </c>
      <c r="O410" s="3"/>
    </row>
    <row r="411" spans="1:15" x14ac:dyDescent="0.15">
      <c r="A411" s="3">
        <f t="shared" si="38"/>
        <v>1411008</v>
      </c>
      <c r="B411" s="3">
        <v>14</v>
      </c>
      <c r="C411" s="3">
        <v>0</v>
      </c>
      <c r="D411" s="3">
        <v>1</v>
      </c>
      <c r="E411" s="3">
        <v>11</v>
      </c>
      <c r="F411" s="3">
        <v>8</v>
      </c>
      <c r="G411" s="9" t="s">
        <v>440</v>
      </c>
      <c r="H411" s="3">
        <v>90</v>
      </c>
      <c r="I411" s="10" t="str">
        <f>VLOOKUP(A411,战役结算奖励!$A$1:$O$491,15,0)</f>
        <v>[{"id":14,"num":55},{"id":2,"num":2300000},{"id":1,"num":2300000}]</v>
      </c>
      <c r="J411" s="3" t="s">
        <v>33</v>
      </c>
      <c r="K411" s="3">
        <f t="shared" si="37"/>
        <v>80</v>
      </c>
      <c r="L411" s="3" t="s">
        <v>514</v>
      </c>
      <c r="M411" s="3"/>
      <c r="N411" s="3">
        <v>7</v>
      </c>
      <c r="O411" s="3"/>
    </row>
    <row r="412" spans="1:15" x14ac:dyDescent="0.15">
      <c r="A412" s="3">
        <f t="shared" si="38"/>
        <v>1411009</v>
      </c>
      <c r="B412" s="3">
        <v>14</v>
      </c>
      <c r="C412" s="3">
        <v>0</v>
      </c>
      <c r="D412" s="3">
        <v>1</v>
      </c>
      <c r="E412" s="3">
        <v>11</v>
      </c>
      <c r="F412" s="3">
        <v>9</v>
      </c>
      <c r="G412" s="9" t="s">
        <v>441</v>
      </c>
      <c r="H412" s="3">
        <v>90</v>
      </c>
      <c r="I412" s="10" t="str">
        <f>VLOOKUP(A412,战役结算奖励!$A$1:$O$491,15,0)</f>
        <v>[{"id":14,"num":55},{"id":2,"num":2300000},{"id":1,"num":2300000}]</v>
      </c>
      <c r="J412" s="3" t="s">
        <v>33</v>
      </c>
      <c r="K412" s="3">
        <f t="shared" si="37"/>
        <v>80</v>
      </c>
      <c r="L412" s="3" t="s">
        <v>514</v>
      </c>
      <c r="M412" s="3"/>
      <c r="N412" s="3">
        <v>7</v>
      </c>
      <c r="O412" s="3"/>
    </row>
    <row r="413" spans="1:15" s="4" customFormat="1" x14ac:dyDescent="0.15">
      <c r="A413" s="10">
        <f t="shared" si="38"/>
        <v>1411010</v>
      </c>
      <c r="B413" s="10">
        <v>14</v>
      </c>
      <c r="C413" s="10">
        <v>0</v>
      </c>
      <c r="D413" s="10">
        <v>1</v>
      </c>
      <c r="E413" s="10">
        <v>11</v>
      </c>
      <c r="F413" s="10">
        <v>10</v>
      </c>
      <c r="G413" s="9" t="s">
        <v>442</v>
      </c>
      <c r="H413" s="10">
        <v>90</v>
      </c>
      <c r="I413" s="10" t="str">
        <f>VLOOKUP(A413,战役结算奖励!$A$1:$O$491,15,0)</f>
        <v>[{"id":14,"num":55},{"id":2,"num":2300000},{"id":1,"num":2300000}]</v>
      </c>
      <c r="J413" s="10" t="s">
        <v>33</v>
      </c>
      <c r="K413" s="3">
        <f t="shared" si="37"/>
        <v>80</v>
      </c>
      <c r="L413" s="3" t="s">
        <v>514</v>
      </c>
      <c r="M413" s="10"/>
      <c r="N413" s="3">
        <v>7</v>
      </c>
      <c r="O413" s="10"/>
    </row>
    <row r="414" spans="1:15" x14ac:dyDescent="0.15">
      <c r="A414" s="3">
        <f t="shared" si="38"/>
        <v>1411011</v>
      </c>
      <c r="B414" s="3">
        <v>14</v>
      </c>
      <c r="C414" s="3">
        <v>0</v>
      </c>
      <c r="D414" s="3">
        <v>1</v>
      </c>
      <c r="E414" s="3">
        <v>11</v>
      </c>
      <c r="F414" s="3">
        <v>11</v>
      </c>
      <c r="G414" s="9" t="s">
        <v>443</v>
      </c>
      <c r="H414" s="3">
        <v>90</v>
      </c>
      <c r="I414" s="10" t="str">
        <f>VLOOKUP(A414,战役结算奖励!$A$1:$O$491,15,0)</f>
        <v>[{"id":14,"num":55},{"id":2,"num":2300000},{"id":1,"num":2300000}]</v>
      </c>
      <c r="J414" s="3" t="s">
        <v>33</v>
      </c>
      <c r="K414" s="3">
        <f t="shared" ref="K414:K440" si="39">K409+1</f>
        <v>81</v>
      </c>
      <c r="L414" s="3" t="s">
        <v>514</v>
      </c>
      <c r="M414" s="3"/>
      <c r="N414" s="3">
        <v>7</v>
      </c>
      <c r="O414" s="3"/>
    </row>
    <row r="415" spans="1:15" x14ac:dyDescent="0.15">
      <c r="A415" s="3">
        <f t="shared" si="38"/>
        <v>1411012</v>
      </c>
      <c r="B415" s="3">
        <v>14</v>
      </c>
      <c r="C415" s="3">
        <v>0</v>
      </c>
      <c r="D415" s="3">
        <v>1</v>
      </c>
      <c r="E415" s="3">
        <v>11</v>
      </c>
      <c r="F415" s="3">
        <v>12</v>
      </c>
      <c r="G415" s="9" t="s">
        <v>444</v>
      </c>
      <c r="H415" s="3">
        <v>90</v>
      </c>
      <c r="I415" s="10" t="str">
        <f>VLOOKUP(A415,战役结算奖励!$A$1:$O$491,15,0)</f>
        <v>[{"id":14,"num":55},{"id":2,"num":2300000},{"id":1,"num":2300000}]</v>
      </c>
      <c r="J415" s="3" t="s">
        <v>33</v>
      </c>
      <c r="K415" s="3">
        <f t="shared" si="39"/>
        <v>81</v>
      </c>
      <c r="L415" s="3" t="s">
        <v>514</v>
      </c>
      <c r="M415" s="3"/>
      <c r="N415" s="3">
        <v>7</v>
      </c>
      <c r="O415" s="3"/>
    </row>
    <row r="416" spans="1:15" x14ac:dyDescent="0.15">
      <c r="A416" s="3">
        <f t="shared" si="38"/>
        <v>1411013</v>
      </c>
      <c r="B416" s="3">
        <v>14</v>
      </c>
      <c r="C416" s="3">
        <v>0</v>
      </c>
      <c r="D416" s="3">
        <v>1</v>
      </c>
      <c r="E416" s="3">
        <v>11</v>
      </c>
      <c r="F416" s="3">
        <v>13</v>
      </c>
      <c r="G416" s="9" t="s">
        <v>445</v>
      </c>
      <c r="H416" s="3">
        <v>90</v>
      </c>
      <c r="I416" s="10" t="str">
        <f>VLOOKUP(A416,战役结算奖励!$A$1:$O$491,15,0)</f>
        <v>[{"id":14,"num":55},{"id":2,"num":2300000},{"id":1,"num":2300000}]</v>
      </c>
      <c r="J416" s="3" t="s">
        <v>33</v>
      </c>
      <c r="K416" s="3">
        <f t="shared" si="39"/>
        <v>81</v>
      </c>
      <c r="L416" s="3" t="s">
        <v>514</v>
      </c>
      <c r="M416" s="3"/>
      <c r="N416" s="3">
        <v>7</v>
      </c>
      <c r="O416" s="3"/>
    </row>
    <row r="417" spans="1:15" x14ac:dyDescent="0.15">
      <c r="A417" s="3">
        <f t="shared" si="38"/>
        <v>1411014</v>
      </c>
      <c r="B417" s="3">
        <v>14</v>
      </c>
      <c r="C417" s="3">
        <v>0</v>
      </c>
      <c r="D417" s="3">
        <v>1</v>
      </c>
      <c r="E417" s="3">
        <v>11</v>
      </c>
      <c r="F417" s="3">
        <v>14</v>
      </c>
      <c r="G417" s="9" t="s">
        <v>446</v>
      </c>
      <c r="H417" s="3">
        <v>90</v>
      </c>
      <c r="I417" s="10" t="str">
        <f>VLOOKUP(A417,战役结算奖励!$A$1:$O$491,15,0)</f>
        <v>[{"id":14,"num":55},{"id":2,"num":2300000},{"id":1,"num":2300000}]</v>
      </c>
      <c r="J417" s="3" t="s">
        <v>33</v>
      </c>
      <c r="K417" s="3">
        <f t="shared" si="39"/>
        <v>81</v>
      </c>
      <c r="L417" s="3" t="s">
        <v>514</v>
      </c>
      <c r="M417" s="3"/>
      <c r="N417" s="3">
        <v>7</v>
      </c>
      <c r="O417" s="3"/>
    </row>
    <row r="418" spans="1:15" s="4" customFormat="1" x14ac:dyDescent="0.15">
      <c r="A418" s="10">
        <f t="shared" si="38"/>
        <v>1411015</v>
      </c>
      <c r="B418" s="10">
        <v>14</v>
      </c>
      <c r="C418" s="10">
        <v>0</v>
      </c>
      <c r="D418" s="10">
        <v>1</v>
      </c>
      <c r="E418" s="10">
        <v>11</v>
      </c>
      <c r="F418" s="10">
        <v>15</v>
      </c>
      <c r="G418" s="9" t="s">
        <v>447</v>
      </c>
      <c r="H418" s="10">
        <v>90</v>
      </c>
      <c r="I418" s="10" t="str">
        <f>VLOOKUP(A418,战役结算奖励!$A$1:$O$491,15,0)</f>
        <v>[{"id":14,"num":55},{"id":2,"num":2300000},{"id":1,"num":2300000}]</v>
      </c>
      <c r="J418" s="10" t="s">
        <v>33</v>
      </c>
      <c r="K418" s="3">
        <f t="shared" si="39"/>
        <v>81</v>
      </c>
      <c r="L418" s="3" t="s">
        <v>514</v>
      </c>
      <c r="M418" s="10"/>
      <c r="N418" s="3">
        <v>7</v>
      </c>
      <c r="O418" s="10"/>
    </row>
    <row r="419" spans="1:15" x14ac:dyDescent="0.15">
      <c r="A419" s="3">
        <f t="shared" si="38"/>
        <v>1411016</v>
      </c>
      <c r="B419" s="3">
        <v>14</v>
      </c>
      <c r="C419" s="3">
        <v>0</v>
      </c>
      <c r="D419" s="3">
        <v>1</v>
      </c>
      <c r="E419" s="3">
        <v>11</v>
      </c>
      <c r="F419" s="3">
        <v>16</v>
      </c>
      <c r="G419" s="9" t="s">
        <v>448</v>
      </c>
      <c r="H419" s="3">
        <v>90</v>
      </c>
      <c r="I419" s="10" t="str">
        <f>VLOOKUP(A419,战役结算奖励!$A$1:$O$491,15,0)</f>
        <v>[{"id":14,"num":55},{"id":2,"num":2300000},{"id":1,"num":2300000}]</v>
      </c>
      <c r="J419" s="3" t="s">
        <v>33</v>
      </c>
      <c r="K419" s="3">
        <f t="shared" si="39"/>
        <v>82</v>
      </c>
      <c r="L419" s="3" t="s">
        <v>514</v>
      </c>
      <c r="M419" s="3"/>
      <c r="N419" s="3">
        <v>7</v>
      </c>
      <c r="O419" s="3"/>
    </row>
    <row r="420" spans="1:15" x14ac:dyDescent="0.15">
      <c r="A420" s="3">
        <f t="shared" ref="A420:A451" si="40">B420*100000+E420*1000+F420</f>
        <v>1411017</v>
      </c>
      <c r="B420" s="3">
        <v>14</v>
      </c>
      <c r="C420" s="3">
        <v>0</v>
      </c>
      <c r="D420" s="3">
        <v>1</v>
      </c>
      <c r="E420" s="3">
        <v>11</v>
      </c>
      <c r="F420" s="3">
        <v>17</v>
      </c>
      <c r="G420" s="9" t="s">
        <v>449</v>
      </c>
      <c r="H420" s="3">
        <v>90</v>
      </c>
      <c r="I420" s="10" t="str">
        <f>VLOOKUP(A420,战役结算奖励!$A$1:$O$491,15,0)</f>
        <v>[{"id":14,"num":55},{"id":2,"num":2300000},{"id":1,"num":2300000}]</v>
      </c>
      <c r="J420" s="3" t="s">
        <v>33</v>
      </c>
      <c r="K420" s="3">
        <f t="shared" si="39"/>
        <v>82</v>
      </c>
      <c r="L420" s="3" t="s">
        <v>514</v>
      </c>
      <c r="M420" s="3"/>
      <c r="N420" s="3">
        <v>7</v>
      </c>
      <c r="O420" s="3"/>
    </row>
    <row r="421" spans="1:15" x14ac:dyDescent="0.15">
      <c r="A421" s="3">
        <f t="shared" si="40"/>
        <v>1411018</v>
      </c>
      <c r="B421" s="3">
        <v>14</v>
      </c>
      <c r="C421" s="3">
        <v>0</v>
      </c>
      <c r="D421" s="3">
        <v>1</v>
      </c>
      <c r="E421" s="3">
        <v>11</v>
      </c>
      <c r="F421" s="3">
        <v>18</v>
      </c>
      <c r="G421" s="9" t="s">
        <v>450</v>
      </c>
      <c r="H421" s="3">
        <v>90</v>
      </c>
      <c r="I421" s="10" t="str">
        <f>VLOOKUP(A421,战役结算奖励!$A$1:$O$491,15,0)</f>
        <v>[{"id":14,"num":55},{"id":2,"num":2300000},{"id":1,"num":2300000}]</v>
      </c>
      <c r="J421" s="3" t="s">
        <v>33</v>
      </c>
      <c r="K421" s="3">
        <f t="shared" si="39"/>
        <v>82</v>
      </c>
      <c r="L421" s="3" t="s">
        <v>514</v>
      </c>
      <c r="M421" s="3"/>
      <c r="N421" s="3">
        <v>7</v>
      </c>
      <c r="O421" s="3"/>
    </row>
    <row r="422" spans="1:15" x14ac:dyDescent="0.15">
      <c r="A422" s="3">
        <f t="shared" si="40"/>
        <v>1411019</v>
      </c>
      <c r="B422" s="3">
        <v>14</v>
      </c>
      <c r="C422" s="3">
        <v>0</v>
      </c>
      <c r="D422" s="3">
        <v>1</v>
      </c>
      <c r="E422" s="3">
        <v>11</v>
      </c>
      <c r="F422" s="3">
        <v>19</v>
      </c>
      <c r="G422" s="9" t="s">
        <v>451</v>
      </c>
      <c r="H422" s="3">
        <v>90</v>
      </c>
      <c r="I422" s="10" t="str">
        <f>VLOOKUP(A422,战役结算奖励!$A$1:$O$491,15,0)</f>
        <v>[{"id":14,"num":55},{"id":2,"num":2300000},{"id":1,"num":2300000}]</v>
      </c>
      <c r="J422" s="3" t="s">
        <v>33</v>
      </c>
      <c r="K422" s="3">
        <f t="shared" si="39"/>
        <v>82</v>
      </c>
      <c r="L422" s="3" t="s">
        <v>514</v>
      </c>
      <c r="M422" s="3"/>
      <c r="N422" s="3">
        <v>7</v>
      </c>
      <c r="O422" s="3"/>
    </row>
    <row r="423" spans="1:15" s="5" customFormat="1" x14ac:dyDescent="0.15">
      <c r="A423" s="12">
        <f t="shared" si="40"/>
        <v>1411020</v>
      </c>
      <c r="B423" s="12">
        <v>14</v>
      </c>
      <c r="C423" s="12">
        <v>0</v>
      </c>
      <c r="D423" s="12">
        <v>1</v>
      </c>
      <c r="E423" s="12">
        <v>11</v>
      </c>
      <c r="F423" s="12">
        <v>20</v>
      </c>
      <c r="G423" s="9" t="s">
        <v>452</v>
      </c>
      <c r="H423" s="12">
        <v>90</v>
      </c>
      <c r="I423" s="12" t="str">
        <f>VLOOKUP(A423,战役结算奖励!$A$1:$O$491,15,0)</f>
        <v>[{"id":14,"num":55},{"id":2,"num":2300000},{"id":1,"num":2300000}]</v>
      </c>
      <c r="J423" s="12" t="s">
        <v>33</v>
      </c>
      <c r="K423" s="12">
        <f t="shared" si="39"/>
        <v>82</v>
      </c>
      <c r="L423" s="3" t="s">
        <v>514</v>
      </c>
      <c r="M423" s="12"/>
      <c r="N423" s="12">
        <v>7</v>
      </c>
      <c r="O423" s="12"/>
    </row>
    <row r="424" spans="1:15" x14ac:dyDescent="0.15">
      <c r="A424" s="3">
        <f t="shared" si="40"/>
        <v>1411021</v>
      </c>
      <c r="B424" s="3">
        <v>14</v>
      </c>
      <c r="C424" s="3">
        <v>0</v>
      </c>
      <c r="D424" s="3">
        <v>1</v>
      </c>
      <c r="E424" s="3">
        <v>11</v>
      </c>
      <c r="F424" s="3">
        <v>21</v>
      </c>
      <c r="G424" s="12" t="s">
        <v>453</v>
      </c>
      <c r="H424" s="3">
        <v>90</v>
      </c>
      <c r="I424" s="10" t="str">
        <f>VLOOKUP(A424,战役结算奖励!$A$1:$O$491,15,0)</f>
        <v>[{"id":14,"num":55},{"id":2,"num":2300000},{"id":1,"num":2300000}]</v>
      </c>
      <c r="J424" s="3" t="s">
        <v>33</v>
      </c>
      <c r="K424" s="3">
        <f t="shared" si="39"/>
        <v>83</v>
      </c>
      <c r="L424" s="3" t="s">
        <v>514</v>
      </c>
      <c r="M424" s="3"/>
      <c r="N424" s="3">
        <v>7</v>
      </c>
      <c r="O424" s="3"/>
    </row>
    <row r="425" spans="1:15" x14ac:dyDescent="0.15">
      <c r="A425" s="3">
        <f t="shared" si="40"/>
        <v>1411022</v>
      </c>
      <c r="B425" s="3">
        <v>14</v>
      </c>
      <c r="C425" s="3">
        <v>0</v>
      </c>
      <c r="D425" s="3">
        <v>1</v>
      </c>
      <c r="E425" s="3">
        <v>11</v>
      </c>
      <c r="F425" s="3">
        <v>22</v>
      </c>
      <c r="G425" s="12" t="s">
        <v>454</v>
      </c>
      <c r="H425" s="3">
        <v>90</v>
      </c>
      <c r="I425" s="10" t="str">
        <f>VLOOKUP(A425,战役结算奖励!$A$1:$O$491,15,0)</f>
        <v>[{"id":14,"num":55},{"id":2,"num":2300000},{"id":1,"num":2300000}]</v>
      </c>
      <c r="J425" s="3" t="s">
        <v>33</v>
      </c>
      <c r="K425" s="3">
        <f t="shared" si="39"/>
        <v>83</v>
      </c>
      <c r="L425" s="3" t="s">
        <v>514</v>
      </c>
      <c r="M425" s="3"/>
      <c r="N425" s="3">
        <v>7</v>
      </c>
      <c r="O425" s="3"/>
    </row>
    <row r="426" spans="1:15" x14ac:dyDescent="0.15">
      <c r="A426" s="3">
        <f t="shared" si="40"/>
        <v>1411023</v>
      </c>
      <c r="B426" s="3">
        <v>14</v>
      </c>
      <c r="C426" s="3">
        <v>0</v>
      </c>
      <c r="D426" s="3">
        <v>1</v>
      </c>
      <c r="E426" s="3">
        <v>11</v>
      </c>
      <c r="F426" s="3">
        <v>23</v>
      </c>
      <c r="G426" s="12" t="s">
        <v>455</v>
      </c>
      <c r="H426" s="3">
        <v>90</v>
      </c>
      <c r="I426" s="10" t="str">
        <f>VLOOKUP(A426,战役结算奖励!$A$1:$O$491,15,0)</f>
        <v>[{"id":14,"num":55},{"id":2,"num":2300000},{"id":1,"num":2300000}]</v>
      </c>
      <c r="J426" s="3" t="s">
        <v>33</v>
      </c>
      <c r="K426" s="3">
        <f t="shared" si="39"/>
        <v>83</v>
      </c>
      <c r="L426" s="3" t="s">
        <v>514</v>
      </c>
      <c r="M426" s="3"/>
      <c r="N426" s="3">
        <v>7</v>
      </c>
      <c r="O426" s="3"/>
    </row>
    <row r="427" spans="1:15" x14ac:dyDescent="0.15">
      <c r="A427" s="3">
        <f t="shared" si="40"/>
        <v>1411024</v>
      </c>
      <c r="B427" s="3">
        <v>14</v>
      </c>
      <c r="C427" s="3">
        <v>0</v>
      </c>
      <c r="D427" s="3">
        <v>1</v>
      </c>
      <c r="E427" s="3">
        <v>11</v>
      </c>
      <c r="F427" s="3">
        <v>24</v>
      </c>
      <c r="G427" s="12" t="s">
        <v>456</v>
      </c>
      <c r="H427" s="3">
        <v>90</v>
      </c>
      <c r="I427" s="10" t="str">
        <f>VLOOKUP(A427,战役结算奖励!$A$1:$O$491,15,0)</f>
        <v>[{"id":14,"num":55},{"id":2,"num":2300000},{"id":1,"num":2300000}]</v>
      </c>
      <c r="J427" s="3" t="s">
        <v>33</v>
      </c>
      <c r="K427" s="3">
        <f t="shared" si="39"/>
        <v>83</v>
      </c>
      <c r="L427" s="3" t="s">
        <v>514</v>
      </c>
      <c r="M427" s="3"/>
      <c r="N427" s="3">
        <v>7</v>
      </c>
      <c r="O427" s="3"/>
    </row>
    <row r="428" spans="1:15" s="4" customFormat="1" x14ac:dyDescent="0.15">
      <c r="A428" s="10">
        <f t="shared" si="40"/>
        <v>1411025</v>
      </c>
      <c r="B428" s="10">
        <v>14</v>
      </c>
      <c r="C428" s="10">
        <v>0</v>
      </c>
      <c r="D428" s="10">
        <v>1</v>
      </c>
      <c r="E428" s="10">
        <v>11</v>
      </c>
      <c r="F428" s="10">
        <v>25</v>
      </c>
      <c r="G428" s="12" t="s">
        <v>457</v>
      </c>
      <c r="H428" s="10">
        <v>90</v>
      </c>
      <c r="I428" s="10" t="str">
        <f>VLOOKUP(A428,战役结算奖励!$A$1:$O$491,15,0)</f>
        <v>[{"id":14,"num":55},{"id":2,"num":2300000},{"id":1,"num":2300000}]</v>
      </c>
      <c r="J428" s="10" t="s">
        <v>33</v>
      </c>
      <c r="K428" s="3">
        <f t="shared" si="39"/>
        <v>83</v>
      </c>
      <c r="L428" s="3" t="s">
        <v>514</v>
      </c>
      <c r="M428" s="10"/>
      <c r="N428" s="3">
        <v>7</v>
      </c>
      <c r="O428" s="10"/>
    </row>
    <row r="429" spans="1:15" x14ac:dyDescent="0.15">
      <c r="A429" s="3">
        <f t="shared" si="40"/>
        <v>1411026</v>
      </c>
      <c r="B429" s="3">
        <v>14</v>
      </c>
      <c r="C429" s="3">
        <v>0</v>
      </c>
      <c r="D429" s="3">
        <v>1</v>
      </c>
      <c r="E429" s="3">
        <v>11</v>
      </c>
      <c r="F429" s="3">
        <v>26</v>
      </c>
      <c r="G429" s="12" t="s">
        <v>458</v>
      </c>
      <c r="H429" s="3">
        <v>90</v>
      </c>
      <c r="I429" s="10" t="str">
        <f>VLOOKUP(A429,战役结算奖励!$A$1:$O$491,15,0)</f>
        <v>[{"id":14,"num":55},{"id":2,"num":2300000},{"id":1,"num":2300000}]</v>
      </c>
      <c r="J429" s="3" t="s">
        <v>33</v>
      </c>
      <c r="K429" s="3">
        <f t="shared" si="39"/>
        <v>84</v>
      </c>
      <c r="L429" s="3" t="s">
        <v>514</v>
      </c>
      <c r="M429" s="3"/>
      <c r="N429" s="3">
        <v>7</v>
      </c>
      <c r="O429" s="3"/>
    </row>
    <row r="430" spans="1:15" x14ac:dyDescent="0.15">
      <c r="A430" s="3">
        <f t="shared" si="40"/>
        <v>1411027</v>
      </c>
      <c r="B430" s="3">
        <v>14</v>
      </c>
      <c r="C430" s="3">
        <v>0</v>
      </c>
      <c r="D430" s="3">
        <v>1</v>
      </c>
      <c r="E430" s="3">
        <v>11</v>
      </c>
      <c r="F430" s="3">
        <v>27</v>
      </c>
      <c r="G430" s="12" t="s">
        <v>459</v>
      </c>
      <c r="H430" s="3">
        <v>90</v>
      </c>
      <c r="I430" s="10" t="str">
        <f>VLOOKUP(A430,战役结算奖励!$A$1:$O$491,15,0)</f>
        <v>[{"id":14,"num":55},{"id":2,"num":2300000},{"id":1,"num":2300000}]</v>
      </c>
      <c r="J430" s="3" t="s">
        <v>33</v>
      </c>
      <c r="K430" s="3">
        <f t="shared" si="39"/>
        <v>84</v>
      </c>
      <c r="L430" s="3" t="s">
        <v>514</v>
      </c>
      <c r="M430" s="3"/>
      <c r="N430" s="3">
        <v>7</v>
      </c>
      <c r="O430" s="3"/>
    </row>
    <row r="431" spans="1:15" x14ac:dyDescent="0.15">
      <c r="A431" s="3">
        <f t="shared" si="40"/>
        <v>1411028</v>
      </c>
      <c r="B431" s="3">
        <v>14</v>
      </c>
      <c r="C431" s="3">
        <v>0</v>
      </c>
      <c r="D431" s="3">
        <v>1</v>
      </c>
      <c r="E431" s="3">
        <v>11</v>
      </c>
      <c r="F431" s="3">
        <v>28</v>
      </c>
      <c r="G431" s="12" t="s">
        <v>460</v>
      </c>
      <c r="H431" s="3">
        <v>90</v>
      </c>
      <c r="I431" s="10" t="str">
        <f>VLOOKUP(A431,战役结算奖励!$A$1:$O$491,15,0)</f>
        <v>[{"id":14,"num":55},{"id":2,"num":2300000},{"id":1,"num":2300000}]</v>
      </c>
      <c r="J431" s="3" t="s">
        <v>33</v>
      </c>
      <c r="K431" s="3">
        <f t="shared" si="39"/>
        <v>84</v>
      </c>
      <c r="L431" s="3" t="s">
        <v>514</v>
      </c>
      <c r="M431" s="3"/>
      <c r="N431" s="3">
        <v>7</v>
      </c>
      <c r="O431" s="3"/>
    </row>
    <row r="432" spans="1:15" x14ac:dyDescent="0.15">
      <c r="A432" s="3">
        <f t="shared" si="40"/>
        <v>1411029</v>
      </c>
      <c r="B432" s="3">
        <v>14</v>
      </c>
      <c r="C432" s="3">
        <v>0</v>
      </c>
      <c r="D432" s="3">
        <v>1</v>
      </c>
      <c r="E432" s="3">
        <v>11</v>
      </c>
      <c r="F432" s="3">
        <v>29</v>
      </c>
      <c r="G432" s="12" t="s">
        <v>461</v>
      </c>
      <c r="H432" s="3">
        <v>90</v>
      </c>
      <c r="I432" s="10" t="str">
        <f>VLOOKUP(A432,战役结算奖励!$A$1:$O$491,15,0)</f>
        <v>[{"id":14,"num":55},{"id":2,"num":2300000},{"id":1,"num":2300000}]</v>
      </c>
      <c r="J432" s="3" t="s">
        <v>33</v>
      </c>
      <c r="K432" s="3">
        <f t="shared" si="39"/>
        <v>84</v>
      </c>
      <c r="L432" s="3" t="s">
        <v>514</v>
      </c>
      <c r="M432" s="3"/>
      <c r="N432" s="3">
        <v>7</v>
      </c>
      <c r="O432" s="3"/>
    </row>
    <row r="433" spans="1:15" s="4" customFormat="1" x14ac:dyDescent="0.15">
      <c r="A433" s="10">
        <f t="shared" si="40"/>
        <v>1411030</v>
      </c>
      <c r="B433" s="10">
        <v>14</v>
      </c>
      <c r="C433" s="10">
        <v>0</v>
      </c>
      <c r="D433" s="10">
        <v>1</v>
      </c>
      <c r="E433" s="10">
        <v>11</v>
      </c>
      <c r="F433" s="10">
        <v>30</v>
      </c>
      <c r="G433" s="12" t="s">
        <v>462</v>
      </c>
      <c r="H433" s="10">
        <v>90</v>
      </c>
      <c r="I433" s="10" t="str">
        <f>VLOOKUP(A433,战役结算奖励!$A$1:$O$491,15,0)</f>
        <v>[{"id":14,"num":55},{"id":2,"num":2300000},{"id":1,"num":2300000}]</v>
      </c>
      <c r="J433" s="10" t="s">
        <v>33</v>
      </c>
      <c r="K433" s="3">
        <f t="shared" si="39"/>
        <v>84</v>
      </c>
      <c r="L433" s="3" t="s">
        <v>514</v>
      </c>
      <c r="M433" s="10"/>
      <c r="N433" s="3">
        <v>7</v>
      </c>
      <c r="O433" s="10"/>
    </row>
    <row r="434" spans="1:15" x14ac:dyDescent="0.15">
      <c r="A434" s="3">
        <f t="shared" si="40"/>
        <v>1411031</v>
      </c>
      <c r="B434" s="3">
        <v>14</v>
      </c>
      <c r="C434" s="3">
        <v>0</v>
      </c>
      <c r="D434" s="3">
        <v>1</v>
      </c>
      <c r="E434" s="3">
        <v>11</v>
      </c>
      <c r="F434" s="3">
        <v>31</v>
      </c>
      <c r="G434" s="12" t="s">
        <v>463</v>
      </c>
      <c r="H434" s="3">
        <v>90</v>
      </c>
      <c r="I434" s="10" t="str">
        <f>VLOOKUP(A434,战役结算奖励!$A$1:$O$491,15,0)</f>
        <v>[{"id":14,"num":55},{"id":2,"num":2300000},{"id":1,"num":2300000}]</v>
      </c>
      <c r="J434" s="3" t="s">
        <v>33</v>
      </c>
      <c r="K434" s="3">
        <f t="shared" si="39"/>
        <v>85</v>
      </c>
      <c r="L434" s="3" t="s">
        <v>514</v>
      </c>
      <c r="M434" s="3"/>
      <c r="N434" s="3">
        <v>7</v>
      </c>
      <c r="O434" s="3"/>
    </row>
    <row r="435" spans="1:15" x14ac:dyDescent="0.15">
      <c r="A435" s="3">
        <f t="shared" si="40"/>
        <v>1411032</v>
      </c>
      <c r="B435" s="3">
        <v>14</v>
      </c>
      <c r="C435" s="3">
        <v>0</v>
      </c>
      <c r="D435" s="3">
        <v>1</v>
      </c>
      <c r="E435" s="3">
        <v>11</v>
      </c>
      <c r="F435" s="3">
        <v>32</v>
      </c>
      <c r="G435" s="12" t="s">
        <v>464</v>
      </c>
      <c r="H435" s="3">
        <v>90</v>
      </c>
      <c r="I435" s="10" t="str">
        <f>VLOOKUP(A435,战役结算奖励!$A$1:$O$491,15,0)</f>
        <v>[{"id":14,"num":55},{"id":2,"num":2300000},{"id":1,"num":2300000}]</v>
      </c>
      <c r="J435" s="3" t="s">
        <v>33</v>
      </c>
      <c r="K435" s="3">
        <f t="shared" si="39"/>
        <v>85</v>
      </c>
      <c r="L435" s="3" t="s">
        <v>514</v>
      </c>
      <c r="M435" s="3"/>
      <c r="N435" s="3">
        <v>7</v>
      </c>
      <c r="O435" s="3"/>
    </row>
    <row r="436" spans="1:15" x14ac:dyDescent="0.15">
      <c r="A436" s="3">
        <f t="shared" si="40"/>
        <v>1411033</v>
      </c>
      <c r="B436" s="3">
        <v>14</v>
      </c>
      <c r="C436" s="3">
        <v>0</v>
      </c>
      <c r="D436" s="3">
        <v>1</v>
      </c>
      <c r="E436" s="3">
        <v>11</v>
      </c>
      <c r="F436" s="3">
        <v>33</v>
      </c>
      <c r="G436" s="12" t="s">
        <v>465</v>
      </c>
      <c r="H436" s="3">
        <v>90</v>
      </c>
      <c r="I436" s="10" t="str">
        <f>VLOOKUP(A436,战役结算奖励!$A$1:$O$491,15,0)</f>
        <v>[{"id":14,"num":55},{"id":2,"num":2300000},{"id":1,"num":2300000}]</v>
      </c>
      <c r="J436" s="3" t="s">
        <v>33</v>
      </c>
      <c r="K436" s="3">
        <f t="shared" si="39"/>
        <v>85</v>
      </c>
      <c r="L436" s="3" t="s">
        <v>514</v>
      </c>
      <c r="M436" s="3"/>
      <c r="N436" s="3">
        <v>7</v>
      </c>
      <c r="O436" s="3"/>
    </row>
    <row r="437" spans="1:15" x14ac:dyDescent="0.15">
      <c r="A437" s="3">
        <f t="shared" si="40"/>
        <v>1411034</v>
      </c>
      <c r="B437" s="3">
        <v>14</v>
      </c>
      <c r="C437" s="3">
        <v>0</v>
      </c>
      <c r="D437" s="3">
        <v>1</v>
      </c>
      <c r="E437" s="3">
        <v>11</v>
      </c>
      <c r="F437" s="3">
        <v>34</v>
      </c>
      <c r="G437" s="12" t="s">
        <v>466</v>
      </c>
      <c r="H437" s="3">
        <v>90</v>
      </c>
      <c r="I437" s="10" t="str">
        <f>VLOOKUP(A437,战役结算奖励!$A$1:$O$491,15,0)</f>
        <v>[{"id":14,"num":55},{"id":2,"num":2300000},{"id":1,"num":2300000}]</v>
      </c>
      <c r="J437" s="3" t="s">
        <v>33</v>
      </c>
      <c r="K437" s="3">
        <f t="shared" si="39"/>
        <v>85</v>
      </c>
      <c r="L437" s="3" t="s">
        <v>514</v>
      </c>
      <c r="M437" s="3"/>
      <c r="N437" s="3">
        <v>7</v>
      </c>
      <c r="O437" s="3"/>
    </row>
    <row r="438" spans="1:15" s="4" customFormat="1" x14ac:dyDescent="0.15">
      <c r="A438" s="10">
        <f t="shared" si="40"/>
        <v>1411035</v>
      </c>
      <c r="B438" s="10">
        <v>14</v>
      </c>
      <c r="C438" s="10">
        <v>0</v>
      </c>
      <c r="D438" s="10">
        <v>1</v>
      </c>
      <c r="E438" s="10">
        <v>11</v>
      </c>
      <c r="F438" s="10">
        <v>35</v>
      </c>
      <c r="G438" s="12" t="s">
        <v>467</v>
      </c>
      <c r="H438" s="10">
        <v>90</v>
      </c>
      <c r="I438" s="10" t="str">
        <f>VLOOKUP(A438,战役结算奖励!$A$1:$O$491,15,0)</f>
        <v>[{"id":14,"num":55},{"id":2,"num":2300000},{"id":1,"num":2300000}]</v>
      </c>
      <c r="J438" s="10" t="s">
        <v>33</v>
      </c>
      <c r="K438" s="3">
        <f t="shared" si="39"/>
        <v>85</v>
      </c>
      <c r="L438" s="3" t="s">
        <v>514</v>
      </c>
      <c r="M438" s="10"/>
      <c r="N438" s="3">
        <v>7</v>
      </c>
      <c r="O438" s="10"/>
    </row>
    <row r="439" spans="1:15" x14ac:dyDescent="0.15">
      <c r="A439" s="3">
        <f t="shared" si="40"/>
        <v>1411036</v>
      </c>
      <c r="B439" s="3">
        <v>14</v>
      </c>
      <c r="C439" s="3">
        <v>0</v>
      </c>
      <c r="D439" s="3">
        <v>1</v>
      </c>
      <c r="E439" s="3">
        <v>11</v>
      </c>
      <c r="F439" s="3">
        <v>36</v>
      </c>
      <c r="G439" s="12" t="s">
        <v>468</v>
      </c>
      <c r="H439" s="3">
        <v>90</v>
      </c>
      <c r="I439" s="10" t="str">
        <f>VLOOKUP(A439,战役结算奖励!$A$1:$O$491,15,0)</f>
        <v>[{"id":14,"num":55},{"id":2,"num":2300000},{"id":1,"num":2300000}]</v>
      </c>
      <c r="J439" s="3" t="s">
        <v>33</v>
      </c>
      <c r="K439" s="3">
        <f t="shared" si="39"/>
        <v>86</v>
      </c>
      <c r="L439" s="3" t="s">
        <v>514</v>
      </c>
      <c r="M439" s="3"/>
      <c r="N439" s="3">
        <v>7</v>
      </c>
      <c r="O439" s="3"/>
    </row>
    <row r="440" spans="1:15" x14ac:dyDescent="0.15">
      <c r="A440" s="3">
        <f t="shared" si="40"/>
        <v>1411037</v>
      </c>
      <c r="B440" s="3">
        <v>14</v>
      </c>
      <c r="C440" s="3">
        <v>0</v>
      </c>
      <c r="D440" s="3">
        <v>1</v>
      </c>
      <c r="E440" s="3">
        <v>11</v>
      </c>
      <c r="F440" s="3">
        <v>37</v>
      </c>
      <c r="G440" s="12" t="s">
        <v>469</v>
      </c>
      <c r="H440" s="3">
        <v>90</v>
      </c>
      <c r="I440" s="10" t="str">
        <f>VLOOKUP(A440,战役结算奖励!$A$1:$O$491,15,0)</f>
        <v>[{"id":14,"num":55},{"id":2,"num":2300000},{"id":1,"num":2300000}]</v>
      </c>
      <c r="J440" s="3" t="s">
        <v>33</v>
      </c>
      <c r="K440" s="3">
        <f t="shared" si="39"/>
        <v>86</v>
      </c>
      <c r="L440" s="3" t="s">
        <v>514</v>
      </c>
      <c r="M440" s="3"/>
      <c r="N440" s="3">
        <v>7</v>
      </c>
      <c r="O440" s="3"/>
    </row>
    <row r="441" spans="1:15" x14ac:dyDescent="0.15">
      <c r="A441" s="3">
        <f t="shared" si="40"/>
        <v>1411038</v>
      </c>
      <c r="B441" s="3">
        <v>14</v>
      </c>
      <c r="C441" s="3">
        <v>0</v>
      </c>
      <c r="D441" s="3">
        <v>1</v>
      </c>
      <c r="E441" s="3">
        <v>11</v>
      </c>
      <c r="F441" s="3">
        <v>38</v>
      </c>
      <c r="G441" s="12" t="s">
        <v>470</v>
      </c>
      <c r="H441" s="3">
        <v>90</v>
      </c>
      <c r="I441" s="10" t="str">
        <f>VLOOKUP(A441,战役结算奖励!$A$1:$O$491,15,0)</f>
        <v>[{"id":14,"num":55},{"id":2,"num":2300000},{"id":1,"num":2300000}]</v>
      </c>
      <c r="J441" s="3" t="s">
        <v>33</v>
      </c>
      <c r="K441" s="3">
        <f t="shared" ref="K441:K463" si="41">K436+1</f>
        <v>86</v>
      </c>
      <c r="L441" s="3" t="s">
        <v>514</v>
      </c>
      <c r="M441" s="3"/>
      <c r="N441" s="3">
        <v>7</v>
      </c>
      <c r="O441" s="3"/>
    </row>
    <row r="442" spans="1:15" x14ac:dyDescent="0.15">
      <c r="A442" s="3">
        <f t="shared" si="40"/>
        <v>1411039</v>
      </c>
      <c r="B442" s="3">
        <v>14</v>
      </c>
      <c r="C442" s="3">
        <v>0</v>
      </c>
      <c r="D442" s="3">
        <v>1</v>
      </c>
      <c r="E442" s="3">
        <v>11</v>
      </c>
      <c r="F442" s="3">
        <v>39</v>
      </c>
      <c r="G442" s="12" t="s">
        <v>471</v>
      </c>
      <c r="H442" s="3">
        <v>90</v>
      </c>
      <c r="I442" s="10" t="str">
        <f>VLOOKUP(A442,战役结算奖励!$A$1:$O$491,15,0)</f>
        <v>[{"id":14,"num":55},{"id":2,"num":2300000},{"id":1,"num":2300000}]</v>
      </c>
      <c r="J442" s="3" t="s">
        <v>33</v>
      </c>
      <c r="K442" s="3">
        <f t="shared" si="41"/>
        <v>86</v>
      </c>
      <c r="L442" s="3" t="s">
        <v>514</v>
      </c>
      <c r="M442" s="3"/>
      <c r="N442" s="3">
        <v>7</v>
      </c>
      <c r="O442" s="3"/>
    </row>
    <row r="443" spans="1:15" s="4" customFormat="1" x14ac:dyDescent="0.15">
      <c r="A443" s="10">
        <f t="shared" si="40"/>
        <v>1411040</v>
      </c>
      <c r="B443" s="10">
        <v>14</v>
      </c>
      <c r="C443" s="10">
        <v>0</v>
      </c>
      <c r="D443" s="10">
        <v>1</v>
      </c>
      <c r="E443" s="10">
        <v>11</v>
      </c>
      <c r="F443" s="10">
        <v>40</v>
      </c>
      <c r="G443" s="12" t="s">
        <v>472</v>
      </c>
      <c r="H443" s="10">
        <v>90</v>
      </c>
      <c r="I443" s="10" t="str">
        <f>VLOOKUP(A443,战役结算奖励!$A$1:$O$491,15,0)</f>
        <v>[{"id":14,"num":55},{"id":2,"num":2300000},{"id":1,"num":2300000}]</v>
      </c>
      <c r="J443" s="10" t="s">
        <v>33</v>
      </c>
      <c r="K443" s="3">
        <f t="shared" si="41"/>
        <v>86</v>
      </c>
      <c r="L443" s="3" t="s">
        <v>1225</v>
      </c>
      <c r="M443" s="10"/>
      <c r="N443" s="3">
        <v>7</v>
      </c>
      <c r="O443" s="10">
        <v>1</v>
      </c>
    </row>
    <row r="444" spans="1:15" x14ac:dyDescent="0.15">
      <c r="A444" s="3">
        <f t="shared" si="40"/>
        <v>1412001</v>
      </c>
      <c r="B444" s="3">
        <v>14</v>
      </c>
      <c r="C444" s="3">
        <v>0</v>
      </c>
      <c r="D444" s="3">
        <v>1</v>
      </c>
      <c r="E444" s="3">
        <v>12</v>
      </c>
      <c r="F444" s="3">
        <v>1</v>
      </c>
      <c r="G444" s="12" t="s">
        <v>473</v>
      </c>
      <c r="H444" s="3">
        <v>90</v>
      </c>
      <c r="I444" s="10" t="str">
        <f>VLOOKUP(A444,战役结算奖励!$A$1:$O$491,15,0)</f>
        <v>[{"id":14,"num":60},{"id":2,"num":2500000},{"id":1,"num":2500000}]</v>
      </c>
      <c r="J444" s="3" t="s">
        <v>33</v>
      </c>
      <c r="K444" s="3">
        <f t="shared" si="41"/>
        <v>87</v>
      </c>
      <c r="L444" s="3" t="s">
        <v>514</v>
      </c>
      <c r="M444" s="3"/>
      <c r="N444" s="3">
        <v>7</v>
      </c>
      <c r="O444" s="3"/>
    </row>
    <row r="445" spans="1:15" x14ac:dyDescent="0.15">
      <c r="A445" s="3">
        <f t="shared" si="40"/>
        <v>1412002</v>
      </c>
      <c r="B445" s="3">
        <v>14</v>
      </c>
      <c r="C445" s="3">
        <v>0</v>
      </c>
      <c r="D445" s="3">
        <v>1</v>
      </c>
      <c r="E445" s="3">
        <v>12</v>
      </c>
      <c r="F445" s="3">
        <v>2</v>
      </c>
      <c r="G445" s="12" t="s">
        <v>474</v>
      </c>
      <c r="H445" s="3">
        <v>90</v>
      </c>
      <c r="I445" s="10" t="str">
        <f>VLOOKUP(A445,战役结算奖励!$A$1:$O$491,15,0)</f>
        <v>[{"id":14,"num":60},{"id":2,"num":2500000},{"id":1,"num":2500000}]</v>
      </c>
      <c r="J445" s="3" t="s">
        <v>33</v>
      </c>
      <c r="K445" s="3">
        <f t="shared" si="41"/>
        <v>87</v>
      </c>
      <c r="L445" s="3" t="s">
        <v>514</v>
      </c>
      <c r="M445" s="3"/>
      <c r="N445" s="3">
        <v>7</v>
      </c>
      <c r="O445" s="3"/>
    </row>
    <row r="446" spans="1:15" x14ac:dyDescent="0.15">
      <c r="A446" s="3">
        <f t="shared" si="40"/>
        <v>1412003</v>
      </c>
      <c r="B446" s="3">
        <v>14</v>
      </c>
      <c r="C446" s="3">
        <v>0</v>
      </c>
      <c r="D446" s="3">
        <v>1</v>
      </c>
      <c r="E446" s="3">
        <v>12</v>
      </c>
      <c r="F446" s="3">
        <v>3</v>
      </c>
      <c r="G446" s="12" t="s">
        <v>475</v>
      </c>
      <c r="H446" s="3">
        <v>90</v>
      </c>
      <c r="I446" s="10" t="str">
        <f>VLOOKUP(A446,战役结算奖励!$A$1:$O$491,15,0)</f>
        <v>[{"id":14,"num":60},{"id":2,"num":2500000},{"id":1,"num":2500000}]</v>
      </c>
      <c r="J446" s="3" t="s">
        <v>33</v>
      </c>
      <c r="K446" s="3">
        <f t="shared" si="41"/>
        <v>87</v>
      </c>
      <c r="L446" s="3" t="s">
        <v>514</v>
      </c>
      <c r="M446" s="3"/>
      <c r="N446" s="3">
        <v>7</v>
      </c>
      <c r="O446" s="3"/>
    </row>
    <row r="447" spans="1:15" x14ac:dyDescent="0.15">
      <c r="A447" s="3">
        <f t="shared" si="40"/>
        <v>1412004</v>
      </c>
      <c r="B447" s="3">
        <v>14</v>
      </c>
      <c r="C447" s="3">
        <v>0</v>
      </c>
      <c r="D447" s="3">
        <v>1</v>
      </c>
      <c r="E447" s="3">
        <v>12</v>
      </c>
      <c r="F447" s="3">
        <v>4</v>
      </c>
      <c r="G447" s="12" t="s">
        <v>476</v>
      </c>
      <c r="H447" s="3">
        <v>90</v>
      </c>
      <c r="I447" s="10" t="str">
        <f>VLOOKUP(A447,战役结算奖励!$A$1:$O$491,15,0)</f>
        <v>[{"id":14,"num":60},{"id":2,"num":2500000},{"id":1,"num":2500000}]</v>
      </c>
      <c r="J447" s="3" t="s">
        <v>33</v>
      </c>
      <c r="K447" s="3">
        <f t="shared" si="41"/>
        <v>87</v>
      </c>
      <c r="L447" s="3" t="s">
        <v>514</v>
      </c>
      <c r="M447" s="3"/>
      <c r="N447" s="3">
        <v>7</v>
      </c>
      <c r="O447" s="3"/>
    </row>
    <row r="448" spans="1:15" s="4" customFormat="1" x14ac:dyDescent="0.15">
      <c r="A448" s="10">
        <f t="shared" si="40"/>
        <v>1412005</v>
      </c>
      <c r="B448" s="10">
        <v>14</v>
      </c>
      <c r="C448" s="10">
        <v>0</v>
      </c>
      <c r="D448" s="10">
        <v>1</v>
      </c>
      <c r="E448" s="10">
        <v>12</v>
      </c>
      <c r="F448" s="10">
        <v>5</v>
      </c>
      <c r="G448" s="12" t="s">
        <v>477</v>
      </c>
      <c r="H448" s="10">
        <v>90</v>
      </c>
      <c r="I448" s="10" t="str">
        <f>VLOOKUP(A448,战役结算奖励!$A$1:$O$491,15,0)</f>
        <v>[{"id":14,"num":60},{"id":2,"num":2500000},{"id":1,"num":2500000}]</v>
      </c>
      <c r="J448" s="10" t="s">
        <v>33</v>
      </c>
      <c r="K448" s="3">
        <f t="shared" si="41"/>
        <v>87</v>
      </c>
      <c r="L448" s="3" t="s">
        <v>514</v>
      </c>
      <c r="M448" s="10"/>
      <c r="N448" s="3">
        <v>7</v>
      </c>
      <c r="O448" s="10"/>
    </row>
    <row r="449" spans="1:15" x14ac:dyDescent="0.15">
      <c r="A449" s="3">
        <f t="shared" si="40"/>
        <v>1412006</v>
      </c>
      <c r="B449" s="3">
        <v>14</v>
      </c>
      <c r="C449" s="3">
        <v>0</v>
      </c>
      <c r="D449" s="3">
        <v>1</v>
      </c>
      <c r="E449" s="3">
        <v>12</v>
      </c>
      <c r="F449" s="3">
        <v>6</v>
      </c>
      <c r="G449" s="12" t="s">
        <v>478</v>
      </c>
      <c r="H449" s="3">
        <v>90</v>
      </c>
      <c r="I449" s="10" t="str">
        <f>VLOOKUP(A449,战役结算奖励!$A$1:$O$491,15,0)</f>
        <v>[{"id":14,"num":60},{"id":2,"num":2500000},{"id":1,"num":2500000}]</v>
      </c>
      <c r="J449" s="3" t="s">
        <v>33</v>
      </c>
      <c r="K449" s="3">
        <f t="shared" si="41"/>
        <v>88</v>
      </c>
      <c r="L449" s="3" t="s">
        <v>514</v>
      </c>
      <c r="M449" s="3"/>
      <c r="N449" s="3">
        <v>7</v>
      </c>
      <c r="O449" s="3"/>
    </row>
    <row r="450" spans="1:15" x14ac:dyDescent="0.15">
      <c r="A450" s="3">
        <f t="shared" si="40"/>
        <v>1412007</v>
      </c>
      <c r="B450" s="3">
        <v>14</v>
      </c>
      <c r="C450" s="3">
        <v>0</v>
      </c>
      <c r="D450" s="3">
        <v>1</v>
      </c>
      <c r="E450" s="3">
        <v>12</v>
      </c>
      <c r="F450" s="3">
        <v>7</v>
      </c>
      <c r="G450" s="12" t="s">
        <v>479</v>
      </c>
      <c r="H450" s="3">
        <v>90</v>
      </c>
      <c r="I450" s="10" t="str">
        <f>VLOOKUP(A450,战役结算奖励!$A$1:$O$491,15,0)</f>
        <v>[{"id":14,"num":60},{"id":2,"num":2500000},{"id":1,"num":2500000}]</v>
      </c>
      <c r="J450" s="3" t="s">
        <v>33</v>
      </c>
      <c r="K450" s="3">
        <f t="shared" si="41"/>
        <v>88</v>
      </c>
      <c r="L450" s="3" t="s">
        <v>514</v>
      </c>
      <c r="M450" s="3"/>
      <c r="N450" s="3">
        <v>7</v>
      </c>
      <c r="O450" s="3"/>
    </row>
    <row r="451" spans="1:15" x14ac:dyDescent="0.15">
      <c r="A451" s="3">
        <f t="shared" si="40"/>
        <v>1412008</v>
      </c>
      <c r="B451" s="3">
        <v>14</v>
      </c>
      <c r="C451" s="3">
        <v>0</v>
      </c>
      <c r="D451" s="3">
        <v>1</v>
      </c>
      <c r="E451" s="3">
        <v>12</v>
      </c>
      <c r="F451" s="3">
        <v>8</v>
      </c>
      <c r="G451" s="12" t="s">
        <v>480</v>
      </c>
      <c r="H451" s="3">
        <v>90</v>
      </c>
      <c r="I451" s="10" t="str">
        <f>VLOOKUP(A451,战役结算奖励!$A$1:$O$491,15,0)</f>
        <v>[{"id":14,"num":60},{"id":2,"num":2500000},{"id":1,"num":2500000}]</v>
      </c>
      <c r="J451" s="3" t="s">
        <v>33</v>
      </c>
      <c r="K451" s="3">
        <f t="shared" si="41"/>
        <v>88</v>
      </c>
      <c r="L451" s="3" t="s">
        <v>514</v>
      </c>
      <c r="M451" s="3"/>
      <c r="N451" s="3">
        <v>7</v>
      </c>
      <c r="O451" s="3"/>
    </row>
    <row r="452" spans="1:15" x14ac:dyDescent="0.15">
      <c r="A452" s="3">
        <f t="shared" ref="A452:A483" si="42">B452*100000+E452*1000+F452</f>
        <v>1412009</v>
      </c>
      <c r="B452" s="3">
        <v>14</v>
      </c>
      <c r="C452" s="3">
        <v>0</v>
      </c>
      <c r="D452" s="3">
        <v>1</v>
      </c>
      <c r="E452" s="3">
        <v>12</v>
      </c>
      <c r="F452" s="3">
        <v>9</v>
      </c>
      <c r="G452" s="12" t="s">
        <v>481</v>
      </c>
      <c r="H452" s="3">
        <v>90</v>
      </c>
      <c r="I452" s="10" t="str">
        <f>VLOOKUP(A452,战役结算奖励!$A$1:$O$491,15,0)</f>
        <v>[{"id":14,"num":60},{"id":2,"num":2500000},{"id":1,"num":2500000}]</v>
      </c>
      <c r="J452" s="3" t="s">
        <v>33</v>
      </c>
      <c r="K452" s="3">
        <f t="shared" si="41"/>
        <v>88</v>
      </c>
      <c r="L452" s="3" t="s">
        <v>514</v>
      </c>
      <c r="M452" s="3"/>
      <c r="N452" s="3">
        <v>7</v>
      </c>
      <c r="O452" s="3"/>
    </row>
    <row r="453" spans="1:15" s="4" customFormat="1" x14ac:dyDescent="0.15">
      <c r="A453" s="10">
        <f t="shared" si="42"/>
        <v>1412010</v>
      </c>
      <c r="B453" s="10">
        <v>14</v>
      </c>
      <c r="C453" s="10">
        <v>0</v>
      </c>
      <c r="D453" s="10">
        <v>1</v>
      </c>
      <c r="E453" s="10">
        <v>12</v>
      </c>
      <c r="F453" s="10">
        <v>10</v>
      </c>
      <c r="G453" s="12" t="s">
        <v>482</v>
      </c>
      <c r="H453" s="10">
        <v>90</v>
      </c>
      <c r="I453" s="10" t="str">
        <f>VLOOKUP(A453,战役结算奖励!$A$1:$O$491,15,0)</f>
        <v>[{"id":14,"num":60},{"id":2,"num":2500000},{"id":1,"num":2500000}]</v>
      </c>
      <c r="J453" s="10" t="s">
        <v>33</v>
      </c>
      <c r="K453" s="3">
        <f t="shared" si="41"/>
        <v>88</v>
      </c>
      <c r="L453" s="3" t="s">
        <v>514</v>
      </c>
      <c r="M453" s="10"/>
      <c r="N453" s="3">
        <v>7</v>
      </c>
      <c r="O453" s="10"/>
    </row>
    <row r="454" spans="1:15" x14ac:dyDescent="0.15">
      <c r="A454" s="3">
        <f t="shared" si="42"/>
        <v>1412011</v>
      </c>
      <c r="B454" s="3">
        <v>14</v>
      </c>
      <c r="C454" s="3">
        <v>0</v>
      </c>
      <c r="D454" s="3">
        <v>1</v>
      </c>
      <c r="E454" s="3">
        <v>12</v>
      </c>
      <c r="F454" s="3">
        <v>11</v>
      </c>
      <c r="G454" s="12" t="s">
        <v>483</v>
      </c>
      <c r="H454" s="3">
        <v>90</v>
      </c>
      <c r="I454" s="10" t="str">
        <f>VLOOKUP(A454,战役结算奖励!$A$1:$O$491,15,0)</f>
        <v>[{"id":14,"num":60},{"id":2,"num":2500000},{"id":1,"num":2500000}]</v>
      </c>
      <c r="J454" s="3" t="s">
        <v>33</v>
      </c>
      <c r="K454" s="3">
        <f t="shared" si="41"/>
        <v>89</v>
      </c>
      <c r="L454" s="3" t="s">
        <v>514</v>
      </c>
      <c r="M454" s="3"/>
      <c r="N454" s="3">
        <v>7</v>
      </c>
      <c r="O454" s="3"/>
    </row>
    <row r="455" spans="1:15" x14ac:dyDescent="0.15">
      <c r="A455" s="3">
        <f t="shared" si="42"/>
        <v>1412012</v>
      </c>
      <c r="B455" s="3">
        <v>14</v>
      </c>
      <c r="C455" s="3">
        <v>0</v>
      </c>
      <c r="D455" s="3">
        <v>1</v>
      </c>
      <c r="E455" s="3">
        <v>12</v>
      </c>
      <c r="F455" s="3">
        <v>12</v>
      </c>
      <c r="G455" s="12" t="s">
        <v>484</v>
      </c>
      <c r="H455" s="3">
        <v>90</v>
      </c>
      <c r="I455" s="10" t="str">
        <f>VLOOKUP(A455,战役结算奖励!$A$1:$O$491,15,0)</f>
        <v>[{"id":14,"num":60},{"id":2,"num":2500000},{"id":1,"num":2500000}]</v>
      </c>
      <c r="J455" s="3" t="s">
        <v>33</v>
      </c>
      <c r="K455" s="3">
        <f t="shared" si="41"/>
        <v>89</v>
      </c>
      <c r="L455" s="3" t="s">
        <v>514</v>
      </c>
      <c r="M455" s="3"/>
      <c r="N455" s="3">
        <v>7</v>
      </c>
      <c r="O455" s="3"/>
    </row>
    <row r="456" spans="1:15" x14ac:dyDescent="0.15">
      <c r="A456" s="3">
        <f t="shared" si="42"/>
        <v>1412013</v>
      </c>
      <c r="B456" s="3">
        <v>14</v>
      </c>
      <c r="C456" s="3">
        <v>0</v>
      </c>
      <c r="D456" s="3">
        <v>1</v>
      </c>
      <c r="E456" s="3">
        <v>12</v>
      </c>
      <c r="F456" s="3">
        <v>13</v>
      </c>
      <c r="G456" s="12" t="s">
        <v>485</v>
      </c>
      <c r="H456" s="3">
        <v>90</v>
      </c>
      <c r="I456" s="10" t="str">
        <f>VLOOKUP(A456,战役结算奖励!$A$1:$O$491,15,0)</f>
        <v>[{"id":14,"num":60},{"id":2,"num":2500000},{"id":1,"num":2500000}]</v>
      </c>
      <c r="J456" s="3" t="s">
        <v>33</v>
      </c>
      <c r="K456" s="3">
        <f t="shared" si="41"/>
        <v>89</v>
      </c>
      <c r="L456" s="3" t="s">
        <v>514</v>
      </c>
      <c r="M456" s="3"/>
      <c r="N456" s="3">
        <v>7</v>
      </c>
      <c r="O456" s="3"/>
    </row>
    <row r="457" spans="1:15" x14ac:dyDescent="0.15">
      <c r="A457" s="3">
        <f t="shared" si="42"/>
        <v>1412014</v>
      </c>
      <c r="B457" s="3">
        <v>14</v>
      </c>
      <c r="C457" s="3">
        <v>0</v>
      </c>
      <c r="D457" s="3">
        <v>1</v>
      </c>
      <c r="E457" s="3">
        <v>12</v>
      </c>
      <c r="F457" s="3">
        <v>14</v>
      </c>
      <c r="G457" s="12" t="s">
        <v>486</v>
      </c>
      <c r="H457" s="3">
        <v>90</v>
      </c>
      <c r="I457" s="10" t="str">
        <f>VLOOKUP(A457,战役结算奖励!$A$1:$O$491,15,0)</f>
        <v>[{"id":14,"num":60},{"id":2,"num":2500000},{"id":1,"num":2500000}]</v>
      </c>
      <c r="J457" s="3" t="s">
        <v>33</v>
      </c>
      <c r="K457" s="3">
        <f t="shared" si="41"/>
        <v>89</v>
      </c>
      <c r="L457" s="3" t="s">
        <v>514</v>
      </c>
      <c r="M457" s="3"/>
      <c r="N457" s="3">
        <v>7</v>
      </c>
      <c r="O457" s="3"/>
    </row>
    <row r="458" spans="1:15" s="4" customFormat="1" x14ac:dyDescent="0.15">
      <c r="A458" s="10">
        <f t="shared" si="42"/>
        <v>1412015</v>
      </c>
      <c r="B458" s="10">
        <v>14</v>
      </c>
      <c r="C458" s="10">
        <v>0</v>
      </c>
      <c r="D458" s="10">
        <v>1</v>
      </c>
      <c r="E458" s="10">
        <v>12</v>
      </c>
      <c r="F458" s="10">
        <v>15</v>
      </c>
      <c r="G458" s="12" t="s">
        <v>487</v>
      </c>
      <c r="H458" s="10">
        <v>90</v>
      </c>
      <c r="I458" s="10" t="str">
        <f>VLOOKUP(A458,战役结算奖励!$A$1:$O$491,15,0)</f>
        <v>[{"id":14,"num":60},{"id":2,"num":2500000},{"id":1,"num":2500000}]</v>
      </c>
      <c r="J458" s="10" t="s">
        <v>33</v>
      </c>
      <c r="K458" s="3">
        <f t="shared" si="41"/>
        <v>89</v>
      </c>
      <c r="L458" s="3" t="s">
        <v>514</v>
      </c>
      <c r="M458" s="10"/>
      <c r="N458" s="3">
        <v>7</v>
      </c>
      <c r="O458" s="10"/>
    </row>
    <row r="459" spans="1:15" x14ac:dyDescent="0.15">
      <c r="A459" s="3">
        <f t="shared" si="42"/>
        <v>1412016</v>
      </c>
      <c r="B459" s="3">
        <v>14</v>
      </c>
      <c r="C459" s="3">
        <v>0</v>
      </c>
      <c r="D459" s="3">
        <v>1</v>
      </c>
      <c r="E459" s="3">
        <v>12</v>
      </c>
      <c r="F459" s="3">
        <v>16</v>
      </c>
      <c r="G459" s="12" t="s">
        <v>488</v>
      </c>
      <c r="H459" s="3">
        <v>90</v>
      </c>
      <c r="I459" s="10" t="str">
        <f>VLOOKUP(A459,战役结算奖励!$A$1:$O$491,15,0)</f>
        <v>[{"id":14,"num":60},{"id":2,"num":2500000},{"id":1,"num":2500000}]</v>
      </c>
      <c r="J459" s="3" t="s">
        <v>33</v>
      </c>
      <c r="K459" s="3">
        <f t="shared" si="41"/>
        <v>90</v>
      </c>
      <c r="L459" s="3" t="s">
        <v>514</v>
      </c>
      <c r="M459" s="3"/>
      <c r="N459" s="3">
        <v>7</v>
      </c>
      <c r="O459" s="3"/>
    </row>
    <row r="460" spans="1:15" x14ac:dyDescent="0.15">
      <c r="A460" s="3">
        <f t="shared" si="42"/>
        <v>1412017</v>
      </c>
      <c r="B460" s="3">
        <v>14</v>
      </c>
      <c r="C460" s="3">
        <v>0</v>
      </c>
      <c r="D460" s="3">
        <v>1</v>
      </c>
      <c r="E460" s="3">
        <v>12</v>
      </c>
      <c r="F460" s="3">
        <v>17</v>
      </c>
      <c r="G460" s="12" t="s">
        <v>489</v>
      </c>
      <c r="H460" s="3">
        <v>90</v>
      </c>
      <c r="I460" s="10" t="str">
        <f>VLOOKUP(A460,战役结算奖励!$A$1:$O$491,15,0)</f>
        <v>[{"id":14,"num":60},{"id":2,"num":2500000},{"id":1,"num":2500000}]</v>
      </c>
      <c r="J460" s="3" t="s">
        <v>33</v>
      </c>
      <c r="K460" s="3">
        <f t="shared" si="41"/>
        <v>90</v>
      </c>
      <c r="L460" s="3" t="s">
        <v>514</v>
      </c>
      <c r="M460" s="3"/>
      <c r="N460" s="3">
        <v>7</v>
      </c>
      <c r="O460" s="3"/>
    </row>
    <row r="461" spans="1:15" x14ac:dyDescent="0.15">
      <c r="A461" s="3">
        <f t="shared" si="42"/>
        <v>1412018</v>
      </c>
      <c r="B461" s="3">
        <v>14</v>
      </c>
      <c r="C461" s="3">
        <v>0</v>
      </c>
      <c r="D461" s="3">
        <v>1</v>
      </c>
      <c r="E461" s="3">
        <v>12</v>
      </c>
      <c r="F461" s="3">
        <v>18</v>
      </c>
      <c r="G461" s="12" t="s">
        <v>490</v>
      </c>
      <c r="H461" s="3">
        <v>90</v>
      </c>
      <c r="I461" s="10" t="str">
        <f>VLOOKUP(A461,战役结算奖励!$A$1:$O$491,15,0)</f>
        <v>[{"id":14,"num":60},{"id":2,"num":2500000},{"id":1,"num":2500000}]</v>
      </c>
      <c r="J461" s="3" t="s">
        <v>33</v>
      </c>
      <c r="K461" s="3">
        <f t="shared" si="41"/>
        <v>90</v>
      </c>
      <c r="L461" s="3" t="s">
        <v>514</v>
      </c>
      <c r="M461" s="3"/>
      <c r="N461" s="3">
        <v>7</v>
      </c>
      <c r="O461" s="3"/>
    </row>
    <row r="462" spans="1:15" x14ac:dyDescent="0.15">
      <c r="A462" s="3">
        <f t="shared" si="42"/>
        <v>1412019</v>
      </c>
      <c r="B462" s="3">
        <v>14</v>
      </c>
      <c r="C462" s="3">
        <v>0</v>
      </c>
      <c r="D462" s="3">
        <v>1</v>
      </c>
      <c r="E462" s="3">
        <v>12</v>
      </c>
      <c r="F462" s="3">
        <v>19</v>
      </c>
      <c r="G462" s="12" t="s">
        <v>491</v>
      </c>
      <c r="H462" s="3">
        <v>90</v>
      </c>
      <c r="I462" s="10" t="str">
        <f>VLOOKUP(A462,战役结算奖励!$A$1:$O$491,15,0)</f>
        <v>[{"id":14,"num":60},{"id":2,"num":2500000},{"id":1,"num":2500000}]</v>
      </c>
      <c r="J462" s="3" t="s">
        <v>33</v>
      </c>
      <c r="K462" s="3">
        <f t="shared" si="41"/>
        <v>90</v>
      </c>
      <c r="L462" s="3" t="s">
        <v>514</v>
      </c>
      <c r="M462" s="3"/>
      <c r="N462" s="3">
        <v>7</v>
      </c>
      <c r="O462" s="3"/>
    </row>
    <row r="463" spans="1:15" s="4" customFormat="1" x14ac:dyDescent="0.15">
      <c r="A463" s="10">
        <f t="shared" si="42"/>
        <v>1412020</v>
      </c>
      <c r="B463" s="10">
        <v>14</v>
      </c>
      <c r="C463" s="10">
        <v>0</v>
      </c>
      <c r="D463" s="10">
        <v>1</v>
      </c>
      <c r="E463" s="10">
        <v>12</v>
      </c>
      <c r="F463" s="10">
        <v>20</v>
      </c>
      <c r="G463" s="12" t="s">
        <v>492</v>
      </c>
      <c r="H463" s="10">
        <v>90</v>
      </c>
      <c r="I463" s="10" t="str">
        <f>VLOOKUP(A463,战役结算奖励!$A$1:$O$491,15,0)</f>
        <v>[{"id":14,"num":60},{"id":2,"num":2500000},{"id":1,"num":2500000}]</v>
      </c>
      <c r="J463" s="10" t="s">
        <v>33</v>
      </c>
      <c r="K463" s="3">
        <f t="shared" si="41"/>
        <v>90</v>
      </c>
      <c r="L463" s="3" t="s">
        <v>514</v>
      </c>
      <c r="M463" s="10"/>
      <c r="N463" s="3">
        <v>7</v>
      </c>
      <c r="O463" s="10"/>
    </row>
    <row r="464" spans="1:15" x14ac:dyDescent="0.15">
      <c r="A464" s="3">
        <f t="shared" si="42"/>
        <v>1412021</v>
      </c>
      <c r="B464" s="3">
        <v>14</v>
      </c>
      <c r="C464" s="3">
        <v>0</v>
      </c>
      <c r="D464" s="3">
        <v>1</v>
      </c>
      <c r="E464" s="3">
        <v>12</v>
      </c>
      <c r="F464" s="3">
        <v>21</v>
      </c>
      <c r="G464" s="12" t="s">
        <v>493</v>
      </c>
      <c r="H464" s="3">
        <v>90</v>
      </c>
      <c r="I464" s="10" t="str">
        <f>VLOOKUP(A464,战役结算奖励!$A$1:$O$491,15,0)</f>
        <v>[{"id":14,"num":60},{"id":2,"num":2500000},{"id":1,"num":2500000}]</v>
      </c>
      <c r="J464" s="3" t="s">
        <v>33</v>
      </c>
      <c r="K464" s="3">
        <v>90</v>
      </c>
      <c r="L464" s="3" t="s">
        <v>514</v>
      </c>
      <c r="M464" s="3"/>
      <c r="N464" s="3">
        <v>7</v>
      </c>
      <c r="O464" s="3"/>
    </row>
    <row r="465" spans="1:15" x14ac:dyDescent="0.15">
      <c r="A465" s="3">
        <f t="shared" si="42"/>
        <v>1412022</v>
      </c>
      <c r="B465" s="3">
        <v>14</v>
      </c>
      <c r="C465" s="3">
        <v>0</v>
      </c>
      <c r="D465" s="3">
        <v>1</v>
      </c>
      <c r="E465" s="3">
        <v>12</v>
      </c>
      <c r="F465" s="3">
        <v>22</v>
      </c>
      <c r="G465" s="12" t="s">
        <v>494</v>
      </c>
      <c r="H465" s="3">
        <v>90</v>
      </c>
      <c r="I465" s="10" t="str">
        <f>VLOOKUP(A465,战役结算奖励!$A$1:$O$491,15,0)</f>
        <v>[{"id":14,"num":60},{"id":2,"num":2500000},{"id":1,"num":2500000}]</v>
      </c>
      <c r="J465" s="3" t="s">
        <v>33</v>
      </c>
      <c r="K465" s="3">
        <v>90</v>
      </c>
      <c r="L465" s="3" t="s">
        <v>514</v>
      </c>
      <c r="M465" s="3"/>
      <c r="N465" s="3">
        <v>7</v>
      </c>
      <c r="O465" s="3"/>
    </row>
    <row r="466" spans="1:15" x14ac:dyDescent="0.15">
      <c r="A466" s="3">
        <f t="shared" si="42"/>
        <v>1412023</v>
      </c>
      <c r="B466" s="3">
        <v>14</v>
      </c>
      <c r="C466" s="3">
        <v>0</v>
      </c>
      <c r="D466" s="3">
        <v>1</v>
      </c>
      <c r="E466" s="3">
        <v>12</v>
      </c>
      <c r="F466" s="3">
        <v>23</v>
      </c>
      <c r="G466" s="12" t="s">
        <v>495</v>
      </c>
      <c r="H466" s="3">
        <v>90</v>
      </c>
      <c r="I466" s="10" t="str">
        <f>VLOOKUP(A466,战役结算奖励!$A$1:$O$491,15,0)</f>
        <v>[{"id":14,"num":60},{"id":2,"num":2500000},{"id":1,"num":2500000}]</v>
      </c>
      <c r="J466" s="3" t="s">
        <v>33</v>
      </c>
      <c r="K466" s="3">
        <v>90</v>
      </c>
      <c r="L466" s="3" t="s">
        <v>514</v>
      </c>
      <c r="M466" s="3"/>
      <c r="N466" s="3">
        <v>7</v>
      </c>
      <c r="O466" s="3"/>
    </row>
    <row r="467" spans="1:15" x14ac:dyDescent="0.15">
      <c r="A467" s="3">
        <f t="shared" si="42"/>
        <v>1412024</v>
      </c>
      <c r="B467" s="3">
        <v>14</v>
      </c>
      <c r="C467" s="3">
        <v>0</v>
      </c>
      <c r="D467" s="3">
        <v>1</v>
      </c>
      <c r="E467" s="3">
        <v>12</v>
      </c>
      <c r="F467" s="3">
        <v>24</v>
      </c>
      <c r="G467" s="12" t="s">
        <v>496</v>
      </c>
      <c r="H467" s="3">
        <v>90</v>
      </c>
      <c r="I467" s="10" t="str">
        <f>VLOOKUP(A467,战役结算奖励!$A$1:$O$491,15,0)</f>
        <v>[{"id":14,"num":60},{"id":2,"num":2500000},{"id":1,"num":2500000}]</v>
      </c>
      <c r="J467" s="3" t="s">
        <v>33</v>
      </c>
      <c r="K467" s="3">
        <v>90</v>
      </c>
      <c r="L467" s="3" t="s">
        <v>514</v>
      </c>
      <c r="M467" s="3"/>
      <c r="N467" s="3">
        <v>7</v>
      </c>
      <c r="O467" s="3"/>
    </row>
    <row r="468" spans="1:15" s="4" customFormat="1" x14ac:dyDescent="0.15">
      <c r="A468" s="10">
        <f t="shared" si="42"/>
        <v>1412025</v>
      </c>
      <c r="B468" s="10">
        <v>14</v>
      </c>
      <c r="C468" s="10">
        <v>0</v>
      </c>
      <c r="D468" s="10">
        <v>1</v>
      </c>
      <c r="E468" s="10">
        <v>12</v>
      </c>
      <c r="F468" s="10">
        <v>25</v>
      </c>
      <c r="G468" s="12" t="s">
        <v>497</v>
      </c>
      <c r="H468" s="10">
        <v>90</v>
      </c>
      <c r="I468" s="10" t="str">
        <f>VLOOKUP(A468,战役结算奖励!$A$1:$O$491,15,0)</f>
        <v>[{"id":14,"num":60},{"id":2,"num":2500000},{"id":1,"num":2500000}]</v>
      </c>
      <c r="J468" s="10" t="s">
        <v>33</v>
      </c>
      <c r="K468" s="3">
        <v>90</v>
      </c>
      <c r="L468" s="3" t="s">
        <v>514</v>
      </c>
      <c r="M468" s="10"/>
      <c r="N468" s="3">
        <v>7</v>
      </c>
      <c r="O468" s="10"/>
    </row>
    <row r="469" spans="1:15" x14ac:dyDescent="0.15">
      <c r="A469" s="3">
        <f t="shared" si="42"/>
        <v>1412026</v>
      </c>
      <c r="B469" s="3">
        <v>14</v>
      </c>
      <c r="C469" s="3">
        <v>0</v>
      </c>
      <c r="D469" s="3">
        <v>1</v>
      </c>
      <c r="E469" s="3">
        <v>12</v>
      </c>
      <c r="F469" s="3">
        <v>26</v>
      </c>
      <c r="G469" s="12" t="s">
        <v>498</v>
      </c>
      <c r="H469" s="3">
        <v>90</v>
      </c>
      <c r="I469" s="10" t="str">
        <f>VLOOKUP(A469,战役结算奖励!$A$1:$O$491,15,0)</f>
        <v>[{"id":14,"num":60},{"id":2,"num":2500000},{"id":1,"num":2500000}]</v>
      </c>
      <c r="J469" s="3" t="s">
        <v>33</v>
      </c>
      <c r="K469" s="3">
        <v>90</v>
      </c>
      <c r="L469" s="3" t="s">
        <v>514</v>
      </c>
      <c r="M469" s="3"/>
      <c r="N469" s="3">
        <v>7</v>
      </c>
      <c r="O469" s="3"/>
    </row>
    <row r="470" spans="1:15" x14ac:dyDescent="0.15">
      <c r="A470" s="3">
        <f t="shared" si="42"/>
        <v>1412027</v>
      </c>
      <c r="B470" s="3">
        <v>14</v>
      </c>
      <c r="C470" s="3">
        <v>0</v>
      </c>
      <c r="D470" s="3">
        <v>1</v>
      </c>
      <c r="E470" s="3">
        <v>12</v>
      </c>
      <c r="F470" s="3">
        <v>27</v>
      </c>
      <c r="G470" s="12" t="s">
        <v>499</v>
      </c>
      <c r="H470" s="3">
        <v>90</v>
      </c>
      <c r="I470" s="10" t="str">
        <f>VLOOKUP(A470,战役结算奖励!$A$1:$O$491,15,0)</f>
        <v>[{"id":14,"num":60},{"id":2,"num":2500000},{"id":1,"num":2500000}]</v>
      </c>
      <c r="J470" s="3" t="s">
        <v>33</v>
      </c>
      <c r="K470" s="3">
        <v>90</v>
      </c>
      <c r="L470" s="3" t="s">
        <v>514</v>
      </c>
      <c r="M470" s="3"/>
      <c r="N470" s="3">
        <v>7</v>
      </c>
      <c r="O470" s="3"/>
    </row>
    <row r="471" spans="1:15" x14ac:dyDescent="0.15">
      <c r="A471" s="3">
        <f t="shared" si="42"/>
        <v>1412028</v>
      </c>
      <c r="B471" s="3">
        <v>14</v>
      </c>
      <c r="C471" s="3">
        <v>0</v>
      </c>
      <c r="D471" s="3">
        <v>1</v>
      </c>
      <c r="E471" s="3">
        <v>12</v>
      </c>
      <c r="F471" s="3">
        <v>28</v>
      </c>
      <c r="G471" s="12" t="s">
        <v>500</v>
      </c>
      <c r="H471" s="3">
        <v>90</v>
      </c>
      <c r="I471" s="10" t="str">
        <f>VLOOKUP(A471,战役结算奖励!$A$1:$O$491,15,0)</f>
        <v>[{"id":14,"num":60},{"id":2,"num":2500000},{"id":1,"num":2500000}]</v>
      </c>
      <c r="J471" s="3" t="s">
        <v>33</v>
      </c>
      <c r="K471" s="3">
        <v>90</v>
      </c>
      <c r="L471" s="3" t="s">
        <v>514</v>
      </c>
      <c r="M471" s="3"/>
      <c r="N471" s="3">
        <v>7</v>
      </c>
      <c r="O471" s="3"/>
    </row>
    <row r="472" spans="1:15" x14ac:dyDescent="0.15">
      <c r="A472" s="3">
        <f t="shared" si="42"/>
        <v>1412029</v>
      </c>
      <c r="B472" s="3">
        <v>14</v>
      </c>
      <c r="C472" s="3">
        <v>0</v>
      </c>
      <c r="D472" s="3">
        <v>1</v>
      </c>
      <c r="E472" s="3">
        <v>12</v>
      </c>
      <c r="F472" s="3">
        <v>29</v>
      </c>
      <c r="G472" s="12" t="s">
        <v>501</v>
      </c>
      <c r="H472" s="3">
        <v>90</v>
      </c>
      <c r="I472" s="10" t="str">
        <f>VLOOKUP(A472,战役结算奖励!$A$1:$O$491,15,0)</f>
        <v>[{"id":14,"num":60},{"id":2,"num":2500000},{"id":1,"num":2500000}]</v>
      </c>
      <c r="J472" s="3" t="s">
        <v>33</v>
      </c>
      <c r="K472" s="3">
        <v>90</v>
      </c>
      <c r="L472" s="3" t="s">
        <v>514</v>
      </c>
      <c r="M472" s="3"/>
      <c r="N472" s="3">
        <v>7</v>
      </c>
      <c r="O472" s="3"/>
    </row>
    <row r="473" spans="1:15" s="4" customFormat="1" x14ac:dyDescent="0.15">
      <c r="A473" s="10">
        <f t="shared" si="42"/>
        <v>1412030</v>
      </c>
      <c r="B473" s="10">
        <v>14</v>
      </c>
      <c r="C473" s="10">
        <v>0</v>
      </c>
      <c r="D473" s="10">
        <v>1</v>
      </c>
      <c r="E473" s="10">
        <v>12</v>
      </c>
      <c r="F473" s="10">
        <v>30</v>
      </c>
      <c r="G473" s="12" t="s">
        <v>502</v>
      </c>
      <c r="H473" s="10">
        <v>90</v>
      </c>
      <c r="I473" s="10" t="str">
        <f>VLOOKUP(A473,战役结算奖励!$A$1:$O$491,15,0)</f>
        <v>[{"id":14,"num":60},{"id":2,"num":2500000},{"id":1,"num":2500000}]</v>
      </c>
      <c r="J473" s="10" t="s">
        <v>33</v>
      </c>
      <c r="K473" s="3">
        <v>90</v>
      </c>
      <c r="L473" s="3" t="s">
        <v>514</v>
      </c>
      <c r="M473" s="10"/>
      <c r="N473" s="3">
        <v>7</v>
      </c>
      <c r="O473" s="10"/>
    </row>
    <row r="474" spans="1:15" x14ac:dyDescent="0.15">
      <c r="A474" s="3">
        <f t="shared" si="42"/>
        <v>1412031</v>
      </c>
      <c r="B474" s="3">
        <v>14</v>
      </c>
      <c r="C474" s="3">
        <v>0</v>
      </c>
      <c r="D474" s="3">
        <v>1</v>
      </c>
      <c r="E474" s="3">
        <v>12</v>
      </c>
      <c r="F474" s="3">
        <v>31</v>
      </c>
      <c r="G474" s="12" t="s">
        <v>503</v>
      </c>
      <c r="H474" s="3">
        <v>90</v>
      </c>
      <c r="I474" s="10" t="str">
        <f>VLOOKUP(A474,战役结算奖励!$A$1:$O$491,15,0)</f>
        <v>[{"id":14,"num":60},{"id":2,"num":2500000},{"id":1,"num":2500000}]</v>
      </c>
      <c r="J474" s="3" t="s">
        <v>33</v>
      </c>
      <c r="K474" s="3">
        <v>90</v>
      </c>
      <c r="L474" s="3" t="s">
        <v>514</v>
      </c>
      <c r="M474" s="3"/>
      <c r="N474" s="3">
        <v>7</v>
      </c>
      <c r="O474" s="3"/>
    </row>
    <row r="475" spans="1:15" x14ac:dyDescent="0.15">
      <c r="A475" s="3">
        <f t="shared" si="42"/>
        <v>1412032</v>
      </c>
      <c r="B475" s="3">
        <v>14</v>
      </c>
      <c r="C475" s="3">
        <v>0</v>
      </c>
      <c r="D475" s="3">
        <v>1</v>
      </c>
      <c r="E475" s="3">
        <v>12</v>
      </c>
      <c r="F475" s="3">
        <v>32</v>
      </c>
      <c r="G475" s="12" t="s">
        <v>504</v>
      </c>
      <c r="H475" s="3">
        <v>90</v>
      </c>
      <c r="I475" s="10" t="str">
        <f>VLOOKUP(A475,战役结算奖励!$A$1:$O$491,15,0)</f>
        <v>[{"id":14,"num":60},{"id":2,"num":2500000},{"id":1,"num":2500000}]</v>
      </c>
      <c r="J475" s="3" t="s">
        <v>33</v>
      </c>
      <c r="K475" s="3">
        <v>90</v>
      </c>
      <c r="L475" s="3" t="s">
        <v>514</v>
      </c>
      <c r="M475" s="3"/>
      <c r="N475" s="3">
        <v>7</v>
      </c>
      <c r="O475" s="3"/>
    </row>
    <row r="476" spans="1:15" x14ac:dyDescent="0.15">
      <c r="A476" s="3">
        <f t="shared" si="42"/>
        <v>1412033</v>
      </c>
      <c r="B476" s="3">
        <v>14</v>
      </c>
      <c r="C476" s="3">
        <v>0</v>
      </c>
      <c r="D476" s="3">
        <v>1</v>
      </c>
      <c r="E476" s="3">
        <v>12</v>
      </c>
      <c r="F476" s="3">
        <v>33</v>
      </c>
      <c r="G476" s="12" t="s">
        <v>505</v>
      </c>
      <c r="H476" s="3">
        <v>90</v>
      </c>
      <c r="I476" s="10" t="str">
        <f>VLOOKUP(A476,战役结算奖励!$A$1:$O$491,15,0)</f>
        <v>[{"id":14,"num":60},{"id":2,"num":2500000},{"id":1,"num":2500000}]</v>
      </c>
      <c r="J476" s="3" t="s">
        <v>33</v>
      </c>
      <c r="K476" s="3">
        <v>90</v>
      </c>
      <c r="L476" s="3" t="s">
        <v>514</v>
      </c>
      <c r="M476" s="3"/>
      <c r="N476" s="3">
        <v>7</v>
      </c>
      <c r="O476" s="3"/>
    </row>
    <row r="477" spans="1:15" x14ac:dyDescent="0.15">
      <c r="A477" s="3">
        <f t="shared" si="42"/>
        <v>1412034</v>
      </c>
      <c r="B477" s="3">
        <v>14</v>
      </c>
      <c r="C477" s="3">
        <v>0</v>
      </c>
      <c r="D477" s="3">
        <v>1</v>
      </c>
      <c r="E477" s="3">
        <v>12</v>
      </c>
      <c r="F477" s="3">
        <v>34</v>
      </c>
      <c r="G477" s="12" t="s">
        <v>506</v>
      </c>
      <c r="H477" s="3">
        <v>90</v>
      </c>
      <c r="I477" s="10" t="str">
        <f>VLOOKUP(A477,战役结算奖励!$A$1:$O$491,15,0)</f>
        <v>[{"id":14,"num":60},{"id":2,"num":2500000},{"id":1,"num":2500000}]</v>
      </c>
      <c r="J477" s="3" t="s">
        <v>33</v>
      </c>
      <c r="K477" s="3">
        <v>90</v>
      </c>
      <c r="L477" s="3" t="s">
        <v>514</v>
      </c>
      <c r="M477" s="3"/>
      <c r="N477" s="3">
        <v>7</v>
      </c>
      <c r="O477" s="3"/>
    </row>
    <row r="478" spans="1:15" s="4" customFormat="1" x14ac:dyDescent="0.15">
      <c r="A478" s="10">
        <f t="shared" si="42"/>
        <v>1412035</v>
      </c>
      <c r="B478" s="10">
        <v>14</v>
      </c>
      <c r="C478" s="10">
        <v>0</v>
      </c>
      <c r="D478" s="10">
        <v>1</v>
      </c>
      <c r="E478" s="10">
        <v>12</v>
      </c>
      <c r="F478" s="10">
        <v>35</v>
      </c>
      <c r="G478" s="12" t="s">
        <v>507</v>
      </c>
      <c r="H478" s="10">
        <v>90</v>
      </c>
      <c r="I478" s="10" t="str">
        <f>VLOOKUP(A478,战役结算奖励!$A$1:$O$491,15,0)</f>
        <v>[{"id":14,"num":60},{"id":2,"num":2500000},{"id":1,"num":2500000}]</v>
      </c>
      <c r="J478" s="10" t="s">
        <v>33</v>
      </c>
      <c r="K478" s="3">
        <v>90</v>
      </c>
      <c r="L478" s="3" t="s">
        <v>514</v>
      </c>
      <c r="M478" s="10"/>
      <c r="N478" s="3">
        <v>7</v>
      </c>
      <c r="O478" s="10"/>
    </row>
    <row r="479" spans="1:15" x14ac:dyDescent="0.15">
      <c r="A479" s="3">
        <f t="shared" si="42"/>
        <v>1412036</v>
      </c>
      <c r="B479" s="3">
        <v>14</v>
      </c>
      <c r="C479" s="3">
        <v>0</v>
      </c>
      <c r="D479" s="3">
        <v>1</v>
      </c>
      <c r="E479" s="3">
        <v>12</v>
      </c>
      <c r="F479" s="3">
        <v>36</v>
      </c>
      <c r="G479" s="12" t="s">
        <v>508</v>
      </c>
      <c r="H479" s="3">
        <v>90</v>
      </c>
      <c r="I479" s="10" t="str">
        <f>VLOOKUP(A479,战役结算奖励!$A$1:$O$491,15,0)</f>
        <v>[{"id":14,"num":60},{"id":2,"num":2500000},{"id":1,"num":2500000}]</v>
      </c>
      <c r="J479" s="3" t="s">
        <v>33</v>
      </c>
      <c r="K479" s="3">
        <v>90</v>
      </c>
      <c r="L479" s="3" t="s">
        <v>514</v>
      </c>
      <c r="M479" s="3"/>
      <c r="N479" s="3">
        <v>7</v>
      </c>
      <c r="O479" s="3"/>
    </row>
    <row r="480" spans="1:15" x14ac:dyDescent="0.15">
      <c r="A480" s="3">
        <f t="shared" si="42"/>
        <v>1412037</v>
      </c>
      <c r="B480" s="3">
        <v>14</v>
      </c>
      <c r="C480" s="3">
        <v>0</v>
      </c>
      <c r="D480" s="3">
        <v>1</v>
      </c>
      <c r="E480" s="3">
        <v>12</v>
      </c>
      <c r="F480" s="3">
        <v>37</v>
      </c>
      <c r="G480" s="12" t="s">
        <v>509</v>
      </c>
      <c r="H480" s="3">
        <v>90</v>
      </c>
      <c r="I480" s="10" t="str">
        <f>VLOOKUP(A480,战役结算奖励!$A$1:$O$491,15,0)</f>
        <v>[{"id":14,"num":60},{"id":2,"num":2500000},{"id":1,"num":2500000}]</v>
      </c>
      <c r="J480" s="3" t="s">
        <v>33</v>
      </c>
      <c r="K480" s="3">
        <v>90</v>
      </c>
      <c r="L480" s="3" t="s">
        <v>514</v>
      </c>
      <c r="M480" s="3"/>
      <c r="N480" s="3">
        <v>7</v>
      </c>
      <c r="O480" s="3"/>
    </row>
    <row r="481" spans="1:15" x14ac:dyDescent="0.15">
      <c r="A481" s="3">
        <f t="shared" si="42"/>
        <v>1412038</v>
      </c>
      <c r="B481" s="3">
        <v>14</v>
      </c>
      <c r="C481" s="3">
        <v>0</v>
      </c>
      <c r="D481" s="3">
        <v>1</v>
      </c>
      <c r="E481" s="3">
        <v>12</v>
      </c>
      <c r="F481" s="3">
        <v>38</v>
      </c>
      <c r="G481" s="12" t="s">
        <v>510</v>
      </c>
      <c r="H481" s="3">
        <v>90</v>
      </c>
      <c r="I481" s="10" t="str">
        <f>VLOOKUP(A481,战役结算奖励!$A$1:$O$491,15,0)</f>
        <v>[{"id":14,"num":60},{"id":2,"num":2500000},{"id":1,"num":2500000}]</v>
      </c>
      <c r="J481" s="3" t="s">
        <v>33</v>
      </c>
      <c r="K481" s="3">
        <v>90</v>
      </c>
      <c r="L481" s="3" t="s">
        <v>514</v>
      </c>
      <c r="M481" s="3"/>
      <c r="N481" s="3">
        <v>7</v>
      </c>
      <c r="O481" s="3"/>
    </row>
    <row r="482" spans="1:15" x14ac:dyDescent="0.15">
      <c r="A482" s="3">
        <f t="shared" si="42"/>
        <v>1412039</v>
      </c>
      <c r="B482" s="3">
        <v>14</v>
      </c>
      <c r="C482" s="3">
        <v>0</v>
      </c>
      <c r="D482" s="3">
        <v>1</v>
      </c>
      <c r="E482" s="3">
        <v>12</v>
      </c>
      <c r="F482" s="3">
        <v>39</v>
      </c>
      <c r="G482" s="12" t="s">
        <v>511</v>
      </c>
      <c r="H482" s="3">
        <v>90</v>
      </c>
      <c r="I482" s="10" t="str">
        <f>VLOOKUP(A482,战役结算奖励!$A$1:$O$491,15,0)</f>
        <v>[{"id":14,"num":60},{"id":2,"num":2500000},{"id":1,"num":2500000}]</v>
      </c>
      <c r="J482" s="3" t="s">
        <v>33</v>
      </c>
      <c r="K482" s="3">
        <v>90</v>
      </c>
      <c r="L482" s="3" t="s">
        <v>514</v>
      </c>
      <c r="M482" s="3"/>
      <c r="N482" s="3">
        <v>7</v>
      </c>
      <c r="O482" s="3"/>
    </row>
    <row r="483" spans="1:15" s="4" customFormat="1" x14ac:dyDescent="0.15">
      <c r="A483" s="10">
        <f t="shared" si="42"/>
        <v>1412040</v>
      </c>
      <c r="B483" s="10">
        <v>14</v>
      </c>
      <c r="C483" s="10">
        <v>0</v>
      </c>
      <c r="D483" s="10">
        <v>1</v>
      </c>
      <c r="E483" s="10">
        <v>12</v>
      </c>
      <c r="F483" s="10">
        <v>40</v>
      </c>
      <c r="G483" s="12" t="s">
        <v>512</v>
      </c>
      <c r="H483" s="10">
        <v>90</v>
      </c>
      <c r="I483" s="10" t="str">
        <f>VLOOKUP(A483,战役结算奖励!$A$1:$O$491,15,0)</f>
        <v>[{"id":14,"num":60},{"id":2,"num":2500000},{"id":1,"num":2500000}]</v>
      </c>
      <c r="J483" s="10" t="s">
        <v>33</v>
      </c>
      <c r="K483" s="3">
        <v>90</v>
      </c>
      <c r="L483" s="3" t="s">
        <v>1225</v>
      </c>
      <c r="M483" s="10"/>
      <c r="N483" s="3">
        <v>7</v>
      </c>
      <c r="O483" s="10">
        <v>1</v>
      </c>
    </row>
    <row r="484" spans="1:15" s="6" customFormat="1" x14ac:dyDescent="0.15">
      <c r="A484" s="13">
        <f t="shared" ref="A484" si="43">B484*100000+E484*1000+F484</f>
        <v>1413001</v>
      </c>
      <c r="B484" s="13">
        <v>14</v>
      </c>
      <c r="C484" s="13">
        <v>0</v>
      </c>
      <c r="D484" s="13">
        <v>1</v>
      </c>
      <c r="E484" s="13">
        <v>13</v>
      </c>
      <c r="F484" s="13">
        <v>1</v>
      </c>
      <c r="G484" s="12" t="s">
        <v>513</v>
      </c>
      <c r="H484" s="12">
        <f t="shared" ref="H484:J484" si="44">H444</f>
        <v>90</v>
      </c>
      <c r="I484" s="10" t="str">
        <f>VLOOKUP(A484,战役结算奖励!$A$1:$O$491,15,0)</f>
        <v>[{"id":14,"num":60},{"id":2,"num":2500000},{"id":1,"num":2700000}]</v>
      </c>
      <c r="J484" s="12" t="str">
        <f t="shared" si="44"/>
        <v>[14,2,1]</v>
      </c>
      <c r="K484" s="12">
        <f>IF(K444="","",K444)</f>
        <v>87</v>
      </c>
      <c r="L484" s="3" t="s">
        <v>514</v>
      </c>
      <c r="M484" s="12" t="str">
        <f>IF(M444="","",M444)</f>
        <v/>
      </c>
      <c r="N484" s="12"/>
      <c r="O484" s="12" t="s">
        <v>514</v>
      </c>
    </row>
    <row r="485" spans="1:15" s="7" customFormat="1" x14ac:dyDescent="0.15">
      <c r="A485" s="3">
        <f t="shared" ref="A485:A524" si="45">B485*100000+E485*1000+F485</f>
        <v>1413002</v>
      </c>
      <c r="B485" s="3">
        <v>14</v>
      </c>
      <c r="C485" s="3">
        <v>0</v>
      </c>
      <c r="D485" s="3">
        <v>1</v>
      </c>
      <c r="E485" s="3">
        <v>13</v>
      </c>
      <c r="F485" s="3">
        <v>2</v>
      </c>
      <c r="G485" s="12" t="s">
        <v>515</v>
      </c>
      <c r="H485" s="12">
        <f t="shared" ref="H485:J485" si="46">H445</f>
        <v>90</v>
      </c>
      <c r="I485" s="10" t="str">
        <f>VLOOKUP(A485,战役结算奖励!$A$1:$O$491,15,0)</f>
        <v>[{"id":14,"num":60},{"id":2,"num":2500000},{"id":1,"num":2700000}]</v>
      </c>
      <c r="J485" s="12" t="str">
        <f t="shared" si="46"/>
        <v>[14,2,1]</v>
      </c>
      <c r="K485" s="12">
        <f t="shared" ref="K485:M485" si="47">IF(K445="","",K445)</f>
        <v>87</v>
      </c>
      <c r="L485" s="3" t="s">
        <v>514</v>
      </c>
      <c r="M485" s="12" t="str">
        <f t="shared" si="47"/>
        <v/>
      </c>
      <c r="N485" s="12"/>
      <c r="O485" s="12" t="s">
        <v>514</v>
      </c>
    </row>
    <row r="486" spans="1:15" s="7" customFormat="1" x14ac:dyDescent="0.15">
      <c r="A486" s="3">
        <f t="shared" si="45"/>
        <v>1413003</v>
      </c>
      <c r="B486" s="3">
        <v>14</v>
      </c>
      <c r="C486" s="3">
        <v>0</v>
      </c>
      <c r="D486" s="3">
        <v>1</v>
      </c>
      <c r="E486" s="3">
        <v>13</v>
      </c>
      <c r="F486" s="3">
        <v>3</v>
      </c>
      <c r="G486" s="12" t="s">
        <v>516</v>
      </c>
      <c r="H486" s="12">
        <f t="shared" ref="H486:J486" si="48">H446</f>
        <v>90</v>
      </c>
      <c r="I486" s="10" t="str">
        <f>VLOOKUP(A486,战役结算奖励!$A$1:$O$491,15,0)</f>
        <v>[{"id":14,"num":60},{"id":2,"num":2500000},{"id":1,"num":2700000}]</v>
      </c>
      <c r="J486" s="12" t="str">
        <f t="shared" si="48"/>
        <v>[14,2,1]</v>
      </c>
      <c r="K486" s="12">
        <f t="shared" ref="K486:M486" si="49">IF(K446="","",K446)</f>
        <v>87</v>
      </c>
      <c r="L486" s="3" t="s">
        <v>514</v>
      </c>
      <c r="M486" s="12" t="str">
        <f t="shared" si="49"/>
        <v/>
      </c>
      <c r="N486" s="12"/>
      <c r="O486" s="12" t="s">
        <v>514</v>
      </c>
    </row>
    <row r="487" spans="1:15" s="7" customFormat="1" x14ac:dyDescent="0.15">
      <c r="A487" s="3">
        <f t="shared" si="45"/>
        <v>1413004</v>
      </c>
      <c r="B487" s="3">
        <v>14</v>
      </c>
      <c r="C487" s="3">
        <v>0</v>
      </c>
      <c r="D487" s="3">
        <v>1</v>
      </c>
      <c r="E487" s="3">
        <v>13</v>
      </c>
      <c r="F487" s="3">
        <v>4</v>
      </c>
      <c r="G487" s="12" t="s">
        <v>517</v>
      </c>
      <c r="H487" s="12">
        <f t="shared" ref="H487:J487" si="50">H447</f>
        <v>90</v>
      </c>
      <c r="I487" s="10" t="str">
        <f>VLOOKUP(A487,战役结算奖励!$A$1:$O$491,15,0)</f>
        <v>[{"id":14,"num":60},{"id":2,"num":2500000},{"id":1,"num":2700000}]</v>
      </c>
      <c r="J487" s="12" t="str">
        <f t="shared" si="50"/>
        <v>[14,2,1]</v>
      </c>
      <c r="K487" s="12">
        <f t="shared" ref="K487:M487" si="51">IF(K447="","",K447)</f>
        <v>87</v>
      </c>
      <c r="L487" s="3" t="s">
        <v>514</v>
      </c>
      <c r="M487" s="12" t="str">
        <f t="shared" si="51"/>
        <v/>
      </c>
      <c r="N487" s="12"/>
      <c r="O487" s="12" t="s">
        <v>514</v>
      </c>
    </row>
    <row r="488" spans="1:15" s="7" customFormat="1" x14ac:dyDescent="0.15">
      <c r="A488" s="3">
        <f t="shared" si="45"/>
        <v>1413005</v>
      </c>
      <c r="B488" s="3">
        <v>14</v>
      </c>
      <c r="C488" s="3">
        <v>0</v>
      </c>
      <c r="D488" s="3">
        <v>1</v>
      </c>
      <c r="E488" s="3">
        <v>13</v>
      </c>
      <c r="F488" s="3">
        <v>5</v>
      </c>
      <c r="G488" s="12" t="s">
        <v>518</v>
      </c>
      <c r="H488" s="12">
        <f t="shared" ref="H488:J488" si="52">H448</f>
        <v>90</v>
      </c>
      <c r="I488" s="10" t="str">
        <f>VLOOKUP(A488,战役结算奖励!$A$1:$O$491,15,0)</f>
        <v>[{"id":14,"num":60},{"id":2,"num":2500000},{"id":1,"num":2700000}]</v>
      </c>
      <c r="J488" s="12" t="str">
        <f t="shared" si="52"/>
        <v>[14,2,1]</v>
      </c>
      <c r="K488" s="12">
        <f t="shared" ref="K488:M488" si="53">IF(K448="","",K448)</f>
        <v>87</v>
      </c>
      <c r="L488" s="3" t="s">
        <v>514</v>
      </c>
      <c r="M488" s="12" t="str">
        <f t="shared" si="53"/>
        <v/>
      </c>
      <c r="N488" s="12"/>
      <c r="O488" s="12" t="s">
        <v>514</v>
      </c>
    </row>
    <row r="489" spans="1:15" s="7" customFormat="1" x14ac:dyDescent="0.15">
      <c r="A489" s="3">
        <f t="shared" si="45"/>
        <v>1413006</v>
      </c>
      <c r="B489" s="3">
        <v>14</v>
      </c>
      <c r="C489" s="3">
        <v>0</v>
      </c>
      <c r="D489" s="3">
        <v>1</v>
      </c>
      <c r="E489" s="3">
        <v>13</v>
      </c>
      <c r="F489" s="3">
        <v>6</v>
      </c>
      <c r="G489" s="12" t="s">
        <v>519</v>
      </c>
      <c r="H489" s="12">
        <f t="shared" ref="H489:J489" si="54">H449</f>
        <v>90</v>
      </c>
      <c r="I489" s="10" t="str">
        <f>VLOOKUP(A489,战役结算奖励!$A$1:$O$491,15,0)</f>
        <v>[{"id":14,"num":60},{"id":2,"num":2500000},{"id":1,"num":2700000}]</v>
      </c>
      <c r="J489" s="12" t="str">
        <f t="shared" si="54"/>
        <v>[14,2,1]</v>
      </c>
      <c r="K489" s="12">
        <f t="shared" ref="K489:M489" si="55">IF(K449="","",K449)</f>
        <v>88</v>
      </c>
      <c r="L489" s="3" t="s">
        <v>514</v>
      </c>
      <c r="M489" s="12" t="str">
        <f t="shared" si="55"/>
        <v/>
      </c>
      <c r="N489" s="12"/>
      <c r="O489" s="12" t="s">
        <v>514</v>
      </c>
    </row>
    <row r="490" spans="1:15" s="7" customFormat="1" x14ac:dyDescent="0.15">
      <c r="A490" s="3">
        <f t="shared" si="45"/>
        <v>1413007</v>
      </c>
      <c r="B490" s="3">
        <v>14</v>
      </c>
      <c r="C490" s="3">
        <v>0</v>
      </c>
      <c r="D490" s="3">
        <v>1</v>
      </c>
      <c r="E490" s="3">
        <v>13</v>
      </c>
      <c r="F490" s="3">
        <v>7</v>
      </c>
      <c r="G490" s="12" t="s">
        <v>520</v>
      </c>
      <c r="H490" s="12">
        <f t="shared" ref="H490:J490" si="56">H450</f>
        <v>90</v>
      </c>
      <c r="I490" s="10" t="str">
        <f>VLOOKUP(A490,战役结算奖励!$A$1:$O$491,15,0)</f>
        <v>[{"id":14,"num":60},{"id":2,"num":2500000},{"id":1,"num":2700000}]</v>
      </c>
      <c r="J490" s="12" t="str">
        <f t="shared" si="56"/>
        <v>[14,2,1]</v>
      </c>
      <c r="K490" s="12">
        <f t="shared" ref="K490:M490" si="57">IF(K450="","",K450)</f>
        <v>88</v>
      </c>
      <c r="L490" s="3" t="s">
        <v>514</v>
      </c>
      <c r="M490" s="12" t="str">
        <f t="shared" si="57"/>
        <v/>
      </c>
      <c r="N490" s="12"/>
      <c r="O490" s="12" t="s">
        <v>514</v>
      </c>
    </row>
    <row r="491" spans="1:15" s="7" customFormat="1" x14ac:dyDescent="0.15">
      <c r="A491" s="3">
        <f t="shared" si="45"/>
        <v>1413008</v>
      </c>
      <c r="B491" s="3">
        <v>14</v>
      </c>
      <c r="C491" s="3">
        <v>0</v>
      </c>
      <c r="D491" s="3">
        <v>1</v>
      </c>
      <c r="E491" s="3">
        <v>13</v>
      </c>
      <c r="F491" s="3">
        <v>8</v>
      </c>
      <c r="G491" s="12" t="s">
        <v>521</v>
      </c>
      <c r="H491" s="12">
        <f t="shared" ref="H491:J491" si="58">H451</f>
        <v>90</v>
      </c>
      <c r="I491" s="10" t="str">
        <f>VLOOKUP(A491,战役结算奖励!$A$1:$O$491,15,0)</f>
        <v>[{"id":14,"num":60},{"id":2,"num":2500000},{"id":1,"num":2700000}]</v>
      </c>
      <c r="J491" s="12" t="str">
        <f t="shared" si="58"/>
        <v>[14,2,1]</v>
      </c>
      <c r="K491" s="12">
        <f t="shared" ref="K491:M491" si="59">IF(K451="","",K451)</f>
        <v>88</v>
      </c>
      <c r="L491" s="3" t="s">
        <v>514</v>
      </c>
      <c r="M491" s="12" t="str">
        <f t="shared" si="59"/>
        <v/>
      </c>
      <c r="N491" s="12"/>
      <c r="O491" s="12" t="s">
        <v>514</v>
      </c>
    </row>
    <row r="492" spans="1:15" s="7" customFormat="1" x14ac:dyDescent="0.15">
      <c r="A492" s="3">
        <f t="shared" si="45"/>
        <v>1413009</v>
      </c>
      <c r="B492" s="3">
        <v>14</v>
      </c>
      <c r="C492" s="3">
        <v>0</v>
      </c>
      <c r="D492" s="3">
        <v>1</v>
      </c>
      <c r="E492" s="3">
        <v>13</v>
      </c>
      <c r="F492" s="3">
        <v>9</v>
      </c>
      <c r="G492" s="12" t="s">
        <v>522</v>
      </c>
      <c r="H492" s="12">
        <f t="shared" ref="H492:J492" si="60">H452</f>
        <v>90</v>
      </c>
      <c r="I492" s="10" t="str">
        <f>VLOOKUP(A492,战役结算奖励!$A$1:$O$491,15,0)</f>
        <v>[{"id":14,"num":60},{"id":2,"num":2500000},{"id":1,"num":2700000}]</v>
      </c>
      <c r="J492" s="12" t="str">
        <f t="shared" si="60"/>
        <v>[14,2,1]</v>
      </c>
      <c r="K492" s="12">
        <f t="shared" ref="K492:M492" si="61">IF(K452="","",K452)</f>
        <v>88</v>
      </c>
      <c r="L492" s="3" t="s">
        <v>514</v>
      </c>
      <c r="M492" s="12" t="str">
        <f t="shared" si="61"/>
        <v/>
      </c>
      <c r="N492" s="12"/>
      <c r="O492" s="12" t="s">
        <v>514</v>
      </c>
    </row>
    <row r="493" spans="1:15" s="7" customFormat="1" x14ac:dyDescent="0.15">
      <c r="A493" s="3">
        <f t="shared" si="45"/>
        <v>1413010</v>
      </c>
      <c r="B493" s="3">
        <v>14</v>
      </c>
      <c r="C493" s="3">
        <v>0</v>
      </c>
      <c r="D493" s="3">
        <v>1</v>
      </c>
      <c r="E493" s="3">
        <v>13</v>
      </c>
      <c r="F493" s="3">
        <v>10</v>
      </c>
      <c r="G493" s="12" t="s">
        <v>523</v>
      </c>
      <c r="H493" s="12">
        <f t="shared" ref="H493:J493" si="62">H453</f>
        <v>90</v>
      </c>
      <c r="I493" s="10" t="str">
        <f>VLOOKUP(A493,战役结算奖励!$A$1:$O$800,15,0)</f>
        <v>[{"id":14,"num":60},{"id":2,"num":2500000},{"id":1,"num":2700000}]</v>
      </c>
      <c r="J493" s="12" t="str">
        <f t="shared" si="62"/>
        <v>[14,2,1]</v>
      </c>
      <c r="K493" s="12">
        <f t="shared" ref="K493:M493" si="63">IF(K453="","",K453)</f>
        <v>88</v>
      </c>
      <c r="L493" s="3" t="s">
        <v>514</v>
      </c>
      <c r="M493" s="12" t="str">
        <f t="shared" si="63"/>
        <v/>
      </c>
      <c r="N493" s="12"/>
      <c r="O493" s="12" t="s">
        <v>514</v>
      </c>
    </row>
    <row r="494" spans="1:15" s="7" customFormat="1" x14ac:dyDescent="0.15">
      <c r="A494" s="3">
        <f t="shared" si="45"/>
        <v>1413011</v>
      </c>
      <c r="B494" s="3">
        <v>14</v>
      </c>
      <c r="C494" s="3">
        <v>0</v>
      </c>
      <c r="D494" s="3">
        <v>1</v>
      </c>
      <c r="E494" s="3">
        <v>13</v>
      </c>
      <c r="F494" s="3">
        <v>11</v>
      </c>
      <c r="G494" s="12" t="s">
        <v>524</v>
      </c>
      <c r="H494" s="12">
        <f t="shared" ref="H494:J494" si="64">H454</f>
        <v>90</v>
      </c>
      <c r="I494" s="10" t="str">
        <f>VLOOKUP(A494,战役结算奖励!$A$1:$O$800,15,0)</f>
        <v>[{"id":14,"num":60},{"id":2,"num":2500000},{"id":1,"num":2700000}]</v>
      </c>
      <c r="J494" s="12" t="str">
        <f t="shared" si="64"/>
        <v>[14,2,1]</v>
      </c>
      <c r="K494" s="12">
        <f t="shared" ref="K494:M494" si="65">IF(K454="","",K454)</f>
        <v>89</v>
      </c>
      <c r="L494" s="3" t="s">
        <v>514</v>
      </c>
      <c r="M494" s="12" t="str">
        <f t="shared" si="65"/>
        <v/>
      </c>
      <c r="N494" s="12"/>
      <c r="O494" s="12" t="s">
        <v>514</v>
      </c>
    </row>
    <row r="495" spans="1:15" s="7" customFormat="1" x14ac:dyDescent="0.15">
      <c r="A495" s="3">
        <f t="shared" si="45"/>
        <v>1413012</v>
      </c>
      <c r="B495" s="3">
        <v>14</v>
      </c>
      <c r="C495" s="3">
        <v>0</v>
      </c>
      <c r="D495" s="3">
        <v>1</v>
      </c>
      <c r="E495" s="3">
        <v>13</v>
      </c>
      <c r="F495" s="3">
        <v>12</v>
      </c>
      <c r="G495" s="12" t="s">
        <v>525</v>
      </c>
      <c r="H495" s="12">
        <f t="shared" ref="H495:J495" si="66">H455</f>
        <v>90</v>
      </c>
      <c r="I495" s="10" t="str">
        <f>VLOOKUP(A495,战役结算奖励!$A$1:$O$800,15,0)</f>
        <v>[{"id":14,"num":60},{"id":2,"num":2500000},{"id":1,"num":2700000}]</v>
      </c>
      <c r="J495" s="12" t="str">
        <f t="shared" si="66"/>
        <v>[14,2,1]</v>
      </c>
      <c r="K495" s="12">
        <f t="shared" ref="K495:M495" si="67">IF(K455="","",K455)</f>
        <v>89</v>
      </c>
      <c r="L495" s="3" t="s">
        <v>514</v>
      </c>
      <c r="M495" s="12" t="str">
        <f t="shared" si="67"/>
        <v/>
      </c>
      <c r="N495" s="12"/>
      <c r="O495" s="12" t="s">
        <v>514</v>
      </c>
    </row>
    <row r="496" spans="1:15" s="7" customFormat="1" x14ac:dyDescent="0.15">
      <c r="A496" s="3">
        <f t="shared" si="45"/>
        <v>1413013</v>
      </c>
      <c r="B496" s="3">
        <v>14</v>
      </c>
      <c r="C496" s="3">
        <v>0</v>
      </c>
      <c r="D496" s="3">
        <v>1</v>
      </c>
      <c r="E496" s="3">
        <v>13</v>
      </c>
      <c r="F496" s="3">
        <v>13</v>
      </c>
      <c r="G496" s="12" t="s">
        <v>526</v>
      </c>
      <c r="H496" s="12">
        <f t="shared" ref="H496:J496" si="68">H456</f>
        <v>90</v>
      </c>
      <c r="I496" s="10" t="str">
        <f>VLOOKUP(A496,战役结算奖励!$A$1:$O$800,15,0)</f>
        <v>[{"id":14,"num":60},{"id":2,"num":2500000},{"id":1,"num":2700000}]</v>
      </c>
      <c r="J496" s="12" t="str">
        <f t="shared" si="68"/>
        <v>[14,2,1]</v>
      </c>
      <c r="K496" s="12">
        <f t="shared" ref="K496:M496" si="69">IF(K456="","",K456)</f>
        <v>89</v>
      </c>
      <c r="L496" s="3" t="s">
        <v>514</v>
      </c>
      <c r="M496" s="12" t="str">
        <f t="shared" si="69"/>
        <v/>
      </c>
      <c r="N496" s="12"/>
      <c r="O496" s="12" t="s">
        <v>514</v>
      </c>
    </row>
    <row r="497" spans="1:15" s="7" customFormat="1" x14ac:dyDescent="0.15">
      <c r="A497" s="3">
        <f t="shared" si="45"/>
        <v>1413014</v>
      </c>
      <c r="B497" s="3">
        <v>14</v>
      </c>
      <c r="C497" s="3">
        <v>0</v>
      </c>
      <c r="D497" s="3">
        <v>1</v>
      </c>
      <c r="E497" s="3">
        <v>13</v>
      </c>
      <c r="F497" s="3">
        <v>14</v>
      </c>
      <c r="G497" s="12" t="s">
        <v>527</v>
      </c>
      <c r="H497" s="12">
        <f t="shared" ref="H497:J497" si="70">H457</f>
        <v>90</v>
      </c>
      <c r="I497" s="10" t="str">
        <f>VLOOKUP(A497,战役结算奖励!$A$1:$O$800,15,0)</f>
        <v>[{"id":14,"num":60},{"id":2,"num":2500000},{"id":1,"num":2700000}]</v>
      </c>
      <c r="J497" s="12" t="str">
        <f t="shared" si="70"/>
        <v>[14,2,1]</v>
      </c>
      <c r="K497" s="12">
        <f t="shared" ref="K497:M497" si="71">IF(K457="","",K457)</f>
        <v>89</v>
      </c>
      <c r="L497" s="3" t="s">
        <v>514</v>
      </c>
      <c r="M497" s="12" t="str">
        <f t="shared" si="71"/>
        <v/>
      </c>
      <c r="N497" s="12"/>
      <c r="O497" s="12" t="s">
        <v>514</v>
      </c>
    </row>
    <row r="498" spans="1:15" s="7" customFormat="1" x14ac:dyDescent="0.15">
      <c r="A498" s="3">
        <f t="shared" si="45"/>
        <v>1413015</v>
      </c>
      <c r="B498" s="3">
        <v>14</v>
      </c>
      <c r="C498" s="3">
        <v>0</v>
      </c>
      <c r="D498" s="3">
        <v>1</v>
      </c>
      <c r="E498" s="3">
        <v>13</v>
      </c>
      <c r="F498" s="3">
        <v>15</v>
      </c>
      <c r="G498" s="12" t="s">
        <v>528</v>
      </c>
      <c r="H498" s="12">
        <f t="shared" ref="H498:J498" si="72">H458</f>
        <v>90</v>
      </c>
      <c r="I498" s="10" t="str">
        <f>VLOOKUP(A498,战役结算奖励!$A$1:$O$800,15,0)</f>
        <v>[{"id":14,"num":60},{"id":2,"num":2500000},{"id":1,"num":2700000}]</v>
      </c>
      <c r="J498" s="12" t="str">
        <f t="shared" si="72"/>
        <v>[14,2,1]</v>
      </c>
      <c r="K498" s="12">
        <f t="shared" ref="K498:M498" si="73">IF(K458="","",K458)</f>
        <v>89</v>
      </c>
      <c r="L498" s="3" t="s">
        <v>514</v>
      </c>
      <c r="M498" s="12" t="str">
        <f t="shared" si="73"/>
        <v/>
      </c>
      <c r="N498" s="12"/>
      <c r="O498" s="12" t="s">
        <v>514</v>
      </c>
    </row>
    <row r="499" spans="1:15" s="7" customFormat="1" x14ac:dyDescent="0.15">
      <c r="A499" s="3">
        <f t="shared" si="45"/>
        <v>1413016</v>
      </c>
      <c r="B499" s="3">
        <v>14</v>
      </c>
      <c r="C499" s="3">
        <v>0</v>
      </c>
      <c r="D499" s="3">
        <v>1</v>
      </c>
      <c r="E499" s="3">
        <v>13</v>
      </c>
      <c r="F499" s="3">
        <v>16</v>
      </c>
      <c r="G499" s="12" t="s">
        <v>529</v>
      </c>
      <c r="H499" s="12">
        <f t="shared" ref="H499:J499" si="74">H459</f>
        <v>90</v>
      </c>
      <c r="I499" s="10" t="str">
        <f>VLOOKUP(A499,战役结算奖励!$A$1:$O$800,15,0)</f>
        <v>[{"id":14,"num":60},{"id":2,"num":2500000},{"id":1,"num":2700000}]</v>
      </c>
      <c r="J499" s="12" t="str">
        <f t="shared" si="74"/>
        <v>[14,2,1]</v>
      </c>
      <c r="K499" s="12">
        <f t="shared" ref="K499:M499" si="75">IF(K459="","",K459)</f>
        <v>90</v>
      </c>
      <c r="L499" s="3" t="s">
        <v>514</v>
      </c>
      <c r="M499" s="12" t="str">
        <f t="shared" si="75"/>
        <v/>
      </c>
      <c r="N499" s="12"/>
      <c r="O499" s="12" t="s">
        <v>514</v>
      </c>
    </row>
    <row r="500" spans="1:15" s="7" customFormat="1" x14ac:dyDescent="0.15">
      <c r="A500" s="3">
        <f t="shared" si="45"/>
        <v>1413017</v>
      </c>
      <c r="B500" s="3">
        <v>14</v>
      </c>
      <c r="C500" s="3">
        <v>0</v>
      </c>
      <c r="D500" s="3">
        <v>1</v>
      </c>
      <c r="E500" s="3">
        <v>13</v>
      </c>
      <c r="F500" s="3">
        <v>17</v>
      </c>
      <c r="G500" s="12" t="s">
        <v>530</v>
      </c>
      <c r="H500" s="12">
        <f t="shared" ref="H500:J500" si="76">H460</f>
        <v>90</v>
      </c>
      <c r="I500" s="10" t="str">
        <f>VLOOKUP(A500,战役结算奖励!$A$1:$O$800,15,0)</f>
        <v>[{"id":14,"num":60},{"id":2,"num":2500000},{"id":1,"num":2700000}]</v>
      </c>
      <c r="J500" s="12" t="str">
        <f t="shared" si="76"/>
        <v>[14,2,1]</v>
      </c>
      <c r="K500" s="12">
        <f t="shared" ref="K500:M500" si="77">IF(K460="","",K460)</f>
        <v>90</v>
      </c>
      <c r="L500" s="3" t="s">
        <v>514</v>
      </c>
      <c r="M500" s="12" t="str">
        <f t="shared" si="77"/>
        <v/>
      </c>
      <c r="N500" s="12"/>
      <c r="O500" s="12" t="s">
        <v>514</v>
      </c>
    </row>
    <row r="501" spans="1:15" s="7" customFormat="1" x14ac:dyDescent="0.15">
      <c r="A501" s="3">
        <f t="shared" si="45"/>
        <v>1413018</v>
      </c>
      <c r="B501" s="3">
        <v>14</v>
      </c>
      <c r="C501" s="3">
        <v>0</v>
      </c>
      <c r="D501" s="3">
        <v>1</v>
      </c>
      <c r="E501" s="3">
        <v>13</v>
      </c>
      <c r="F501" s="3">
        <v>18</v>
      </c>
      <c r="G501" s="12" t="s">
        <v>531</v>
      </c>
      <c r="H501" s="12">
        <f t="shared" ref="H501:J501" si="78">H461</f>
        <v>90</v>
      </c>
      <c r="I501" s="10" t="str">
        <f>VLOOKUP(A501,战役结算奖励!$A$1:$O$800,15,0)</f>
        <v>[{"id":14,"num":60},{"id":2,"num":2500000},{"id":1,"num":2700000}]</v>
      </c>
      <c r="J501" s="12" t="str">
        <f t="shared" si="78"/>
        <v>[14,2,1]</v>
      </c>
      <c r="K501" s="12">
        <f t="shared" ref="K501:M501" si="79">IF(K461="","",K461)</f>
        <v>90</v>
      </c>
      <c r="L501" s="3" t="s">
        <v>514</v>
      </c>
      <c r="M501" s="12" t="str">
        <f t="shared" si="79"/>
        <v/>
      </c>
      <c r="N501" s="12"/>
      <c r="O501" s="12" t="s">
        <v>514</v>
      </c>
    </row>
    <row r="502" spans="1:15" s="7" customFormat="1" x14ac:dyDescent="0.15">
      <c r="A502" s="3">
        <f t="shared" si="45"/>
        <v>1413019</v>
      </c>
      <c r="B502" s="3">
        <v>14</v>
      </c>
      <c r="C502" s="3">
        <v>0</v>
      </c>
      <c r="D502" s="3">
        <v>1</v>
      </c>
      <c r="E502" s="3">
        <v>13</v>
      </c>
      <c r="F502" s="3">
        <v>19</v>
      </c>
      <c r="G502" s="12" t="s">
        <v>532</v>
      </c>
      <c r="H502" s="12">
        <f t="shared" ref="H502:J502" si="80">H462</f>
        <v>90</v>
      </c>
      <c r="I502" s="10" t="str">
        <f>VLOOKUP(A502,战役结算奖励!$A$1:$O$800,15,0)</f>
        <v>[{"id":14,"num":60},{"id":2,"num":2500000},{"id":1,"num":2700000}]</v>
      </c>
      <c r="J502" s="12" t="str">
        <f t="shared" si="80"/>
        <v>[14,2,1]</v>
      </c>
      <c r="K502" s="12">
        <f t="shared" ref="K502:M502" si="81">IF(K462="","",K462)</f>
        <v>90</v>
      </c>
      <c r="L502" s="3" t="s">
        <v>514</v>
      </c>
      <c r="M502" s="12" t="str">
        <f t="shared" si="81"/>
        <v/>
      </c>
      <c r="N502" s="12"/>
      <c r="O502" s="12" t="s">
        <v>514</v>
      </c>
    </row>
    <row r="503" spans="1:15" s="7" customFormat="1" x14ac:dyDescent="0.15">
      <c r="A503" s="3">
        <f t="shared" si="45"/>
        <v>1413020</v>
      </c>
      <c r="B503" s="3">
        <v>14</v>
      </c>
      <c r="C503" s="3">
        <v>0</v>
      </c>
      <c r="D503" s="3">
        <v>1</v>
      </c>
      <c r="E503" s="3">
        <v>13</v>
      </c>
      <c r="F503" s="3">
        <v>20</v>
      </c>
      <c r="G503" s="12" t="s">
        <v>533</v>
      </c>
      <c r="H503" s="12">
        <f t="shared" ref="H503:J503" si="82">H463</f>
        <v>90</v>
      </c>
      <c r="I503" s="10" t="str">
        <f>VLOOKUP(A503,战役结算奖励!$A$1:$O$800,15,0)</f>
        <v>[{"id":14,"num":60},{"id":2,"num":2500000},{"id":1,"num":2700000}]</v>
      </c>
      <c r="J503" s="12" t="str">
        <f t="shared" si="82"/>
        <v>[14,2,1]</v>
      </c>
      <c r="K503" s="12">
        <f t="shared" ref="K503:M503" si="83">IF(K463="","",K463)</f>
        <v>90</v>
      </c>
      <c r="L503" s="3" t="s">
        <v>514</v>
      </c>
      <c r="M503" s="12" t="str">
        <f t="shared" si="83"/>
        <v/>
      </c>
      <c r="N503" s="12"/>
      <c r="O503" s="12" t="s">
        <v>514</v>
      </c>
    </row>
    <row r="504" spans="1:15" s="7" customFormat="1" x14ac:dyDescent="0.15">
      <c r="A504" s="3">
        <f t="shared" si="45"/>
        <v>1413021</v>
      </c>
      <c r="B504" s="3">
        <v>14</v>
      </c>
      <c r="C504" s="3">
        <v>0</v>
      </c>
      <c r="D504" s="3">
        <v>1</v>
      </c>
      <c r="E504" s="3">
        <v>13</v>
      </c>
      <c r="F504" s="3">
        <v>21</v>
      </c>
      <c r="G504" s="12" t="s">
        <v>534</v>
      </c>
      <c r="H504" s="12">
        <f t="shared" ref="H504:J504" si="84">H464</f>
        <v>90</v>
      </c>
      <c r="I504" s="10" t="str">
        <f>VLOOKUP(A504,战役结算奖励!$A$1:$O$800,15,0)</f>
        <v>[{"id":14,"num":60},{"id":2,"num":2500000},{"id":1,"num":2700000}]</v>
      </c>
      <c r="J504" s="12" t="str">
        <f t="shared" si="84"/>
        <v>[14,2,1]</v>
      </c>
      <c r="K504" s="12">
        <f t="shared" ref="K504:M504" si="85">IF(K464="","",K464)</f>
        <v>90</v>
      </c>
      <c r="L504" s="3" t="s">
        <v>514</v>
      </c>
      <c r="M504" s="12" t="str">
        <f t="shared" si="85"/>
        <v/>
      </c>
      <c r="N504" s="12"/>
      <c r="O504" s="12" t="s">
        <v>514</v>
      </c>
    </row>
    <row r="505" spans="1:15" s="7" customFormat="1" x14ac:dyDescent="0.15">
      <c r="A505" s="3">
        <f t="shared" si="45"/>
        <v>1413022</v>
      </c>
      <c r="B505" s="3">
        <v>14</v>
      </c>
      <c r="C505" s="3">
        <v>0</v>
      </c>
      <c r="D505" s="3">
        <v>1</v>
      </c>
      <c r="E505" s="3">
        <v>13</v>
      </c>
      <c r="F505" s="3">
        <v>22</v>
      </c>
      <c r="G505" s="12" t="s">
        <v>535</v>
      </c>
      <c r="H505" s="12">
        <f t="shared" ref="H505:J505" si="86">H465</f>
        <v>90</v>
      </c>
      <c r="I505" s="10" t="str">
        <f>VLOOKUP(A505,战役结算奖励!$A$1:$O$800,15,0)</f>
        <v>[{"id":14,"num":60},{"id":2,"num":2500000},{"id":1,"num":2700000}]</v>
      </c>
      <c r="J505" s="12" t="str">
        <f t="shared" si="86"/>
        <v>[14,2,1]</v>
      </c>
      <c r="K505" s="12">
        <f t="shared" ref="K505:M505" si="87">IF(K465="","",K465)</f>
        <v>90</v>
      </c>
      <c r="L505" s="3" t="s">
        <v>514</v>
      </c>
      <c r="M505" s="12" t="str">
        <f t="shared" si="87"/>
        <v/>
      </c>
      <c r="N505" s="12"/>
      <c r="O505" s="12" t="s">
        <v>514</v>
      </c>
    </row>
    <row r="506" spans="1:15" s="7" customFormat="1" x14ac:dyDescent="0.15">
      <c r="A506" s="3">
        <f t="shared" si="45"/>
        <v>1413023</v>
      </c>
      <c r="B506" s="3">
        <v>14</v>
      </c>
      <c r="C506" s="3">
        <v>0</v>
      </c>
      <c r="D506" s="3">
        <v>1</v>
      </c>
      <c r="E506" s="3">
        <v>13</v>
      </c>
      <c r="F506" s="3">
        <v>23</v>
      </c>
      <c r="G506" s="12" t="s">
        <v>536</v>
      </c>
      <c r="H506" s="12">
        <f t="shared" ref="H506:J506" si="88">H466</f>
        <v>90</v>
      </c>
      <c r="I506" s="10" t="str">
        <f>VLOOKUP(A506,战役结算奖励!$A$1:$O$800,15,0)</f>
        <v>[{"id":14,"num":60},{"id":2,"num":2500000},{"id":1,"num":2700000}]</v>
      </c>
      <c r="J506" s="12" t="str">
        <f t="shared" si="88"/>
        <v>[14,2,1]</v>
      </c>
      <c r="K506" s="12">
        <f t="shared" ref="K506:M506" si="89">IF(K466="","",K466)</f>
        <v>90</v>
      </c>
      <c r="L506" s="3" t="s">
        <v>514</v>
      </c>
      <c r="M506" s="12" t="str">
        <f t="shared" si="89"/>
        <v/>
      </c>
      <c r="N506" s="12"/>
      <c r="O506" s="12" t="s">
        <v>514</v>
      </c>
    </row>
    <row r="507" spans="1:15" s="7" customFormat="1" x14ac:dyDescent="0.15">
      <c r="A507" s="3">
        <f t="shared" si="45"/>
        <v>1413024</v>
      </c>
      <c r="B507" s="3">
        <v>14</v>
      </c>
      <c r="C507" s="3">
        <v>0</v>
      </c>
      <c r="D507" s="3">
        <v>1</v>
      </c>
      <c r="E507" s="3">
        <v>13</v>
      </c>
      <c r="F507" s="3">
        <v>24</v>
      </c>
      <c r="G507" s="12" t="s">
        <v>537</v>
      </c>
      <c r="H507" s="12">
        <f t="shared" ref="H507:J507" si="90">H467</f>
        <v>90</v>
      </c>
      <c r="I507" s="10" t="str">
        <f>VLOOKUP(A507,战役结算奖励!$A$1:$O$800,15,0)</f>
        <v>[{"id":14,"num":60},{"id":2,"num":2500000},{"id":1,"num":2700000}]</v>
      </c>
      <c r="J507" s="12" t="str">
        <f t="shared" si="90"/>
        <v>[14,2,1]</v>
      </c>
      <c r="K507" s="12">
        <f t="shared" ref="K507:M507" si="91">IF(K467="","",K467)</f>
        <v>90</v>
      </c>
      <c r="L507" s="3" t="s">
        <v>514</v>
      </c>
      <c r="M507" s="12" t="str">
        <f t="shared" si="91"/>
        <v/>
      </c>
      <c r="N507" s="12"/>
      <c r="O507" s="12" t="s">
        <v>514</v>
      </c>
    </row>
    <row r="508" spans="1:15" s="7" customFormat="1" x14ac:dyDescent="0.15">
      <c r="A508" s="3">
        <f t="shared" si="45"/>
        <v>1413025</v>
      </c>
      <c r="B508" s="3">
        <v>14</v>
      </c>
      <c r="C508" s="3">
        <v>0</v>
      </c>
      <c r="D508" s="3">
        <v>1</v>
      </c>
      <c r="E508" s="3">
        <v>13</v>
      </c>
      <c r="F508" s="3">
        <v>25</v>
      </c>
      <c r="G508" s="12" t="s">
        <v>538</v>
      </c>
      <c r="H508" s="12">
        <f t="shared" ref="H508:J508" si="92">H468</f>
        <v>90</v>
      </c>
      <c r="I508" s="10" t="str">
        <f>VLOOKUP(A508,战役结算奖励!$A$1:$O$800,15,0)</f>
        <v>[{"id":14,"num":60},{"id":2,"num":2500000},{"id":1,"num":2700000}]</v>
      </c>
      <c r="J508" s="12" t="str">
        <f t="shared" si="92"/>
        <v>[14,2,1]</v>
      </c>
      <c r="K508" s="12">
        <f>IF(K468="","",K468)</f>
        <v>90</v>
      </c>
      <c r="L508" s="3" t="s">
        <v>514</v>
      </c>
      <c r="M508" s="12" t="str">
        <f>IF(M468="","",M468)</f>
        <v/>
      </c>
      <c r="N508" s="12"/>
      <c r="O508" s="12" t="s">
        <v>514</v>
      </c>
    </row>
    <row r="509" spans="1:15" s="7" customFormat="1" x14ac:dyDescent="0.15">
      <c r="A509" s="3">
        <f t="shared" si="45"/>
        <v>1413026</v>
      </c>
      <c r="B509" s="3">
        <v>14</v>
      </c>
      <c r="C509" s="3">
        <v>0</v>
      </c>
      <c r="D509" s="3">
        <v>1</v>
      </c>
      <c r="E509" s="3">
        <v>13</v>
      </c>
      <c r="F509" s="3">
        <v>26</v>
      </c>
      <c r="G509" s="12" t="s">
        <v>539</v>
      </c>
      <c r="H509" s="12">
        <f t="shared" ref="H509:J509" si="93">H469</f>
        <v>90</v>
      </c>
      <c r="I509" s="10" t="str">
        <f>VLOOKUP(A509,战役结算奖励!$A$1:$O$800,15,0)</f>
        <v>[{"id":14,"num":60},{"id":2,"num":2500000},{"id":1,"num":2700000}]</v>
      </c>
      <c r="J509" s="12" t="str">
        <f t="shared" si="93"/>
        <v>[14,2,1]</v>
      </c>
      <c r="K509" s="12">
        <f t="shared" ref="K509:M509" si="94">IF(K469="","",K469)</f>
        <v>90</v>
      </c>
      <c r="L509" s="3" t="s">
        <v>514</v>
      </c>
      <c r="M509" s="12" t="str">
        <f t="shared" si="94"/>
        <v/>
      </c>
      <c r="N509" s="12"/>
      <c r="O509" s="12" t="s">
        <v>514</v>
      </c>
    </row>
    <row r="510" spans="1:15" s="7" customFormat="1" x14ac:dyDescent="0.15">
      <c r="A510" s="3">
        <f t="shared" si="45"/>
        <v>1413027</v>
      </c>
      <c r="B510" s="3">
        <v>14</v>
      </c>
      <c r="C510" s="3">
        <v>0</v>
      </c>
      <c r="D510" s="3">
        <v>1</v>
      </c>
      <c r="E510" s="3">
        <v>13</v>
      </c>
      <c r="F510" s="3">
        <v>27</v>
      </c>
      <c r="G510" s="12" t="s">
        <v>540</v>
      </c>
      <c r="H510" s="12">
        <f t="shared" ref="H510:J510" si="95">H470</f>
        <v>90</v>
      </c>
      <c r="I510" s="10" t="str">
        <f>VLOOKUP(A510,战役结算奖励!$A$1:$O$800,15,0)</f>
        <v>[{"id":14,"num":60},{"id":2,"num":2500000},{"id":1,"num":2700000}]</v>
      </c>
      <c r="J510" s="12" t="str">
        <f t="shared" si="95"/>
        <v>[14,2,1]</v>
      </c>
      <c r="K510" s="12">
        <f t="shared" ref="K510:M510" si="96">IF(K470="","",K470)</f>
        <v>90</v>
      </c>
      <c r="L510" s="3" t="s">
        <v>514</v>
      </c>
      <c r="M510" s="12" t="str">
        <f t="shared" si="96"/>
        <v/>
      </c>
      <c r="N510" s="12"/>
      <c r="O510" s="12" t="s">
        <v>514</v>
      </c>
    </row>
    <row r="511" spans="1:15" s="7" customFormat="1" x14ac:dyDescent="0.15">
      <c r="A511" s="3">
        <f t="shared" si="45"/>
        <v>1413028</v>
      </c>
      <c r="B511" s="3">
        <v>14</v>
      </c>
      <c r="C511" s="3">
        <v>0</v>
      </c>
      <c r="D511" s="3">
        <v>1</v>
      </c>
      <c r="E511" s="3">
        <v>13</v>
      </c>
      <c r="F511" s="3">
        <v>28</v>
      </c>
      <c r="G511" s="12" t="s">
        <v>541</v>
      </c>
      <c r="H511" s="12">
        <f t="shared" ref="H511:J511" si="97">H471</f>
        <v>90</v>
      </c>
      <c r="I511" s="10" t="str">
        <f>VLOOKUP(A511,战役结算奖励!$A$1:$O$800,15,0)</f>
        <v>[{"id":14,"num":60},{"id":2,"num":2500000},{"id":1,"num":2700000}]</v>
      </c>
      <c r="J511" s="12" t="str">
        <f t="shared" si="97"/>
        <v>[14,2,1]</v>
      </c>
      <c r="K511" s="12">
        <f t="shared" ref="K511:M511" si="98">IF(K471="","",K471)</f>
        <v>90</v>
      </c>
      <c r="L511" s="3" t="s">
        <v>514</v>
      </c>
      <c r="M511" s="12" t="str">
        <f t="shared" si="98"/>
        <v/>
      </c>
      <c r="N511" s="12"/>
      <c r="O511" s="12" t="s">
        <v>514</v>
      </c>
    </row>
    <row r="512" spans="1:15" s="7" customFormat="1" x14ac:dyDescent="0.15">
      <c r="A512" s="3">
        <f t="shared" si="45"/>
        <v>1413029</v>
      </c>
      <c r="B512" s="3">
        <v>14</v>
      </c>
      <c r="C512" s="3">
        <v>0</v>
      </c>
      <c r="D512" s="3">
        <v>1</v>
      </c>
      <c r="E512" s="3">
        <v>13</v>
      </c>
      <c r="F512" s="3">
        <v>29</v>
      </c>
      <c r="G512" s="12" t="s">
        <v>542</v>
      </c>
      <c r="H512" s="12">
        <f t="shared" ref="H512:J512" si="99">H472</f>
        <v>90</v>
      </c>
      <c r="I512" s="10" t="str">
        <f>VLOOKUP(A512,战役结算奖励!$A$1:$O$800,15,0)</f>
        <v>[{"id":14,"num":60},{"id":2,"num":2500000},{"id":1,"num":2700000}]</v>
      </c>
      <c r="J512" s="12" t="str">
        <f t="shared" si="99"/>
        <v>[14,2,1]</v>
      </c>
      <c r="K512" s="12">
        <f t="shared" ref="K512:M512" si="100">IF(K472="","",K472)</f>
        <v>90</v>
      </c>
      <c r="L512" s="3" t="s">
        <v>514</v>
      </c>
      <c r="M512" s="12" t="str">
        <f t="shared" si="100"/>
        <v/>
      </c>
      <c r="N512" s="12"/>
      <c r="O512" s="12" t="s">
        <v>514</v>
      </c>
    </row>
    <row r="513" spans="1:15" s="7" customFormat="1" x14ac:dyDescent="0.15">
      <c r="A513" s="3">
        <f t="shared" si="45"/>
        <v>1413030</v>
      </c>
      <c r="B513" s="3">
        <v>14</v>
      </c>
      <c r="C513" s="3">
        <v>0</v>
      </c>
      <c r="D513" s="3">
        <v>1</v>
      </c>
      <c r="E513" s="3">
        <v>13</v>
      </c>
      <c r="F513" s="3">
        <v>30</v>
      </c>
      <c r="G513" s="12" t="s">
        <v>543</v>
      </c>
      <c r="H513" s="12">
        <f t="shared" ref="H513:J513" si="101">H473</f>
        <v>90</v>
      </c>
      <c r="I513" s="10" t="str">
        <f>VLOOKUP(A513,战役结算奖励!$A$1:$O$800,15,0)</f>
        <v>[{"id":14,"num":60},{"id":2,"num":2500000},{"id":1,"num":2700000}]</v>
      </c>
      <c r="J513" s="12" t="str">
        <f t="shared" si="101"/>
        <v>[14,2,1]</v>
      </c>
      <c r="K513" s="12">
        <f t="shared" ref="K513:M513" si="102">IF(K473="","",K473)</f>
        <v>90</v>
      </c>
      <c r="L513" s="3" t="s">
        <v>514</v>
      </c>
      <c r="M513" s="12" t="str">
        <f t="shared" si="102"/>
        <v/>
      </c>
      <c r="N513" s="12"/>
      <c r="O513" s="12" t="s">
        <v>514</v>
      </c>
    </row>
    <row r="514" spans="1:15" s="7" customFormat="1" x14ac:dyDescent="0.15">
      <c r="A514" s="3">
        <f t="shared" si="45"/>
        <v>1413031</v>
      </c>
      <c r="B514" s="3">
        <v>14</v>
      </c>
      <c r="C514" s="3">
        <v>0</v>
      </c>
      <c r="D514" s="3">
        <v>1</v>
      </c>
      <c r="E514" s="3">
        <v>13</v>
      </c>
      <c r="F514" s="3">
        <v>31</v>
      </c>
      <c r="G514" s="12" t="s">
        <v>544</v>
      </c>
      <c r="H514" s="12">
        <f t="shared" ref="H514:J514" si="103">H474</f>
        <v>90</v>
      </c>
      <c r="I514" s="10" t="str">
        <f>VLOOKUP(A514,战役结算奖励!$A$1:$O$800,15,0)</f>
        <v>[{"id":14,"num":60},{"id":2,"num":2500000},{"id":1,"num":2700000}]</v>
      </c>
      <c r="J514" s="12" t="str">
        <f t="shared" si="103"/>
        <v>[14,2,1]</v>
      </c>
      <c r="K514" s="12">
        <f t="shared" ref="K514:M514" si="104">IF(K474="","",K474)</f>
        <v>90</v>
      </c>
      <c r="L514" s="3" t="s">
        <v>514</v>
      </c>
      <c r="M514" s="12" t="str">
        <f t="shared" si="104"/>
        <v/>
      </c>
      <c r="N514" s="12"/>
      <c r="O514" s="12" t="s">
        <v>514</v>
      </c>
    </row>
    <row r="515" spans="1:15" s="7" customFormat="1" x14ac:dyDescent="0.15">
      <c r="A515" s="3">
        <f t="shared" si="45"/>
        <v>1413032</v>
      </c>
      <c r="B515" s="3">
        <v>14</v>
      </c>
      <c r="C515" s="3">
        <v>0</v>
      </c>
      <c r="D515" s="3">
        <v>1</v>
      </c>
      <c r="E515" s="3">
        <v>13</v>
      </c>
      <c r="F515" s="3">
        <v>32</v>
      </c>
      <c r="G515" s="12" t="s">
        <v>545</v>
      </c>
      <c r="H515" s="12">
        <f t="shared" ref="H515:J515" si="105">H475</f>
        <v>90</v>
      </c>
      <c r="I515" s="10" t="str">
        <f>VLOOKUP(A515,战役结算奖励!$A$1:$O$800,15,0)</f>
        <v>[{"id":14,"num":60},{"id":2,"num":2500000},{"id":1,"num":2700000}]</v>
      </c>
      <c r="J515" s="12" t="str">
        <f t="shared" si="105"/>
        <v>[14,2,1]</v>
      </c>
      <c r="K515" s="12">
        <f t="shared" ref="K515:M515" si="106">IF(K475="","",K475)</f>
        <v>90</v>
      </c>
      <c r="L515" s="3" t="s">
        <v>514</v>
      </c>
      <c r="M515" s="12" t="str">
        <f t="shared" si="106"/>
        <v/>
      </c>
      <c r="N515" s="12"/>
      <c r="O515" s="12" t="s">
        <v>514</v>
      </c>
    </row>
    <row r="516" spans="1:15" s="7" customFormat="1" x14ac:dyDescent="0.15">
      <c r="A516" s="3">
        <f t="shared" si="45"/>
        <v>1413033</v>
      </c>
      <c r="B516" s="3">
        <v>14</v>
      </c>
      <c r="C516" s="3">
        <v>0</v>
      </c>
      <c r="D516" s="3">
        <v>1</v>
      </c>
      <c r="E516" s="3">
        <v>13</v>
      </c>
      <c r="F516" s="3">
        <v>33</v>
      </c>
      <c r="G516" s="12" t="s">
        <v>546</v>
      </c>
      <c r="H516" s="12">
        <f t="shared" ref="H516:J516" si="107">H476</f>
        <v>90</v>
      </c>
      <c r="I516" s="10" t="str">
        <f>VLOOKUP(A516,战役结算奖励!$A$1:$O$800,15,0)</f>
        <v>[{"id":14,"num":60},{"id":2,"num":2500000},{"id":1,"num":2700000}]</v>
      </c>
      <c r="J516" s="12" t="str">
        <f t="shared" si="107"/>
        <v>[14,2,1]</v>
      </c>
      <c r="K516" s="12">
        <f t="shared" ref="K516:M516" si="108">IF(K476="","",K476)</f>
        <v>90</v>
      </c>
      <c r="L516" s="3" t="s">
        <v>514</v>
      </c>
      <c r="M516" s="12" t="str">
        <f t="shared" si="108"/>
        <v/>
      </c>
      <c r="N516" s="12"/>
      <c r="O516" s="12" t="s">
        <v>514</v>
      </c>
    </row>
    <row r="517" spans="1:15" s="7" customFormat="1" x14ac:dyDescent="0.15">
      <c r="A517" s="3">
        <f t="shared" si="45"/>
        <v>1413034</v>
      </c>
      <c r="B517" s="3">
        <v>14</v>
      </c>
      <c r="C517" s="3">
        <v>0</v>
      </c>
      <c r="D517" s="3">
        <v>1</v>
      </c>
      <c r="E517" s="3">
        <v>13</v>
      </c>
      <c r="F517" s="3">
        <v>34</v>
      </c>
      <c r="G517" s="12" t="s">
        <v>547</v>
      </c>
      <c r="H517" s="12">
        <f t="shared" ref="H517:J517" si="109">H477</f>
        <v>90</v>
      </c>
      <c r="I517" s="10" t="str">
        <f>VLOOKUP(A517,战役结算奖励!$A$1:$O$800,15,0)</f>
        <v>[{"id":14,"num":60},{"id":2,"num":2500000},{"id":1,"num":2700000}]</v>
      </c>
      <c r="J517" s="12" t="str">
        <f t="shared" si="109"/>
        <v>[14,2,1]</v>
      </c>
      <c r="K517" s="12">
        <f t="shared" ref="K517:M517" si="110">IF(K477="","",K477)</f>
        <v>90</v>
      </c>
      <c r="L517" s="3" t="s">
        <v>514</v>
      </c>
      <c r="M517" s="12" t="str">
        <f t="shared" si="110"/>
        <v/>
      </c>
      <c r="N517" s="12"/>
      <c r="O517" s="12" t="s">
        <v>514</v>
      </c>
    </row>
    <row r="518" spans="1:15" s="7" customFormat="1" x14ac:dyDescent="0.15">
      <c r="A518" s="3">
        <f t="shared" si="45"/>
        <v>1413035</v>
      </c>
      <c r="B518" s="3">
        <v>14</v>
      </c>
      <c r="C518" s="3">
        <v>0</v>
      </c>
      <c r="D518" s="3">
        <v>1</v>
      </c>
      <c r="E518" s="3">
        <v>13</v>
      </c>
      <c r="F518" s="3">
        <v>35</v>
      </c>
      <c r="G518" s="12" t="s">
        <v>548</v>
      </c>
      <c r="H518" s="12">
        <f t="shared" ref="H518:J518" si="111">H478</f>
        <v>90</v>
      </c>
      <c r="I518" s="10" t="str">
        <f>VLOOKUP(A518,战役结算奖励!$A$1:$O$800,15,0)</f>
        <v>[{"id":14,"num":60},{"id":2,"num":2500000},{"id":1,"num":2700000}]</v>
      </c>
      <c r="J518" s="12" t="str">
        <f t="shared" si="111"/>
        <v>[14,2,1]</v>
      </c>
      <c r="K518" s="12">
        <f t="shared" ref="K518:M518" si="112">IF(K478="","",K478)</f>
        <v>90</v>
      </c>
      <c r="L518" s="3" t="s">
        <v>514</v>
      </c>
      <c r="M518" s="12" t="str">
        <f t="shared" si="112"/>
        <v/>
      </c>
      <c r="N518" s="12"/>
      <c r="O518" s="12" t="s">
        <v>514</v>
      </c>
    </row>
    <row r="519" spans="1:15" s="7" customFormat="1" x14ac:dyDescent="0.15">
      <c r="A519" s="3">
        <f t="shared" si="45"/>
        <v>1413036</v>
      </c>
      <c r="B519" s="3">
        <v>14</v>
      </c>
      <c r="C519" s="3">
        <v>0</v>
      </c>
      <c r="D519" s="3">
        <v>1</v>
      </c>
      <c r="E519" s="3">
        <v>13</v>
      </c>
      <c r="F519" s="3">
        <v>36</v>
      </c>
      <c r="G519" s="12" t="s">
        <v>549</v>
      </c>
      <c r="H519" s="12">
        <f t="shared" ref="H519:J519" si="113">H479</f>
        <v>90</v>
      </c>
      <c r="I519" s="10" t="str">
        <f>VLOOKUP(A519,战役结算奖励!$A$1:$O$800,15,0)</f>
        <v>[{"id":14,"num":60},{"id":2,"num":2500000},{"id":1,"num":2700000}]</v>
      </c>
      <c r="J519" s="12" t="str">
        <f t="shared" si="113"/>
        <v>[14,2,1]</v>
      </c>
      <c r="K519" s="12">
        <f t="shared" ref="K519:M519" si="114">IF(K479="","",K479)</f>
        <v>90</v>
      </c>
      <c r="L519" s="3" t="s">
        <v>514</v>
      </c>
      <c r="M519" s="12" t="str">
        <f t="shared" si="114"/>
        <v/>
      </c>
      <c r="N519" s="12"/>
      <c r="O519" s="12" t="s">
        <v>514</v>
      </c>
    </row>
    <row r="520" spans="1:15" s="7" customFormat="1" x14ac:dyDescent="0.15">
      <c r="A520" s="3">
        <f t="shared" si="45"/>
        <v>1413037</v>
      </c>
      <c r="B520" s="3">
        <v>14</v>
      </c>
      <c r="C520" s="3">
        <v>0</v>
      </c>
      <c r="D520" s="3">
        <v>1</v>
      </c>
      <c r="E520" s="3">
        <v>13</v>
      </c>
      <c r="F520" s="3">
        <v>37</v>
      </c>
      <c r="G520" s="12" t="s">
        <v>550</v>
      </c>
      <c r="H520" s="12">
        <f t="shared" ref="H520:J520" si="115">H480</f>
        <v>90</v>
      </c>
      <c r="I520" s="10" t="str">
        <f>VLOOKUP(A520,战役结算奖励!$A$1:$O$800,15,0)</f>
        <v>[{"id":14,"num":60},{"id":2,"num":2500000},{"id":1,"num":2700000}]</v>
      </c>
      <c r="J520" s="12" t="str">
        <f t="shared" si="115"/>
        <v>[14,2,1]</v>
      </c>
      <c r="K520" s="12">
        <f t="shared" ref="K520:M520" si="116">IF(K480="","",K480)</f>
        <v>90</v>
      </c>
      <c r="L520" s="3" t="s">
        <v>514</v>
      </c>
      <c r="M520" s="12" t="str">
        <f t="shared" si="116"/>
        <v/>
      </c>
      <c r="N520" s="12"/>
      <c r="O520" s="12" t="s">
        <v>514</v>
      </c>
    </row>
    <row r="521" spans="1:15" s="7" customFormat="1" x14ac:dyDescent="0.15">
      <c r="A521" s="3">
        <f t="shared" si="45"/>
        <v>1413038</v>
      </c>
      <c r="B521" s="3">
        <v>14</v>
      </c>
      <c r="C521" s="3">
        <v>0</v>
      </c>
      <c r="D521" s="3">
        <v>1</v>
      </c>
      <c r="E521" s="3">
        <v>13</v>
      </c>
      <c r="F521" s="3">
        <v>38</v>
      </c>
      <c r="G521" s="12" t="s">
        <v>551</v>
      </c>
      <c r="H521" s="12">
        <f t="shared" ref="H521:J521" si="117">H481</f>
        <v>90</v>
      </c>
      <c r="I521" s="10" t="str">
        <f>VLOOKUP(A521,战役结算奖励!$A$1:$O$800,15,0)</f>
        <v>[{"id":14,"num":60},{"id":2,"num":2500000},{"id":1,"num":2700000}]</v>
      </c>
      <c r="J521" s="12" t="str">
        <f t="shared" si="117"/>
        <v>[14,2,1]</v>
      </c>
      <c r="K521" s="12">
        <f t="shared" ref="K521:M521" si="118">IF(K481="","",K481)</f>
        <v>90</v>
      </c>
      <c r="L521" s="3" t="s">
        <v>514</v>
      </c>
      <c r="M521" s="12" t="str">
        <f t="shared" si="118"/>
        <v/>
      </c>
      <c r="N521" s="12"/>
      <c r="O521" s="12" t="s">
        <v>514</v>
      </c>
    </row>
    <row r="522" spans="1:15" s="7" customFormat="1" x14ac:dyDescent="0.15">
      <c r="A522" s="3">
        <f t="shared" si="45"/>
        <v>1413039</v>
      </c>
      <c r="B522" s="3">
        <v>14</v>
      </c>
      <c r="C522" s="3">
        <v>0</v>
      </c>
      <c r="D522" s="3">
        <v>1</v>
      </c>
      <c r="E522" s="3">
        <v>13</v>
      </c>
      <c r="F522" s="3">
        <v>39</v>
      </c>
      <c r="G522" s="12" t="s">
        <v>552</v>
      </c>
      <c r="H522" s="12">
        <f t="shared" ref="H522:J522" si="119">H482</f>
        <v>90</v>
      </c>
      <c r="I522" s="10" t="str">
        <f>VLOOKUP(A522,战役结算奖励!$A$1:$O$800,15,0)</f>
        <v>[{"id":14,"num":60},{"id":2,"num":2500000},{"id":1,"num":2700000}]</v>
      </c>
      <c r="J522" s="12" t="str">
        <f t="shared" si="119"/>
        <v>[14,2,1]</v>
      </c>
      <c r="K522" s="12">
        <f t="shared" ref="K522:M522" si="120">IF(K482="","",K482)</f>
        <v>90</v>
      </c>
      <c r="L522" s="3" t="s">
        <v>514</v>
      </c>
      <c r="M522" s="12" t="str">
        <f t="shared" si="120"/>
        <v/>
      </c>
      <c r="N522" s="12"/>
      <c r="O522" s="12" t="s">
        <v>514</v>
      </c>
    </row>
    <row r="523" spans="1:15" s="7" customFormat="1" x14ac:dyDescent="0.15">
      <c r="A523" s="3">
        <f t="shared" si="45"/>
        <v>1413040</v>
      </c>
      <c r="B523" s="3">
        <v>14</v>
      </c>
      <c r="C523" s="3">
        <v>0</v>
      </c>
      <c r="D523" s="3">
        <v>1</v>
      </c>
      <c r="E523" s="3">
        <v>13</v>
      </c>
      <c r="F523" s="3">
        <v>40</v>
      </c>
      <c r="G523" s="12" t="s">
        <v>553</v>
      </c>
      <c r="H523" s="12">
        <f t="shared" ref="H523:J523" si="121">H483</f>
        <v>90</v>
      </c>
      <c r="I523" s="10" t="str">
        <f>VLOOKUP(A523,战役结算奖励!$A$1:$O$800,15,0)</f>
        <v>[{"id":14,"num":60},{"id":2,"num":2500000},{"id":1,"num":2700000}]</v>
      </c>
      <c r="J523" s="12" t="str">
        <f t="shared" si="121"/>
        <v>[14,2,1]</v>
      </c>
      <c r="K523" s="12">
        <f t="shared" ref="K523:M523" si="122">IF(K483="","",K483)</f>
        <v>90</v>
      </c>
      <c r="L523" s="3" t="s">
        <v>1226</v>
      </c>
      <c r="M523" s="12" t="str">
        <f t="shared" si="122"/>
        <v/>
      </c>
      <c r="N523" s="12"/>
      <c r="O523" s="12">
        <v>1</v>
      </c>
    </row>
    <row r="524" spans="1:15" s="7" customFormat="1" x14ac:dyDescent="0.15">
      <c r="A524" s="3">
        <f t="shared" si="45"/>
        <v>1414001</v>
      </c>
      <c r="B524" s="14">
        <f>B484</f>
        <v>14</v>
      </c>
      <c r="C524" s="14">
        <f>C484</f>
        <v>0</v>
      </c>
      <c r="D524" s="14">
        <f>D484</f>
        <v>1</v>
      </c>
      <c r="E524" s="14">
        <f>E484+1</f>
        <v>14</v>
      </c>
      <c r="F524" s="14">
        <f t="shared" ref="F524:F587" si="123">F484</f>
        <v>1</v>
      </c>
      <c r="G524" s="12" t="s">
        <v>554</v>
      </c>
      <c r="H524" s="12">
        <f t="shared" ref="H524:J524" si="124">H484</f>
        <v>90</v>
      </c>
      <c r="I524" s="10" t="str">
        <f>VLOOKUP(A524,战役结算奖励!$A$1:$O$800,15,0)</f>
        <v>[{"id":14,"num":60},{"id":2,"num":2500000},{"id":1,"num":2900000}]</v>
      </c>
      <c r="J524" s="12" t="str">
        <f t="shared" si="124"/>
        <v>[14,2,1]</v>
      </c>
      <c r="K524" s="12">
        <f>IF(K484="","",K484)</f>
        <v>87</v>
      </c>
      <c r="L524" s="3" t="s">
        <v>514</v>
      </c>
      <c r="M524" s="12" t="str">
        <f>IF(M484="","",M484)</f>
        <v/>
      </c>
      <c r="N524" s="12"/>
      <c r="O524" s="12" t="s">
        <v>514</v>
      </c>
    </row>
    <row r="525" spans="1:15" s="7" customFormat="1" x14ac:dyDescent="0.15">
      <c r="A525" s="3">
        <f t="shared" ref="A525:A588" si="125">B525*100000+E525*1000+F525</f>
        <v>1414002</v>
      </c>
      <c r="B525" s="14">
        <f t="shared" ref="B525:D525" si="126">B485</f>
        <v>14</v>
      </c>
      <c r="C525" s="14">
        <f t="shared" si="126"/>
        <v>0</v>
      </c>
      <c r="D525" s="14">
        <f t="shared" si="126"/>
        <v>1</v>
      </c>
      <c r="E525" s="14">
        <f t="shared" ref="E525:E588" si="127">E485+1</f>
        <v>14</v>
      </c>
      <c r="F525" s="14">
        <f t="shared" si="123"/>
        <v>2</v>
      </c>
      <c r="G525" s="12" t="s">
        <v>555</v>
      </c>
      <c r="H525" s="12">
        <f t="shared" ref="H525:H547" si="128">H485</f>
        <v>90</v>
      </c>
      <c r="I525" s="10" t="str">
        <f>VLOOKUP(A525,战役结算奖励!$A$1:$O$800,15,0)</f>
        <v>[{"id":14,"num":60},{"id":2,"num":2500000},{"id":1,"num":2900000}]</v>
      </c>
      <c r="J525" s="12" t="str">
        <f t="shared" ref="J525:J547" si="129">J485</f>
        <v>[14,2,1]</v>
      </c>
      <c r="K525" s="12">
        <f t="shared" ref="K525:M525" si="130">IF(K485="","",K485)</f>
        <v>87</v>
      </c>
      <c r="L525" s="3" t="s">
        <v>514</v>
      </c>
      <c r="M525" s="12" t="str">
        <f t="shared" si="130"/>
        <v/>
      </c>
      <c r="N525" s="12"/>
      <c r="O525" s="12" t="s">
        <v>514</v>
      </c>
    </row>
    <row r="526" spans="1:15" s="7" customFormat="1" x14ac:dyDescent="0.15">
      <c r="A526" s="3">
        <f t="shared" si="125"/>
        <v>1414003</v>
      </c>
      <c r="B526" s="14">
        <f t="shared" ref="B526:D526" si="131">B486</f>
        <v>14</v>
      </c>
      <c r="C526" s="14">
        <f t="shared" si="131"/>
        <v>0</v>
      </c>
      <c r="D526" s="14">
        <f t="shared" si="131"/>
        <v>1</v>
      </c>
      <c r="E526" s="14">
        <f t="shared" si="127"/>
        <v>14</v>
      </c>
      <c r="F526" s="14">
        <f t="shared" si="123"/>
        <v>3</v>
      </c>
      <c r="G526" s="12" t="s">
        <v>556</v>
      </c>
      <c r="H526" s="12">
        <f t="shared" si="128"/>
        <v>90</v>
      </c>
      <c r="I526" s="10" t="str">
        <f>VLOOKUP(A526,战役结算奖励!$A$1:$O$800,15,0)</f>
        <v>[{"id":14,"num":60},{"id":2,"num":2500000},{"id":1,"num":2900000}]</v>
      </c>
      <c r="J526" s="12" t="str">
        <f t="shared" si="129"/>
        <v>[14,2,1]</v>
      </c>
      <c r="K526" s="12">
        <f t="shared" ref="K526:M526" si="132">IF(K486="","",K486)</f>
        <v>87</v>
      </c>
      <c r="L526" s="3" t="s">
        <v>514</v>
      </c>
      <c r="M526" s="12" t="str">
        <f t="shared" si="132"/>
        <v/>
      </c>
      <c r="N526" s="12"/>
      <c r="O526" s="12" t="s">
        <v>514</v>
      </c>
    </row>
    <row r="527" spans="1:15" s="7" customFormat="1" x14ac:dyDescent="0.15">
      <c r="A527" s="3">
        <f t="shared" si="125"/>
        <v>1414004</v>
      </c>
      <c r="B527" s="14">
        <f t="shared" ref="B527:D527" si="133">B487</f>
        <v>14</v>
      </c>
      <c r="C527" s="14">
        <f t="shared" si="133"/>
        <v>0</v>
      </c>
      <c r="D527" s="14">
        <f t="shared" si="133"/>
        <v>1</v>
      </c>
      <c r="E527" s="14">
        <f t="shared" si="127"/>
        <v>14</v>
      </c>
      <c r="F527" s="14">
        <f t="shared" si="123"/>
        <v>4</v>
      </c>
      <c r="G527" s="12" t="s">
        <v>557</v>
      </c>
      <c r="H527" s="12">
        <f t="shared" si="128"/>
        <v>90</v>
      </c>
      <c r="I527" s="10" t="str">
        <f>VLOOKUP(A527,战役结算奖励!$A$1:$O$800,15,0)</f>
        <v>[{"id":14,"num":60},{"id":2,"num":2500000},{"id":1,"num":2900000}]</v>
      </c>
      <c r="J527" s="12" t="str">
        <f t="shared" si="129"/>
        <v>[14,2,1]</v>
      </c>
      <c r="K527" s="12">
        <f t="shared" ref="K527:M527" si="134">IF(K487="","",K487)</f>
        <v>87</v>
      </c>
      <c r="L527" s="3" t="s">
        <v>514</v>
      </c>
      <c r="M527" s="12" t="str">
        <f t="shared" si="134"/>
        <v/>
      </c>
      <c r="N527" s="12"/>
      <c r="O527" s="12" t="s">
        <v>514</v>
      </c>
    </row>
    <row r="528" spans="1:15" s="7" customFormat="1" x14ac:dyDescent="0.15">
      <c r="A528" s="3">
        <f t="shared" si="125"/>
        <v>1414005</v>
      </c>
      <c r="B528" s="14">
        <f t="shared" ref="B528:D528" si="135">B488</f>
        <v>14</v>
      </c>
      <c r="C528" s="14">
        <f t="shared" si="135"/>
        <v>0</v>
      </c>
      <c r="D528" s="14">
        <f t="shared" si="135"/>
        <v>1</v>
      </c>
      <c r="E528" s="14">
        <f t="shared" si="127"/>
        <v>14</v>
      </c>
      <c r="F528" s="14">
        <f t="shared" si="123"/>
        <v>5</v>
      </c>
      <c r="G528" s="12" t="s">
        <v>558</v>
      </c>
      <c r="H528" s="12">
        <f t="shared" si="128"/>
        <v>90</v>
      </c>
      <c r="I528" s="10" t="str">
        <f>VLOOKUP(A528,战役结算奖励!$A$1:$O$800,15,0)</f>
        <v>[{"id":14,"num":60},{"id":2,"num":2500000},{"id":1,"num":2900000}]</v>
      </c>
      <c r="J528" s="12" t="str">
        <f t="shared" si="129"/>
        <v>[14,2,1]</v>
      </c>
      <c r="K528" s="12">
        <f t="shared" ref="K528:M528" si="136">IF(K488="","",K488)</f>
        <v>87</v>
      </c>
      <c r="L528" s="3" t="s">
        <v>514</v>
      </c>
      <c r="M528" s="12" t="str">
        <f t="shared" si="136"/>
        <v/>
      </c>
      <c r="N528" s="12"/>
      <c r="O528" s="12" t="s">
        <v>514</v>
      </c>
    </row>
    <row r="529" spans="1:15" s="7" customFormat="1" x14ac:dyDescent="0.15">
      <c r="A529" s="3">
        <f t="shared" si="125"/>
        <v>1414006</v>
      </c>
      <c r="B529" s="14">
        <f t="shared" ref="B529:D529" si="137">B489</f>
        <v>14</v>
      </c>
      <c r="C529" s="14">
        <f t="shared" si="137"/>
        <v>0</v>
      </c>
      <c r="D529" s="14">
        <f t="shared" si="137"/>
        <v>1</v>
      </c>
      <c r="E529" s="14">
        <f t="shared" si="127"/>
        <v>14</v>
      </c>
      <c r="F529" s="14">
        <f t="shared" si="123"/>
        <v>6</v>
      </c>
      <c r="G529" s="12" t="s">
        <v>559</v>
      </c>
      <c r="H529" s="12">
        <f t="shared" si="128"/>
        <v>90</v>
      </c>
      <c r="I529" s="10" t="str">
        <f>VLOOKUP(A529,战役结算奖励!$A$1:$O$800,15,0)</f>
        <v>[{"id":14,"num":60},{"id":2,"num":2500000},{"id":1,"num":2900000}]</v>
      </c>
      <c r="J529" s="12" t="str">
        <f t="shared" si="129"/>
        <v>[14,2,1]</v>
      </c>
      <c r="K529" s="12">
        <f t="shared" ref="K529:M529" si="138">IF(K489="","",K489)</f>
        <v>88</v>
      </c>
      <c r="L529" s="3" t="s">
        <v>514</v>
      </c>
      <c r="M529" s="12" t="str">
        <f t="shared" si="138"/>
        <v/>
      </c>
      <c r="N529" s="12"/>
      <c r="O529" s="12" t="s">
        <v>514</v>
      </c>
    </row>
    <row r="530" spans="1:15" s="7" customFormat="1" x14ac:dyDescent="0.15">
      <c r="A530" s="3">
        <f t="shared" si="125"/>
        <v>1414007</v>
      </c>
      <c r="B530" s="14">
        <f t="shared" ref="B530:D530" si="139">B490</f>
        <v>14</v>
      </c>
      <c r="C530" s="14">
        <f t="shared" si="139"/>
        <v>0</v>
      </c>
      <c r="D530" s="14">
        <f t="shared" si="139"/>
        <v>1</v>
      </c>
      <c r="E530" s="14">
        <f t="shared" si="127"/>
        <v>14</v>
      </c>
      <c r="F530" s="14">
        <f t="shared" si="123"/>
        <v>7</v>
      </c>
      <c r="G530" s="12" t="s">
        <v>560</v>
      </c>
      <c r="H530" s="12">
        <f t="shared" si="128"/>
        <v>90</v>
      </c>
      <c r="I530" s="10" t="str">
        <f>VLOOKUP(A530,战役结算奖励!$A$1:$O$800,15,0)</f>
        <v>[{"id":14,"num":60},{"id":2,"num":2500000},{"id":1,"num":2900000}]</v>
      </c>
      <c r="J530" s="12" t="str">
        <f t="shared" si="129"/>
        <v>[14,2,1]</v>
      </c>
      <c r="K530" s="12">
        <f t="shared" ref="K530:M530" si="140">IF(K490="","",K490)</f>
        <v>88</v>
      </c>
      <c r="L530" s="3" t="s">
        <v>514</v>
      </c>
      <c r="M530" s="12" t="str">
        <f t="shared" si="140"/>
        <v/>
      </c>
      <c r="N530" s="12"/>
      <c r="O530" s="12" t="s">
        <v>514</v>
      </c>
    </row>
    <row r="531" spans="1:15" s="7" customFormat="1" x14ac:dyDescent="0.15">
      <c r="A531" s="3">
        <f t="shared" si="125"/>
        <v>1414008</v>
      </c>
      <c r="B531" s="14">
        <f t="shared" ref="B531:D531" si="141">B491</f>
        <v>14</v>
      </c>
      <c r="C531" s="14">
        <f t="shared" si="141"/>
        <v>0</v>
      </c>
      <c r="D531" s="14">
        <f t="shared" si="141"/>
        <v>1</v>
      </c>
      <c r="E531" s="14">
        <f t="shared" si="127"/>
        <v>14</v>
      </c>
      <c r="F531" s="14">
        <f t="shared" si="123"/>
        <v>8</v>
      </c>
      <c r="G531" s="12" t="s">
        <v>561</v>
      </c>
      <c r="H531" s="12">
        <f t="shared" si="128"/>
        <v>90</v>
      </c>
      <c r="I531" s="10" t="str">
        <f>VLOOKUP(A531,战役结算奖励!$A$1:$O$800,15,0)</f>
        <v>[{"id":14,"num":60},{"id":2,"num":2500000},{"id":1,"num":2900000}]</v>
      </c>
      <c r="J531" s="12" t="str">
        <f t="shared" si="129"/>
        <v>[14,2,1]</v>
      </c>
      <c r="K531" s="12">
        <f t="shared" ref="K531:M531" si="142">IF(K491="","",K491)</f>
        <v>88</v>
      </c>
      <c r="L531" s="3" t="s">
        <v>514</v>
      </c>
      <c r="M531" s="12" t="str">
        <f t="shared" si="142"/>
        <v/>
      </c>
      <c r="N531" s="12"/>
      <c r="O531" s="12" t="s">
        <v>514</v>
      </c>
    </row>
    <row r="532" spans="1:15" s="7" customFormat="1" x14ac:dyDescent="0.15">
      <c r="A532" s="3">
        <f t="shared" si="125"/>
        <v>1414009</v>
      </c>
      <c r="B532" s="14">
        <f t="shared" ref="B532:D532" si="143">B492</f>
        <v>14</v>
      </c>
      <c r="C532" s="14">
        <f t="shared" si="143"/>
        <v>0</v>
      </c>
      <c r="D532" s="14">
        <f t="shared" si="143"/>
        <v>1</v>
      </c>
      <c r="E532" s="14">
        <f t="shared" si="127"/>
        <v>14</v>
      </c>
      <c r="F532" s="14">
        <f t="shared" si="123"/>
        <v>9</v>
      </c>
      <c r="G532" s="12" t="s">
        <v>562</v>
      </c>
      <c r="H532" s="12">
        <f t="shared" si="128"/>
        <v>90</v>
      </c>
      <c r="I532" s="10" t="str">
        <f>VLOOKUP(A532,战役结算奖励!$A$1:$O$800,15,0)</f>
        <v>[{"id":14,"num":60},{"id":2,"num":2500000},{"id":1,"num":2900000}]</v>
      </c>
      <c r="J532" s="12" t="str">
        <f t="shared" si="129"/>
        <v>[14,2,1]</v>
      </c>
      <c r="K532" s="12">
        <f t="shared" ref="K532:M532" si="144">IF(K492="","",K492)</f>
        <v>88</v>
      </c>
      <c r="L532" s="3" t="s">
        <v>514</v>
      </c>
      <c r="M532" s="12" t="str">
        <f t="shared" si="144"/>
        <v/>
      </c>
      <c r="N532" s="12"/>
      <c r="O532" s="12" t="s">
        <v>514</v>
      </c>
    </row>
    <row r="533" spans="1:15" s="7" customFormat="1" x14ac:dyDescent="0.15">
      <c r="A533" s="3">
        <f t="shared" si="125"/>
        <v>1414010</v>
      </c>
      <c r="B533" s="14">
        <f t="shared" ref="B533:D533" si="145">B493</f>
        <v>14</v>
      </c>
      <c r="C533" s="14">
        <f t="shared" si="145"/>
        <v>0</v>
      </c>
      <c r="D533" s="14">
        <f t="shared" si="145"/>
        <v>1</v>
      </c>
      <c r="E533" s="14">
        <f t="shared" si="127"/>
        <v>14</v>
      </c>
      <c r="F533" s="14">
        <f t="shared" si="123"/>
        <v>10</v>
      </c>
      <c r="G533" s="12" t="s">
        <v>563</v>
      </c>
      <c r="H533" s="12">
        <f t="shared" si="128"/>
        <v>90</v>
      </c>
      <c r="I533" s="10" t="str">
        <f>VLOOKUP(A533,战役结算奖励!$A$1:$O$800,15,0)</f>
        <v>[{"id":14,"num":60},{"id":2,"num":2500000},{"id":1,"num":2900000}]</v>
      </c>
      <c r="J533" s="12" t="str">
        <f t="shared" si="129"/>
        <v>[14,2,1]</v>
      </c>
      <c r="K533" s="12">
        <f t="shared" ref="K533:M533" si="146">IF(K493="","",K493)</f>
        <v>88</v>
      </c>
      <c r="L533" s="3" t="s">
        <v>514</v>
      </c>
      <c r="M533" s="12" t="str">
        <f t="shared" si="146"/>
        <v/>
      </c>
      <c r="N533" s="12"/>
      <c r="O533" s="12" t="s">
        <v>514</v>
      </c>
    </row>
    <row r="534" spans="1:15" s="7" customFormat="1" x14ac:dyDescent="0.15">
      <c r="A534" s="3">
        <f t="shared" si="125"/>
        <v>1414011</v>
      </c>
      <c r="B534" s="14">
        <f t="shared" ref="B534:D534" si="147">B494</f>
        <v>14</v>
      </c>
      <c r="C534" s="14">
        <f t="shared" si="147"/>
        <v>0</v>
      </c>
      <c r="D534" s="14">
        <f t="shared" si="147"/>
        <v>1</v>
      </c>
      <c r="E534" s="14">
        <f t="shared" si="127"/>
        <v>14</v>
      </c>
      <c r="F534" s="14">
        <f t="shared" si="123"/>
        <v>11</v>
      </c>
      <c r="G534" s="12" t="s">
        <v>564</v>
      </c>
      <c r="H534" s="12">
        <f t="shared" si="128"/>
        <v>90</v>
      </c>
      <c r="I534" s="10" t="str">
        <f>VLOOKUP(A534,战役结算奖励!$A$1:$O$800,15,0)</f>
        <v>[{"id":14,"num":60},{"id":2,"num":2500000},{"id":1,"num":2900000}]</v>
      </c>
      <c r="J534" s="12" t="str">
        <f t="shared" si="129"/>
        <v>[14,2,1]</v>
      </c>
      <c r="K534" s="12">
        <f t="shared" ref="K534:M534" si="148">IF(K494="","",K494)</f>
        <v>89</v>
      </c>
      <c r="L534" s="3" t="s">
        <v>514</v>
      </c>
      <c r="M534" s="12" t="str">
        <f t="shared" si="148"/>
        <v/>
      </c>
      <c r="N534" s="12"/>
      <c r="O534" s="12" t="s">
        <v>514</v>
      </c>
    </row>
    <row r="535" spans="1:15" s="7" customFormat="1" x14ac:dyDescent="0.15">
      <c r="A535" s="3">
        <f t="shared" si="125"/>
        <v>1414012</v>
      </c>
      <c r="B535" s="14">
        <f t="shared" ref="B535:D535" si="149">B495</f>
        <v>14</v>
      </c>
      <c r="C535" s="14">
        <f t="shared" si="149"/>
        <v>0</v>
      </c>
      <c r="D535" s="14">
        <f t="shared" si="149"/>
        <v>1</v>
      </c>
      <c r="E535" s="14">
        <f t="shared" si="127"/>
        <v>14</v>
      </c>
      <c r="F535" s="14">
        <f t="shared" si="123"/>
        <v>12</v>
      </c>
      <c r="G535" s="12" t="s">
        <v>565</v>
      </c>
      <c r="H535" s="12">
        <f t="shared" si="128"/>
        <v>90</v>
      </c>
      <c r="I535" s="10" t="str">
        <f>VLOOKUP(A535,战役结算奖励!$A$1:$O$800,15,0)</f>
        <v>[{"id":14,"num":60},{"id":2,"num":2500000},{"id":1,"num":2900000}]</v>
      </c>
      <c r="J535" s="12" t="str">
        <f t="shared" si="129"/>
        <v>[14,2,1]</v>
      </c>
      <c r="K535" s="12">
        <f t="shared" ref="K535:M535" si="150">IF(K495="","",K495)</f>
        <v>89</v>
      </c>
      <c r="L535" s="3" t="s">
        <v>514</v>
      </c>
      <c r="M535" s="12" t="str">
        <f t="shared" si="150"/>
        <v/>
      </c>
      <c r="N535" s="12"/>
      <c r="O535" s="12" t="s">
        <v>514</v>
      </c>
    </row>
    <row r="536" spans="1:15" s="7" customFormat="1" x14ac:dyDescent="0.15">
      <c r="A536" s="3">
        <f t="shared" si="125"/>
        <v>1414013</v>
      </c>
      <c r="B536" s="14">
        <f t="shared" ref="B536:D536" si="151">B496</f>
        <v>14</v>
      </c>
      <c r="C536" s="14">
        <f t="shared" si="151"/>
        <v>0</v>
      </c>
      <c r="D536" s="14">
        <f t="shared" si="151"/>
        <v>1</v>
      </c>
      <c r="E536" s="14">
        <f t="shared" si="127"/>
        <v>14</v>
      </c>
      <c r="F536" s="14">
        <f t="shared" si="123"/>
        <v>13</v>
      </c>
      <c r="G536" s="12" t="s">
        <v>566</v>
      </c>
      <c r="H536" s="12">
        <f t="shared" si="128"/>
        <v>90</v>
      </c>
      <c r="I536" s="10" t="str">
        <f>VLOOKUP(A536,战役结算奖励!$A$1:$O$800,15,0)</f>
        <v>[{"id":14,"num":60},{"id":2,"num":2500000},{"id":1,"num":2900000}]</v>
      </c>
      <c r="J536" s="12" t="str">
        <f t="shared" si="129"/>
        <v>[14,2,1]</v>
      </c>
      <c r="K536" s="12">
        <f t="shared" ref="K536:M536" si="152">IF(K496="","",K496)</f>
        <v>89</v>
      </c>
      <c r="L536" s="3" t="s">
        <v>514</v>
      </c>
      <c r="M536" s="12" t="str">
        <f t="shared" si="152"/>
        <v/>
      </c>
      <c r="N536" s="12"/>
      <c r="O536" s="12" t="s">
        <v>514</v>
      </c>
    </row>
    <row r="537" spans="1:15" s="7" customFormat="1" x14ac:dyDescent="0.15">
      <c r="A537" s="3">
        <f t="shared" si="125"/>
        <v>1414014</v>
      </c>
      <c r="B537" s="14">
        <f t="shared" ref="B537:D537" si="153">B497</f>
        <v>14</v>
      </c>
      <c r="C537" s="14">
        <f t="shared" si="153"/>
        <v>0</v>
      </c>
      <c r="D537" s="14">
        <f t="shared" si="153"/>
        <v>1</v>
      </c>
      <c r="E537" s="14">
        <f t="shared" si="127"/>
        <v>14</v>
      </c>
      <c r="F537" s="14">
        <f t="shared" si="123"/>
        <v>14</v>
      </c>
      <c r="G537" s="12" t="s">
        <v>567</v>
      </c>
      <c r="H537" s="12">
        <f t="shared" si="128"/>
        <v>90</v>
      </c>
      <c r="I537" s="10" t="str">
        <f>VLOOKUP(A537,战役结算奖励!$A$1:$O$800,15,0)</f>
        <v>[{"id":14,"num":60},{"id":2,"num":2500000},{"id":1,"num":2900000}]</v>
      </c>
      <c r="J537" s="12" t="str">
        <f t="shared" si="129"/>
        <v>[14,2,1]</v>
      </c>
      <c r="K537" s="12">
        <f t="shared" ref="K537:M537" si="154">IF(K497="","",K497)</f>
        <v>89</v>
      </c>
      <c r="L537" s="3" t="s">
        <v>514</v>
      </c>
      <c r="M537" s="12" t="str">
        <f t="shared" si="154"/>
        <v/>
      </c>
      <c r="N537" s="12"/>
      <c r="O537" s="12" t="s">
        <v>514</v>
      </c>
    </row>
    <row r="538" spans="1:15" s="7" customFormat="1" x14ac:dyDescent="0.15">
      <c r="A538" s="3">
        <f t="shared" si="125"/>
        <v>1414015</v>
      </c>
      <c r="B538" s="14">
        <f t="shared" ref="B538:D538" si="155">B498</f>
        <v>14</v>
      </c>
      <c r="C538" s="14">
        <f t="shared" si="155"/>
        <v>0</v>
      </c>
      <c r="D538" s="14">
        <f t="shared" si="155"/>
        <v>1</v>
      </c>
      <c r="E538" s="14">
        <f t="shared" si="127"/>
        <v>14</v>
      </c>
      <c r="F538" s="14">
        <f t="shared" si="123"/>
        <v>15</v>
      </c>
      <c r="G538" s="12" t="s">
        <v>568</v>
      </c>
      <c r="H538" s="12">
        <f t="shared" si="128"/>
        <v>90</v>
      </c>
      <c r="I538" s="10" t="str">
        <f>VLOOKUP(A538,战役结算奖励!$A$1:$O$800,15,0)</f>
        <v>[{"id":14,"num":60},{"id":2,"num":2500000},{"id":1,"num":2900000}]</v>
      </c>
      <c r="J538" s="12" t="str">
        <f t="shared" si="129"/>
        <v>[14,2,1]</v>
      </c>
      <c r="K538" s="12">
        <f t="shared" ref="K538:M538" si="156">IF(K498="","",K498)</f>
        <v>89</v>
      </c>
      <c r="L538" s="3" t="s">
        <v>514</v>
      </c>
      <c r="M538" s="12" t="str">
        <f t="shared" si="156"/>
        <v/>
      </c>
      <c r="N538" s="12"/>
      <c r="O538" s="12" t="s">
        <v>514</v>
      </c>
    </row>
    <row r="539" spans="1:15" s="7" customFormat="1" x14ac:dyDescent="0.15">
      <c r="A539" s="3">
        <f t="shared" si="125"/>
        <v>1414016</v>
      </c>
      <c r="B539" s="14">
        <f t="shared" ref="B539:D539" si="157">B499</f>
        <v>14</v>
      </c>
      <c r="C539" s="14">
        <f t="shared" si="157"/>
        <v>0</v>
      </c>
      <c r="D539" s="14">
        <f t="shared" si="157"/>
        <v>1</v>
      </c>
      <c r="E539" s="14">
        <f t="shared" si="127"/>
        <v>14</v>
      </c>
      <c r="F539" s="14">
        <f t="shared" si="123"/>
        <v>16</v>
      </c>
      <c r="G539" s="12" t="s">
        <v>569</v>
      </c>
      <c r="H539" s="12">
        <f t="shared" si="128"/>
        <v>90</v>
      </c>
      <c r="I539" s="10" t="str">
        <f>VLOOKUP(A539,战役结算奖励!$A$1:$O$800,15,0)</f>
        <v>[{"id":14,"num":60},{"id":2,"num":2500000},{"id":1,"num":2900000}]</v>
      </c>
      <c r="J539" s="12" t="str">
        <f t="shared" si="129"/>
        <v>[14,2,1]</v>
      </c>
      <c r="K539" s="12">
        <f t="shared" ref="K539:M539" si="158">IF(K499="","",K499)</f>
        <v>90</v>
      </c>
      <c r="L539" s="3" t="s">
        <v>514</v>
      </c>
      <c r="M539" s="12" t="str">
        <f t="shared" si="158"/>
        <v/>
      </c>
      <c r="N539" s="12"/>
      <c r="O539" s="12" t="s">
        <v>514</v>
      </c>
    </row>
    <row r="540" spans="1:15" s="7" customFormat="1" x14ac:dyDescent="0.15">
      <c r="A540" s="3">
        <f t="shared" si="125"/>
        <v>1414017</v>
      </c>
      <c r="B540" s="14">
        <f t="shared" ref="B540:D540" si="159">B500</f>
        <v>14</v>
      </c>
      <c r="C540" s="14">
        <f t="shared" si="159"/>
        <v>0</v>
      </c>
      <c r="D540" s="14">
        <f t="shared" si="159"/>
        <v>1</v>
      </c>
      <c r="E540" s="14">
        <f t="shared" si="127"/>
        <v>14</v>
      </c>
      <c r="F540" s="14">
        <f t="shared" si="123"/>
        <v>17</v>
      </c>
      <c r="G540" s="12" t="s">
        <v>570</v>
      </c>
      <c r="H540" s="12">
        <f t="shared" si="128"/>
        <v>90</v>
      </c>
      <c r="I540" s="10" t="str">
        <f>VLOOKUP(A540,战役结算奖励!$A$1:$O$800,15,0)</f>
        <v>[{"id":14,"num":60},{"id":2,"num":2500000},{"id":1,"num":2900000}]</v>
      </c>
      <c r="J540" s="12" t="str">
        <f t="shared" si="129"/>
        <v>[14,2,1]</v>
      </c>
      <c r="K540" s="12">
        <f t="shared" ref="K540:M540" si="160">IF(K500="","",K500)</f>
        <v>90</v>
      </c>
      <c r="L540" s="3" t="s">
        <v>514</v>
      </c>
      <c r="M540" s="12" t="str">
        <f t="shared" si="160"/>
        <v/>
      </c>
      <c r="N540" s="12"/>
      <c r="O540" s="12" t="s">
        <v>514</v>
      </c>
    </row>
    <row r="541" spans="1:15" s="7" customFormat="1" x14ac:dyDescent="0.15">
      <c r="A541" s="3">
        <f t="shared" si="125"/>
        <v>1414018</v>
      </c>
      <c r="B541" s="14">
        <f t="shared" ref="B541:D541" si="161">B501</f>
        <v>14</v>
      </c>
      <c r="C541" s="14">
        <f t="shared" si="161"/>
        <v>0</v>
      </c>
      <c r="D541" s="14">
        <f t="shared" si="161"/>
        <v>1</v>
      </c>
      <c r="E541" s="14">
        <f t="shared" si="127"/>
        <v>14</v>
      </c>
      <c r="F541" s="14">
        <f t="shared" si="123"/>
        <v>18</v>
      </c>
      <c r="G541" s="12" t="s">
        <v>571</v>
      </c>
      <c r="H541" s="12">
        <f t="shared" si="128"/>
        <v>90</v>
      </c>
      <c r="I541" s="10" t="str">
        <f>VLOOKUP(A541,战役结算奖励!$A$1:$O$800,15,0)</f>
        <v>[{"id":14,"num":60},{"id":2,"num":2500000},{"id":1,"num":2900000}]</v>
      </c>
      <c r="J541" s="12" t="str">
        <f t="shared" si="129"/>
        <v>[14,2,1]</v>
      </c>
      <c r="K541" s="12">
        <f t="shared" ref="K541:M541" si="162">IF(K501="","",K501)</f>
        <v>90</v>
      </c>
      <c r="L541" s="3" t="s">
        <v>514</v>
      </c>
      <c r="M541" s="12" t="str">
        <f t="shared" si="162"/>
        <v/>
      </c>
      <c r="N541" s="12"/>
      <c r="O541" s="12" t="s">
        <v>514</v>
      </c>
    </row>
    <row r="542" spans="1:15" s="7" customFormat="1" x14ac:dyDescent="0.15">
      <c r="A542" s="3">
        <f t="shared" si="125"/>
        <v>1414019</v>
      </c>
      <c r="B542" s="14">
        <f t="shared" ref="B542:D542" si="163">B502</f>
        <v>14</v>
      </c>
      <c r="C542" s="14">
        <f t="shared" si="163"/>
        <v>0</v>
      </c>
      <c r="D542" s="14">
        <f t="shared" si="163"/>
        <v>1</v>
      </c>
      <c r="E542" s="14">
        <f t="shared" si="127"/>
        <v>14</v>
      </c>
      <c r="F542" s="14">
        <f t="shared" si="123"/>
        <v>19</v>
      </c>
      <c r="G542" s="12" t="s">
        <v>572</v>
      </c>
      <c r="H542" s="12">
        <f t="shared" si="128"/>
        <v>90</v>
      </c>
      <c r="I542" s="10" t="str">
        <f>VLOOKUP(A542,战役结算奖励!$A$1:$O$800,15,0)</f>
        <v>[{"id":14,"num":60},{"id":2,"num":2500000},{"id":1,"num":2900000}]</v>
      </c>
      <c r="J542" s="12" t="str">
        <f t="shared" si="129"/>
        <v>[14,2,1]</v>
      </c>
      <c r="K542" s="12">
        <f t="shared" ref="K542:M542" si="164">IF(K502="","",K502)</f>
        <v>90</v>
      </c>
      <c r="L542" s="3" t="s">
        <v>514</v>
      </c>
      <c r="M542" s="12" t="str">
        <f t="shared" si="164"/>
        <v/>
      </c>
      <c r="N542" s="12"/>
      <c r="O542" s="12" t="s">
        <v>514</v>
      </c>
    </row>
    <row r="543" spans="1:15" s="7" customFormat="1" x14ac:dyDescent="0.15">
      <c r="A543" s="3">
        <f t="shared" si="125"/>
        <v>1414020</v>
      </c>
      <c r="B543" s="14">
        <f t="shared" ref="B543:D543" si="165">B503</f>
        <v>14</v>
      </c>
      <c r="C543" s="14">
        <f t="shared" si="165"/>
        <v>0</v>
      </c>
      <c r="D543" s="14">
        <f t="shared" si="165"/>
        <v>1</v>
      </c>
      <c r="E543" s="14">
        <f t="shared" si="127"/>
        <v>14</v>
      </c>
      <c r="F543" s="14">
        <f t="shared" si="123"/>
        <v>20</v>
      </c>
      <c r="G543" s="12" t="s">
        <v>573</v>
      </c>
      <c r="H543" s="12">
        <f t="shared" si="128"/>
        <v>90</v>
      </c>
      <c r="I543" s="10" t="str">
        <f>VLOOKUP(A543,战役结算奖励!$A$1:$O$800,15,0)</f>
        <v>[{"id":14,"num":60},{"id":2,"num":2500000},{"id":1,"num":2900000}]</v>
      </c>
      <c r="J543" s="12" t="str">
        <f t="shared" si="129"/>
        <v>[14,2,1]</v>
      </c>
      <c r="K543" s="12">
        <f t="shared" ref="K543:M543" si="166">IF(K503="","",K503)</f>
        <v>90</v>
      </c>
      <c r="L543" s="3" t="s">
        <v>514</v>
      </c>
      <c r="M543" s="12" t="str">
        <f t="shared" si="166"/>
        <v/>
      </c>
      <c r="N543" s="12"/>
      <c r="O543" s="12" t="s">
        <v>514</v>
      </c>
    </row>
    <row r="544" spans="1:15" s="7" customFormat="1" x14ac:dyDescent="0.15">
      <c r="A544" s="3">
        <f t="shared" si="125"/>
        <v>1414021</v>
      </c>
      <c r="B544" s="14">
        <f t="shared" ref="B544:D544" si="167">B504</f>
        <v>14</v>
      </c>
      <c r="C544" s="14">
        <f t="shared" si="167"/>
        <v>0</v>
      </c>
      <c r="D544" s="14">
        <f t="shared" si="167"/>
        <v>1</v>
      </c>
      <c r="E544" s="14">
        <f t="shared" si="127"/>
        <v>14</v>
      </c>
      <c r="F544" s="14">
        <f t="shared" si="123"/>
        <v>21</v>
      </c>
      <c r="G544" s="12" t="s">
        <v>574</v>
      </c>
      <c r="H544" s="12">
        <f t="shared" si="128"/>
        <v>90</v>
      </c>
      <c r="I544" s="10" t="str">
        <f>VLOOKUP(A544,战役结算奖励!$A$1:$O$800,15,0)</f>
        <v>[{"id":14,"num":60},{"id":2,"num":2500000},{"id":1,"num":2900000}]</v>
      </c>
      <c r="J544" s="12" t="str">
        <f t="shared" si="129"/>
        <v>[14,2,1]</v>
      </c>
      <c r="K544" s="12">
        <f t="shared" ref="K544:M544" si="168">IF(K504="","",K504)</f>
        <v>90</v>
      </c>
      <c r="L544" s="3" t="s">
        <v>514</v>
      </c>
      <c r="M544" s="12" t="str">
        <f t="shared" si="168"/>
        <v/>
      </c>
      <c r="N544" s="12"/>
      <c r="O544" s="12" t="s">
        <v>514</v>
      </c>
    </row>
    <row r="545" spans="1:15" s="7" customFormat="1" x14ac:dyDescent="0.15">
      <c r="A545" s="3">
        <f t="shared" si="125"/>
        <v>1414022</v>
      </c>
      <c r="B545" s="14">
        <f t="shared" ref="B545:D545" si="169">B505</f>
        <v>14</v>
      </c>
      <c r="C545" s="14">
        <f t="shared" si="169"/>
        <v>0</v>
      </c>
      <c r="D545" s="14">
        <f t="shared" si="169"/>
        <v>1</v>
      </c>
      <c r="E545" s="14">
        <f t="shared" si="127"/>
        <v>14</v>
      </c>
      <c r="F545" s="14">
        <f t="shared" si="123"/>
        <v>22</v>
      </c>
      <c r="G545" s="12" t="s">
        <v>575</v>
      </c>
      <c r="H545" s="12">
        <f t="shared" si="128"/>
        <v>90</v>
      </c>
      <c r="I545" s="10" t="str">
        <f>VLOOKUP(A545,战役结算奖励!$A$1:$O$800,15,0)</f>
        <v>[{"id":14,"num":60},{"id":2,"num":2500000},{"id":1,"num":2900000}]</v>
      </c>
      <c r="J545" s="12" t="str">
        <f t="shared" si="129"/>
        <v>[14,2,1]</v>
      </c>
      <c r="K545" s="12">
        <f t="shared" ref="K545:M545" si="170">IF(K505="","",K505)</f>
        <v>90</v>
      </c>
      <c r="L545" s="3" t="s">
        <v>514</v>
      </c>
      <c r="M545" s="12" t="str">
        <f t="shared" si="170"/>
        <v/>
      </c>
      <c r="N545" s="12"/>
      <c r="O545" s="12" t="s">
        <v>514</v>
      </c>
    </row>
    <row r="546" spans="1:15" s="7" customFormat="1" x14ac:dyDescent="0.15">
      <c r="A546" s="3">
        <f t="shared" si="125"/>
        <v>1414023</v>
      </c>
      <c r="B546" s="14">
        <f t="shared" ref="B546:D546" si="171">B506</f>
        <v>14</v>
      </c>
      <c r="C546" s="14">
        <f t="shared" si="171"/>
        <v>0</v>
      </c>
      <c r="D546" s="14">
        <f t="shared" si="171"/>
        <v>1</v>
      </c>
      <c r="E546" s="14">
        <f t="shared" si="127"/>
        <v>14</v>
      </c>
      <c r="F546" s="14">
        <f t="shared" si="123"/>
        <v>23</v>
      </c>
      <c r="G546" s="12" t="s">
        <v>576</v>
      </c>
      <c r="H546" s="12">
        <f t="shared" si="128"/>
        <v>90</v>
      </c>
      <c r="I546" s="10" t="str">
        <f>VLOOKUP(A546,战役结算奖励!$A$1:$O$800,15,0)</f>
        <v>[{"id":14,"num":60},{"id":2,"num":2500000},{"id":1,"num":2900000}]</v>
      </c>
      <c r="J546" s="12" t="str">
        <f t="shared" si="129"/>
        <v>[14,2,1]</v>
      </c>
      <c r="K546" s="12">
        <f t="shared" ref="K546:M546" si="172">IF(K506="","",K506)</f>
        <v>90</v>
      </c>
      <c r="L546" s="3" t="s">
        <v>514</v>
      </c>
      <c r="M546" s="12" t="str">
        <f t="shared" si="172"/>
        <v/>
      </c>
      <c r="N546" s="12"/>
      <c r="O546" s="12" t="s">
        <v>514</v>
      </c>
    </row>
    <row r="547" spans="1:15" s="7" customFormat="1" x14ac:dyDescent="0.15">
      <c r="A547" s="3">
        <f t="shared" si="125"/>
        <v>1414024</v>
      </c>
      <c r="B547" s="14">
        <f t="shared" ref="B547:D547" si="173">B507</f>
        <v>14</v>
      </c>
      <c r="C547" s="14">
        <f t="shared" si="173"/>
        <v>0</v>
      </c>
      <c r="D547" s="14">
        <f t="shared" si="173"/>
        <v>1</v>
      </c>
      <c r="E547" s="14">
        <f t="shared" si="127"/>
        <v>14</v>
      </c>
      <c r="F547" s="14">
        <f t="shared" si="123"/>
        <v>24</v>
      </c>
      <c r="G547" s="12" t="s">
        <v>577</v>
      </c>
      <c r="H547" s="12">
        <f t="shared" si="128"/>
        <v>90</v>
      </c>
      <c r="I547" s="10" t="str">
        <f>VLOOKUP(A547,战役结算奖励!$A$1:$O$800,15,0)</f>
        <v>[{"id":14,"num":60},{"id":2,"num":2500000},{"id":1,"num":2900000}]</v>
      </c>
      <c r="J547" s="12" t="str">
        <f t="shared" si="129"/>
        <v>[14,2,1]</v>
      </c>
      <c r="K547" s="12">
        <f t="shared" ref="K547:M547" si="174">IF(K507="","",K507)</f>
        <v>90</v>
      </c>
      <c r="L547" s="3" t="s">
        <v>514</v>
      </c>
      <c r="M547" s="12" t="str">
        <f t="shared" si="174"/>
        <v/>
      </c>
      <c r="N547" s="12"/>
      <c r="O547" s="12" t="s">
        <v>514</v>
      </c>
    </row>
    <row r="548" spans="1:15" s="7" customFormat="1" x14ac:dyDescent="0.15">
      <c r="A548" s="3">
        <f t="shared" si="125"/>
        <v>1414025</v>
      </c>
      <c r="B548" s="14">
        <f t="shared" ref="B548:D548" si="175">B508</f>
        <v>14</v>
      </c>
      <c r="C548" s="14">
        <f t="shared" si="175"/>
        <v>0</v>
      </c>
      <c r="D548" s="14">
        <f t="shared" si="175"/>
        <v>1</v>
      </c>
      <c r="E548" s="14">
        <f t="shared" si="127"/>
        <v>14</v>
      </c>
      <c r="F548" s="14">
        <f t="shared" si="123"/>
        <v>25</v>
      </c>
      <c r="G548" s="12" t="s">
        <v>578</v>
      </c>
      <c r="H548" s="12">
        <f t="shared" ref="H548:J548" si="176">H508</f>
        <v>90</v>
      </c>
      <c r="I548" s="10" t="str">
        <f>VLOOKUP(A548,战役结算奖励!$A$1:$O$800,15,0)</f>
        <v>[{"id":14,"num":60},{"id":2,"num":2500000},{"id":1,"num":2900000}]</v>
      </c>
      <c r="J548" s="12" t="str">
        <f t="shared" si="176"/>
        <v>[14,2,1]</v>
      </c>
      <c r="K548" s="12">
        <f t="shared" ref="K548:M549" si="177">IF(K508="","",K508)</f>
        <v>90</v>
      </c>
      <c r="L548" s="3" t="s">
        <v>514</v>
      </c>
      <c r="M548" s="12" t="str">
        <f t="shared" si="177"/>
        <v/>
      </c>
      <c r="N548" s="12"/>
      <c r="O548" s="12" t="s">
        <v>514</v>
      </c>
    </row>
    <row r="549" spans="1:15" s="7" customFormat="1" x14ac:dyDescent="0.15">
      <c r="A549" s="3">
        <f t="shared" si="125"/>
        <v>1414026</v>
      </c>
      <c r="B549" s="14">
        <f t="shared" ref="B549:D549" si="178">B509</f>
        <v>14</v>
      </c>
      <c r="C549" s="14">
        <f t="shared" si="178"/>
        <v>0</v>
      </c>
      <c r="D549" s="14">
        <f t="shared" si="178"/>
        <v>1</v>
      </c>
      <c r="E549" s="14">
        <f t="shared" si="127"/>
        <v>14</v>
      </c>
      <c r="F549" s="14">
        <f t="shared" si="123"/>
        <v>26</v>
      </c>
      <c r="G549" s="12" t="s">
        <v>579</v>
      </c>
      <c r="H549" s="12">
        <f t="shared" ref="H549:J549" si="179">H509</f>
        <v>90</v>
      </c>
      <c r="I549" s="10" t="str">
        <f>VLOOKUP(A549,战役结算奖励!$A$1:$O$800,15,0)</f>
        <v>[{"id":14,"num":60},{"id":2,"num":2500000},{"id":1,"num":2900000}]</v>
      </c>
      <c r="J549" s="12" t="str">
        <f t="shared" si="179"/>
        <v>[14,2,1]</v>
      </c>
      <c r="K549" s="12">
        <f t="shared" si="177"/>
        <v>90</v>
      </c>
      <c r="L549" s="3" t="s">
        <v>514</v>
      </c>
      <c r="M549" s="12" t="str">
        <f t="shared" si="177"/>
        <v/>
      </c>
      <c r="N549" s="12"/>
      <c r="O549" s="12" t="s">
        <v>514</v>
      </c>
    </row>
    <row r="550" spans="1:15" s="7" customFormat="1" x14ac:dyDescent="0.15">
      <c r="A550" s="3">
        <f t="shared" si="125"/>
        <v>1414027</v>
      </c>
      <c r="B550" s="14">
        <f t="shared" ref="B550:D550" si="180">B510</f>
        <v>14</v>
      </c>
      <c r="C550" s="14">
        <f t="shared" si="180"/>
        <v>0</v>
      </c>
      <c r="D550" s="14">
        <f t="shared" si="180"/>
        <v>1</v>
      </c>
      <c r="E550" s="14">
        <f t="shared" si="127"/>
        <v>14</v>
      </c>
      <c r="F550" s="14">
        <f t="shared" si="123"/>
        <v>27</v>
      </c>
      <c r="G550" s="12" t="s">
        <v>580</v>
      </c>
      <c r="H550" s="12">
        <f t="shared" ref="H550:H567" si="181">H510</f>
        <v>90</v>
      </c>
      <c r="I550" s="10" t="str">
        <f>VLOOKUP(A550,战役结算奖励!$A$1:$O$800,15,0)</f>
        <v>[{"id":14,"num":60},{"id":2,"num":2500000},{"id":1,"num":2900000}]</v>
      </c>
      <c r="J550" s="12" t="str">
        <f t="shared" ref="J550:J567" si="182">J510</f>
        <v>[14,2,1]</v>
      </c>
      <c r="K550" s="12">
        <f t="shared" ref="K550:M550" si="183">IF(K510="","",K510)</f>
        <v>90</v>
      </c>
      <c r="L550" s="3" t="s">
        <v>514</v>
      </c>
      <c r="M550" s="12" t="str">
        <f t="shared" si="183"/>
        <v/>
      </c>
      <c r="N550" s="12"/>
      <c r="O550" s="12" t="s">
        <v>514</v>
      </c>
    </row>
    <row r="551" spans="1:15" s="7" customFormat="1" x14ac:dyDescent="0.15">
      <c r="A551" s="3">
        <f t="shared" si="125"/>
        <v>1414028</v>
      </c>
      <c r="B551" s="14">
        <f t="shared" ref="B551:D551" si="184">B511</f>
        <v>14</v>
      </c>
      <c r="C551" s="14">
        <f t="shared" si="184"/>
        <v>0</v>
      </c>
      <c r="D551" s="14">
        <f t="shared" si="184"/>
        <v>1</v>
      </c>
      <c r="E551" s="14">
        <f t="shared" si="127"/>
        <v>14</v>
      </c>
      <c r="F551" s="14">
        <f t="shared" si="123"/>
        <v>28</v>
      </c>
      <c r="G551" s="12" t="s">
        <v>581</v>
      </c>
      <c r="H551" s="12">
        <f t="shared" si="181"/>
        <v>90</v>
      </c>
      <c r="I551" s="10" t="str">
        <f>VLOOKUP(A551,战役结算奖励!$A$1:$O$800,15,0)</f>
        <v>[{"id":14,"num":60},{"id":2,"num":2500000},{"id":1,"num":2900000}]</v>
      </c>
      <c r="J551" s="12" t="str">
        <f t="shared" si="182"/>
        <v>[14,2,1]</v>
      </c>
      <c r="K551" s="12">
        <f t="shared" ref="K551:M551" si="185">IF(K511="","",K511)</f>
        <v>90</v>
      </c>
      <c r="L551" s="3" t="s">
        <v>514</v>
      </c>
      <c r="M551" s="12" t="str">
        <f t="shared" si="185"/>
        <v/>
      </c>
      <c r="N551" s="12"/>
      <c r="O551" s="12" t="s">
        <v>514</v>
      </c>
    </row>
    <row r="552" spans="1:15" s="7" customFormat="1" x14ac:dyDescent="0.15">
      <c r="A552" s="3">
        <f t="shared" si="125"/>
        <v>1414029</v>
      </c>
      <c r="B552" s="14">
        <f t="shared" ref="B552:D552" si="186">B512</f>
        <v>14</v>
      </c>
      <c r="C552" s="14">
        <f t="shared" si="186"/>
        <v>0</v>
      </c>
      <c r="D552" s="14">
        <f t="shared" si="186"/>
        <v>1</v>
      </c>
      <c r="E552" s="14">
        <f t="shared" si="127"/>
        <v>14</v>
      </c>
      <c r="F552" s="14">
        <f t="shared" si="123"/>
        <v>29</v>
      </c>
      <c r="G552" s="12" t="s">
        <v>582</v>
      </c>
      <c r="H552" s="12">
        <f t="shared" si="181"/>
        <v>90</v>
      </c>
      <c r="I552" s="10" t="str">
        <f>VLOOKUP(A552,战役结算奖励!$A$1:$O$800,15,0)</f>
        <v>[{"id":14,"num":60},{"id":2,"num":2500000},{"id":1,"num":2900000}]</v>
      </c>
      <c r="J552" s="12" t="str">
        <f t="shared" si="182"/>
        <v>[14,2,1]</v>
      </c>
      <c r="K552" s="12">
        <f t="shared" ref="K552:M552" si="187">IF(K512="","",K512)</f>
        <v>90</v>
      </c>
      <c r="L552" s="3" t="s">
        <v>514</v>
      </c>
      <c r="M552" s="12" t="str">
        <f t="shared" si="187"/>
        <v/>
      </c>
      <c r="N552" s="12"/>
      <c r="O552" s="12" t="s">
        <v>514</v>
      </c>
    </row>
    <row r="553" spans="1:15" s="7" customFormat="1" x14ac:dyDescent="0.15">
      <c r="A553" s="3">
        <f t="shared" si="125"/>
        <v>1414030</v>
      </c>
      <c r="B553" s="14">
        <f t="shared" ref="B553:D553" si="188">B513</f>
        <v>14</v>
      </c>
      <c r="C553" s="14">
        <f t="shared" si="188"/>
        <v>0</v>
      </c>
      <c r="D553" s="14">
        <f t="shared" si="188"/>
        <v>1</v>
      </c>
      <c r="E553" s="14">
        <f t="shared" si="127"/>
        <v>14</v>
      </c>
      <c r="F553" s="14">
        <f t="shared" si="123"/>
        <v>30</v>
      </c>
      <c r="G553" s="12" t="s">
        <v>583</v>
      </c>
      <c r="H553" s="12">
        <f t="shared" si="181"/>
        <v>90</v>
      </c>
      <c r="I553" s="10" t="str">
        <f>VLOOKUP(A553,战役结算奖励!$A$1:$O$800,15,0)</f>
        <v>[{"id":14,"num":60},{"id":2,"num":2500000},{"id":1,"num":2900000}]</v>
      </c>
      <c r="J553" s="12" t="str">
        <f t="shared" si="182"/>
        <v>[14,2,1]</v>
      </c>
      <c r="K553" s="12">
        <f t="shared" ref="K553:M553" si="189">IF(K513="","",K513)</f>
        <v>90</v>
      </c>
      <c r="L553" s="3" t="s">
        <v>514</v>
      </c>
      <c r="M553" s="12" t="str">
        <f t="shared" si="189"/>
        <v/>
      </c>
      <c r="N553" s="12"/>
      <c r="O553" s="12" t="s">
        <v>514</v>
      </c>
    </row>
    <row r="554" spans="1:15" s="7" customFormat="1" x14ac:dyDescent="0.15">
      <c r="A554" s="3">
        <f t="shared" si="125"/>
        <v>1414031</v>
      </c>
      <c r="B554" s="14">
        <f t="shared" ref="B554:D554" si="190">B514</f>
        <v>14</v>
      </c>
      <c r="C554" s="14">
        <f t="shared" si="190"/>
        <v>0</v>
      </c>
      <c r="D554" s="14">
        <f t="shared" si="190"/>
        <v>1</v>
      </c>
      <c r="E554" s="14">
        <f t="shared" si="127"/>
        <v>14</v>
      </c>
      <c r="F554" s="14">
        <f t="shared" si="123"/>
        <v>31</v>
      </c>
      <c r="G554" s="12" t="s">
        <v>584</v>
      </c>
      <c r="H554" s="12">
        <f t="shared" si="181"/>
        <v>90</v>
      </c>
      <c r="I554" s="10" t="str">
        <f>VLOOKUP(A554,战役结算奖励!$A$1:$O$800,15,0)</f>
        <v>[{"id":14,"num":60},{"id":2,"num":2500000},{"id":1,"num":2900000}]</v>
      </c>
      <c r="J554" s="12" t="str">
        <f t="shared" si="182"/>
        <v>[14,2,1]</v>
      </c>
      <c r="K554" s="12">
        <f t="shared" ref="K554:M554" si="191">IF(K514="","",K514)</f>
        <v>90</v>
      </c>
      <c r="L554" s="3" t="s">
        <v>514</v>
      </c>
      <c r="M554" s="12" t="str">
        <f t="shared" si="191"/>
        <v/>
      </c>
      <c r="N554" s="12"/>
      <c r="O554" s="12" t="s">
        <v>514</v>
      </c>
    </row>
    <row r="555" spans="1:15" s="7" customFormat="1" x14ac:dyDescent="0.15">
      <c r="A555" s="3">
        <f t="shared" si="125"/>
        <v>1414032</v>
      </c>
      <c r="B555" s="14">
        <f t="shared" ref="B555:D555" si="192">B515</f>
        <v>14</v>
      </c>
      <c r="C555" s="14">
        <f t="shared" si="192"/>
        <v>0</v>
      </c>
      <c r="D555" s="14">
        <f t="shared" si="192"/>
        <v>1</v>
      </c>
      <c r="E555" s="14">
        <f t="shared" si="127"/>
        <v>14</v>
      </c>
      <c r="F555" s="14">
        <f t="shared" si="123"/>
        <v>32</v>
      </c>
      <c r="G555" s="12" t="s">
        <v>585</v>
      </c>
      <c r="H555" s="12">
        <f t="shared" si="181"/>
        <v>90</v>
      </c>
      <c r="I555" s="10" t="str">
        <f>VLOOKUP(A555,战役结算奖励!$A$1:$O$800,15,0)</f>
        <v>[{"id":14,"num":60},{"id":2,"num":2500000},{"id":1,"num":2900000}]</v>
      </c>
      <c r="J555" s="12" t="str">
        <f t="shared" si="182"/>
        <v>[14,2,1]</v>
      </c>
      <c r="K555" s="12">
        <f t="shared" ref="K555:M555" si="193">IF(K515="","",K515)</f>
        <v>90</v>
      </c>
      <c r="L555" s="3" t="s">
        <v>514</v>
      </c>
      <c r="M555" s="12" t="str">
        <f t="shared" si="193"/>
        <v/>
      </c>
      <c r="N555" s="12"/>
      <c r="O555" s="12" t="s">
        <v>514</v>
      </c>
    </row>
    <row r="556" spans="1:15" s="7" customFormat="1" x14ac:dyDescent="0.15">
      <c r="A556" s="3">
        <f t="shared" si="125"/>
        <v>1414033</v>
      </c>
      <c r="B556" s="14">
        <f t="shared" ref="B556:D556" si="194">B516</f>
        <v>14</v>
      </c>
      <c r="C556" s="14">
        <f t="shared" si="194"/>
        <v>0</v>
      </c>
      <c r="D556" s="14">
        <f t="shared" si="194"/>
        <v>1</v>
      </c>
      <c r="E556" s="14">
        <f t="shared" si="127"/>
        <v>14</v>
      </c>
      <c r="F556" s="14">
        <f t="shared" si="123"/>
        <v>33</v>
      </c>
      <c r="G556" s="12" t="s">
        <v>586</v>
      </c>
      <c r="H556" s="12">
        <f t="shared" si="181"/>
        <v>90</v>
      </c>
      <c r="I556" s="10" t="str">
        <f>VLOOKUP(A556,战役结算奖励!$A$1:$O$800,15,0)</f>
        <v>[{"id":14,"num":60},{"id":2,"num":2500000},{"id":1,"num":2900000}]</v>
      </c>
      <c r="J556" s="12" t="str">
        <f t="shared" si="182"/>
        <v>[14,2,1]</v>
      </c>
      <c r="K556" s="12">
        <f t="shared" ref="K556:M556" si="195">IF(K516="","",K516)</f>
        <v>90</v>
      </c>
      <c r="L556" s="3" t="s">
        <v>514</v>
      </c>
      <c r="M556" s="12" t="str">
        <f t="shared" si="195"/>
        <v/>
      </c>
      <c r="N556" s="12"/>
      <c r="O556" s="12" t="s">
        <v>514</v>
      </c>
    </row>
    <row r="557" spans="1:15" s="7" customFormat="1" x14ac:dyDescent="0.15">
      <c r="A557" s="3">
        <f t="shared" si="125"/>
        <v>1414034</v>
      </c>
      <c r="B557" s="14">
        <f t="shared" ref="B557:D557" si="196">B517</f>
        <v>14</v>
      </c>
      <c r="C557" s="14">
        <f t="shared" si="196"/>
        <v>0</v>
      </c>
      <c r="D557" s="14">
        <f t="shared" si="196"/>
        <v>1</v>
      </c>
      <c r="E557" s="14">
        <f t="shared" si="127"/>
        <v>14</v>
      </c>
      <c r="F557" s="14">
        <f t="shared" si="123"/>
        <v>34</v>
      </c>
      <c r="G557" s="12" t="s">
        <v>587</v>
      </c>
      <c r="H557" s="12">
        <f t="shared" si="181"/>
        <v>90</v>
      </c>
      <c r="I557" s="10" t="str">
        <f>VLOOKUP(A557,战役结算奖励!$A$1:$O$800,15,0)</f>
        <v>[{"id":14,"num":60},{"id":2,"num":2500000},{"id":1,"num":2900000}]</v>
      </c>
      <c r="J557" s="12" t="str">
        <f t="shared" si="182"/>
        <v>[14,2,1]</v>
      </c>
      <c r="K557" s="12">
        <f t="shared" ref="K557:M557" si="197">IF(K517="","",K517)</f>
        <v>90</v>
      </c>
      <c r="L557" s="3" t="s">
        <v>514</v>
      </c>
      <c r="M557" s="12" t="str">
        <f t="shared" si="197"/>
        <v/>
      </c>
      <c r="N557" s="12"/>
      <c r="O557" s="12" t="s">
        <v>514</v>
      </c>
    </row>
    <row r="558" spans="1:15" s="7" customFormat="1" x14ac:dyDescent="0.15">
      <c r="A558" s="3">
        <f t="shared" si="125"/>
        <v>1414035</v>
      </c>
      <c r="B558" s="14">
        <f t="shared" ref="B558:D558" si="198">B518</f>
        <v>14</v>
      </c>
      <c r="C558" s="14">
        <f t="shared" si="198"/>
        <v>0</v>
      </c>
      <c r="D558" s="14">
        <f t="shared" si="198"/>
        <v>1</v>
      </c>
      <c r="E558" s="14">
        <f t="shared" si="127"/>
        <v>14</v>
      </c>
      <c r="F558" s="14">
        <f t="shared" si="123"/>
        <v>35</v>
      </c>
      <c r="G558" s="12" t="s">
        <v>588</v>
      </c>
      <c r="H558" s="12">
        <f t="shared" si="181"/>
        <v>90</v>
      </c>
      <c r="I558" s="10" t="str">
        <f>VLOOKUP(A558,战役结算奖励!$A$1:$O$800,15,0)</f>
        <v>[{"id":14,"num":60},{"id":2,"num":2500000},{"id":1,"num":2900000}]</v>
      </c>
      <c r="J558" s="12" t="str">
        <f t="shared" si="182"/>
        <v>[14,2,1]</v>
      </c>
      <c r="K558" s="12">
        <f t="shared" ref="K558:M558" si="199">IF(K518="","",K518)</f>
        <v>90</v>
      </c>
      <c r="L558" s="3" t="s">
        <v>514</v>
      </c>
      <c r="M558" s="12" t="str">
        <f t="shared" si="199"/>
        <v/>
      </c>
      <c r="N558" s="12"/>
      <c r="O558" s="12" t="s">
        <v>514</v>
      </c>
    </row>
    <row r="559" spans="1:15" s="7" customFormat="1" x14ac:dyDescent="0.15">
      <c r="A559" s="3">
        <f t="shared" si="125"/>
        <v>1414036</v>
      </c>
      <c r="B559" s="14">
        <f t="shared" ref="B559:D559" si="200">B519</f>
        <v>14</v>
      </c>
      <c r="C559" s="14">
        <f t="shared" si="200"/>
        <v>0</v>
      </c>
      <c r="D559" s="14">
        <f t="shared" si="200"/>
        <v>1</v>
      </c>
      <c r="E559" s="14">
        <f t="shared" si="127"/>
        <v>14</v>
      </c>
      <c r="F559" s="14">
        <f t="shared" si="123"/>
        <v>36</v>
      </c>
      <c r="G559" s="12" t="s">
        <v>589</v>
      </c>
      <c r="H559" s="12">
        <f t="shared" si="181"/>
        <v>90</v>
      </c>
      <c r="I559" s="10" t="str">
        <f>VLOOKUP(A559,战役结算奖励!$A$1:$O$800,15,0)</f>
        <v>[{"id":14,"num":60},{"id":2,"num":2500000},{"id":1,"num":2900000}]</v>
      </c>
      <c r="J559" s="12" t="str">
        <f t="shared" si="182"/>
        <v>[14,2,1]</v>
      </c>
      <c r="K559" s="12">
        <f t="shared" ref="K559:M559" si="201">IF(K519="","",K519)</f>
        <v>90</v>
      </c>
      <c r="L559" s="3" t="s">
        <v>514</v>
      </c>
      <c r="M559" s="12" t="str">
        <f t="shared" si="201"/>
        <v/>
      </c>
      <c r="N559" s="12"/>
      <c r="O559" s="12" t="s">
        <v>514</v>
      </c>
    </row>
    <row r="560" spans="1:15" s="7" customFormat="1" x14ac:dyDescent="0.15">
      <c r="A560" s="3">
        <f t="shared" si="125"/>
        <v>1414037</v>
      </c>
      <c r="B560" s="14">
        <f t="shared" ref="B560:D560" si="202">B520</f>
        <v>14</v>
      </c>
      <c r="C560" s="14">
        <f t="shared" si="202"/>
        <v>0</v>
      </c>
      <c r="D560" s="14">
        <f t="shared" si="202"/>
        <v>1</v>
      </c>
      <c r="E560" s="14">
        <f t="shared" si="127"/>
        <v>14</v>
      </c>
      <c r="F560" s="14">
        <f t="shared" si="123"/>
        <v>37</v>
      </c>
      <c r="G560" s="12" t="s">
        <v>590</v>
      </c>
      <c r="H560" s="12">
        <f t="shared" si="181"/>
        <v>90</v>
      </c>
      <c r="I560" s="10" t="str">
        <f>VLOOKUP(A560,战役结算奖励!$A$1:$O$800,15,0)</f>
        <v>[{"id":14,"num":60},{"id":2,"num":2500000},{"id":1,"num":2900000}]</v>
      </c>
      <c r="J560" s="12" t="str">
        <f t="shared" si="182"/>
        <v>[14,2,1]</v>
      </c>
      <c r="K560" s="12">
        <f t="shared" ref="K560:M560" si="203">IF(K520="","",K520)</f>
        <v>90</v>
      </c>
      <c r="L560" s="3" t="s">
        <v>514</v>
      </c>
      <c r="M560" s="12" t="str">
        <f t="shared" si="203"/>
        <v/>
      </c>
      <c r="N560" s="12"/>
      <c r="O560" s="12" t="s">
        <v>514</v>
      </c>
    </row>
    <row r="561" spans="1:15" s="7" customFormat="1" x14ac:dyDescent="0.15">
      <c r="A561" s="3">
        <f t="shared" si="125"/>
        <v>1414038</v>
      </c>
      <c r="B561" s="14">
        <f t="shared" ref="B561:D561" si="204">B521</f>
        <v>14</v>
      </c>
      <c r="C561" s="14">
        <f t="shared" si="204"/>
        <v>0</v>
      </c>
      <c r="D561" s="14">
        <f t="shared" si="204"/>
        <v>1</v>
      </c>
      <c r="E561" s="14">
        <f t="shared" si="127"/>
        <v>14</v>
      </c>
      <c r="F561" s="14">
        <f t="shared" si="123"/>
        <v>38</v>
      </c>
      <c r="G561" s="12" t="s">
        <v>591</v>
      </c>
      <c r="H561" s="12">
        <f t="shared" si="181"/>
        <v>90</v>
      </c>
      <c r="I561" s="10" t="str">
        <f>VLOOKUP(A561,战役结算奖励!$A$1:$O$800,15,0)</f>
        <v>[{"id":14,"num":60},{"id":2,"num":2500000},{"id":1,"num":2900000}]</v>
      </c>
      <c r="J561" s="12" t="str">
        <f t="shared" si="182"/>
        <v>[14,2,1]</v>
      </c>
      <c r="K561" s="12">
        <f t="shared" ref="K561:M561" si="205">IF(K521="","",K521)</f>
        <v>90</v>
      </c>
      <c r="L561" s="3" t="s">
        <v>514</v>
      </c>
      <c r="M561" s="12" t="str">
        <f t="shared" si="205"/>
        <v/>
      </c>
      <c r="N561" s="12"/>
      <c r="O561" s="12" t="s">
        <v>514</v>
      </c>
    </row>
    <row r="562" spans="1:15" s="7" customFormat="1" x14ac:dyDescent="0.15">
      <c r="A562" s="3">
        <f t="shared" si="125"/>
        <v>1414039</v>
      </c>
      <c r="B562" s="14">
        <f t="shared" ref="B562:D562" si="206">B522</f>
        <v>14</v>
      </c>
      <c r="C562" s="14">
        <f t="shared" si="206"/>
        <v>0</v>
      </c>
      <c r="D562" s="14">
        <f t="shared" si="206"/>
        <v>1</v>
      </c>
      <c r="E562" s="14">
        <f t="shared" si="127"/>
        <v>14</v>
      </c>
      <c r="F562" s="14">
        <f t="shared" si="123"/>
        <v>39</v>
      </c>
      <c r="G562" s="12" t="s">
        <v>592</v>
      </c>
      <c r="H562" s="12">
        <f t="shared" si="181"/>
        <v>90</v>
      </c>
      <c r="I562" s="10" t="str">
        <f>VLOOKUP(A562,战役结算奖励!$A$1:$O$800,15,0)</f>
        <v>[{"id":14,"num":60},{"id":2,"num":2500000},{"id":1,"num":2900000}]</v>
      </c>
      <c r="J562" s="12" t="str">
        <f t="shared" si="182"/>
        <v>[14,2,1]</v>
      </c>
      <c r="K562" s="12">
        <f t="shared" ref="K562:M562" si="207">IF(K522="","",K522)</f>
        <v>90</v>
      </c>
      <c r="L562" s="3" t="s">
        <v>514</v>
      </c>
      <c r="M562" s="12" t="str">
        <f t="shared" si="207"/>
        <v/>
      </c>
      <c r="N562" s="12"/>
      <c r="O562" s="12" t="s">
        <v>514</v>
      </c>
    </row>
    <row r="563" spans="1:15" s="7" customFormat="1" x14ac:dyDescent="0.15">
      <c r="A563" s="3">
        <f t="shared" si="125"/>
        <v>1414040</v>
      </c>
      <c r="B563" s="14">
        <f t="shared" ref="B563:D563" si="208">B523</f>
        <v>14</v>
      </c>
      <c r="C563" s="14">
        <f t="shared" si="208"/>
        <v>0</v>
      </c>
      <c r="D563" s="14">
        <f t="shared" si="208"/>
        <v>1</v>
      </c>
      <c r="E563" s="14">
        <f t="shared" si="127"/>
        <v>14</v>
      </c>
      <c r="F563" s="14">
        <f t="shared" si="123"/>
        <v>40</v>
      </c>
      <c r="G563" s="12" t="s">
        <v>593</v>
      </c>
      <c r="H563" s="12">
        <f t="shared" si="181"/>
        <v>90</v>
      </c>
      <c r="I563" s="10" t="str">
        <f>VLOOKUP(A563,战役结算奖励!$A$1:$O$800,15,0)</f>
        <v>[{"id":14,"num":60},{"id":2,"num":2500000},{"id":1,"num":2900000}]</v>
      </c>
      <c r="J563" s="12" t="str">
        <f t="shared" si="182"/>
        <v>[14,2,1]</v>
      </c>
      <c r="K563" s="12">
        <f t="shared" ref="K563:M563" si="209">IF(K523="","",K523)</f>
        <v>90</v>
      </c>
      <c r="L563" s="3" t="s">
        <v>1226</v>
      </c>
      <c r="M563" s="12" t="str">
        <f t="shared" si="209"/>
        <v/>
      </c>
      <c r="N563" s="12"/>
      <c r="O563" s="12">
        <v>1</v>
      </c>
    </row>
    <row r="564" spans="1:15" s="7" customFormat="1" x14ac:dyDescent="0.15">
      <c r="A564" s="3">
        <f t="shared" si="125"/>
        <v>1415001</v>
      </c>
      <c r="B564" s="14">
        <f t="shared" ref="B564:D564" si="210">B524</f>
        <v>14</v>
      </c>
      <c r="C564" s="14">
        <f t="shared" si="210"/>
        <v>0</v>
      </c>
      <c r="D564" s="14">
        <f t="shared" si="210"/>
        <v>1</v>
      </c>
      <c r="E564" s="14">
        <f t="shared" si="127"/>
        <v>15</v>
      </c>
      <c r="F564" s="14">
        <f t="shared" si="123"/>
        <v>1</v>
      </c>
      <c r="G564" s="12" t="s">
        <v>594</v>
      </c>
      <c r="H564" s="12">
        <f t="shared" si="181"/>
        <v>90</v>
      </c>
      <c r="I564" s="10" t="str">
        <f>VLOOKUP(A564,战役结算奖励!$A$1:$O$800,15,0)</f>
        <v>[{"id":14,"num":60},{"id":2,"num":2500000},{"id":1,"num":3100000}]</v>
      </c>
      <c r="J564" s="12" t="str">
        <f t="shared" si="182"/>
        <v>[14,2,1]</v>
      </c>
      <c r="K564" s="12">
        <f t="shared" ref="K564:M564" si="211">IF(K524="","",K524)</f>
        <v>87</v>
      </c>
      <c r="L564" s="3" t="s">
        <v>514</v>
      </c>
      <c r="M564" s="12" t="str">
        <f t="shared" si="211"/>
        <v/>
      </c>
      <c r="N564" s="12"/>
      <c r="O564" s="12" t="s">
        <v>514</v>
      </c>
    </row>
    <row r="565" spans="1:15" s="7" customFormat="1" x14ac:dyDescent="0.15">
      <c r="A565" s="3">
        <f t="shared" si="125"/>
        <v>1415002</v>
      </c>
      <c r="B565" s="14">
        <f t="shared" ref="B565:D565" si="212">B525</f>
        <v>14</v>
      </c>
      <c r="C565" s="14">
        <f t="shared" si="212"/>
        <v>0</v>
      </c>
      <c r="D565" s="14">
        <f t="shared" si="212"/>
        <v>1</v>
      </c>
      <c r="E565" s="14">
        <f t="shared" si="127"/>
        <v>15</v>
      </c>
      <c r="F565" s="14">
        <f t="shared" si="123"/>
        <v>2</v>
      </c>
      <c r="G565" s="12" t="s">
        <v>595</v>
      </c>
      <c r="H565" s="12">
        <f t="shared" si="181"/>
        <v>90</v>
      </c>
      <c r="I565" s="10" t="str">
        <f>VLOOKUP(A565,战役结算奖励!$A$1:$O$800,15,0)</f>
        <v>[{"id":14,"num":60},{"id":2,"num":2500000},{"id":1,"num":3100000}]</v>
      </c>
      <c r="J565" s="12" t="str">
        <f t="shared" si="182"/>
        <v>[14,2,1]</v>
      </c>
      <c r="K565" s="12">
        <f t="shared" ref="K565:M565" si="213">IF(K525="","",K525)</f>
        <v>87</v>
      </c>
      <c r="L565" s="3" t="s">
        <v>514</v>
      </c>
      <c r="M565" s="12" t="str">
        <f t="shared" si="213"/>
        <v/>
      </c>
      <c r="N565" s="12"/>
      <c r="O565" s="12" t="s">
        <v>514</v>
      </c>
    </row>
    <row r="566" spans="1:15" s="7" customFormat="1" x14ac:dyDescent="0.15">
      <c r="A566" s="3">
        <f t="shared" si="125"/>
        <v>1415003</v>
      </c>
      <c r="B566" s="14">
        <f t="shared" ref="B566:D566" si="214">B526</f>
        <v>14</v>
      </c>
      <c r="C566" s="14">
        <f t="shared" si="214"/>
        <v>0</v>
      </c>
      <c r="D566" s="14">
        <f t="shared" si="214"/>
        <v>1</v>
      </c>
      <c r="E566" s="14">
        <f t="shared" si="127"/>
        <v>15</v>
      </c>
      <c r="F566" s="14">
        <f t="shared" si="123"/>
        <v>3</v>
      </c>
      <c r="G566" s="12" t="s">
        <v>596</v>
      </c>
      <c r="H566" s="12">
        <f t="shared" si="181"/>
        <v>90</v>
      </c>
      <c r="I566" s="10" t="str">
        <f>VLOOKUP(A566,战役结算奖励!$A$1:$O$800,15,0)</f>
        <v>[{"id":14,"num":60},{"id":2,"num":2500000},{"id":1,"num":3100000}]</v>
      </c>
      <c r="J566" s="12" t="str">
        <f t="shared" si="182"/>
        <v>[14,2,1]</v>
      </c>
      <c r="K566" s="12">
        <f t="shared" ref="K566:M566" si="215">IF(K526="","",K526)</f>
        <v>87</v>
      </c>
      <c r="L566" s="3" t="s">
        <v>514</v>
      </c>
      <c r="M566" s="12" t="str">
        <f t="shared" si="215"/>
        <v/>
      </c>
      <c r="N566" s="12"/>
      <c r="O566" s="12" t="s">
        <v>514</v>
      </c>
    </row>
    <row r="567" spans="1:15" s="7" customFormat="1" x14ac:dyDescent="0.15">
      <c r="A567" s="3">
        <f t="shared" si="125"/>
        <v>1415004</v>
      </c>
      <c r="B567" s="14">
        <f t="shared" ref="B567:D567" si="216">B527</f>
        <v>14</v>
      </c>
      <c r="C567" s="14">
        <f t="shared" si="216"/>
        <v>0</v>
      </c>
      <c r="D567" s="14">
        <f t="shared" si="216"/>
        <v>1</v>
      </c>
      <c r="E567" s="14">
        <f t="shared" si="127"/>
        <v>15</v>
      </c>
      <c r="F567" s="14">
        <f t="shared" si="123"/>
        <v>4</v>
      </c>
      <c r="G567" s="12" t="s">
        <v>597</v>
      </c>
      <c r="H567" s="12">
        <f t="shared" si="181"/>
        <v>90</v>
      </c>
      <c r="I567" s="10" t="str">
        <f>VLOOKUP(A567,战役结算奖励!$A$1:$O$800,15,0)</f>
        <v>[{"id":14,"num":60},{"id":2,"num":2500000},{"id":1,"num":3100000}]</v>
      </c>
      <c r="J567" s="12" t="str">
        <f t="shared" si="182"/>
        <v>[14,2,1]</v>
      </c>
      <c r="K567" s="12">
        <f t="shared" ref="K567:M567" si="217">IF(K527="","",K527)</f>
        <v>87</v>
      </c>
      <c r="L567" s="3" t="s">
        <v>514</v>
      </c>
      <c r="M567" s="12" t="str">
        <f t="shared" si="217"/>
        <v/>
      </c>
      <c r="N567" s="12"/>
      <c r="O567" s="12" t="s">
        <v>514</v>
      </c>
    </row>
    <row r="568" spans="1:15" s="7" customFormat="1" x14ac:dyDescent="0.15">
      <c r="A568" s="3">
        <f t="shared" si="125"/>
        <v>1415005</v>
      </c>
      <c r="B568" s="14">
        <f t="shared" ref="B568:D568" si="218">B528</f>
        <v>14</v>
      </c>
      <c r="C568" s="14">
        <f t="shared" si="218"/>
        <v>0</v>
      </c>
      <c r="D568" s="14">
        <f t="shared" si="218"/>
        <v>1</v>
      </c>
      <c r="E568" s="14">
        <f t="shared" si="127"/>
        <v>15</v>
      </c>
      <c r="F568" s="14">
        <f t="shared" si="123"/>
        <v>5</v>
      </c>
      <c r="G568" s="12" t="s">
        <v>598</v>
      </c>
      <c r="H568" s="12">
        <f t="shared" ref="H568:J568" si="219">H528</f>
        <v>90</v>
      </c>
      <c r="I568" s="10" t="str">
        <f>VLOOKUP(A568,战役结算奖励!$A$1:$O$800,15,0)</f>
        <v>[{"id":14,"num":60},{"id":2,"num":2500000},{"id":1,"num":3100000}]</v>
      </c>
      <c r="J568" s="12" t="str">
        <f t="shared" si="219"/>
        <v>[14,2,1]</v>
      </c>
      <c r="K568" s="12">
        <f>IF(K528="","",K528)</f>
        <v>87</v>
      </c>
      <c r="L568" s="3" t="s">
        <v>514</v>
      </c>
      <c r="M568" s="12" t="str">
        <f>IF(M528="","",M528)</f>
        <v/>
      </c>
      <c r="N568" s="12"/>
      <c r="O568" s="12" t="s">
        <v>514</v>
      </c>
    </row>
    <row r="569" spans="1:15" s="7" customFormat="1" x14ac:dyDescent="0.15">
      <c r="A569" s="3">
        <f t="shared" si="125"/>
        <v>1415006</v>
      </c>
      <c r="B569" s="14">
        <f t="shared" ref="B569:D569" si="220">B529</f>
        <v>14</v>
      </c>
      <c r="C569" s="14">
        <f t="shared" si="220"/>
        <v>0</v>
      </c>
      <c r="D569" s="14">
        <f t="shared" si="220"/>
        <v>1</v>
      </c>
      <c r="E569" s="14">
        <f t="shared" si="127"/>
        <v>15</v>
      </c>
      <c r="F569" s="14">
        <f t="shared" si="123"/>
        <v>6</v>
      </c>
      <c r="G569" s="12" t="s">
        <v>599</v>
      </c>
      <c r="H569" s="12">
        <f t="shared" ref="H569:H575" si="221">H529</f>
        <v>90</v>
      </c>
      <c r="I569" s="10" t="str">
        <f>VLOOKUP(A569,战役结算奖励!$A$1:$O$800,15,0)</f>
        <v>[{"id":14,"num":60},{"id":2,"num":2500000},{"id":1,"num":3100000}]</v>
      </c>
      <c r="J569" s="12" t="str">
        <f t="shared" ref="J569:J574" si="222">J529</f>
        <v>[14,2,1]</v>
      </c>
      <c r="K569" s="12">
        <f t="shared" ref="K569:M569" si="223">IF(K529="","",K529)</f>
        <v>88</v>
      </c>
      <c r="L569" s="3" t="s">
        <v>514</v>
      </c>
      <c r="M569" s="12" t="str">
        <f t="shared" si="223"/>
        <v/>
      </c>
      <c r="N569" s="12"/>
      <c r="O569" s="12" t="s">
        <v>514</v>
      </c>
    </row>
    <row r="570" spans="1:15" s="7" customFormat="1" x14ac:dyDescent="0.15">
      <c r="A570" s="3">
        <f t="shared" si="125"/>
        <v>1415007</v>
      </c>
      <c r="B570" s="14">
        <f t="shared" ref="B570:D570" si="224">B530</f>
        <v>14</v>
      </c>
      <c r="C570" s="14">
        <f t="shared" si="224"/>
        <v>0</v>
      </c>
      <c r="D570" s="14">
        <f t="shared" si="224"/>
        <v>1</v>
      </c>
      <c r="E570" s="14">
        <f t="shared" si="127"/>
        <v>15</v>
      </c>
      <c r="F570" s="14">
        <f t="shared" si="123"/>
        <v>7</v>
      </c>
      <c r="G570" s="12" t="s">
        <v>600</v>
      </c>
      <c r="H570" s="12">
        <f t="shared" si="221"/>
        <v>90</v>
      </c>
      <c r="I570" s="10" t="str">
        <f>VLOOKUP(A570,战役结算奖励!$A$1:$O$800,15,0)</f>
        <v>[{"id":14,"num":60},{"id":2,"num":2500000},{"id":1,"num":3100000}]</v>
      </c>
      <c r="J570" s="12" t="str">
        <f t="shared" si="222"/>
        <v>[14,2,1]</v>
      </c>
      <c r="K570" s="12">
        <f t="shared" ref="K570:M570" si="225">IF(K530="","",K530)</f>
        <v>88</v>
      </c>
      <c r="L570" s="3" t="s">
        <v>514</v>
      </c>
      <c r="M570" s="12" t="str">
        <f t="shared" si="225"/>
        <v/>
      </c>
      <c r="N570" s="12"/>
      <c r="O570" s="12" t="s">
        <v>514</v>
      </c>
    </row>
    <row r="571" spans="1:15" s="7" customFormat="1" x14ac:dyDescent="0.15">
      <c r="A571" s="3">
        <f t="shared" si="125"/>
        <v>1415008</v>
      </c>
      <c r="B571" s="14">
        <f t="shared" ref="B571:D571" si="226">B531</f>
        <v>14</v>
      </c>
      <c r="C571" s="14">
        <f t="shared" si="226"/>
        <v>0</v>
      </c>
      <c r="D571" s="14">
        <f t="shared" si="226"/>
        <v>1</v>
      </c>
      <c r="E571" s="14">
        <f t="shared" si="127"/>
        <v>15</v>
      </c>
      <c r="F571" s="14">
        <f t="shared" si="123"/>
        <v>8</v>
      </c>
      <c r="G571" s="12" t="s">
        <v>601</v>
      </c>
      <c r="H571" s="12">
        <f t="shared" si="221"/>
        <v>90</v>
      </c>
      <c r="I571" s="10" t="str">
        <f>VLOOKUP(A571,战役结算奖励!$A$1:$O$800,15,0)</f>
        <v>[{"id":14,"num":60},{"id":2,"num":2500000},{"id":1,"num":3100000}]</v>
      </c>
      <c r="J571" s="12" t="str">
        <f t="shared" si="222"/>
        <v>[14,2,1]</v>
      </c>
      <c r="K571" s="12">
        <f t="shared" ref="K571:M571" si="227">IF(K531="","",K531)</f>
        <v>88</v>
      </c>
      <c r="L571" s="3" t="s">
        <v>514</v>
      </c>
      <c r="M571" s="12" t="str">
        <f t="shared" si="227"/>
        <v/>
      </c>
      <c r="N571" s="12"/>
      <c r="O571" s="12" t="s">
        <v>514</v>
      </c>
    </row>
    <row r="572" spans="1:15" s="7" customFormat="1" x14ac:dyDescent="0.15">
      <c r="A572" s="3">
        <f t="shared" si="125"/>
        <v>1415009</v>
      </c>
      <c r="B572" s="14">
        <f t="shared" ref="B572:D572" si="228">B532</f>
        <v>14</v>
      </c>
      <c r="C572" s="14">
        <f t="shared" si="228"/>
        <v>0</v>
      </c>
      <c r="D572" s="14">
        <f t="shared" si="228"/>
        <v>1</v>
      </c>
      <c r="E572" s="14">
        <f t="shared" si="127"/>
        <v>15</v>
      </c>
      <c r="F572" s="14">
        <f t="shared" si="123"/>
        <v>9</v>
      </c>
      <c r="G572" s="12" t="s">
        <v>602</v>
      </c>
      <c r="H572" s="12">
        <f t="shared" si="221"/>
        <v>90</v>
      </c>
      <c r="I572" s="10" t="str">
        <f>VLOOKUP(A572,战役结算奖励!$A$1:$O$800,15,0)</f>
        <v>[{"id":14,"num":60},{"id":2,"num":2500000},{"id":1,"num":3100000}]</v>
      </c>
      <c r="J572" s="12" t="str">
        <f t="shared" si="222"/>
        <v>[14,2,1]</v>
      </c>
      <c r="K572" s="12">
        <f t="shared" ref="K572:M572" si="229">IF(K532="","",K532)</f>
        <v>88</v>
      </c>
      <c r="L572" s="3" t="s">
        <v>514</v>
      </c>
      <c r="M572" s="12" t="str">
        <f t="shared" si="229"/>
        <v/>
      </c>
      <c r="N572" s="12"/>
      <c r="O572" s="12" t="s">
        <v>514</v>
      </c>
    </row>
    <row r="573" spans="1:15" s="7" customFormat="1" x14ac:dyDescent="0.15">
      <c r="A573" s="3">
        <f t="shared" si="125"/>
        <v>1415010</v>
      </c>
      <c r="B573" s="14">
        <f t="shared" ref="B573:D573" si="230">B533</f>
        <v>14</v>
      </c>
      <c r="C573" s="14">
        <f t="shared" si="230"/>
        <v>0</v>
      </c>
      <c r="D573" s="14">
        <f t="shared" si="230"/>
        <v>1</v>
      </c>
      <c r="E573" s="14">
        <f t="shared" si="127"/>
        <v>15</v>
      </c>
      <c r="F573" s="14">
        <f t="shared" si="123"/>
        <v>10</v>
      </c>
      <c r="G573" s="12" t="s">
        <v>603</v>
      </c>
      <c r="H573" s="12">
        <f t="shared" si="221"/>
        <v>90</v>
      </c>
      <c r="I573" s="10" t="str">
        <f>VLOOKUP(A573,战役结算奖励!$A$1:$O$800,15,0)</f>
        <v>[{"id":14,"num":60},{"id":2,"num":2500000},{"id":1,"num":3100000}]</v>
      </c>
      <c r="J573" s="12" t="str">
        <f t="shared" si="222"/>
        <v>[14,2,1]</v>
      </c>
      <c r="K573" s="12">
        <f t="shared" ref="K573:M573" si="231">IF(K533="","",K533)</f>
        <v>88</v>
      </c>
      <c r="L573" s="3" t="s">
        <v>514</v>
      </c>
      <c r="M573" s="12" t="str">
        <f t="shared" si="231"/>
        <v/>
      </c>
      <c r="N573" s="12"/>
      <c r="O573" s="12" t="s">
        <v>514</v>
      </c>
    </row>
    <row r="574" spans="1:15" s="7" customFormat="1" x14ac:dyDescent="0.15">
      <c r="A574" s="3">
        <f t="shared" si="125"/>
        <v>1415011</v>
      </c>
      <c r="B574" s="14">
        <f t="shared" ref="B574:D574" si="232">B534</f>
        <v>14</v>
      </c>
      <c r="C574" s="14">
        <f t="shared" si="232"/>
        <v>0</v>
      </c>
      <c r="D574" s="14">
        <f t="shared" si="232"/>
        <v>1</v>
      </c>
      <c r="E574" s="14">
        <f t="shared" si="127"/>
        <v>15</v>
      </c>
      <c r="F574" s="14">
        <f t="shared" si="123"/>
        <v>11</v>
      </c>
      <c r="G574" s="12" t="s">
        <v>604</v>
      </c>
      <c r="H574" s="12">
        <f t="shared" si="221"/>
        <v>90</v>
      </c>
      <c r="I574" s="10" t="str">
        <f>VLOOKUP(A574,战役结算奖励!$A$1:$O$800,15,0)</f>
        <v>[{"id":14,"num":60},{"id":2,"num":2500000},{"id":1,"num":3100000}]</v>
      </c>
      <c r="J574" s="12" t="str">
        <f t="shared" si="222"/>
        <v>[14,2,1]</v>
      </c>
      <c r="K574" s="12">
        <f t="shared" ref="K574:M574" si="233">IF(K534="","",K534)</f>
        <v>89</v>
      </c>
      <c r="L574" s="3" t="s">
        <v>514</v>
      </c>
      <c r="M574" s="12" t="str">
        <f t="shared" si="233"/>
        <v/>
      </c>
      <c r="N574" s="12"/>
      <c r="O574" s="12" t="s">
        <v>514</v>
      </c>
    </row>
    <row r="575" spans="1:15" s="7" customFormat="1" x14ac:dyDescent="0.15">
      <c r="A575" s="3">
        <f t="shared" si="125"/>
        <v>1415012</v>
      </c>
      <c r="B575" s="14">
        <f t="shared" ref="B575:D575" si="234">B535</f>
        <v>14</v>
      </c>
      <c r="C575" s="14">
        <f t="shared" si="234"/>
        <v>0</v>
      </c>
      <c r="D575" s="14">
        <f t="shared" si="234"/>
        <v>1</v>
      </c>
      <c r="E575" s="14">
        <f t="shared" si="127"/>
        <v>15</v>
      </c>
      <c r="F575" s="14">
        <f t="shared" si="123"/>
        <v>12</v>
      </c>
      <c r="G575" s="12" t="s">
        <v>605</v>
      </c>
      <c r="H575" s="12">
        <f t="shared" si="221"/>
        <v>90</v>
      </c>
      <c r="I575" s="10" t="str">
        <f>VLOOKUP(A575,战役结算奖励!$A$1:$O$800,15,0)</f>
        <v>[{"id":14,"num":60},{"id":2,"num":2500000},{"id":1,"num":3100000}]</v>
      </c>
      <c r="J575" s="12" t="str">
        <f t="shared" ref="J575" si="235">J535</f>
        <v>[14,2,1]</v>
      </c>
      <c r="K575" s="12">
        <f t="shared" ref="K575:M575" si="236">IF(K535="","",K535)</f>
        <v>89</v>
      </c>
      <c r="L575" s="3" t="s">
        <v>514</v>
      </c>
      <c r="M575" s="12" t="str">
        <f t="shared" si="236"/>
        <v/>
      </c>
      <c r="N575" s="12"/>
      <c r="O575" s="12" t="s">
        <v>514</v>
      </c>
    </row>
    <row r="576" spans="1:15" s="7" customFormat="1" x14ac:dyDescent="0.15">
      <c r="A576" s="3">
        <f t="shared" si="125"/>
        <v>1415013</v>
      </c>
      <c r="B576" s="14">
        <f t="shared" ref="B576:D576" si="237">B536</f>
        <v>14</v>
      </c>
      <c r="C576" s="14">
        <f t="shared" si="237"/>
        <v>0</v>
      </c>
      <c r="D576" s="14">
        <f t="shared" si="237"/>
        <v>1</v>
      </c>
      <c r="E576" s="14">
        <f t="shared" si="127"/>
        <v>15</v>
      </c>
      <c r="F576" s="14">
        <f t="shared" si="123"/>
        <v>13</v>
      </c>
      <c r="G576" s="12" t="s">
        <v>606</v>
      </c>
      <c r="H576" s="12">
        <f t="shared" ref="H576:J576" si="238">H536</f>
        <v>90</v>
      </c>
      <c r="I576" s="10" t="str">
        <f>VLOOKUP(A576,战役结算奖励!$A$1:$O$800,15,0)</f>
        <v>[{"id":14,"num":60},{"id":2,"num":2500000},{"id":1,"num":3100000}]</v>
      </c>
      <c r="J576" s="12" t="str">
        <f t="shared" si="238"/>
        <v>[14,2,1]</v>
      </c>
      <c r="K576" s="12">
        <f t="shared" ref="K576:M576" si="239">IF(K536="","",K536)</f>
        <v>89</v>
      </c>
      <c r="L576" s="3" t="s">
        <v>514</v>
      </c>
      <c r="M576" s="12" t="str">
        <f t="shared" si="239"/>
        <v/>
      </c>
      <c r="N576" s="12"/>
      <c r="O576" s="12" t="s">
        <v>514</v>
      </c>
    </row>
    <row r="577" spans="1:15" s="7" customFormat="1" x14ac:dyDescent="0.15">
      <c r="A577" s="3">
        <f t="shared" si="125"/>
        <v>1415014</v>
      </c>
      <c r="B577" s="14">
        <f t="shared" ref="B577:D577" si="240">B537</f>
        <v>14</v>
      </c>
      <c r="C577" s="14">
        <f t="shared" si="240"/>
        <v>0</v>
      </c>
      <c r="D577" s="14">
        <f t="shared" si="240"/>
        <v>1</v>
      </c>
      <c r="E577" s="14">
        <f t="shared" si="127"/>
        <v>15</v>
      </c>
      <c r="F577" s="14">
        <f t="shared" si="123"/>
        <v>14</v>
      </c>
      <c r="G577" s="12" t="s">
        <v>607</v>
      </c>
      <c r="H577" s="12">
        <f t="shared" ref="H577:J577" si="241">H537</f>
        <v>90</v>
      </c>
      <c r="I577" s="10" t="str">
        <f>VLOOKUP(A577,战役结算奖励!$A$1:$O$800,15,0)</f>
        <v>[{"id":14,"num":60},{"id":2,"num":2500000},{"id":1,"num":3100000}]</v>
      </c>
      <c r="J577" s="12" t="str">
        <f t="shared" si="241"/>
        <v>[14,2,1]</v>
      </c>
      <c r="K577" s="12">
        <f t="shared" ref="K577:M577" si="242">IF(K537="","",K537)</f>
        <v>89</v>
      </c>
      <c r="L577" s="3" t="s">
        <v>514</v>
      </c>
      <c r="M577" s="12" t="str">
        <f t="shared" si="242"/>
        <v/>
      </c>
      <c r="N577" s="12"/>
      <c r="O577" s="12" t="s">
        <v>514</v>
      </c>
    </row>
    <row r="578" spans="1:15" s="7" customFormat="1" x14ac:dyDescent="0.15">
      <c r="A578" s="3">
        <f t="shared" si="125"/>
        <v>1415015</v>
      </c>
      <c r="B578" s="14">
        <f t="shared" ref="B578:D578" si="243">B538</f>
        <v>14</v>
      </c>
      <c r="C578" s="14">
        <f t="shared" si="243"/>
        <v>0</v>
      </c>
      <c r="D578" s="14">
        <f t="shared" si="243"/>
        <v>1</v>
      </c>
      <c r="E578" s="14">
        <f t="shared" si="127"/>
        <v>15</v>
      </c>
      <c r="F578" s="14">
        <f t="shared" si="123"/>
        <v>15</v>
      </c>
      <c r="G578" s="12" t="s">
        <v>608</v>
      </c>
      <c r="H578" s="12">
        <f t="shared" ref="H578:J578" si="244">H538</f>
        <v>90</v>
      </c>
      <c r="I578" s="10" t="str">
        <f>VLOOKUP(A578,战役结算奖励!$A$1:$O$800,15,0)</f>
        <v>[{"id":14,"num":60},{"id":2,"num":2500000},{"id":1,"num":3100000}]</v>
      </c>
      <c r="J578" s="12" t="str">
        <f t="shared" si="244"/>
        <v>[14,2,1]</v>
      </c>
      <c r="K578" s="12">
        <f t="shared" ref="K578:M578" si="245">IF(K538="","",K538)</f>
        <v>89</v>
      </c>
      <c r="L578" s="3" t="s">
        <v>514</v>
      </c>
      <c r="M578" s="12" t="str">
        <f t="shared" si="245"/>
        <v/>
      </c>
      <c r="N578" s="12"/>
      <c r="O578" s="12" t="s">
        <v>514</v>
      </c>
    </row>
    <row r="579" spans="1:15" s="7" customFormat="1" x14ac:dyDescent="0.15">
      <c r="A579" s="3">
        <f t="shared" si="125"/>
        <v>1415016</v>
      </c>
      <c r="B579" s="14">
        <f t="shared" ref="B579:D579" si="246">B539</f>
        <v>14</v>
      </c>
      <c r="C579" s="14">
        <f t="shared" si="246"/>
        <v>0</v>
      </c>
      <c r="D579" s="14">
        <f t="shared" si="246"/>
        <v>1</v>
      </c>
      <c r="E579" s="14">
        <f t="shared" si="127"/>
        <v>15</v>
      </c>
      <c r="F579" s="14">
        <f t="shared" si="123"/>
        <v>16</v>
      </c>
      <c r="G579" s="12" t="s">
        <v>609</v>
      </c>
      <c r="H579" s="12">
        <f t="shared" ref="H579:J579" si="247">H539</f>
        <v>90</v>
      </c>
      <c r="I579" s="10" t="str">
        <f>VLOOKUP(A579,战役结算奖励!$A$1:$O$800,15,0)</f>
        <v>[{"id":14,"num":60},{"id":2,"num":2500000},{"id":1,"num":3100000}]</v>
      </c>
      <c r="J579" s="12" t="str">
        <f t="shared" si="247"/>
        <v>[14,2,1]</v>
      </c>
      <c r="K579" s="12">
        <f t="shared" ref="K579:M579" si="248">IF(K539="","",K539)</f>
        <v>90</v>
      </c>
      <c r="L579" s="3" t="s">
        <v>514</v>
      </c>
      <c r="M579" s="12" t="str">
        <f t="shared" si="248"/>
        <v/>
      </c>
      <c r="N579" s="12"/>
      <c r="O579" s="12" t="s">
        <v>514</v>
      </c>
    </row>
    <row r="580" spans="1:15" s="7" customFormat="1" x14ac:dyDescent="0.15">
      <c r="A580" s="3">
        <f t="shared" si="125"/>
        <v>1415017</v>
      </c>
      <c r="B580" s="14">
        <f t="shared" ref="B580:D580" si="249">B540</f>
        <v>14</v>
      </c>
      <c r="C580" s="14">
        <f t="shared" si="249"/>
        <v>0</v>
      </c>
      <c r="D580" s="14">
        <f t="shared" si="249"/>
        <v>1</v>
      </c>
      <c r="E580" s="14">
        <f t="shared" si="127"/>
        <v>15</v>
      </c>
      <c r="F580" s="14">
        <f t="shared" si="123"/>
        <v>17</v>
      </c>
      <c r="G580" s="12" t="s">
        <v>610</v>
      </c>
      <c r="H580" s="12">
        <f t="shared" ref="H580:J580" si="250">H540</f>
        <v>90</v>
      </c>
      <c r="I580" s="10" t="str">
        <f>VLOOKUP(A580,战役结算奖励!$A$1:$O$800,15,0)</f>
        <v>[{"id":14,"num":60},{"id":2,"num":2500000},{"id":1,"num":3100000}]</v>
      </c>
      <c r="J580" s="12" t="str">
        <f t="shared" si="250"/>
        <v>[14,2,1]</v>
      </c>
      <c r="K580" s="12">
        <f t="shared" ref="K580:M580" si="251">IF(K540="","",K540)</f>
        <v>90</v>
      </c>
      <c r="L580" s="3" t="s">
        <v>514</v>
      </c>
      <c r="M580" s="12" t="str">
        <f t="shared" si="251"/>
        <v/>
      </c>
      <c r="N580" s="12"/>
      <c r="O580" s="12" t="s">
        <v>514</v>
      </c>
    </row>
    <row r="581" spans="1:15" s="7" customFormat="1" x14ac:dyDescent="0.15">
      <c r="A581" s="3">
        <f t="shared" si="125"/>
        <v>1415018</v>
      </c>
      <c r="B581" s="14">
        <f t="shared" ref="B581:D581" si="252">B541</f>
        <v>14</v>
      </c>
      <c r="C581" s="14">
        <f t="shared" si="252"/>
        <v>0</v>
      </c>
      <c r="D581" s="14">
        <f t="shared" si="252"/>
        <v>1</v>
      </c>
      <c r="E581" s="14">
        <f t="shared" si="127"/>
        <v>15</v>
      </c>
      <c r="F581" s="14">
        <f t="shared" si="123"/>
        <v>18</v>
      </c>
      <c r="G581" s="12" t="s">
        <v>611</v>
      </c>
      <c r="H581" s="12">
        <f t="shared" ref="H581:J581" si="253">H541</f>
        <v>90</v>
      </c>
      <c r="I581" s="10" t="str">
        <f>VLOOKUP(A581,战役结算奖励!$A$1:$O$800,15,0)</f>
        <v>[{"id":14,"num":60},{"id":2,"num":2500000},{"id":1,"num":3100000}]</v>
      </c>
      <c r="J581" s="12" t="str">
        <f t="shared" si="253"/>
        <v>[14,2,1]</v>
      </c>
      <c r="K581" s="12">
        <f t="shared" ref="K581:M581" si="254">IF(K541="","",K541)</f>
        <v>90</v>
      </c>
      <c r="L581" s="3" t="s">
        <v>514</v>
      </c>
      <c r="M581" s="12" t="str">
        <f t="shared" si="254"/>
        <v/>
      </c>
      <c r="N581" s="12"/>
      <c r="O581" s="12" t="s">
        <v>514</v>
      </c>
    </row>
    <row r="582" spans="1:15" s="7" customFormat="1" x14ac:dyDescent="0.15">
      <c r="A582" s="3">
        <f t="shared" si="125"/>
        <v>1415019</v>
      </c>
      <c r="B582" s="14">
        <f t="shared" ref="B582:D582" si="255">B542</f>
        <v>14</v>
      </c>
      <c r="C582" s="14">
        <f t="shared" si="255"/>
        <v>0</v>
      </c>
      <c r="D582" s="14">
        <f t="shared" si="255"/>
        <v>1</v>
      </c>
      <c r="E582" s="14">
        <f t="shared" si="127"/>
        <v>15</v>
      </c>
      <c r="F582" s="14">
        <f t="shared" si="123"/>
        <v>19</v>
      </c>
      <c r="G582" s="12" t="s">
        <v>612</v>
      </c>
      <c r="H582" s="12">
        <f t="shared" ref="H582:J582" si="256">H542</f>
        <v>90</v>
      </c>
      <c r="I582" s="10" t="str">
        <f>VLOOKUP(A582,战役结算奖励!$A$1:$O$800,15,0)</f>
        <v>[{"id":14,"num":60},{"id":2,"num":2500000},{"id":1,"num":3100000}]</v>
      </c>
      <c r="J582" s="12" t="str">
        <f t="shared" si="256"/>
        <v>[14,2,1]</v>
      </c>
      <c r="K582" s="12">
        <f t="shared" ref="K582:M582" si="257">IF(K542="","",K542)</f>
        <v>90</v>
      </c>
      <c r="L582" s="3" t="s">
        <v>514</v>
      </c>
      <c r="M582" s="12" t="str">
        <f t="shared" si="257"/>
        <v/>
      </c>
      <c r="N582" s="12"/>
      <c r="O582" s="12" t="s">
        <v>514</v>
      </c>
    </row>
    <row r="583" spans="1:15" s="7" customFormat="1" x14ac:dyDescent="0.15">
      <c r="A583" s="3">
        <f t="shared" si="125"/>
        <v>1415020</v>
      </c>
      <c r="B583" s="14">
        <f t="shared" ref="B583:D583" si="258">B543</f>
        <v>14</v>
      </c>
      <c r="C583" s="14">
        <f t="shared" si="258"/>
        <v>0</v>
      </c>
      <c r="D583" s="14">
        <f t="shared" si="258"/>
        <v>1</v>
      </c>
      <c r="E583" s="14">
        <f t="shared" si="127"/>
        <v>15</v>
      </c>
      <c r="F583" s="14">
        <f t="shared" si="123"/>
        <v>20</v>
      </c>
      <c r="G583" s="12" t="s">
        <v>613</v>
      </c>
      <c r="H583" s="12">
        <f t="shared" ref="H583:J583" si="259">H543</f>
        <v>90</v>
      </c>
      <c r="I583" s="10" t="str">
        <f>VLOOKUP(A583,战役结算奖励!$A$1:$O$800,15,0)</f>
        <v>[{"id":14,"num":60},{"id":2,"num":2500000},{"id":1,"num":3100000}]</v>
      </c>
      <c r="J583" s="12" t="str">
        <f t="shared" si="259"/>
        <v>[14,2,1]</v>
      </c>
      <c r="K583" s="12">
        <f t="shared" ref="K583:M583" si="260">IF(K543="","",K543)</f>
        <v>90</v>
      </c>
      <c r="L583" s="3" t="s">
        <v>514</v>
      </c>
      <c r="M583" s="12" t="str">
        <f t="shared" si="260"/>
        <v/>
      </c>
      <c r="N583" s="12"/>
      <c r="O583" s="12" t="s">
        <v>514</v>
      </c>
    </row>
    <row r="584" spans="1:15" s="7" customFormat="1" x14ac:dyDescent="0.15">
      <c r="A584" s="3">
        <f t="shared" si="125"/>
        <v>1415021</v>
      </c>
      <c r="B584" s="14">
        <f t="shared" ref="B584:D584" si="261">B544</f>
        <v>14</v>
      </c>
      <c r="C584" s="14">
        <f t="shared" si="261"/>
        <v>0</v>
      </c>
      <c r="D584" s="14">
        <f t="shared" si="261"/>
        <v>1</v>
      </c>
      <c r="E584" s="14">
        <f t="shared" si="127"/>
        <v>15</v>
      </c>
      <c r="F584" s="14">
        <f t="shared" si="123"/>
        <v>21</v>
      </c>
      <c r="G584" s="12" t="s">
        <v>614</v>
      </c>
      <c r="H584" s="12">
        <f t="shared" ref="H584:J584" si="262">H544</f>
        <v>90</v>
      </c>
      <c r="I584" s="10" t="str">
        <f>VLOOKUP(A584,战役结算奖励!$A$1:$O$800,15,0)</f>
        <v>[{"id":14,"num":60},{"id":2,"num":2500000},{"id":1,"num":3100000}]</v>
      </c>
      <c r="J584" s="12" t="str">
        <f t="shared" si="262"/>
        <v>[14,2,1]</v>
      </c>
      <c r="K584" s="12">
        <f t="shared" ref="K584:M584" si="263">IF(K544="","",K544)</f>
        <v>90</v>
      </c>
      <c r="L584" s="3" t="s">
        <v>514</v>
      </c>
      <c r="M584" s="12" t="str">
        <f t="shared" si="263"/>
        <v/>
      </c>
      <c r="N584" s="12"/>
      <c r="O584" s="12" t="s">
        <v>514</v>
      </c>
    </row>
    <row r="585" spans="1:15" s="7" customFormat="1" x14ac:dyDescent="0.15">
      <c r="A585" s="3">
        <f t="shared" si="125"/>
        <v>1415022</v>
      </c>
      <c r="B585" s="14">
        <f t="shared" ref="B585:D585" si="264">B545</f>
        <v>14</v>
      </c>
      <c r="C585" s="14">
        <f t="shared" si="264"/>
        <v>0</v>
      </c>
      <c r="D585" s="14">
        <f t="shared" si="264"/>
        <v>1</v>
      </c>
      <c r="E585" s="14">
        <f t="shared" si="127"/>
        <v>15</v>
      </c>
      <c r="F585" s="14">
        <f t="shared" si="123"/>
        <v>22</v>
      </c>
      <c r="G585" s="12" t="s">
        <v>615</v>
      </c>
      <c r="H585" s="12">
        <f t="shared" ref="H585:J585" si="265">H545</f>
        <v>90</v>
      </c>
      <c r="I585" s="10" t="str">
        <f>VLOOKUP(A585,战役结算奖励!$A$1:$O$800,15,0)</f>
        <v>[{"id":14,"num":60},{"id":2,"num":2500000},{"id":1,"num":3100000}]</v>
      </c>
      <c r="J585" s="12" t="str">
        <f t="shared" si="265"/>
        <v>[14,2,1]</v>
      </c>
      <c r="K585" s="12">
        <f t="shared" ref="K585:M585" si="266">IF(K545="","",K545)</f>
        <v>90</v>
      </c>
      <c r="L585" s="3" t="s">
        <v>514</v>
      </c>
      <c r="M585" s="12" t="str">
        <f t="shared" si="266"/>
        <v/>
      </c>
      <c r="N585" s="12"/>
      <c r="O585" s="12" t="s">
        <v>514</v>
      </c>
    </row>
    <row r="586" spans="1:15" s="7" customFormat="1" x14ac:dyDescent="0.15">
      <c r="A586" s="3">
        <f t="shared" si="125"/>
        <v>1415023</v>
      </c>
      <c r="B586" s="14">
        <f t="shared" ref="B586:D586" si="267">B546</f>
        <v>14</v>
      </c>
      <c r="C586" s="14">
        <f t="shared" si="267"/>
        <v>0</v>
      </c>
      <c r="D586" s="14">
        <f t="shared" si="267"/>
        <v>1</v>
      </c>
      <c r="E586" s="14">
        <f t="shared" si="127"/>
        <v>15</v>
      </c>
      <c r="F586" s="14">
        <f t="shared" si="123"/>
        <v>23</v>
      </c>
      <c r="G586" s="12" t="s">
        <v>616</v>
      </c>
      <c r="H586" s="12">
        <f t="shared" ref="H586:J586" si="268">H546</f>
        <v>90</v>
      </c>
      <c r="I586" s="10" t="str">
        <f>VLOOKUP(A586,战役结算奖励!$A$1:$O$800,15,0)</f>
        <v>[{"id":14,"num":60},{"id":2,"num":2500000},{"id":1,"num":3100000}]</v>
      </c>
      <c r="J586" s="12" t="str">
        <f t="shared" si="268"/>
        <v>[14,2,1]</v>
      </c>
      <c r="K586" s="12">
        <f t="shared" ref="K586:M586" si="269">IF(K546="","",K546)</f>
        <v>90</v>
      </c>
      <c r="L586" s="3" t="s">
        <v>514</v>
      </c>
      <c r="M586" s="12" t="str">
        <f t="shared" si="269"/>
        <v/>
      </c>
      <c r="N586" s="12"/>
      <c r="O586" s="12" t="s">
        <v>514</v>
      </c>
    </row>
    <row r="587" spans="1:15" s="7" customFormat="1" x14ac:dyDescent="0.15">
      <c r="A587" s="3">
        <f t="shared" si="125"/>
        <v>1415024</v>
      </c>
      <c r="B587" s="14">
        <f t="shared" ref="B587:D587" si="270">B547</f>
        <v>14</v>
      </c>
      <c r="C587" s="14">
        <f t="shared" si="270"/>
        <v>0</v>
      </c>
      <c r="D587" s="14">
        <f t="shared" si="270"/>
        <v>1</v>
      </c>
      <c r="E587" s="14">
        <f t="shared" si="127"/>
        <v>15</v>
      </c>
      <c r="F587" s="14">
        <f t="shared" si="123"/>
        <v>24</v>
      </c>
      <c r="G587" s="12" t="s">
        <v>617</v>
      </c>
      <c r="H587" s="12">
        <f t="shared" ref="H587:J587" si="271">H547</f>
        <v>90</v>
      </c>
      <c r="I587" s="10" t="str">
        <f>VLOOKUP(A587,战役结算奖励!$A$1:$O$800,15,0)</f>
        <v>[{"id":14,"num":60},{"id":2,"num":2500000},{"id":1,"num":3100000}]</v>
      </c>
      <c r="J587" s="12" t="str">
        <f t="shared" si="271"/>
        <v>[14,2,1]</v>
      </c>
      <c r="K587" s="12">
        <f>IF(K547="","",K547)</f>
        <v>90</v>
      </c>
      <c r="L587" s="3" t="s">
        <v>514</v>
      </c>
      <c r="M587" s="12" t="str">
        <f>IF(M547="","",M547)</f>
        <v/>
      </c>
      <c r="N587" s="12"/>
      <c r="O587" s="12" t="s">
        <v>514</v>
      </c>
    </row>
    <row r="588" spans="1:15" s="7" customFormat="1" x14ac:dyDescent="0.15">
      <c r="A588" s="3">
        <f t="shared" si="125"/>
        <v>1415025</v>
      </c>
      <c r="B588" s="14">
        <f t="shared" ref="B588:D588" si="272">B548</f>
        <v>14</v>
      </c>
      <c r="C588" s="14">
        <f t="shared" si="272"/>
        <v>0</v>
      </c>
      <c r="D588" s="14">
        <f t="shared" si="272"/>
        <v>1</v>
      </c>
      <c r="E588" s="14">
        <f t="shared" si="127"/>
        <v>15</v>
      </c>
      <c r="F588" s="14">
        <f t="shared" ref="F588:F651" si="273">F548</f>
        <v>25</v>
      </c>
      <c r="G588" s="12" t="s">
        <v>618</v>
      </c>
      <c r="H588" s="12">
        <f t="shared" ref="H588:J588" si="274">H548</f>
        <v>90</v>
      </c>
      <c r="I588" s="10" t="str">
        <f>VLOOKUP(A588,战役结算奖励!$A$1:$O$800,15,0)</f>
        <v>[{"id":14,"num":60},{"id":2,"num":2500000},{"id":1,"num":3100000}]</v>
      </c>
      <c r="J588" s="12" t="str">
        <f t="shared" si="274"/>
        <v>[14,2,1]</v>
      </c>
      <c r="K588" s="12">
        <f t="shared" ref="K588:M588" si="275">IF(K548="","",K548)</f>
        <v>90</v>
      </c>
      <c r="L588" s="3" t="s">
        <v>514</v>
      </c>
      <c r="M588" s="12" t="str">
        <f t="shared" si="275"/>
        <v/>
      </c>
      <c r="N588" s="12"/>
      <c r="O588" s="12" t="s">
        <v>514</v>
      </c>
    </row>
    <row r="589" spans="1:15" s="7" customFormat="1" x14ac:dyDescent="0.15">
      <c r="A589" s="3">
        <f t="shared" ref="A589:A652" si="276">B589*100000+E589*1000+F589</f>
        <v>1415026</v>
      </c>
      <c r="B589" s="14">
        <f t="shared" ref="B589:D589" si="277">B549</f>
        <v>14</v>
      </c>
      <c r="C589" s="14">
        <f t="shared" si="277"/>
        <v>0</v>
      </c>
      <c r="D589" s="14">
        <f t="shared" si="277"/>
        <v>1</v>
      </c>
      <c r="E589" s="14">
        <f t="shared" ref="E589:E652" si="278">E549+1</f>
        <v>15</v>
      </c>
      <c r="F589" s="14">
        <f t="shared" si="273"/>
        <v>26</v>
      </c>
      <c r="G589" s="12" t="s">
        <v>619</v>
      </c>
      <c r="H589" s="12">
        <f t="shared" ref="H589:H605" si="279">H549</f>
        <v>90</v>
      </c>
      <c r="I589" s="10" t="str">
        <f>VLOOKUP(A589,战役结算奖励!$A$1:$O$800,15,0)</f>
        <v>[{"id":14,"num":60},{"id":2,"num":2500000},{"id":1,"num":3100000}]</v>
      </c>
      <c r="J589" s="12" t="str">
        <f t="shared" ref="J589:J605" si="280">J549</f>
        <v>[14,2,1]</v>
      </c>
      <c r="K589" s="12">
        <f t="shared" ref="K589:M589" si="281">IF(K549="","",K549)</f>
        <v>90</v>
      </c>
      <c r="L589" s="3" t="s">
        <v>514</v>
      </c>
      <c r="M589" s="12" t="str">
        <f t="shared" si="281"/>
        <v/>
      </c>
      <c r="N589" s="12"/>
      <c r="O589" s="12" t="s">
        <v>514</v>
      </c>
    </row>
    <row r="590" spans="1:15" s="7" customFormat="1" x14ac:dyDescent="0.15">
      <c r="A590" s="3">
        <f t="shared" si="276"/>
        <v>1415027</v>
      </c>
      <c r="B590" s="14">
        <f t="shared" ref="B590:D590" si="282">B550</f>
        <v>14</v>
      </c>
      <c r="C590" s="14">
        <f t="shared" si="282"/>
        <v>0</v>
      </c>
      <c r="D590" s="14">
        <f t="shared" si="282"/>
        <v>1</v>
      </c>
      <c r="E590" s="14">
        <f t="shared" si="278"/>
        <v>15</v>
      </c>
      <c r="F590" s="14">
        <f t="shared" si="273"/>
        <v>27</v>
      </c>
      <c r="G590" s="12" t="s">
        <v>620</v>
      </c>
      <c r="H590" s="12">
        <f t="shared" si="279"/>
        <v>90</v>
      </c>
      <c r="I590" s="10" t="str">
        <f>VLOOKUP(A590,战役结算奖励!$A$1:$O$800,15,0)</f>
        <v>[{"id":14,"num":60},{"id":2,"num":2500000},{"id":1,"num":3100000}]</v>
      </c>
      <c r="J590" s="12" t="str">
        <f t="shared" si="280"/>
        <v>[14,2,1]</v>
      </c>
      <c r="K590" s="12">
        <f t="shared" ref="K590:M590" si="283">IF(K550="","",K550)</f>
        <v>90</v>
      </c>
      <c r="L590" s="3" t="s">
        <v>514</v>
      </c>
      <c r="M590" s="12" t="str">
        <f t="shared" si="283"/>
        <v/>
      </c>
      <c r="N590" s="12"/>
      <c r="O590" s="12" t="s">
        <v>514</v>
      </c>
    </row>
    <row r="591" spans="1:15" s="7" customFormat="1" x14ac:dyDescent="0.15">
      <c r="A591" s="3">
        <f t="shared" si="276"/>
        <v>1415028</v>
      </c>
      <c r="B591" s="14">
        <f t="shared" ref="B591:D591" si="284">B551</f>
        <v>14</v>
      </c>
      <c r="C591" s="14">
        <f t="shared" si="284"/>
        <v>0</v>
      </c>
      <c r="D591" s="14">
        <f t="shared" si="284"/>
        <v>1</v>
      </c>
      <c r="E591" s="14">
        <f t="shared" si="278"/>
        <v>15</v>
      </c>
      <c r="F591" s="14">
        <f t="shared" si="273"/>
        <v>28</v>
      </c>
      <c r="G591" s="12" t="s">
        <v>621</v>
      </c>
      <c r="H591" s="12">
        <f t="shared" si="279"/>
        <v>90</v>
      </c>
      <c r="I591" s="10" t="str">
        <f>VLOOKUP(A591,战役结算奖励!$A$1:$O$800,15,0)</f>
        <v>[{"id":14,"num":60},{"id":2,"num":2500000},{"id":1,"num":3100000}]</v>
      </c>
      <c r="J591" s="12" t="str">
        <f t="shared" si="280"/>
        <v>[14,2,1]</v>
      </c>
      <c r="K591" s="12">
        <f t="shared" ref="K591:M591" si="285">IF(K551="","",K551)</f>
        <v>90</v>
      </c>
      <c r="L591" s="3" t="s">
        <v>514</v>
      </c>
      <c r="M591" s="12" t="str">
        <f t="shared" si="285"/>
        <v/>
      </c>
      <c r="N591" s="12"/>
      <c r="O591" s="12" t="s">
        <v>514</v>
      </c>
    </row>
    <row r="592" spans="1:15" s="7" customFormat="1" x14ac:dyDescent="0.15">
      <c r="A592" s="3">
        <f t="shared" si="276"/>
        <v>1415029</v>
      </c>
      <c r="B592" s="14">
        <f t="shared" ref="B592:D592" si="286">B552</f>
        <v>14</v>
      </c>
      <c r="C592" s="14">
        <f t="shared" si="286"/>
        <v>0</v>
      </c>
      <c r="D592" s="14">
        <f t="shared" si="286"/>
        <v>1</v>
      </c>
      <c r="E592" s="14">
        <f t="shared" si="278"/>
        <v>15</v>
      </c>
      <c r="F592" s="14">
        <f t="shared" si="273"/>
        <v>29</v>
      </c>
      <c r="G592" s="12" t="s">
        <v>622</v>
      </c>
      <c r="H592" s="12">
        <f t="shared" si="279"/>
        <v>90</v>
      </c>
      <c r="I592" s="10" t="str">
        <f>VLOOKUP(A592,战役结算奖励!$A$1:$O$800,15,0)</f>
        <v>[{"id":14,"num":60},{"id":2,"num":2500000},{"id":1,"num":3100000}]</v>
      </c>
      <c r="J592" s="12" t="str">
        <f t="shared" si="280"/>
        <v>[14,2,1]</v>
      </c>
      <c r="K592" s="12">
        <f t="shared" ref="K592:M592" si="287">IF(K552="","",K552)</f>
        <v>90</v>
      </c>
      <c r="L592" s="3" t="s">
        <v>514</v>
      </c>
      <c r="M592" s="12" t="str">
        <f t="shared" si="287"/>
        <v/>
      </c>
      <c r="N592" s="12"/>
      <c r="O592" s="12" t="s">
        <v>514</v>
      </c>
    </row>
    <row r="593" spans="1:15" s="7" customFormat="1" x14ac:dyDescent="0.15">
      <c r="A593" s="3">
        <f t="shared" si="276"/>
        <v>1415030</v>
      </c>
      <c r="B593" s="14">
        <f t="shared" ref="B593:D593" si="288">B553</f>
        <v>14</v>
      </c>
      <c r="C593" s="14">
        <f t="shared" si="288"/>
        <v>0</v>
      </c>
      <c r="D593" s="14">
        <f t="shared" si="288"/>
        <v>1</v>
      </c>
      <c r="E593" s="14">
        <f t="shared" si="278"/>
        <v>15</v>
      </c>
      <c r="F593" s="14">
        <f t="shared" si="273"/>
        <v>30</v>
      </c>
      <c r="G593" s="12" t="s">
        <v>623</v>
      </c>
      <c r="H593" s="12">
        <f t="shared" si="279"/>
        <v>90</v>
      </c>
      <c r="I593" s="10" t="str">
        <f>VLOOKUP(A593,战役结算奖励!$A$1:$O$800,15,0)</f>
        <v>[{"id":14,"num":60},{"id":2,"num":2500000},{"id":1,"num":3100000}]</v>
      </c>
      <c r="J593" s="12" t="str">
        <f t="shared" si="280"/>
        <v>[14,2,1]</v>
      </c>
      <c r="K593" s="12">
        <f t="shared" ref="K593:M593" si="289">IF(K553="","",K553)</f>
        <v>90</v>
      </c>
      <c r="L593" s="3" t="s">
        <v>514</v>
      </c>
      <c r="M593" s="12" t="str">
        <f t="shared" si="289"/>
        <v/>
      </c>
      <c r="N593" s="12"/>
      <c r="O593" s="12" t="s">
        <v>514</v>
      </c>
    </row>
    <row r="594" spans="1:15" s="7" customFormat="1" x14ac:dyDescent="0.15">
      <c r="A594" s="3">
        <f t="shared" si="276"/>
        <v>1415031</v>
      </c>
      <c r="B594" s="14">
        <f t="shared" ref="B594:D594" si="290">B554</f>
        <v>14</v>
      </c>
      <c r="C594" s="14">
        <f t="shared" si="290"/>
        <v>0</v>
      </c>
      <c r="D594" s="14">
        <f t="shared" si="290"/>
        <v>1</v>
      </c>
      <c r="E594" s="14">
        <f t="shared" si="278"/>
        <v>15</v>
      </c>
      <c r="F594" s="14">
        <f t="shared" si="273"/>
        <v>31</v>
      </c>
      <c r="G594" s="12" t="s">
        <v>624</v>
      </c>
      <c r="H594" s="12">
        <f t="shared" si="279"/>
        <v>90</v>
      </c>
      <c r="I594" s="10" t="str">
        <f>VLOOKUP(A594,战役结算奖励!$A$1:$O$800,15,0)</f>
        <v>[{"id":14,"num":60},{"id":2,"num":2500000},{"id":1,"num":3100000}]</v>
      </c>
      <c r="J594" s="12" t="str">
        <f t="shared" si="280"/>
        <v>[14,2,1]</v>
      </c>
      <c r="K594" s="12">
        <f t="shared" ref="K594:M594" si="291">IF(K554="","",K554)</f>
        <v>90</v>
      </c>
      <c r="L594" s="3" t="s">
        <v>514</v>
      </c>
      <c r="M594" s="12" t="str">
        <f t="shared" si="291"/>
        <v/>
      </c>
      <c r="N594" s="12"/>
      <c r="O594" s="12" t="s">
        <v>514</v>
      </c>
    </row>
    <row r="595" spans="1:15" s="7" customFormat="1" x14ac:dyDescent="0.15">
      <c r="A595" s="3">
        <f t="shared" si="276"/>
        <v>1415032</v>
      </c>
      <c r="B595" s="14">
        <f t="shared" ref="B595:D595" si="292">B555</f>
        <v>14</v>
      </c>
      <c r="C595" s="14">
        <f t="shared" si="292"/>
        <v>0</v>
      </c>
      <c r="D595" s="14">
        <f t="shared" si="292"/>
        <v>1</v>
      </c>
      <c r="E595" s="14">
        <f t="shared" si="278"/>
        <v>15</v>
      </c>
      <c r="F595" s="14">
        <f t="shared" si="273"/>
        <v>32</v>
      </c>
      <c r="G595" s="12" t="s">
        <v>625</v>
      </c>
      <c r="H595" s="12">
        <f t="shared" si="279"/>
        <v>90</v>
      </c>
      <c r="I595" s="10" t="str">
        <f>VLOOKUP(A595,战役结算奖励!$A$1:$O$800,15,0)</f>
        <v>[{"id":14,"num":60},{"id":2,"num":2500000},{"id":1,"num":3100000}]</v>
      </c>
      <c r="J595" s="12" t="str">
        <f t="shared" si="280"/>
        <v>[14,2,1]</v>
      </c>
      <c r="K595" s="12">
        <f t="shared" ref="K595:M595" si="293">IF(K555="","",K555)</f>
        <v>90</v>
      </c>
      <c r="L595" s="3" t="s">
        <v>514</v>
      </c>
      <c r="M595" s="12" t="str">
        <f t="shared" si="293"/>
        <v/>
      </c>
      <c r="N595" s="12"/>
      <c r="O595" s="12" t="s">
        <v>514</v>
      </c>
    </row>
    <row r="596" spans="1:15" s="7" customFormat="1" x14ac:dyDescent="0.15">
      <c r="A596" s="3">
        <f t="shared" si="276"/>
        <v>1415033</v>
      </c>
      <c r="B596" s="14">
        <f t="shared" ref="B596:D596" si="294">B556</f>
        <v>14</v>
      </c>
      <c r="C596" s="14">
        <f t="shared" si="294"/>
        <v>0</v>
      </c>
      <c r="D596" s="14">
        <f t="shared" si="294"/>
        <v>1</v>
      </c>
      <c r="E596" s="14">
        <f t="shared" si="278"/>
        <v>15</v>
      </c>
      <c r="F596" s="14">
        <f t="shared" si="273"/>
        <v>33</v>
      </c>
      <c r="G596" s="12" t="s">
        <v>626</v>
      </c>
      <c r="H596" s="12">
        <f t="shared" si="279"/>
        <v>90</v>
      </c>
      <c r="I596" s="10" t="str">
        <f>VLOOKUP(A596,战役结算奖励!$A$1:$O$800,15,0)</f>
        <v>[{"id":14,"num":60},{"id":2,"num":2500000},{"id":1,"num":3100000}]</v>
      </c>
      <c r="J596" s="12" t="str">
        <f t="shared" si="280"/>
        <v>[14,2,1]</v>
      </c>
      <c r="K596" s="12">
        <f t="shared" ref="K596:M596" si="295">IF(K556="","",K556)</f>
        <v>90</v>
      </c>
      <c r="L596" s="3" t="s">
        <v>514</v>
      </c>
      <c r="M596" s="12" t="str">
        <f t="shared" si="295"/>
        <v/>
      </c>
      <c r="N596" s="12"/>
      <c r="O596" s="12" t="s">
        <v>514</v>
      </c>
    </row>
    <row r="597" spans="1:15" s="7" customFormat="1" x14ac:dyDescent="0.15">
      <c r="A597" s="3">
        <f t="shared" si="276"/>
        <v>1415034</v>
      </c>
      <c r="B597" s="14">
        <f t="shared" ref="B597:D597" si="296">B557</f>
        <v>14</v>
      </c>
      <c r="C597" s="14">
        <f t="shared" si="296"/>
        <v>0</v>
      </c>
      <c r="D597" s="14">
        <f t="shared" si="296"/>
        <v>1</v>
      </c>
      <c r="E597" s="14">
        <f t="shared" si="278"/>
        <v>15</v>
      </c>
      <c r="F597" s="14">
        <f t="shared" si="273"/>
        <v>34</v>
      </c>
      <c r="G597" s="12" t="s">
        <v>627</v>
      </c>
      <c r="H597" s="12">
        <f t="shared" si="279"/>
        <v>90</v>
      </c>
      <c r="I597" s="10" t="str">
        <f>VLOOKUP(A597,战役结算奖励!$A$1:$O$800,15,0)</f>
        <v>[{"id":14,"num":60},{"id":2,"num":2500000},{"id":1,"num":3100000}]</v>
      </c>
      <c r="J597" s="12" t="str">
        <f t="shared" si="280"/>
        <v>[14,2,1]</v>
      </c>
      <c r="K597" s="12">
        <f t="shared" ref="K597:M597" si="297">IF(K557="","",K557)</f>
        <v>90</v>
      </c>
      <c r="L597" s="3" t="s">
        <v>514</v>
      </c>
      <c r="M597" s="12" t="str">
        <f t="shared" si="297"/>
        <v/>
      </c>
      <c r="N597" s="12"/>
      <c r="O597" s="12" t="s">
        <v>514</v>
      </c>
    </row>
    <row r="598" spans="1:15" s="7" customFormat="1" x14ac:dyDescent="0.15">
      <c r="A598" s="3">
        <f t="shared" si="276"/>
        <v>1415035</v>
      </c>
      <c r="B598" s="14">
        <f t="shared" ref="B598:D598" si="298">B558</f>
        <v>14</v>
      </c>
      <c r="C598" s="14">
        <f t="shared" si="298"/>
        <v>0</v>
      </c>
      <c r="D598" s="14">
        <f t="shared" si="298"/>
        <v>1</v>
      </c>
      <c r="E598" s="14">
        <f t="shared" si="278"/>
        <v>15</v>
      </c>
      <c r="F598" s="14">
        <f t="shared" si="273"/>
        <v>35</v>
      </c>
      <c r="G598" s="12" t="s">
        <v>628</v>
      </c>
      <c r="H598" s="12">
        <f t="shared" si="279"/>
        <v>90</v>
      </c>
      <c r="I598" s="10" t="str">
        <f>VLOOKUP(A598,战役结算奖励!$A$1:$O$800,15,0)</f>
        <v>[{"id":14,"num":60},{"id":2,"num":2500000},{"id":1,"num":3100000}]</v>
      </c>
      <c r="J598" s="12" t="str">
        <f t="shared" si="280"/>
        <v>[14,2,1]</v>
      </c>
      <c r="K598" s="12">
        <f t="shared" ref="K598:M598" si="299">IF(K558="","",K558)</f>
        <v>90</v>
      </c>
      <c r="L598" s="3" t="s">
        <v>514</v>
      </c>
      <c r="M598" s="12" t="str">
        <f t="shared" si="299"/>
        <v/>
      </c>
      <c r="N598" s="12"/>
      <c r="O598" s="12" t="s">
        <v>514</v>
      </c>
    </row>
    <row r="599" spans="1:15" s="7" customFormat="1" x14ac:dyDescent="0.15">
      <c r="A599" s="3">
        <f t="shared" si="276"/>
        <v>1415036</v>
      </c>
      <c r="B599" s="14">
        <f t="shared" ref="B599:D599" si="300">B559</f>
        <v>14</v>
      </c>
      <c r="C599" s="14">
        <f t="shared" si="300"/>
        <v>0</v>
      </c>
      <c r="D599" s="14">
        <f t="shared" si="300"/>
        <v>1</v>
      </c>
      <c r="E599" s="14">
        <f t="shared" si="278"/>
        <v>15</v>
      </c>
      <c r="F599" s="14">
        <f t="shared" si="273"/>
        <v>36</v>
      </c>
      <c r="G599" s="12" t="s">
        <v>629</v>
      </c>
      <c r="H599" s="12">
        <f t="shared" si="279"/>
        <v>90</v>
      </c>
      <c r="I599" s="10" t="str">
        <f>VLOOKUP(A599,战役结算奖励!$A$1:$O$800,15,0)</f>
        <v>[{"id":14,"num":60},{"id":2,"num":2500000},{"id":1,"num":3100000}]</v>
      </c>
      <c r="J599" s="12" t="str">
        <f t="shared" si="280"/>
        <v>[14,2,1]</v>
      </c>
      <c r="K599" s="12">
        <f t="shared" ref="K599:M599" si="301">IF(K559="","",K559)</f>
        <v>90</v>
      </c>
      <c r="L599" s="3" t="s">
        <v>514</v>
      </c>
      <c r="M599" s="12" t="str">
        <f t="shared" si="301"/>
        <v/>
      </c>
      <c r="N599" s="12"/>
      <c r="O599" s="12" t="s">
        <v>514</v>
      </c>
    </row>
    <row r="600" spans="1:15" s="7" customFormat="1" x14ac:dyDescent="0.15">
      <c r="A600" s="3">
        <f t="shared" si="276"/>
        <v>1415037</v>
      </c>
      <c r="B600" s="14">
        <f t="shared" ref="B600:D600" si="302">B560</f>
        <v>14</v>
      </c>
      <c r="C600" s="14">
        <f t="shared" si="302"/>
        <v>0</v>
      </c>
      <c r="D600" s="14">
        <f t="shared" si="302"/>
        <v>1</v>
      </c>
      <c r="E600" s="14">
        <f t="shared" si="278"/>
        <v>15</v>
      </c>
      <c r="F600" s="14">
        <f t="shared" si="273"/>
        <v>37</v>
      </c>
      <c r="G600" s="12" t="s">
        <v>630</v>
      </c>
      <c r="H600" s="12">
        <f t="shared" si="279"/>
        <v>90</v>
      </c>
      <c r="I600" s="10" t="str">
        <f>VLOOKUP(A600,战役结算奖励!$A$1:$O$800,15,0)</f>
        <v>[{"id":14,"num":60},{"id":2,"num":2500000},{"id":1,"num":3100000}]</v>
      </c>
      <c r="J600" s="12" t="str">
        <f t="shared" si="280"/>
        <v>[14,2,1]</v>
      </c>
      <c r="K600" s="12">
        <f t="shared" ref="K600:M600" si="303">IF(K560="","",K560)</f>
        <v>90</v>
      </c>
      <c r="L600" s="3" t="s">
        <v>514</v>
      </c>
      <c r="M600" s="12" t="str">
        <f t="shared" si="303"/>
        <v/>
      </c>
      <c r="N600" s="12"/>
      <c r="O600" s="12" t="s">
        <v>514</v>
      </c>
    </row>
    <row r="601" spans="1:15" s="7" customFormat="1" x14ac:dyDescent="0.15">
      <c r="A601" s="3">
        <f t="shared" si="276"/>
        <v>1415038</v>
      </c>
      <c r="B601" s="14">
        <f t="shared" ref="B601:D601" si="304">B561</f>
        <v>14</v>
      </c>
      <c r="C601" s="14">
        <f t="shared" si="304"/>
        <v>0</v>
      </c>
      <c r="D601" s="14">
        <f t="shared" si="304"/>
        <v>1</v>
      </c>
      <c r="E601" s="14">
        <f t="shared" si="278"/>
        <v>15</v>
      </c>
      <c r="F601" s="14">
        <f t="shared" si="273"/>
        <v>38</v>
      </c>
      <c r="G601" s="12" t="s">
        <v>631</v>
      </c>
      <c r="H601" s="12">
        <f t="shared" si="279"/>
        <v>90</v>
      </c>
      <c r="I601" s="10" t="str">
        <f>VLOOKUP(A601,战役结算奖励!$A$1:$O$800,15,0)</f>
        <v>[{"id":14,"num":60},{"id":2,"num":2500000},{"id":1,"num":3100000}]</v>
      </c>
      <c r="J601" s="12" t="str">
        <f t="shared" si="280"/>
        <v>[14,2,1]</v>
      </c>
      <c r="K601" s="12">
        <f t="shared" ref="K601:M601" si="305">IF(K561="","",K561)</f>
        <v>90</v>
      </c>
      <c r="L601" s="3" t="s">
        <v>514</v>
      </c>
      <c r="M601" s="12" t="str">
        <f t="shared" si="305"/>
        <v/>
      </c>
      <c r="N601" s="12"/>
      <c r="O601" s="12" t="s">
        <v>514</v>
      </c>
    </row>
    <row r="602" spans="1:15" s="7" customFormat="1" x14ac:dyDescent="0.15">
      <c r="A602" s="3">
        <f t="shared" si="276"/>
        <v>1415039</v>
      </c>
      <c r="B602" s="14">
        <f t="shared" ref="B602:D602" si="306">B562</f>
        <v>14</v>
      </c>
      <c r="C602" s="14">
        <f t="shared" si="306"/>
        <v>0</v>
      </c>
      <c r="D602" s="14">
        <f t="shared" si="306"/>
        <v>1</v>
      </c>
      <c r="E602" s="14">
        <f t="shared" si="278"/>
        <v>15</v>
      </c>
      <c r="F602" s="14">
        <f t="shared" si="273"/>
        <v>39</v>
      </c>
      <c r="G602" s="12" t="s">
        <v>632</v>
      </c>
      <c r="H602" s="12">
        <f t="shared" si="279"/>
        <v>90</v>
      </c>
      <c r="I602" s="10" t="str">
        <f>VLOOKUP(A602,战役结算奖励!$A$1:$O$800,15,0)</f>
        <v>[{"id":14,"num":60},{"id":2,"num":2500000},{"id":1,"num":3100000}]</v>
      </c>
      <c r="J602" s="12" t="str">
        <f t="shared" si="280"/>
        <v>[14,2,1]</v>
      </c>
      <c r="K602" s="12">
        <f t="shared" ref="K602:M602" si="307">IF(K562="","",K562)</f>
        <v>90</v>
      </c>
      <c r="L602" s="3" t="s">
        <v>514</v>
      </c>
      <c r="M602" s="12" t="str">
        <f t="shared" si="307"/>
        <v/>
      </c>
      <c r="N602" s="12"/>
      <c r="O602" s="12" t="s">
        <v>514</v>
      </c>
    </row>
    <row r="603" spans="1:15" s="7" customFormat="1" x14ac:dyDescent="0.15">
      <c r="A603" s="3">
        <f t="shared" si="276"/>
        <v>1415040</v>
      </c>
      <c r="B603" s="14">
        <f t="shared" ref="B603:D603" si="308">B563</f>
        <v>14</v>
      </c>
      <c r="C603" s="14">
        <f t="shared" si="308"/>
        <v>0</v>
      </c>
      <c r="D603" s="14">
        <f t="shared" si="308"/>
        <v>1</v>
      </c>
      <c r="E603" s="14">
        <f t="shared" si="278"/>
        <v>15</v>
      </c>
      <c r="F603" s="14">
        <f t="shared" si="273"/>
        <v>40</v>
      </c>
      <c r="G603" s="12" t="s">
        <v>633</v>
      </c>
      <c r="H603" s="12">
        <f t="shared" si="279"/>
        <v>90</v>
      </c>
      <c r="I603" s="10" t="str">
        <f>VLOOKUP(A603,战役结算奖励!$A$1:$O$800,15,0)</f>
        <v>[{"id":14,"num":60},{"id":2,"num":2500000},{"id":1,"num":3100000}]</v>
      </c>
      <c r="J603" s="12" t="str">
        <f t="shared" si="280"/>
        <v>[14,2,1]</v>
      </c>
      <c r="K603" s="12">
        <f t="shared" ref="K603:M603" si="309">IF(K563="","",K563)</f>
        <v>90</v>
      </c>
      <c r="L603" s="3" t="s">
        <v>1227</v>
      </c>
      <c r="M603" s="12" t="str">
        <f t="shared" si="309"/>
        <v/>
      </c>
      <c r="N603" s="12"/>
      <c r="O603" s="12">
        <v>1</v>
      </c>
    </row>
    <row r="604" spans="1:15" s="7" customFormat="1" x14ac:dyDescent="0.15">
      <c r="A604" s="3">
        <f t="shared" si="276"/>
        <v>1416001</v>
      </c>
      <c r="B604" s="14">
        <f t="shared" ref="B604:D604" si="310">B564</f>
        <v>14</v>
      </c>
      <c r="C604" s="14">
        <f t="shared" si="310"/>
        <v>0</v>
      </c>
      <c r="D604" s="14">
        <f t="shared" si="310"/>
        <v>1</v>
      </c>
      <c r="E604" s="14">
        <f t="shared" si="278"/>
        <v>16</v>
      </c>
      <c r="F604" s="14">
        <f t="shared" si="273"/>
        <v>1</v>
      </c>
      <c r="G604" s="12" t="s">
        <v>634</v>
      </c>
      <c r="H604" s="12">
        <f t="shared" si="279"/>
        <v>90</v>
      </c>
      <c r="I604" s="10" t="str">
        <f>VLOOKUP(A604,战役结算奖励!$A$1:$O$800,15,0)</f>
        <v>[{"id":14,"num":60},{"id":2,"num":2500000},{"id":1,"num":3300000}]</v>
      </c>
      <c r="J604" s="12" t="str">
        <f t="shared" si="280"/>
        <v>[14,2,1]</v>
      </c>
      <c r="K604" s="12">
        <f t="shared" ref="K604:M604" si="311">IF(K564="","",K564)</f>
        <v>87</v>
      </c>
      <c r="L604" s="3" t="s">
        <v>514</v>
      </c>
      <c r="M604" s="12" t="str">
        <f t="shared" si="311"/>
        <v/>
      </c>
      <c r="N604" s="12"/>
      <c r="O604" s="12" t="s">
        <v>514</v>
      </c>
    </row>
    <row r="605" spans="1:15" s="7" customFormat="1" x14ac:dyDescent="0.15">
      <c r="A605" s="3">
        <f t="shared" si="276"/>
        <v>1416002</v>
      </c>
      <c r="B605" s="14">
        <f t="shared" ref="B605:D605" si="312">B565</f>
        <v>14</v>
      </c>
      <c r="C605" s="14">
        <f t="shared" si="312"/>
        <v>0</v>
      </c>
      <c r="D605" s="14">
        <f t="shared" si="312"/>
        <v>1</v>
      </c>
      <c r="E605" s="14">
        <f t="shared" si="278"/>
        <v>16</v>
      </c>
      <c r="F605" s="14">
        <f t="shared" si="273"/>
        <v>2</v>
      </c>
      <c r="G605" s="12" t="s">
        <v>635</v>
      </c>
      <c r="H605" s="12">
        <f t="shared" si="279"/>
        <v>90</v>
      </c>
      <c r="I605" s="10" t="str">
        <f>VLOOKUP(A605,战役结算奖励!$A$1:$O$800,15,0)</f>
        <v>[{"id":14,"num":60},{"id":2,"num":2500000},{"id":1,"num":3300000}]</v>
      </c>
      <c r="J605" s="12" t="str">
        <f t="shared" si="280"/>
        <v>[14,2,1]</v>
      </c>
      <c r="K605" s="12">
        <f t="shared" ref="K605:M605" si="313">IF(K565="","",K565)</f>
        <v>87</v>
      </c>
      <c r="L605" s="3" t="s">
        <v>514</v>
      </c>
      <c r="M605" s="12" t="str">
        <f t="shared" si="313"/>
        <v/>
      </c>
      <c r="N605" s="12"/>
      <c r="O605" s="12" t="s">
        <v>514</v>
      </c>
    </row>
    <row r="606" spans="1:15" s="7" customFormat="1" x14ac:dyDescent="0.15">
      <c r="A606" s="3">
        <f t="shared" si="276"/>
        <v>1416003</v>
      </c>
      <c r="B606" s="14">
        <f t="shared" ref="B606:D606" si="314">B566</f>
        <v>14</v>
      </c>
      <c r="C606" s="14">
        <f t="shared" si="314"/>
        <v>0</v>
      </c>
      <c r="D606" s="14">
        <f t="shared" si="314"/>
        <v>1</v>
      </c>
      <c r="E606" s="14">
        <f t="shared" si="278"/>
        <v>16</v>
      </c>
      <c r="F606" s="14">
        <f t="shared" si="273"/>
        <v>3</v>
      </c>
      <c r="G606" s="12" t="s">
        <v>636</v>
      </c>
      <c r="H606" s="12">
        <f t="shared" ref="H606:J606" si="315">H566</f>
        <v>90</v>
      </c>
      <c r="I606" s="10" t="str">
        <f>VLOOKUP(A606,战役结算奖励!$A$1:$O$800,15,0)</f>
        <v>[{"id":14,"num":60},{"id":2,"num":2500000},{"id":1,"num":3300000}]</v>
      </c>
      <c r="J606" s="12" t="str">
        <f t="shared" si="315"/>
        <v>[14,2,1]</v>
      </c>
      <c r="K606" s="12">
        <f>IF(K566="","",K566)</f>
        <v>87</v>
      </c>
      <c r="L606" s="3" t="s">
        <v>514</v>
      </c>
      <c r="M606" s="12" t="str">
        <f>IF(M566="","",M566)</f>
        <v/>
      </c>
      <c r="N606" s="12"/>
      <c r="O606" s="12" t="s">
        <v>514</v>
      </c>
    </row>
    <row r="607" spans="1:15" s="7" customFormat="1" x14ac:dyDescent="0.15">
      <c r="A607" s="3">
        <f t="shared" si="276"/>
        <v>1416004</v>
      </c>
      <c r="B607" s="14">
        <f t="shared" ref="B607:D607" si="316">B567</f>
        <v>14</v>
      </c>
      <c r="C607" s="14">
        <f t="shared" si="316"/>
        <v>0</v>
      </c>
      <c r="D607" s="14">
        <f t="shared" si="316"/>
        <v>1</v>
      </c>
      <c r="E607" s="14">
        <f t="shared" si="278"/>
        <v>16</v>
      </c>
      <c r="F607" s="14">
        <f t="shared" si="273"/>
        <v>4</v>
      </c>
      <c r="G607" s="12" t="s">
        <v>637</v>
      </c>
      <c r="H607" s="12">
        <f t="shared" ref="H607:H629" si="317">H567</f>
        <v>90</v>
      </c>
      <c r="I607" s="10" t="str">
        <f>VLOOKUP(A607,战役结算奖励!$A$1:$O$800,15,0)</f>
        <v>[{"id":14,"num":60},{"id":2,"num":2500000},{"id":1,"num":3300000}]</v>
      </c>
      <c r="J607" s="12" t="str">
        <f t="shared" ref="J607:J629" si="318">J567</f>
        <v>[14,2,1]</v>
      </c>
      <c r="K607" s="12">
        <f t="shared" ref="K607:M607" si="319">IF(K567="","",K567)</f>
        <v>87</v>
      </c>
      <c r="L607" s="3" t="s">
        <v>514</v>
      </c>
      <c r="M607" s="12" t="str">
        <f t="shared" si="319"/>
        <v/>
      </c>
      <c r="N607" s="12"/>
      <c r="O607" s="12" t="s">
        <v>514</v>
      </c>
    </row>
    <row r="608" spans="1:15" s="7" customFormat="1" x14ac:dyDescent="0.15">
      <c r="A608" s="3">
        <f t="shared" si="276"/>
        <v>1416005</v>
      </c>
      <c r="B608" s="14">
        <f t="shared" ref="B608:D608" si="320">B568</f>
        <v>14</v>
      </c>
      <c r="C608" s="14">
        <f t="shared" si="320"/>
        <v>0</v>
      </c>
      <c r="D608" s="14">
        <f t="shared" si="320"/>
        <v>1</v>
      </c>
      <c r="E608" s="14">
        <f t="shared" si="278"/>
        <v>16</v>
      </c>
      <c r="F608" s="14">
        <f t="shared" si="273"/>
        <v>5</v>
      </c>
      <c r="G608" s="12" t="s">
        <v>638</v>
      </c>
      <c r="H608" s="12">
        <f t="shared" si="317"/>
        <v>90</v>
      </c>
      <c r="I608" s="10" t="str">
        <f>VLOOKUP(A608,战役结算奖励!$A$1:$O$800,15,0)</f>
        <v>[{"id":14,"num":60},{"id":2,"num":2500000},{"id":1,"num":3300000}]</v>
      </c>
      <c r="J608" s="12" t="str">
        <f t="shared" si="318"/>
        <v>[14,2,1]</v>
      </c>
      <c r="K608" s="12">
        <f t="shared" ref="K608:M608" si="321">IF(K568="","",K568)</f>
        <v>87</v>
      </c>
      <c r="L608" s="3" t="s">
        <v>514</v>
      </c>
      <c r="M608" s="12" t="str">
        <f t="shared" si="321"/>
        <v/>
      </c>
      <c r="N608" s="12"/>
      <c r="O608" s="12" t="s">
        <v>514</v>
      </c>
    </row>
    <row r="609" spans="1:15" s="7" customFormat="1" x14ac:dyDescent="0.15">
      <c r="A609" s="3">
        <f t="shared" si="276"/>
        <v>1416006</v>
      </c>
      <c r="B609" s="14">
        <f t="shared" ref="B609:D609" si="322">B569</f>
        <v>14</v>
      </c>
      <c r="C609" s="14">
        <f t="shared" si="322"/>
        <v>0</v>
      </c>
      <c r="D609" s="14">
        <f t="shared" si="322"/>
        <v>1</v>
      </c>
      <c r="E609" s="14">
        <f t="shared" si="278"/>
        <v>16</v>
      </c>
      <c r="F609" s="14">
        <f t="shared" si="273"/>
        <v>6</v>
      </c>
      <c r="G609" s="12" t="s">
        <v>639</v>
      </c>
      <c r="H609" s="12">
        <f t="shared" si="317"/>
        <v>90</v>
      </c>
      <c r="I609" s="10" t="str">
        <f>VLOOKUP(A609,战役结算奖励!$A$1:$O$800,15,0)</f>
        <v>[{"id":14,"num":60},{"id":2,"num":2500000},{"id":1,"num":3300000}]</v>
      </c>
      <c r="J609" s="12" t="str">
        <f t="shared" si="318"/>
        <v>[14,2,1]</v>
      </c>
      <c r="K609" s="12">
        <f t="shared" ref="K609:M609" si="323">IF(K569="","",K569)</f>
        <v>88</v>
      </c>
      <c r="L609" s="3" t="s">
        <v>514</v>
      </c>
      <c r="M609" s="12" t="str">
        <f t="shared" si="323"/>
        <v/>
      </c>
      <c r="N609" s="12"/>
      <c r="O609" s="12" t="s">
        <v>514</v>
      </c>
    </row>
    <row r="610" spans="1:15" s="7" customFormat="1" x14ac:dyDescent="0.15">
      <c r="A610" s="3">
        <f t="shared" si="276"/>
        <v>1416007</v>
      </c>
      <c r="B610" s="14">
        <f t="shared" ref="B610:D610" si="324">B570</f>
        <v>14</v>
      </c>
      <c r="C610" s="14">
        <f t="shared" si="324"/>
        <v>0</v>
      </c>
      <c r="D610" s="14">
        <f t="shared" si="324"/>
        <v>1</v>
      </c>
      <c r="E610" s="14">
        <f t="shared" si="278"/>
        <v>16</v>
      </c>
      <c r="F610" s="14">
        <f t="shared" si="273"/>
        <v>7</v>
      </c>
      <c r="G610" s="12" t="s">
        <v>640</v>
      </c>
      <c r="H610" s="12">
        <f t="shared" si="317"/>
        <v>90</v>
      </c>
      <c r="I610" s="10" t="str">
        <f>VLOOKUP(A610,战役结算奖励!$A$1:$O$800,15,0)</f>
        <v>[{"id":14,"num":60},{"id":2,"num":2500000},{"id":1,"num":3300000}]</v>
      </c>
      <c r="J610" s="12" t="str">
        <f t="shared" si="318"/>
        <v>[14,2,1]</v>
      </c>
      <c r="K610" s="12">
        <f t="shared" ref="K610:M610" si="325">IF(K570="","",K570)</f>
        <v>88</v>
      </c>
      <c r="L610" s="3" t="s">
        <v>514</v>
      </c>
      <c r="M610" s="12" t="str">
        <f t="shared" si="325"/>
        <v/>
      </c>
      <c r="N610" s="12"/>
      <c r="O610" s="12" t="s">
        <v>514</v>
      </c>
    </row>
    <row r="611" spans="1:15" s="7" customFormat="1" x14ac:dyDescent="0.15">
      <c r="A611" s="3">
        <f t="shared" si="276"/>
        <v>1416008</v>
      </c>
      <c r="B611" s="14">
        <f t="shared" ref="B611:D611" si="326">B571</f>
        <v>14</v>
      </c>
      <c r="C611" s="14">
        <f t="shared" si="326"/>
        <v>0</v>
      </c>
      <c r="D611" s="14">
        <f t="shared" si="326"/>
        <v>1</v>
      </c>
      <c r="E611" s="14">
        <f t="shared" si="278"/>
        <v>16</v>
      </c>
      <c r="F611" s="14">
        <f t="shared" si="273"/>
        <v>8</v>
      </c>
      <c r="G611" s="12" t="s">
        <v>641</v>
      </c>
      <c r="H611" s="12">
        <f t="shared" si="317"/>
        <v>90</v>
      </c>
      <c r="I611" s="10" t="str">
        <f>VLOOKUP(A611,战役结算奖励!$A$1:$O$800,15,0)</f>
        <v>[{"id":14,"num":60},{"id":2,"num":2500000},{"id":1,"num":3300000}]</v>
      </c>
      <c r="J611" s="12" t="str">
        <f t="shared" si="318"/>
        <v>[14,2,1]</v>
      </c>
      <c r="K611" s="12">
        <f t="shared" ref="K611:M611" si="327">IF(K571="","",K571)</f>
        <v>88</v>
      </c>
      <c r="L611" s="3" t="s">
        <v>514</v>
      </c>
      <c r="M611" s="12" t="str">
        <f t="shared" si="327"/>
        <v/>
      </c>
      <c r="N611" s="12"/>
      <c r="O611" s="12" t="s">
        <v>514</v>
      </c>
    </row>
    <row r="612" spans="1:15" s="7" customFormat="1" x14ac:dyDescent="0.15">
      <c r="A612" s="3">
        <f t="shared" si="276"/>
        <v>1416009</v>
      </c>
      <c r="B612" s="14">
        <f t="shared" ref="B612:D612" si="328">B572</f>
        <v>14</v>
      </c>
      <c r="C612" s="14">
        <f t="shared" si="328"/>
        <v>0</v>
      </c>
      <c r="D612" s="14">
        <f t="shared" si="328"/>
        <v>1</v>
      </c>
      <c r="E612" s="14">
        <f t="shared" si="278"/>
        <v>16</v>
      </c>
      <c r="F612" s="14">
        <f t="shared" si="273"/>
        <v>9</v>
      </c>
      <c r="G612" s="12" t="s">
        <v>642</v>
      </c>
      <c r="H612" s="12">
        <f t="shared" si="317"/>
        <v>90</v>
      </c>
      <c r="I612" s="10" t="str">
        <f>VLOOKUP(A612,战役结算奖励!$A$1:$O$800,15,0)</f>
        <v>[{"id":14,"num":60},{"id":2,"num":2500000},{"id":1,"num":3300000}]</v>
      </c>
      <c r="J612" s="12" t="str">
        <f t="shared" si="318"/>
        <v>[14,2,1]</v>
      </c>
      <c r="K612" s="12">
        <f t="shared" ref="K612:M612" si="329">IF(K572="","",K572)</f>
        <v>88</v>
      </c>
      <c r="L612" s="3" t="s">
        <v>514</v>
      </c>
      <c r="M612" s="12" t="str">
        <f t="shared" si="329"/>
        <v/>
      </c>
      <c r="N612" s="12"/>
      <c r="O612" s="12" t="s">
        <v>514</v>
      </c>
    </row>
    <row r="613" spans="1:15" s="7" customFormat="1" x14ac:dyDescent="0.15">
      <c r="A613" s="3">
        <f t="shared" si="276"/>
        <v>1416010</v>
      </c>
      <c r="B613" s="14">
        <f t="shared" ref="B613:D613" si="330">B573</f>
        <v>14</v>
      </c>
      <c r="C613" s="14">
        <f t="shared" si="330"/>
        <v>0</v>
      </c>
      <c r="D613" s="14">
        <f t="shared" si="330"/>
        <v>1</v>
      </c>
      <c r="E613" s="14">
        <f t="shared" si="278"/>
        <v>16</v>
      </c>
      <c r="F613" s="14">
        <f t="shared" si="273"/>
        <v>10</v>
      </c>
      <c r="G613" s="12" t="s">
        <v>643</v>
      </c>
      <c r="H613" s="12">
        <f t="shared" si="317"/>
        <v>90</v>
      </c>
      <c r="I613" s="10" t="str">
        <f>VLOOKUP(A613,战役结算奖励!$A$1:$O$800,15,0)</f>
        <v>[{"id":14,"num":60},{"id":2,"num":2500000},{"id":1,"num":3300000}]</v>
      </c>
      <c r="J613" s="12" t="str">
        <f t="shared" si="318"/>
        <v>[14,2,1]</v>
      </c>
      <c r="K613" s="12">
        <f t="shared" ref="K613:M613" si="331">IF(K573="","",K573)</f>
        <v>88</v>
      </c>
      <c r="L613" s="3" t="s">
        <v>514</v>
      </c>
      <c r="M613" s="12" t="str">
        <f t="shared" si="331"/>
        <v/>
      </c>
      <c r="N613" s="12"/>
      <c r="O613" s="12" t="s">
        <v>514</v>
      </c>
    </row>
    <row r="614" spans="1:15" s="7" customFormat="1" x14ac:dyDescent="0.15">
      <c r="A614" s="3">
        <f t="shared" si="276"/>
        <v>1416011</v>
      </c>
      <c r="B614" s="14">
        <f t="shared" ref="B614:D614" si="332">B574</f>
        <v>14</v>
      </c>
      <c r="C614" s="14">
        <f t="shared" si="332"/>
        <v>0</v>
      </c>
      <c r="D614" s="14">
        <f t="shared" si="332"/>
        <v>1</v>
      </c>
      <c r="E614" s="14">
        <f t="shared" si="278"/>
        <v>16</v>
      </c>
      <c r="F614" s="14">
        <f t="shared" si="273"/>
        <v>11</v>
      </c>
      <c r="G614" s="12" t="s">
        <v>644</v>
      </c>
      <c r="H614" s="12">
        <f t="shared" si="317"/>
        <v>90</v>
      </c>
      <c r="I614" s="10" t="str">
        <f>VLOOKUP(A614,战役结算奖励!$A$1:$O$800,15,0)</f>
        <v>[{"id":14,"num":60},{"id":2,"num":2500000},{"id":1,"num":3300000}]</v>
      </c>
      <c r="J614" s="12" t="str">
        <f t="shared" si="318"/>
        <v>[14,2,1]</v>
      </c>
      <c r="K614" s="12">
        <f t="shared" ref="K614:M614" si="333">IF(K574="","",K574)</f>
        <v>89</v>
      </c>
      <c r="L614" s="3" t="s">
        <v>514</v>
      </c>
      <c r="M614" s="12" t="str">
        <f t="shared" si="333"/>
        <v/>
      </c>
      <c r="N614" s="12"/>
      <c r="O614" s="12" t="s">
        <v>514</v>
      </c>
    </row>
    <row r="615" spans="1:15" s="7" customFormat="1" x14ac:dyDescent="0.15">
      <c r="A615" s="3">
        <f t="shared" si="276"/>
        <v>1416012</v>
      </c>
      <c r="B615" s="14">
        <f t="shared" ref="B615:D615" si="334">B575</f>
        <v>14</v>
      </c>
      <c r="C615" s="14">
        <f t="shared" si="334"/>
        <v>0</v>
      </c>
      <c r="D615" s="14">
        <f t="shared" si="334"/>
        <v>1</v>
      </c>
      <c r="E615" s="14">
        <f t="shared" si="278"/>
        <v>16</v>
      </c>
      <c r="F615" s="14">
        <f t="shared" si="273"/>
        <v>12</v>
      </c>
      <c r="G615" s="12" t="s">
        <v>645</v>
      </c>
      <c r="H615" s="12">
        <f t="shared" si="317"/>
        <v>90</v>
      </c>
      <c r="I615" s="10" t="str">
        <f>VLOOKUP(A615,战役结算奖励!$A$1:$O$800,15,0)</f>
        <v>[{"id":14,"num":60},{"id":2,"num":2500000},{"id":1,"num":3300000}]</v>
      </c>
      <c r="J615" s="12" t="str">
        <f t="shared" si="318"/>
        <v>[14,2,1]</v>
      </c>
      <c r="K615" s="12">
        <f t="shared" ref="K615:M615" si="335">IF(K575="","",K575)</f>
        <v>89</v>
      </c>
      <c r="L615" s="3" t="s">
        <v>514</v>
      </c>
      <c r="M615" s="12" t="str">
        <f t="shared" si="335"/>
        <v/>
      </c>
      <c r="N615" s="12"/>
      <c r="O615" s="12" t="s">
        <v>514</v>
      </c>
    </row>
    <row r="616" spans="1:15" s="7" customFormat="1" x14ac:dyDescent="0.15">
      <c r="A616" s="3">
        <f t="shared" si="276"/>
        <v>1416013</v>
      </c>
      <c r="B616" s="14">
        <f t="shared" ref="B616:D616" si="336">B576</f>
        <v>14</v>
      </c>
      <c r="C616" s="14">
        <f t="shared" si="336"/>
        <v>0</v>
      </c>
      <c r="D616" s="14">
        <f t="shared" si="336"/>
        <v>1</v>
      </c>
      <c r="E616" s="14">
        <f t="shared" si="278"/>
        <v>16</v>
      </c>
      <c r="F616" s="14">
        <f t="shared" si="273"/>
        <v>13</v>
      </c>
      <c r="G616" s="12" t="s">
        <v>646</v>
      </c>
      <c r="H616" s="12">
        <f t="shared" si="317"/>
        <v>90</v>
      </c>
      <c r="I616" s="10" t="str">
        <f>VLOOKUP(A616,战役结算奖励!$A$1:$O$800,15,0)</f>
        <v>[{"id":14,"num":60},{"id":2,"num":2500000},{"id":1,"num":3300000}]</v>
      </c>
      <c r="J616" s="12" t="str">
        <f t="shared" si="318"/>
        <v>[14,2,1]</v>
      </c>
      <c r="K616" s="12">
        <f t="shared" ref="K616:M616" si="337">IF(K576="","",K576)</f>
        <v>89</v>
      </c>
      <c r="L616" s="3" t="s">
        <v>514</v>
      </c>
      <c r="M616" s="12" t="str">
        <f t="shared" si="337"/>
        <v/>
      </c>
      <c r="N616" s="12"/>
      <c r="O616" s="12" t="s">
        <v>514</v>
      </c>
    </row>
    <row r="617" spans="1:15" s="7" customFormat="1" x14ac:dyDescent="0.15">
      <c r="A617" s="3">
        <f t="shared" si="276"/>
        <v>1416014</v>
      </c>
      <c r="B617" s="14">
        <f t="shared" ref="B617:D617" si="338">B577</f>
        <v>14</v>
      </c>
      <c r="C617" s="14">
        <f t="shared" si="338"/>
        <v>0</v>
      </c>
      <c r="D617" s="14">
        <f t="shared" si="338"/>
        <v>1</v>
      </c>
      <c r="E617" s="14">
        <f t="shared" si="278"/>
        <v>16</v>
      </c>
      <c r="F617" s="14">
        <f t="shared" si="273"/>
        <v>14</v>
      </c>
      <c r="G617" s="12" t="s">
        <v>647</v>
      </c>
      <c r="H617" s="12">
        <f t="shared" si="317"/>
        <v>90</v>
      </c>
      <c r="I617" s="10" t="str">
        <f>VLOOKUP(A617,战役结算奖励!$A$1:$O$800,15,0)</f>
        <v>[{"id":14,"num":60},{"id":2,"num":2500000},{"id":1,"num":3300000}]</v>
      </c>
      <c r="J617" s="12" t="str">
        <f t="shared" si="318"/>
        <v>[14,2,1]</v>
      </c>
      <c r="K617" s="12">
        <f t="shared" ref="K617:M617" si="339">IF(K577="","",K577)</f>
        <v>89</v>
      </c>
      <c r="L617" s="3" t="s">
        <v>514</v>
      </c>
      <c r="M617" s="12" t="str">
        <f t="shared" si="339"/>
        <v/>
      </c>
      <c r="N617" s="12"/>
      <c r="O617" s="12" t="s">
        <v>514</v>
      </c>
    </row>
    <row r="618" spans="1:15" s="7" customFormat="1" x14ac:dyDescent="0.15">
      <c r="A618" s="3">
        <f t="shared" si="276"/>
        <v>1416015</v>
      </c>
      <c r="B618" s="14">
        <f t="shared" ref="B618:D618" si="340">B578</f>
        <v>14</v>
      </c>
      <c r="C618" s="14">
        <f t="shared" si="340"/>
        <v>0</v>
      </c>
      <c r="D618" s="14">
        <f t="shared" si="340"/>
        <v>1</v>
      </c>
      <c r="E618" s="14">
        <f t="shared" si="278"/>
        <v>16</v>
      </c>
      <c r="F618" s="14">
        <f t="shared" si="273"/>
        <v>15</v>
      </c>
      <c r="G618" s="12" t="s">
        <v>648</v>
      </c>
      <c r="H618" s="12">
        <f t="shared" si="317"/>
        <v>90</v>
      </c>
      <c r="I618" s="10" t="str">
        <f>VLOOKUP(A618,战役结算奖励!$A$1:$O$800,15,0)</f>
        <v>[{"id":14,"num":60},{"id":2,"num":2500000},{"id":1,"num":3300000}]</v>
      </c>
      <c r="J618" s="12" t="str">
        <f t="shared" si="318"/>
        <v>[14,2,1]</v>
      </c>
      <c r="K618" s="12">
        <f t="shared" ref="K618:M618" si="341">IF(K578="","",K578)</f>
        <v>89</v>
      </c>
      <c r="L618" s="3" t="s">
        <v>514</v>
      </c>
      <c r="M618" s="12" t="str">
        <f t="shared" si="341"/>
        <v/>
      </c>
      <c r="N618" s="12"/>
      <c r="O618" s="12" t="s">
        <v>514</v>
      </c>
    </row>
    <row r="619" spans="1:15" s="7" customFormat="1" x14ac:dyDescent="0.15">
      <c r="A619" s="3">
        <f t="shared" si="276"/>
        <v>1416016</v>
      </c>
      <c r="B619" s="14">
        <f t="shared" ref="B619:D619" si="342">B579</f>
        <v>14</v>
      </c>
      <c r="C619" s="14">
        <f t="shared" si="342"/>
        <v>0</v>
      </c>
      <c r="D619" s="14">
        <f t="shared" si="342"/>
        <v>1</v>
      </c>
      <c r="E619" s="14">
        <f t="shared" si="278"/>
        <v>16</v>
      </c>
      <c r="F619" s="14">
        <f t="shared" si="273"/>
        <v>16</v>
      </c>
      <c r="G619" s="12" t="s">
        <v>649</v>
      </c>
      <c r="H619" s="12">
        <f t="shared" si="317"/>
        <v>90</v>
      </c>
      <c r="I619" s="10" t="str">
        <f>VLOOKUP(A619,战役结算奖励!$A$1:$O$800,15,0)</f>
        <v>[{"id":14,"num":60},{"id":2,"num":2500000},{"id":1,"num":3300000}]</v>
      </c>
      <c r="J619" s="12" t="str">
        <f t="shared" si="318"/>
        <v>[14,2,1]</v>
      </c>
      <c r="K619" s="12">
        <f t="shared" ref="K619:M619" si="343">IF(K579="","",K579)</f>
        <v>90</v>
      </c>
      <c r="L619" s="3" t="s">
        <v>514</v>
      </c>
      <c r="M619" s="12" t="str">
        <f t="shared" si="343"/>
        <v/>
      </c>
      <c r="N619" s="12"/>
      <c r="O619" s="12" t="s">
        <v>514</v>
      </c>
    </row>
    <row r="620" spans="1:15" s="7" customFormat="1" x14ac:dyDescent="0.15">
      <c r="A620" s="3">
        <f t="shared" si="276"/>
        <v>1416017</v>
      </c>
      <c r="B620" s="14">
        <f t="shared" ref="B620:D620" si="344">B580</f>
        <v>14</v>
      </c>
      <c r="C620" s="14">
        <f t="shared" si="344"/>
        <v>0</v>
      </c>
      <c r="D620" s="14">
        <f t="shared" si="344"/>
        <v>1</v>
      </c>
      <c r="E620" s="14">
        <f t="shared" si="278"/>
        <v>16</v>
      </c>
      <c r="F620" s="14">
        <f t="shared" si="273"/>
        <v>17</v>
      </c>
      <c r="G620" s="12" t="s">
        <v>650</v>
      </c>
      <c r="H620" s="12">
        <f t="shared" si="317"/>
        <v>90</v>
      </c>
      <c r="I620" s="10" t="str">
        <f>VLOOKUP(A620,战役结算奖励!$A$1:$O$800,15,0)</f>
        <v>[{"id":14,"num":60},{"id":2,"num":2500000},{"id":1,"num":3300000}]</v>
      </c>
      <c r="J620" s="12" t="str">
        <f t="shared" si="318"/>
        <v>[14,2,1]</v>
      </c>
      <c r="K620" s="12">
        <f t="shared" ref="K620:M620" si="345">IF(K580="","",K580)</f>
        <v>90</v>
      </c>
      <c r="L620" s="3" t="s">
        <v>514</v>
      </c>
      <c r="M620" s="12" t="str">
        <f t="shared" si="345"/>
        <v/>
      </c>
      <c r="N620" s="12"/>
      <c r="O620" s="12" t="s">
        <v>514</v>
      </c>
    </row>
    <row r="621" spans="1:15" s="7" customFormat="1" x14ac:dyDescent="0.15">
      <c r="A621" s="3">
        <f t="shared" si="276"/>
        <v>1416018</v>
      </c>
      <c r="B621" s="14">
        <f t="shared" ref="B621:D621" si="346">B581</f>
        <v>14</v>
      </c>
      <c r="C621" s="14">
        <f t="shared" si="346"/>
        <v>0</v>
      </c>
      <c r="D621" s="14">
        <f t="shared" si="346"/>
        <v>1</v>
      </c>
      <c r="E621" s="14">
        <f t="shared" si="278"/>
        <v>16</v>
      </c>
      <c r="F621" s="14">
        <f t="shared" si="273"/>
        <v>18</v>
      </c>
      <c r="G621" s="12" t="s">
        <v>651</v>
      </c>
      <c r="H621" s="12">
        <f t="shared" si="317"/>
        <v>90</v>
      </c>
      <c r="I621" s="10" t="str">
        <f>VLOOKUP(A621,战役结算奖励!$A$1:$O$800,15,0)</f>
        <v>[{"id":14,"num":60},{"id":2,"num":2500000},{"id":1,"num":3300000}]</v>
      </c>
      <c r="J621" s="12" t="str">
        <f t="shared" si="318"/>
        <v>[14,2,1]</v>
      </c>
      <c r="K621" s="12">
        <f t="shared" ref="K621:M621" si="347">IF(K581="","",K581)</f>
        <v>90</v>
      </c>
      <c r="L621" s="3" t="s">
        <v>514</v>
      </c>
      <c r="M621" s="12" t="str">
        <f t="shared" si="347"/>
        <v/>
      </c>
      <c r="N621" s="12"/>
      <c r="O621" s="12" t="s">
        <v>514</v>
      </c>
    </row>
    <row r="622" spans="1:15" s="7" customFormat="1" x14ac:dyDescent="0.15">
      <c r="A622" s="3">
        <f t="shared" si="276"/>
        <v>1416019</v>
      </c>
      <c r="B622" s="14">
        <f t="shared" ref="B622:D622" si="348">B582</f>
        <v>14</v>
      </c>
      <c r="C622" s="14">
        <f t="shared" si="348"/>
        <v>0</v>
      </c>
      <c r="D622" s="14">
        <f t="shared" si="348"/>
        <v>1</v>
      </c>
      <c r="E622" s="14">
        <f t="shared" si="278"/>
        <v>16</v>
      </c>
      <c r="F622" s="14">
        <f t="shared" si="273"/>
        <v>19</v>
      </c>
      <c r="G622" s="12" t="s">
        <v>652</v>
      </c>
      <c r="H622" s="12">
        <f t="shared" si="317"/>
        <v>90</v>
      </c>
      <c r="I622" s="10" t="str">
        <f>VLOOKUP(A622,战役结算奖励!$A$1:$O$800,15,0)</f>
        <v>[{"id":14,"num":60},{"id":2,"num":2500000},{"id":1,"num":3300000}]</v>
      </c>
      <c r="J622" s="12" t="str">
        <f t="shared" si="318"/>
        <v>[14,2,1]</v>
      </c>
      <c r="K622" s="12">
        <f t="shared" ref="K622:M622" si="349">IF(K582="","",K582)</f>
        <v>90</v>
      </c>
      <c r="L622" s="3" t="s">
        <v>514</v>
      </c>
      <c r="M622" s="12" t="str">
        <f t="shared" si="349"/>
        <v/>
      </c>
      <c r="N622" s="12"/>
      <c r="O622" s="12" t="s">
        <v>514</v>
      </c>
    </row>
    <row r="623" spans="1:15" s="7" customFormat="1" x14ac:dyDescent="0.15">
      <c r="A623" s="3">
        <f t="shared" si="276"/>
        <v>1416020</v>
      </c>
      <c r="B623" s="14">
        <f t="shared" ref="B623:D623" si="350">B583</f>
        <v>14</v>
      </c>
      <c r="C623" s="14">
        <f t="shared" si="350"/>
        <v>0</v>
      </c>
      <c r="D623" s="14">
        <f t="shared" si="350"/>
        <v>1</v>
      </c>
      <c r="E623" s="14">
        <f t="shared" si="278"/>
        <v>16</v>
      </c>
      <c r="F623" s="14">
        <f t="shared" si="273"/>
        <v>20</v>
      </c>
      <c r="G623" s="12" t="s">
        <v>653</v>
      </c>
      <c r="H623" s="12">
        <f t="shared" si="317"/>
        <v>90</v>
      </c>
      <c r="I623" s="10" t="str">
        <f>VLOOKUP(A623,战役结算奖励!$A$1:$O$800,15,0)</f>
        <v>[{"id":14,"num":60},{"id":2,"num":2500000},{"id":1,"num":3300000}]</v>
      </c>
      <c r="J623" s="12" t="str">
        <f t="shared" si="318"/>
        <v>[14,2,1]</v>
      </c>
      <c r="K623" s="12">
        <f t="shared" ref="K623:M623" si="351">IF(K583="","",K583)</f>
        <v>90</v>
      </c>
      <c r="L623" s="3" t="s">
        <v>514</v>
      </c>
      <c r="M623" s="12" t="str">
        <f t="shared" si="351"/>
        <v/>
      </c>
      <c r="N623" s="12"/>
      <c r="O623" s="12" t="s">
        <v>514</v>
      </c>
    </row>
    <row r="624" spans="1:15" s="7" customFormat="1" x14ac:dyDescent="0.15">
      <c r="A624" s="3">
        <f t="shared" si="276"/>
        <v>1416021</v>
      </c>
      <c r="B624" s="14">
        <f t="shared" ref="B624:D624" si="352">B584</f>
        <v>14</v>
      </c>
      <c r="C624" s="14">
        <f t="shared" si="352"/>
        <v>0</v>
      </c>
      <c r="D624" s="14">
        <f t="shared" si="352"/>
        <v>1</v>
      </c>
      <c r="E624" s="14">
        <f t="shared" si="278"/>
        <v>16</v>
      </c>
      <c r="F624" s="14">
        <f t="shared" si="273"/>
        <v>21</v>
      </c>
      <c r="G624" s="12" t="s">
        <v>654</v>
      </c>
      <c r="H624" s="12">
        <f t="shared" si="317"/>
        <v>90</v>
      </c>
      <c r="I624" s="10" t="str">
        <f>VLOOKUP(A624,战役结算奖励!$A$1:$O$800,15,0)</f>
        <v>[{"id":14,"num":60},{"id":2,"num":2500000},{"id":1,"num":3300000}]</v>
      </c>
      <c r="J624" s="12" t="str">
        <f t="shared" si="318"/>
        <v>[14,2,1]</v>
      </c>
      <c r="K624" s="12">
        <f t="shared" ref="K624:M624" si="353">IF(K584="","",K584)</f>
        <v>90</v>
      </c>
      <c r="L624" s="3" t="s">
        <v>514</v>
      </c>
      <c r="M624" s="12" t="str">
        <f t="shared" si="353"/>
        <v/>
      </c>
      <c r="N624" s="12"/>
      <c r="O624" s="12" t="s">
        <v>514</v>
      </c>
    </row>
    <row r="625" spans="1:15" s="7" customFormat="1" x14ac:dyDescent="0.15">
      <c r="A625" s="3">
        <f t="shared" si="276"/>
        <v>1416022</v>
      </c>
      <c r="B625" s="14">
        <f t="shared" ref="B625:D625" si="354">B585</f>
        <v>14</v>
      </c>
      <c r="C625" s="14">
        <f t="shared" si="354"/>
        <v>0</v>
      </c>
      <c r="D625" s="14">
        <f t="shared" si="354"/>
        <v>1</v>
      </c>
      <c r="E625" s="14">
        <f t="shared" si="278"/>
        <v>16</v>
      </c>
      <c r="F625" s="14">
        <f t="shared" si="273"/>
        <v>22</v>
      </c>
      <c r="G625" s="12" t="s">
        <v>655</v>
      </c>
      <c r="H625" s="12">
        <f t="shared" si="317"/>
        <v>90</v>
      </c>
      <c r="I625" s="10" t="str">
        <f>VLOOKUP(A625,战役结算奖励!$A$1:$O$800,15,0)</f>
        <v>[{"id":14,"num":60},{"id":2,"num":2500000},{"id":1,"num":3300000}]</v>
      </c>
      <c r="J625" s="12" t="str">
        <f t="shared" si="318"/>
        <v>[14,2,1]</v>
      </c>
      <c r="K625" s="12">
        <f t="shared" ref="K625:M625" si="355">IF(K585="","",K585)</f>
        <v>90</v>
      </c>
      <c r="L625" s="3" t="s">
        <v>514</v>
      </c>
      <c r="M625" s="12" t="str">
        <f t="shared" si="355"/>
        <v/>
      </c>
      <c r="N625" s="12"/>
      <c r="O625" s="12" t="s">
        <v>514</v>
      </c>
    </row>
    <row r="626" spans="1:15" s="7" customFormat="1" x14ac:dyDescent="0.15">
      <c r="A626" s="3">
        <f t="shared" si="276"/>
        <v>1416023</v>
      </c>
      <c r="B626" s="14">
        <f t="shared" ref="B626:D626" si="356">B586</f>
        <v>14</v>
      </c>
      <c r="C626" s="14">
        <f t="shared" si="356"/>
        <v>0</v>
      </c>
      <c r="D626" s="14">
        <f t="shared" si="356"/>
        <v>1</v>
      </c>
      <c r="E626" s="14">
        <f t="shared" si="278"/>
        <v>16</v>
      </c>
      <c r="F626" s="14">
        <f t="shared" si="273"/>
        <v>23</v>
      </c>
      <c r="G626" s="12" t="s">
        <v>656</v>
      </c>
      <c r="H626" s="12">
        <f t="shared" si="317"/>
        <v>90</v>
      </c>
      <c r="I626" s="10" t="str">
        <f>VLOOKUP(A626,战役结算奖励!$A$1:$O$800,15,0)</f>
        <v>[{"id":14,"num":60},{"id":2,"num":2500000},{"id":1,"num":3300000}]</v>
      </c>
      <c r="J626" s="12" t="str">
        <f t="shared" si="318"/>
        <v>[14,2,1]</v>
      </c>
      <c r="K626" s="12">
        <f t="shared" ref="K626:M626" si="357">IF(K586="","",K586)</f>
        <v>90</v>
      </c>
      <c r="L626" s="3" t="s">
        <v>514</v>
      </c>
      <c r="M626" s="12" t="str">
        <f t="shared" si="357"/>
        <v/>
      </c>
      <c r="N626" s="12"/>
      <c r="O626" s="12" t="s">
        <v>514</v>
      </c>
    </row>
    <row r="627" spans="1:15" s="7" customFormat="1" x14ac:dyDescent="0.15">
      <c r="A627" s="3">
        <f t="shared" si="276"/>
        <v>1416024</v>
      </c>
      <c r="B627" s="14">
        <f t="shared" ref="B627:D627" si="358">B587</f>
        <v>14</v>
      </c>
      <c r="C627" s="14">
        <f t="shared" si="358"/>
        <v>0</v>
      </c>
      <c r="D627" s="14">
        <f t="shared" si="358"/>
        <v>1</v>
      </c>
      <c r="E627" s="14">
        <f t="shared" si="278"/>
        <v>16</v>
      </c>
      <c r="F627" s="14">
        <f t="shared" si="273"/>
        <v>24</v>
      </c>
      <c r="G627" s="12" t="s">
        <v>657</v>
      </c>
      <c r="H627" s="12">
        <f t="shared" si="317"/>
        <v>90</v>
      </c>
      <c r="I627" s="10" t="str">
        <f>VLOOKUP(A627,战役结算奖励!$A$1:$O$800,15,0)</f>
        <v>[{"id":14,"num":60},{"id":2,"num":2500000},{"id":1,"num":3300000}]</v>
      </c>
      <c r="J627" s="12" t="str">
        <f t="shared" si="318"/>
        <v>[14,2,1]</v>
      </c>
      <c r="K627" s="12">
        <f t="shared" ref="K627:M627" si="359">IF(K587="","",K587)</f>
        <v>90</v>
      </c>
      <c r="L627" s="3" t="s">
        <v>514</v>
      </c>
      <c r="M627" s="12" t="str">
        <f t="shared" si="359"/>
        <v/>
      </c>
      <c r="N627" s="12"/>
      <c r="O627" s="12" t="s">
        <v>514</v>
      </c>
    </row>
    <row r="628" spans="1:15" s="7" customFormat="1" x14ac:dyDescent="0.15">
      <c r="A628" s="3">
        <f t="shared" si="276"/>
        <v>1416025</v>
      </c>
      <c r="B628" s="14">
        <f t="shared" ref="B628:D628" si="360">B588</f>
        <v>14</v>
      </c>
      <c r="C628" s="14">
        <f t="shared" si="360"/>
        <v>0</v>
      </c>
      <c r="D628" s="14">
        <f t="shared" si="360"/>
        <v>1</v>
      </c>
      <c r="E628" s="14">
        <f t="shared" si="278"/>
        <v>16</v>
      </c>
      <c r="F628" s="14">
        <f t="shared" si="273"/>
        <v>25</v>
      </c>
      <c r="G628" s="12" t="s">
        <v>658</v>
      </c>
      <c r="H628" s="12">
        <f t="shared" si="317"/>
        <v>90</v>
      </c>
      <c r="I628" s="10" t="str">
        <f>VLOOKUP(A628,战役结算奖励!$A$1:$O$800,15,0)</f>
        <v>[{"id":14,"num":60},{"id":2,"num":2500000},{"id":1,"num":3300000}]</v>
      </c>
      <c r="J628" s="12" t="str">
        <f t="shared" si="318"/>
        <v>[14,2,1]</v>
      </c>
      <c r="K628" s="12">
        <f t="shared" ref="K628:M628" si="361">IF(K588="","",K588)</f>
        <v>90</v>
      </c>
      <c r="L628" s="3" t="s">
        <v>514</v>
      </c>
      <c r="M628" s="12" t="str">
        <f t="shared" si="361"/>
        <v/>
      </c>
      <c r="N628" s="12"/>
      <c r="O628" s="12" t="s">
        <v>514</v>
      </c>
    </row>
    <row r="629" spans="1:15" s="7" customFormat="1" x14ac:dyDescent="0.15">
      <c r="A629" s="3">
        <f t="shared" si="276"/>
        <v>1416026</v>
      </c>
      <c r="B629" s="14">
        <f t="shared" ref="B629:D629" si="362">B589</f>
        <v>14</v>
      </c>
      <c r="C629" s="14">
        <f t="shared" si="362"/>
        <v>0</v>
      </c>
      <c r="D629" s="14">
        <f t="shared" si="362"/>
        <v>1</v>
      </c>
      <c r="E629" s="14">
        <f t="shared" si="278"/>
        <v>16</v>
      </c>
      <c r="F629" s="14">
        <f t="shared" si="273"/>
        <v>26</v>
      </c>
      <c r="G629" s="12" t="s">
        <v>659</v>
      </c>
      <c r="H629" s="12">
        <f t="shared" si="317"/>
        <v>90</v>
      </c>
      <c r="I629" s="10" t="str">
        <f>VLOOKUP(A629,战役结算奖励!$A$1:$O$800,15,0)</f>
        <v>[{"id":14,"num":60},{"id":2,"num":2500000},{"id":1,"num":3300000}]</v>
      </c>
      <c r="J629" s="12" t="str">
        <f t="shared" si="318"/>
        <v>[14,2,1]</v>
      </c>
      <c r="K629" s="12">
        <f t="shared" ref="K629:M629" si="363">IF(K589="","",K589)</f>
        <v>90</v>
      </c>
      <c r="L629" s="3" t="s">
        <v>514</v>
      </c>
      <c r="M629" s="12" t="str">
        <f t="shared" si="363"/>
        <v/>
      </c>
      <c r="N629" s="12"/>
      <c r="O629" s="12" t="s">
        <v>514</v>
      </c>
    </row>
    <row r="630" spans="1:15" s="7" customFormat="1" x14ac:dyDescent="0.15">
      <c r="A630" s="3">
        <f t="shared" si="276"/>
        <v>1416027</v>
      </c>
      <c r="B630" s="14">
        <f t="shared" ref="B630:D630" si="364">B590</f>
        <v>14</v>
      </c>
      <c r="C630" s="14">
        <f t="shared" si="364"/>
        <v>0</v>
      </c>
      <c r="D630" s="14">
        <f t="shared" si="364"/>
        <v>1</v>
      </c>
      <c r="E630" s="14">
        <f t="shared" si="278"/>
        <v>16</v>
      </c>
      <c r="F630" s="14">
        <f t="shared" si="273"/>
        <v>27</v>
      </c>
      <c r="G630" s="12" t="s">
        <v>660</v>
      </c>
      <c r="H630" s="12">
        <f t="shared" ref="H630:J630" si="365">H590</f>
        <v>90</v>
      </c>
      <c r="I630" s="10" t="str">
        <f>VLOOKUP(A630,战役结算奖励!$A$1:$O$800,15,0)</f>
        <v>[{"id":14,"num":60},{"id":2,"num":2500000},{"id":1,"num":3300000}]</v>
      </c>
      <c r="J630" s="12" t="str">
        <f t="shared" si="365"/>
        <v>[14,2,1]</v>
      </c>
      <c r="K630" s="12">
        <f>IF(K590="","",K590)</f>
        <v>90</v>
      </c>
      <c r="L630" s="3" t="s">
        <v>514</v>
      </c>
      <c r="M630" s="12" t="str">
        <f>IF(M590="","",M590)</f>
        <v/>
      </c>
      <c r="N630" s="12"/>
      <c r="O630" s="12" t="s">
        <v>514</v>
      </c>
    </row>
    <row r="631" spans="1:15" s="7" customFormat="1" x14ac:dyDescent="0.15">
      <c r="A631" s="3">
        <f t="shared" si="276"/>
        <v>1416028</v>
      </c>
      <c r="B631" s="14">
        <f t="shared" ref="B631:D631" si="366">B591</f>
        <v>14</v>
      </c>
      <c r="C631" s="14">
        <f t="shared" si="366"/>
        <v>0</v>
      </c>
      <c r="D631" s="14">
        <f t="shared" si="366"/>
        <v>1</v>
      </c>
      <c r="E631" s="14">
        <f t="shared" si="278"/>
        <v>16</v>
      </c>
      <c r="F631" s="14">
        <f t="shared" si="273"/>
        <v>28</v>
      </c>
      <c r="G631" s="12" t="s">
        <v>661</v>
      </c>
      <c r="H631" s="12">
        <f t="shared" ref="H631:H638" si="367">H591</f>
        <v>90</v>
      </c>
      <c r="I631" s="10" t="str">
        <f>VLOOKUP(A631,战役结算奖励!$A$1:$O$800,15,0)</f>
        <v>[{"id":14,"num":60},{"id":2,"num":2500000},{"id":1,"num":3300000}]</v>
      </c>
      <c r="J631" s="12" t="str">
        <f t="shared" ref="J631:J637" si="368">J591</f>
        <v>[14,2,1]</v>
      </c>
      <c r="K631" s="12">
        <f t="shared" ref="K631:M631" si="369">IF(K591="","",K591)</f>
        <v>90</v>
      </c>
      <c r="L631" s="3" t="s">
        <v>514</v>
      </c>
      <c r="M631" s="12" t="str">
        <f t="shared" si="369"/>
        <v/>
      </c>
      <c r="N631" s="12"/>
      <c r="O631" s="12" t="s">
        <v>514</v>
      </c>
    </row>
    <row r="632" spans="1:15" s="7" customFormat="1" x14ac:dyDescent="0.15">
      <c r="A632" s="3">
        <f t="shared" si="276"/>
        <v>1416029</v>
      </c>
      <c r="B632" s="14">
        <f t="shared" ref="B632:D632" si="370">B592</f>
        <v>14</v>
      </c>
      <c r="C632" s="14">
        <f t="shared" si="370"/>
        <v>0</v>
      </c>
      <c r="D632" s="14">
        <f t="shared" si="370"/>
        <v>1</v>
      </c>
      <c r="E632" s="14">
        <f t="shared" si="278"/>
        <v>16</v>
      </c>
      <c r="F632" s="14">
        <f t="shared" si="273"/>
        <v>29</v>
      </c>
      <c r="G632" s="12" t="s">
        <v>662</v>
      </c>
      <c r="H632" s="12">
        <f t="shared" si="367"/>
        <v>90</v>
      </c>
      <c r="I632" s="10" t="str">
        <f>VLOOKUP(A632,战役结算奖励!$A$1:$O$800,15,0)</f>
        <v>[{"id":14,"num":60},{"id":2,"num":2500000},{"id":1,"num":3300000}]</v>
      </c>
      <c r="J632" s="12" t="str">
        <f t="shared" si="368"/>
        <v>[14,2,1]</v>
      </c>
      <c r="K632" s="12">
        <f t="shared" ref="K632:M632" si="371">IF(K592="","",K592)</f>
        <v>90</v>
      </c>
      <c r="L632" s="3" t="s">
        <v>514</v>
      </c>
      <c r="M632" s="12" t="str">
        <f t="shared" si="371"/>
        <v/>
      </c>
      <c r="N632" s="12"/>
      <c r="O632" s="12" t="s">
        <v>514</v>
      </c>
    </row>
    <row r="633" spans="1:15" s="7" customFormat="1" x14ac:dyDescent="0.15">
      <c r="A633" s="3">
        <f t="shared" si="276"/>
        <v>1416030</v>
      </c>
      <c r="B633" s="14">
        <f t="shared" ref="B633:D633" si="372">B593</f>
        <v>14</v>
      </c>
      <c r="C633" s="14">
        <f t="shared" si="372"/>
        <v>0</v>
      </c>
      <c r="D633" s="14">
        <f t="shared" si="372"/>
        <v>1</v>
      </c>
      <c r="E633" s="14">
        <f t="shared" si="278"/>
        <v>16</v>
      </c>
      <c r="F633" s="14">
        <f t="shared" si="273"/>
        <v>30</v>
      </c>
      <c r="G633" s="12" t="s">
        <v>663</v>
      </c>
      <c r="H633" s="12">
        <f t="shared" si="367"/>
        <v>90</v>
      </c>
      <c r="I633" s="10" t="str">
        <f>VLOOKUP(A633,战役结算奖励!$A$1:$O$800,15,0)</f>
        <v>[{"id":14,"num":60},{"id":2,"num":2500000},{"id":1,"num":3300000}]</v>
      </c>
      <c r="J633" s="12" t="str">
        <f t="shared" si="368"/>
        <v>[14,2,1]</v>
      </c>
      <c r="K633" s="12">
        <f t="shared" ref="K633:M633" si="373">IF(K593="","",K593)</f>
        <v>90</v>
      </c>
      <c r="L633" s="3" t="s">
        <v>514</v>
      </c>
      <c r="M633" s="12" t="str">
        <f t="shared" si="373"/>
        <v/>
      </c>
      <c r="N633" s="12"/>
      <c r="O633" s="12" t="s">
        <v>514</v>
      </c>
    </row>
    <row r="634" spans="1:15" s="7" customFormat="1" x14ac:dyDescent="0.15">
      <c r="A634" s="3">
        <f t="shared" si="276"/>
        <v>1416031</v>
      </c>
      <c r="B634" s="14">
        <f t="shared" ref="B634:D634" si="374">B594</f>
        <v>14</v>
      </c>
      <c r="C634" s="14">
        <f t="shared" si="374"/>
        <v>0</v>
      </c>
      <c r="D634" s="14">
        <f t="shared" si="374"/>
        <v>1</v>
      </c>
      <c r="E634" s="14">
        <f t="shared" si="278"/>
        <v>16</v>
      </c>
      <c r="F634" s="14">
        <f t="shared" si="273"/>
        <v>31</v>
      </c>
      <c r="G634" s="12" t="s">
        <v>664</v>
      </c>
      <c r="H634" s="12">
        <f t="shared" si="367"/>
        <v>90</v>
      </c>
      <c r="I634" s="10" t="str">
        <f>VLOOKUP(A634,战役结算奖励!$A$1:$O$800,15,0)</f>
        <v>[{"id":14,"num":60},{"id":2,"num":2500000},{"id":1,"num":3300000}]</v>
      </c>
      <c r="J634" s="12" t="str">
        <f t="shared" si="368"/>
        <v>[14,2,1]</v>
      </c>
      <c r="K634" s="12">
        <f t="shared" ref="K634:M634" si="375">IF(K594="","",K594)</f>
        <v>90</v>
      </c>
      <c r="L634" s="3" t="s">
        <v>514</v>
      </c>
      <c r="M634" s="12" t="str">
        <f t="shared" si="375"/>
        <v/>
      </c>
      <c r="N634" s="12"/>
      <c r="O634" s="12" t="s">
        <v>514</v>
      </c>
    </row>
    <row r="635" spans="1:15" s="7" customFormat="1" x14ac:dyDescent="0.15">
      <c r="A635" s="3">
        <f t="shared" si="276"/>
        <v>1416032</v>
      </c>
      <c r="B635" s="14">
        <f t="shared" ref="B635:D635" si="376">B595</f>
        <v>14</v>
      </c>
      <c r="C635" s="14">
        <f t="shared" si="376"/>
        <v>0</v>
      </c>
      <c r="D635" s="14">
        <f t="shared" si="376"/>
        <v>1</v>
      </c>
      <c r="E635" s="14">
        <f t="shared" si="278"/>
        <v>16</v>
      </c>
      <c r="F635" s="14">
        <f t="shared" si="273"/>
        <v>32</v>
      </c>
      <c r="G635" s="12" t="s">
        <v>665</v>
      </c>
      <c r="H635" s="12">
        <f t="shared" si="367"/>
        <v>90</v>
      </c>
      <c r="I635" s="10" t="str">
        <f>VLOOKUP(A635,战役结算奖励!$A$1:$O$800,15,0)</f>
        <v>[{"id":14,"num":60},{"id":2,"num":2500000},{"id":1,"num":3300000}]</v>
      </c>
      <c r="J635" s="12" t="str">
        <f t="shared" si="368"/>
        <v>[14,2,1]</v>
      </c>
      <c r="K635" s="12">
        <f t="shared" ref="K635:M635" si="377">IF(K595="","",K595)</f>
        <v>90</v>
      </c>
      <c r="L635" s="3" t="s">
        <v>514</v>
      </c>
      <c r="M635" s="12" t="str">
        <f t="shared" si="377"/>
        <v/>
      </c>
      <c r="N635" s="12"/>
      <c r="O635" s="12" t="s">
        <v>514</v>
      </c>
    </row>
    <row r="636" spans="1:15" s="7" customFormat="1" x14ac:dyDescent="0.15">
      <c r="A636" s="3">
        <f t="shared" si="276"/>
        <v>1416033</v>
      </c>
      <c r="B636" s="14">
        <f t="shared" ref="B636:D636" si="378">B596</f>
        <v>14</v>
      </c>
      <c r="C636" s="14">
        <f t="shared" si="378"/>
        <v>0</v>
      </c>
      <c r="D636" s="14">
        <f t="shared" si="378"/>
        <v>1</v>
      </c>
      <c r="E636" s="14">
        <f t="shared" si="278"/>
        <v>16</v>
      </c>
      <c r="F636" s="14">
        <f t="shared" si="273"/>
        <v>33</v>
      </c>
      <c r="G636" s="12" t="s">
        <v>666</v>
      </c>
      <c r="H636" s="12">
        <f t="shared" si="367"/>
        <v>90</v>
      </c>
      <c r="I636" s="10" t="str">
        <f>VLOOKUP(A636,战役结算奖励!$A$1:$O$800,15,0)</f>
        <v>[{"id":14,"num":60},{"id":2,"num":2500000},{"id":1,"num":3300000}]</v>
      </c>
      <c r="J636" s="12" t="str">
        <f t="shared" si="368"/>
        <v>[14,2,1]</v>
      </c>
      <c r="K636" s="12">
        <f t="shared" ref="K636:M636" si="379">IF(K596="","",K596)</f>
        <v>90</v>
      </c>
      <c r="L636" s="3" t="s">
        <v>514</v>
      </c>
      <c r="M636" s="12" t="str">
        <f t="shared" si="379"/>
        <v/>
      </c>
      <c r="N636" s="12"/>
      <c r="O636" s="12" t="s">
        <v>514</v>
      </c>
    </row>
    <row r="637" spans="1:15" s="7" customFormat="1" x14ac:dyDescent="0.15">
      <c r="A637" s="3">
        <f t="shared" si="276"/>
        <v>1416034</v>
      </c>
      <c r="B637" s="14">
        <f t="shared" ref="B637:D637" si="380">B597</f>
        <v>14</v>
      </c>
      <c r="C637" s="14">
        <f t="shared" si="380"/>
        <v>0</v>
      </c>
      <c r="D637" s="14">
        <f t="shared" si="380"/>
        <v>1</v>
      </c>
      <c r="E637" s="14">
        <f t="shared" si="278"/>
        <v>16</v>
      </c>
      <c r="F637" s="14">
        <f t="shared" si="273"/>
        <v>34</v>
      </c>
      <c r="G637" s="12" t="s">
        <v>667</v>
      </c>
      <c r="H637" s="12">
        <f t="shared" si="367"/>
        <v>90</v>
      </c>
      <c r="I637" s="10" t="str">
        <f>VLOOKUP(A637,战役结算奖励!$A$1:$O$800,15,0)</f>
        <v>[{"id":14,"num":60},{"id":2,"num":2500000},{"id":1,"num":3300000}]</v>
      </c>
      <c r="J637" s="12" t="str">
        <f t="shared" si="368"/>
        <v>[14,2,1]</v>
      </c>
      <c r="K637" s="12">
        <f t="shared" ref="K637:M637" si="381">IF(K597="","",K597)</f>
        <v>90</v>
      </c>
      <c r="L637" s="3" t="s">
        <v>514</v>
      </c>
      <c r="M637" s="12" t="str">
        <f t="shared" si="381"/>
        <v/>
      </c>
      <c r="N637" s="12"/>
      <c r="O637" s="12" t="s">
        <v>514</v>
      </c>
    </row>
    <row r="638" spans="1:15" s="7" customFormat="1" x14ac:dyDescent="0.15">
      <c r="A638" s="3">
        <f t="shared" si="276"/>
        <v>1416035</v>
      </c>
      <c r="B638" s="14">
        <f t="shared" ref="B638:D638" si="382">B598</f>
        <v>14</v>
      </c>
      <c r="C638" s="14">
        <f t="shared" si="382"/>
        <v>0</v>
      </c>
      <c r="D638" s="14">
        <f t="shared" si="382"/>
        <v>1</v>
      </c>
      <c r="E638" s="14">
        <f t="shared" si="278"/>
        <v>16</v>
      </c>
      <c r="F638" s="14">
        <f t="shared" si="273"/>
        <v>35</v>
      </c>
      <c r="G638" s="12" t="s">
        <v>668</v>
      </c>
      <c r="H638" s="12">
        <f t="shared" si="367"/>
        <v>90</v>
      </c>
      <c r="I638" s="10" t="str">
        <f>VLOOKUP(A638,战役结算奖励!$A$1:$O$800,15,0)</f>
        <v>[{"id":14,"num":60},{"id":2,"num":2500000},{"id":1,"num":3300000}]</v>
      </c>
      <c r="J638" s="12" t="str">
        <f t="shared" ref="J638" si="383">J598</f>
        <v>[14,2,1]</v>
      </c>
      <c r="K638" s="12">
        <f t="shared" ref="K638:M638" si="384">IF(K598="","",K598)</f>
        <v>90</v>
      </c>
      <c r="L638" s="3" t="s">
        <v>514</v>
      </c>
      <c r="M638" s="12" t="str">
        <f t="shared" si="384"/>
        <v/>
      </c>
      <c r="N638" s="12"/>
      <c r="O638" s="12" t="s">
        <v>514</v>
      </c>
    </row>
    <row r="639" spans="1:15" s="7" customFormat="1" x14ac:dyDescent="0.15">
      <c r="A639" s="3">
        <f t="shared" si="276"/>
        <v>1416036</v>
      </c>
      <c r="B639" s="14">
        <f t="shared" ref="B639:D639" si="385">B599</f>
        <v>14</v>
      </c>
      <c r="C639" s="14">
        <f t="shared" si="385"/>
        <v>0</v>
      </c>
      <c r="D639" s="14">
        <f t="shared" si="385"/>
        <v>1</v>
      </c>
      <c r="E639" s="14">
        <f t="shared" si="278"/>
        <v>16</v>
      </c>
      <c r="F639" s="14">
        <f t="shared" si="273"/>
        <v>36</v>
      </c>
      <c r="G639" s="12" t="s">
        <v>669</v>
      </c>
      <c r="H639" s="12">
        <f t="shared" ref="H639:J639" si="386">H599</f>
        <v>90</v>
      </c>
      <c r="I639" s="10" t="str">
        <f>VLOOKUP(A639,战役结算奖励!$A$1:$O$800,15,0)</f>
        <v>[{"id":14,"num":60},{"id":2,"num":2500000},{"id":1,"num":3300000}]</v>
      </c>
      <c r="J639" s="12" t="str">
        <f t="shared" si="386"/>
        <v>[14,2,1]</v>
      </c>
      <c r="K639" s="12">
        <f t="shared" ref="K639:M639" si="387">IF(K599="","",K599)</f>
        <v>90</v>
      </c>
      <c r="L639" s="3" t="s">
        <v>514</v>
      </c>
      <c r="M639" s="12" t="str">
        <f t="shared" si="387"/>
        <v/>
      </c>
      <c r="N639" s="12"/>
      <c r="O639" s="12" t="s">
        <v>514</v>
      </c>
    </row>
    <row r="640" spans="1:15" s="7" customFormat="1" x14ac:dyDescent="0.15">
      <c r="A640" s="3">
        <f t="shared" si="276"/>
        <v>1416037</v>
      </c>
      <c r="B640" s="14">
        <f t="shared" ref="B640:D640" si="388">B600</f>
        <v>14</v>
      </c>
      <c r="C640" s="14">
        <f t="shared" si="388"/>
        <v>0</v>
      </c>
      <c r="D640" s="14">
        <f t="shared" si="388"/>
        <v>1</v>
      </c>
      <c r="E640" s="14">
        <f t="shared" si="278"/>
        <v>16</v>
      </c>
      <c r="F640" s="14">
        <f t="shared" si="273"/>
        <v>37</v>
      </c>
      <c r="G640" s="12" t="s">
        <v>670</v>
      </c>
      <c r="H640" s="12">
        <f t="shared" ref="H640:J640" si="389">H600</f>
        <v>90</v>
      </c>
      <c r="I640" s="10" t="str">
        <f>VLOOKUP(A640,战役结算奖励!$A$1:$O$800,15,0)</f>
        <v>[{"id":14,"num":60},{"id":2,"num":2500000},{"id":1,"num":3300000}]</v>
      </c>
      <c r="J640" s="12" t="str">
        <f t="shared" si="389"/>
        <v>[14,2,1]</v>
      </c>
      <c r="K640" s="12">
        <f t="shared" ref="K640:M640" si="390">IF(K600="","",K600)</f>
        <v>90</v>
      </c>
      <c r="L640" s="3" t="s">
        <v>514</v>
      </c>
      <c r="M640" s="12" t="str">
        <f t="shared" si="390"/>
        <v/>
      </c>
      <c r="N640" s="12"/>
      <c r="O640" s="12" t="s">
        <v>514</v>
      </c>
    </row>
    <row r="641" spans="1:15" s="7" customFormat="1" x14ac:dyDescent="0.15">
      <c r="A641" s="3">
        <f t="shared" si="276"/>
        <v>1416038</v>
      </c>
      <c r="B641" s="14">
        <f t="shared" ref="B641:D641" si="391">B601</f>
        <v>14</v>
      </c>
      <c r="C641" s="14">
        <f t="shared" si="391"/>
        <v>0</v>
      </c>
      <c r="D641" s="14">
        <f t="shared" si="391"/>
        <v>1</v>
      </c>
      <c r="E641" s="14">
        <f t="shared" si="278"/>
        <v>16</v>
      </c>
      <c r="F641" s="14">
        <f t="shared" si="273"/>
        <v>38</v>
      </c>
      <c r="G641" s="12" t="s">
        <v>671</v>
      </c>
      <c r="H641" s="12">
        <f t="shared" ref="H641:J641" si="392">H601</f>
        <v>90</v>
      </c>
      <c r="I641" s="10" t="str">
        <f>VLOOKUP(A641,战役结算奖励!$A$1:$O$800,15,0)</f>
        <v>[{"id":14,"num":60},{"id":2,"num":2500000},{"id":1,"num":3300000}]</v>
      </c>
      <c r="J641" s="12" t="str">
        <f t="shared" si="392"/>
        <v>[14,2,1]</v>
      </c>
      <c r="K641" s="12">
        <f t="shared" ref="K641:M641" si="393">IF(K601="","",K601)</f>
        <v>90</v>
      </c>
      <c r="L641" s="3" t="s">
        <v>514</v>
      </c>
      <c r="M641" s="12" t="str">
        <f t="shared" si="393"/>
        <v/>
      </c>
      <c r="N641" s="12"/>
      <c r="O641" s="12" t="s">
        <v>514</v>
      </c>
    </row>
    <row r="642" spans="1:15" s="7" customFormat="1" x14ac:dyDescent="0.15">
      <c r="A642" s="3">
        <f t="shared" si="276"/>
        <v>1416039</v>
      </c>
      <c r="B642" s="14">
        <f t="shared" ref="B642:D642" si="394">B602</f>
        <v>14</v>
      </c>
      <c r="C642" s="14">
        <f t="shared" si="394"/>
        <v>0</v>
      </c>
      <c r="D642" s="14">
        <f t="shared" si="394"/>
        <v>1</v>
      </c>
      <c r="E642" s="14">
        <f t="shared" si="278"/>
        <v>16</v>
      </c>
      <c r="F642" s="14">
        <f t="shared" si="273"/>
        <v>39</v>
      </c>
      <c r="G642" s="12" t="s">
        <v>672</v>
      </c>
      <c r="H642" s="12">
        <f t="shared" ref="H642:J642" si="395">H602</f>
        <v>90</v>
      </c>
      <c r="I642" s="10" t="str">
        <f>VLOOKUP(A642,战役结算奖励!$A$1:$O$800,15,0)</f>
        <v>[{"id":14,"num":60},{"id":2,"num":2500000},{"id":1,"num":3300000}]</v>
      </c>
      <c r="J642" s="12" t="str">
        <f t="shared" si="395"/>
        <v>[14,2,1]</v>
      </c>
      <c r="K642" s="12">
        <f t="shared" ref="K642:M642" si="396">IF(K602="","",K602)</f>
        <v>90</v>
      </c>
      <c r="L642" s="3" t="s">
        <v>514</v>
      </c>
      <c r="M642" s="12" t="str">
        <f t="shared" si="396"/>
        <v/>
      </c>
      <c r="N642" s="12"/>
      <c r="O642" s="12" t="s">
        <v>514</v>
      </c>
    </row>
    <row r="643" spans="1:15" s="7" customFormat="1" x14ac:dyDescent="0.15">
      <c r="A643" s="3">
        <f t="shared" si="276"/>
        <v>1416040</v>
      </c>
      <c r="B643" s="14">
        <f t="shared" ref="B643:D643" si="397">B603</f>
        <v>14</v>
      </c>
      <c r="C643" s="14">
        <f t="shared" si="397"/>
        <v>0</v>
      </c>
      <c r="D643" s="14">
        <f t="shared" si="397"/>
        <v>1</v>
      </c>
      <c r="E643" s="14">
        <f t="shared" si="278"/>
        <v>16</v>
      </c>
      <c r="F643" s="14">
        <f t="shared" si="273"/>
        <v>40</v>
      </c>
      <c r="G643" s="12" t="s">
        <v>673</v>
      </c>
      <c r="H643" s="12">
        <f t="shared" ref="H643:J643" si="398">H603</f>
        <v>90</v>
      </c>
      <c r="I643" s="10" t="str">
        <f>VLOOKUP(A643,战役结算奖励!$A$1:$O$800,15,0)</f>
        <v>[{"id":14,"num":60},{"id":2,"num":2500000},{"id":1,"num":3300000}]</v>
      </c>
      <c r="J643" s="12" t="str">
        <f t="shared" si="398"/>
        <v>[14,2,1]</v>
      </c>
      <c r="K643" s="12">
        <f t="shared" ref="K643:M643" si="399">IF(K603="","",K603)</f>
        <v>90</v>
      </c>
      <c r="L643" s="3" t="s">
        <v>1227</v>
      </c>
      <c r="M643" s="12" t="str">
        <f t="shared" si="399"/>
        <v/>
      </c>
      <c r="N643" s="12"/>
      <c r="O643" s="12">
        <v>1</v>
      </c>
    </row>
    <row r="644" spans="1:15" s="7" customFormat="1" x14ac:dyDescent="0.15">
      <c r="A644" s="3">
        <f t="shared" si="276"/>
        <v>1417001</v>
      </c>
      <c r="B644" s="14">
        <f t="shared" ref="B644:D644" si="400">B604</f>
        <v>14</v>
      </c>
      <c r="C644" s="14">
        <f t="shared" si="400"/>
        <v>0</v>
      </c>
      <c r="D644" s="14">
        <f t="shared" si="400"/>
        <v>1</v>
      </c>
      <c r="E644" s="14">
        <f t="shared" si="278"/>
        <v>17</v>
      </c>
      <c r="F644" s="14">
        <f t="shared" si="273"/>
        <v>1</v>
      </c>
      <c r="G644" s="12" t="s">
        <v>674</v>
      </c>
      <c r="H644" s="12">
        <f t="shared" ref="H644:J644" si="401">H604</f>
        <v>90</v>
      </c>
      <c r="I644" s="10" t="str">
        <f>VLOOKUP(A644,战役结算奖励!$A$1:$O$800,15,0)</f>
        <v>[{"id":14,"num":60},{"id":2,"num":2500000},{"id":1,"num":3500000}]</v>
      </c>
      <c r="J644" s="12" t="str">
        <f t="shared" si="401"/>
        <v>[14,2,1]</v>
      </c>
      <c r="K644" s="12">
        <f t="shared" ref="K644:M644" si="402">IF(K604="","",K604)</f>
        <v>87</v>
      </c>
      <c r="L644" s="3" t="s">
        <v>514</v>
      </c>
      <c r="M644" s="12" t="str">
        <f t="shared" si="402"/>
        <v/>
      </c>
      <c r="N644" s="12"/>
      <c r="O644" s="12" t="s">
        <v>514</v>
      </c>
    </row>
    <row r="645" spans="1:15" s="7" customFormat="1" x14ac:dyDescent="0.15">
      <c r="A645" s="3">
        <f t="shared" si="276"/>
        <v>1417002</v>
      </c>
      <c r="B645" s="14">
        <f t="shared" ref="B645:D645" si="403">B605</f>
        <v>14</v>
      </c>
      <c r="C645" s="14">
        <f t="shared" si="403"/>
        <v>0</v>
      </c>
      <c r="D645" s="14">
        <f t="shared" si="403"/>
        <v>1</v>
      </c>
      <c r="E645" s="14">
        <f t="shared" si="278"/>
        <v>17</v>
      </c>
      <c r="F645" s="14">
        <f t="shared" si="273"/>
        <v>2</v>
      </c>
      <c r="G645" s="12" t="s">
        <v>675</v>
      </c>
      <c r="H645" s="12">
        <f t="shared" ref="H645:J645" si="404">H605</f>
        <v>90</v>
      </c>
      <c r="I645" s="10" t="str">
        <f>VLOOKUP(A645,战役结算奖励!$A$1:$O$800,15,0)</f>
        <v>[{"id":14,"num":60},{"id":2,"num":2500000},{"id":1,"num":3500000}]</v>
      </c>
      <c r="J645" s="12" t="str">
        <f t="shared" si="404"/>
        <v>[14,2,1]</v>
      </c>
      <c r="K645" s="12">
        <f t="shared" ref="K645:M645" si="405">IF(K605="","",K605)</f>
        <v>87</v>
      </c>
      <c r="L645" s="3" t="s">
        <v>514</v>
      </c>
      <c r="M645" s="12" t="str">
        <f t="shared" si="405"/>
        <v/>
      </c>
      <c r="N645" s="12"/>
      <c r="O645" s="12" t="s">
        <v>514</v>
      </c>
    </row>
    <row r="646" spans="1:15" s="7" customFormat="1" x14ac:dyDescent="0.15">
      <c r="A646" s="3">
        <f t="shared" si="276"/>
        <v>1417003</v>
      </c>
      <c r="B646" s="14">
        <f t="shared" ref="B646:D646" si="406">B606</f>
        <v>14</v>
      </c>
      <c r="C646" s="14">
        <f t="shared" si="406"/>
        <v>0</v>
      </c>
      <c r="D646" s="14">
        <f t="shared" si="406"/>
        <v>1</v>
      </c>
      <c r="E646" s="14">
        <f t="shared" si="278"/>
        <v>17</v>
      </c>
      <c r="F646" s="14">
        <f t="shared" si="273"/>
        <v>3</v>
      </c>
      <c r="G646" s="12" t="s">
        <v>676</v>
      </c>
      <c r="H646" s="12">
        <f t="shared" ref="H646:J646" si="407">H606</f>
        <v>90</v>
      </c>
      <c r="I646" s="10" t="str">
        <f>VLOOKUP(A646,战役结算奖励!$A$1:$O$800,15,0)</f>
        <v>[{"id":14,"num":60},{"id":2,"num":2500000},{"id":1,"num":3500000}]</v>
      </c>
      <c r="J646" s="12" t="str">
        <f t="shared" si="407"/>
        <v>[14,2,1]</v>
      </c>
      <c r="K646" s="12">
        <f t="shared" ref="K646:M646" si="408">IF(K606="","",K606)</f>
        <v>87</v>
      </c>
      <c r="L646" s="3" t="s">
        <v>514</v>
      </c>
      <c r="M646" s="12" t="str">
        <f t="shared" si="408"/>
        <v/>
      </c>
      <c r="N646" s="12"/>
      <c r="O646" s="12" t="s">
        <v>514</v>
      </c>
    </row>
    <row r="647" spans="1:15" s="7" customFormat="1" x14ac:dyDescent="0.15">
      <c r="A647" s="3">
        <f t="shared" si="276"/>
        <v>1417004</v>
      </c>
      <c r="B647" s="14">
        <f t="shared" ref="B647:D647" si="409">B607</f>
        <v>14</v>
      </c>
      <c r="C647" s="14">
        <f t="shared" si="409"/>
        <v>0</v>
      </c>
      <c r="D647" s="14">
        <f t="shared" si="409"/>
        <v>1</v>
      </c>
      <c r="E647" s="14">
        <f t="shared" si="278"/>
        <v>17</v>
      </c>
      <c r="F647" s="14">
        <f t="shared" si="273"/>
        <v>4</v>
      </c>
      <c r="G647" s="12" t="s">
        <v>677</v>
      </c>
      <c r="H647" s="12">
        <f t="shared" ref="H647:J647" si="410">H607</f>
        <v>90</v>
      </c>
      <c r="I647" s="10" t="str">
        <f>VLOOKUP(A647,战役结算奖励!$A$1:$O$800,15,0)</f>
        <v>[{"id":14,"num":60},{"id":2,"num":2500000},{"id":1,"num":3500000}]</v>
      </c>
      <c r="J647" s="12" t="str">
        <f t="shared" si="410"/>
        <v>[14,2,1]</v>
      </c>
      <c r="K647" s="12">
        <f t="shared" ref="K647:M647" si="411">IF(K607="","",K607)</f>
        <v>87</v>
      </c>
      <c r="L647" s="3" t="s">
        <v>514</v>
      </c>
      <c r="M647" s="12" t="str">
        <f t="shared" si="411"/>
        <v/>
      </c>
      <c r="N647" s="12"/>
      <c r="O647" s="12" t="s">
        <v>514</v>
      </c>
    </row>
    <row r="648" spans="1:15" s="7" customFormat="1" x14ac:dyDescent="0.15">
      <c r="A648" s="3">
        <f t="shared" si="276"/>
        <v>1417005</v>
      </c>
      <c r="B648" s="14">
        <f t="shared" ref="B648:D648" si="412">B608</f>
        <v>14</v>
      </c>
      <c r="C648" s="14">
        <f t="shared" si="412"/>
        <v>0</v>
      </c>
      <c r="D648" s="14">
        <f t="shared" si="412"/>
        <v>1</v>
      </c>
      <c r="E648" s="14">
        <f t="shared" si="278"/>
        <v>17</v>
      </c>
      <c r="F648" s="14">
        <f t="shared" si="273"/>
        <v>5</v>
      </c>
      <c r="G648" s="12" t="s">
        <v>678</v>
      </c>
      <c r="H648" s="12">
        <f t="shared" ref="H648:J648" si="413">H608</f>
        <v>90</v>
      </c>
      <c r="I648" s="10" t="str">
        <f>VLOOKUP(A648,战役结算奖励!$A$1:$O$800,15,0)</f>
        <v>[{"id":14,"num":60},{"id":2,"num":2500000},{"id":1,"num":3500000}]</v>
      </c>
      <c r="J648" s="12" t="str">
        <f t="shared" si="413"/>
        <v>[14,2,1]</v>
      </c>
      <c r="K648" s="12">
        <f>IF(K608="","",K608)</f>
        <v>87</v>
      </c>
      <c r="L648" s="3" t="s">
        <v>514</v>
      </c>
      <c r="M648" s="12" t="str">
        <f>IF(M608="","",M608)</f>
        <v/>
      </c>
      <c r="N648" s="12"/>
      <c r="O648" s="12" t="s">
        <v>514</v>
      </c>
    </row>
    <row r="649" spans="1:15" s="7" customFormat="1" x14ac:dyDescent="0.15">
      <c r="A649" s="3">
        <f t="shared" si="276"/>
        <v>1417006</v>
      </c>
      <c r="B649" s="14">
        <f t="shared" ref="B649:D649" si="414">B609</f>
        <v>14</v>
      </c>
      <c r="C649" s="14">
        <f t="shared" si="414"/>
        <v>0</v>
      </c>
      <c r="D649" s="14">
        <f t="shared" si="414"/>
        <v>1</v>
      </c>
      <c r="E649" s="14">
        <f t="shared" si="278"/>
        <v>17</v>
      </c>
      <c r="F649" s="14">
        <f t="shared" si="273"/>
        <v>6</v>
      </c>
      <c r="G649" s="12" t="s">
        <v>679</v>
      </c>
      <c r="H649" s="12">
        <f t="shared" ref="H649:J649" si="415">H609</f>
        <v>90</v>
      </c>
      <c r="I649" s="10" t="str">
        <f>VLOOKUP(A649,战役结算奖励!$A$1:$O$800,15,0)</f>
        <v>[{"id":14,"num":60},{"id":2,"num":2500000},{"id":1,"num":3500000}]</v>
      </c>
      <c r="J649" s="12" t="str">
        <f t="shared" si="415"/>
        <v>[14,2,1]</v>
      </c>
      <c r="K649" s="12">
        <f t="shared" ref="K649:M649" si="416">IF(K609="","",K609)</f>
        <v>88</v>
      </c>
      <c r="L649" s="3" t="s">
        <v>514</v>
      </c>
      <c r="M649" s="12" t="str">
        <f t="shared" si="416"/>
        <v/>
      </c>
      <c r="N649" s="12"/>
      <c r="O649" s="12" t="s">
        <v>514</v>
      </c>
    </row>
    <row r="650" spans="1:15" s="7" customFormat="1" x14ac:dyDescent="0.15">
      <c r="A650" s="3">
        <f t="shared" si="276"/>
        <v>1417007</v>
      </c>
      <c r="B650" s="14">
        <f t="shared" ref="B650:D650" si="417">B610</f>
        <v>14</v>
      </c>
      <c r="C650" s="14">
        <f t="shared" si="417"/>
        <v>0</v>
      </c>
      <c r="D650" s="14">
        <f t="shared" si="417"/>
        <v>1</v>
      </c>
      <c r="E650" s="14">
        <f t="shared" si="278"/>
        <v>17</v>
      </c>
      <c r="F650" s="14">
        <f t="shared" si="273"/>
        <v>7</v>
      </c>
      <c r="G650" s="12" t="s">
        <v>680</v>
      </c>
      <c r="H650" s="12">
        <f t="shared" ref="H650:J650" si="418">H610</f>
        <v>90</v>
      </c>
      <c r="I650" s="10" t="str">
        <f>VLOOKUP(A650,战役结算奖励!$A$1:$O$800,15,0)</f>
        <v>[{"id":14,"num":60},{"id":2,"num":2500000},{"id":1,"num":3500000}]</v>
      </c>
      <c r="J650" s="12" t="str">
        <f t="shared" si="418"/>
        <v>[14,2,1]</v>
      </c>
      <c r="K650" s="12">
        <f t="shared" ref="K650:M650" si="419">IF(K610="","",K610)</f>
        <v>88</v>
      </c>
      <c r="L650" s="3" t="s">
        <v>514</v>
      </c>
      <c r="M650" s="12" t="str">
        <f t="shared" si="419"/>
        <v/>
      </c>
      <c r="N650" s="12"/>
      <c r="O650" s="12" t="s">
        <v>514</v>
      </c>
    </row>
    <row r="651" spans="1:15" s="7" customFormat="1" x14ac:dyDescent="0.15">
      <c r="A651" s="3">
        <f t="shared" si="276"/>
        <v>1417008</v>
      </c>
      <c r="B651" s="14">
        <f t="shared" ref="B651:D651" si="420">B611</f>
        <v>14</v>
      </c>
      <c r="C651" s="14">
        <f t="shared" si="420"/>
        <v>0</v>
      </c>
      <c r="D651" s="14">
        <f t="shared" si="420"/>
        <v>1</v>
      </c>
      <c r="E651" s="14">
        <f t="shared" si="278"/>
        <v>17</v>
      </c>
      <c r="F651" s="14">
        <f t="shared" si="273"/>
        <v>8</v>
      </c>
      <c r="G651" s="12" t="s">
        <v>681</v>
      </c>
      <c r="H651" s="12">
        <f t="shared" ref="H651:J651" si="421">H611</f>
        <v>90</v>
      </c>
      <c r="I651" s="10" t="str">
        <f>VLOOKUP(A651,战役结算奖励!$A$1:$O$800,15,0)</f>
        <v>[{"id":14,"num":60},{"id":2,"num":2500000},{"id":1,"num":3500000}]</v>
      </c>
      <c r="J651" s="12" t="str">
        <f t="shared" si="421"/>
        <v>[14,2,1]</v>
      </c>
      <c r="K651" s="12">
        <f t="shared" ref="K651:M651" si="422">IF(K611="","",K611)</f>
        <v>88</v>
      </c>
      <c r="L651" s="3" t="s">
        <v>514</v>
      </c>
      <c r="M651" s="12" t="str">
        <f t="shared" si="422"/>
        <v/>
      </c>
      <c r="N651" s="12"/>
      <c r="O651" s="12" t="s">
        <v>514</v>
      </c>
    </row>
    <row r="652" spans="1:15" s="7" customFormat="1" x14ac:dyDescent="0.15">
      <c r="A652" s="3">
        <f t="shared" si="276"/>
        <v>1417009</v>
      </c>
      <c r="B652" s="14">
        <f t="shared" ref="B652:D652" si="423">B612</f>
        <v>14</v>
      </c>
      <c r="C652" s="14">
        <f t="shared" si="423"/>
        <v>0</v>
      </c>
      <c r="D652" s="14">
        <f t="shared" si="423"/>
        <v>1</v>
      </c>
      <c r="E652" s="14">
        <f t="shared" si="278"/>
        <v>17</v>
      </c>
      <c r="F652" s="14">
        <f t="shared" ref="F652:F715" si="424">F612</f>
        <v>9</v>
      </c>
      <c r="G652" s="12" t="s">
        <v>682</v>
      </c>
      <c r="H652" s="12">
        <f t="shared" ref="H652:J652" si="425">H612</f>
        <v>90</v>
      </c>
      <c r="I652" s="10" t="str">
        <f>VLOOKUP(A652,战役结算奖励!$A$1:$O$800,15,0)</f>
        <v>[{"id":14,"num":60},{"id":2,"num":2500000},{"id":1,"num":3500000}]</v>
      </c>
      <c r="J652" s="12" t="str">
        <f t="shared" si="425"/>
        <v>[14,2,1]</v>
      </c>
      <c r="K652" s="12">
        <f t="shared" ref="K652:M652" si="426">IF(K612="","",K612)</f>
        <v>88</v>
      </c>
      <c r="L652" s="3" t="s">
        <v>514</v>
      </c>
      <c r="M652" s="12" t="str">
        <f t="shared" si="426"/>
        <v/>
      </c>
      <c r="N652" s="12"/>
      <c r="O652" s="12" t="s">
        <v>514</v>
      </c>
    </row>
    <row r="653" spans="1:15" s="7" customFormat="1" x14ac:dyDescent="0.15">
      <c r="A653" s="3">
        <f t="shared" ref="A653:A716" si="427">B653*100000+E653*1000+F653</f>
        <v>1417010</v>
      </c>
      <c r="B653" s="14">
        <f t="shared" ref="B653:D653" si="428">B613</f>
        <v>14</v>
      </c>
      <c r="C653" s="14">
        <f t="shared" si="428"/>
        <v>0</v>
      </c>
      <c r="D653" s="14">
        <f t="shared" si="428"/>
        <v>1</v>
      </c>
      <c r="E653" s="14">
        <f t="shared" ref="E653:E716" si="429">E613+1</f>
        <v>17</v>
      </c>
      <c r="F653" s="14">
        <f t="shared" si="424"/>
        <v>10</v>
      </c>
      <c r="G653" s="12" t="s">
        <v>683</v>
      </c>
      <c r="H653" s="12">
        <f t="shared" ref="H653:H669" si="430">H613</f>
        <v>90</v>
      </c>
      <c r="I653" s="10" t="str">
        <f>VLOOKUP(A653,战役结算奖励!$A$1:$O$800,15,0)</f>
        <v>[{"id":14,"num":60},{"id":2,"num":2500000},{"id":1,"num":3500000}]</v>
      </c>
      <c r="J653" s="12" t="str">
        <f t="shared" ref="J653:J669" si="431">J613</f>
        <v>[14,2,1]</v>
      </c>
      <c r="K653" s="12">
        <f t="shared" ref="K653:M653" si="432">IF(K613="","",K613)</f>
        <v>88</v>
      </c>
      <c r="L653" s="3" t="s">
        <v>514</v>
      </c>
      <c r="M653" s="12" t="str">
        <f t="shared" si="432"/>
        <v/>
      </c>
      <c r="N653" s="12"/>
      <c r="O653" s="12" t="s">
        <v>514</v>
      </c>
    </row>
    <row r="654" spans="1:15" s="7" customFormat="1" x14ac:dyDescent="0.15">
      <c r="A654" s="3">
        <f t="shared" si="427"/>
        <v>1417011</v>
      </c>
      <c r="B654" s="14">
        <f t="shared" ref="B654:D654" si="433">B614</f>
        <v>14</v>
      </c>
      <c r="C654" s="14">
        <f t="shared" si="433"/>
        <v>0</v>
      </c>
      <c r="D654" s="14">
        <f t="shared" si="433"/>
        <v>1</v>
      </c>
      <c r="E654" s="14">
        <f t="shared" si="429"/>
        <v>17</v>
      </c>
      <c r="F654" s="14">
        <f t="shared" si="424"/>
        <v>11</v>
      </c>
      <c r="G654" s="12" t="s">
        <v>684</v>
      </c>
      <c r="H654" s="12">
        <f t="shared" si="430"/>
        <v>90</v>
      </c>
      <c r="I654" s="10" t="str">
        <f>VLOOKUP(A654,战役结算奖励!$A$1:$O$800,15,0)</f>
        <v>[{"id":14,"num":60},{"id":2,"num":2500000},{"id":1,"num":3500000}]</v>
      </c>
      <c r="J654" s="12" t="str">
        <f t="shared" si="431"/>
        <v>[14,2,1]</v>
      </c>
      <c r="K654" s="12">
        <f t="shared" ref="K654:M654" si="434">IF(K614="","",K614)</f>
        <v>89</v>
      </c>
      <c r="L654" s="3" t="s">
        <v>514</v>
      </c>
      <c r="M654" s="12" t="str">
        <f t="shared" si="434"/>
        <v/>
      </c>
      <c r="N654" s="12"/>
      <c r="O654" s="12" t="s">
        <v>514</v>
      </c>
    </row>
    <row r="655" spans="1:15" s="7" customFormat="1" x14ac:dyDescent="0.15">
      <c r="A655" s="3">
        <f t="shared" si="427"/>
        <v>1417012</v>
      </c>
      <c r="B655" s="14">
        <f t="shared" ref="B655:D655" si="435">B615</f>
        <v>14</v>
      </c>
      <c r="C655" s="14">
        <f t="shared" si="435"/>
        <v>0</v>
      </c>
      <c r="D655" s="14">
        <f t="shared" si="435"/>
        <v>1</v>
      </c>
      <c r="E655" s="14">
        <f t="shared" si="429"/>
        <v>17</v>
      </c>
      <c r="F655" s="14">
        <f t="shared" si="424"/>
        <v>12</v>
      </c>
      <c r="G655" s="12" t="s">
        <v>685</v>
      </c>
      <c r="H655" s="12">
        <f t="shared" si="430"/>
        <v>90</v>
      </c>
      <c r="I655" s="10" t="str">
        <f>VLOOKUP(A655,战役结算奖励!$A$1:$O$800,15,0)</f>
        <v>[{"id":14,"num":60},{"id":2,"num":2500000},{"id":1,"num":3500000}]</v>
      </c>
      <c r="J655" s="12" t="str">
        <f t="shared" si="431"/>
        <v>[14,2,1]</v>
      </c>
      <c r="K655" s="12">
        <f t="shared" ref="K655:M655" si="436">IF(K615="","",K615)</f>
        <v>89</v>
      </c>
      <c r="L655" s="3" t="s">
        <v>514</v>
      </c>
      <c r="M655" s="12" t="str">
        <f t="shared" si="436"/>
        <v/>
      </c>
      <c r="N655" s="12"/>
      <c r="O655" s="12" t="s">
        <v>514</v>
      </c>
    </row>
    <row r="656" spans="1:15" s="7" customFormat="1" x14ac:dyDescent="0.15">
      <c r="A656" s="3">
        <f t="shared" si="427"/>
        <v>1417013</v>
      </c>
      <c r="B656" s="14">
        <f t="shared" ref="B656:D656" si="437">B616</f>
        <v>14</v>
      </c>
      <c r="C656" s="14">
        <f t="shared" si="437"/>
        <v>0</v>
      </c>
      <c r="D656" s="14">
        <f t="shared" si="437"/>
        <v>1</v>
      </c>
      <c r="E656" s="14">
        <f t="shared" si="429"/>
        <v>17</v>
      </c>
      <c r="F656" s="14">
        <f t="shared" si="424"/>
        <v>13</v>
      </c>
      <c r="G656" s="12" t="s">
        <v>686</v>
      </c>
      <c r="H656" s="12">
        <f t="shared" si="430"/>
        <v>90</v>
      </c>
      <c r="I656" s="10" t="str">
        <f>VLOOKUP(A656,战役结算奖励!$A$1:$O$800,15,0)</f>
        <v>[{"id":14,"num":60},{"id":2,"num":2500000},{"id":1,"num":3500000}]</v>
      </c>
      <c r="J656" s="12" t="str">
        <f t="shared" si="431"/>
        <v>[14,2,1]</v>
      </c>
      <c r="K656" s="12">
        <f t="shared" ref="K656:M656" si="438">IF(K616="","",K616)</f>
        <v>89</v>
      </c>
      <c r="L656" s="3" t="s">
        <v>514</v>
      </c>
      <c r="M656" s="12" t="str">
        <f t="shared" si="438"/>
        <v/>
      </c>
      <c r="N656" s="12"/>
      <c r="O656" s="12" t="s">
        <v>514</v>
      </c>
    </row>
    <row r="657" spans="1:15" s="7" customFormat="1" x14ac:dyDescent="0.15">
      <c r="A657" s="3">
        <f t="shared" si="427"/>
        <v>1417014</v>
      </c>
      <c r="B657" s="14">
        <f t="shared" ref="B657:D657" si="439">B617</f>
        <v>14</v>
      </c>
      <c r="C657" s="14">
        <f t="shared" si="439"/>
        <v>0</v>
      </c>
      <c r="D657" s="14">
        <f t="shared" si="439"/>
        <v>1</v>
      </c>
      <c r="E657" s="14">
        <f t="shared" si="429"/>
        <v>17</v>
      </c>
      <c r="F657" s="14">
        <f t="shared" si="424"/>
        <v>14</v>
      </c>
      <c r="G657" s="12" t="s">
        <v>687</v>
      </c>
      <c r="H657" s="12">
        <f t="shared" si="430"/>
        <v>90</v>
      </c>
      <c r="I657" s="10" t="str">
        <f>VLOOKUP(A657,战役结算奖励!$A$1:$O$800,15,0)</f>
        <v>[{"id":14,"num":60},{"id":2,"num":2500000},{"id":1,"num":3500000}]</v>
      </c>
      <c r="J657" s="12" t="str">
        <f t="shared" si="431"/>
        <v>[14,2,1]</v>
      </c>
      <c r="K657" s="12">
        <f t="shared" ref="K657:M657" si="440">IF(K617="","",K617)</f>
        <v>89</v>
      </c>
      <c r="L657" s="3" t="s">
        <v>514</v>
      </c>
      <c r="M657" s="12" t="str">
        <f t="shared" si="440"/>
        <v/>
      </c>
      <c r="N657" s="12"/>
      <c r="O657" s="12" t="s">
        <v>514</v>
      </c>
    </row>
    <row r="658" spans="1:15" s="7" customFormat="1" x14ac:dyDescent="0.15">
      <c r="A658" s="3">
        <f t="shared" si="427"/>
        <v>1417015</v>
      </c>
      <c r="B658" s="14">
        <f t="shared" ref="B658:D658" si="441">B618</f>
        <v>14</v>
      </c>
      <c r="C658" s="14">
        <f t="shared" si="441"/>
        <v>0</v>
      </c>
      <c r="D658" s="14">
        <f t="shared" si="441"/>
        <v>1</v>
      </c>
      <c r="E658" s="14">
        <f t="shared" si="429"/>
        <v>17</v>
      </c>
      <c r="F658" s="14">
        <f t="shared" si="424"/>
        <v>15</v>
      </c>
      <c r="G658" s="12" t="s">
        <v>688</v>
      </c>
      <c r="H658" s="12">
        <f t="shared" si="430"/>
        <v>90</v>
      </c>
      <c r="I658" s="10" t="str">
        <f>VLOOKUP(A658,战役结算奖励!$A$1:$O$800,15,0)</f>
        <v>[{"id":14,"num":60},{"id":2,"num":2500000},{"id":1,"num":3500000}]</v>
      </c>
      <c r="J658" s="12" t="str">
        <f t="shared" si="431"/>
        <v>[14,2,1]</v>
      </c>
      <c r="K658" s="12">
        <f t="shared" ref="K658:M658" si="442">IF(K618="","",K618)</f>
        <v>89</v>
      </c>
      <c r="L658" s="3" t="s">
        <v>514</v>
      </c>
      <c r="M658" s="12" t="str">
        <f t="shared" si="442"/>
        <v/>
      </c>
      <c r="N658" s="12"/>
      <c r="O658" s="12" t="s">
        <v>514</v>
      </c>
    </row>
    <row r="659" spans="1:15" s="7" customFormat="1" x14ac:dyDescent="0.15">
      <c r="A659" s="3">
        <f t="shared" si="427"/>
        <v>1417016</v>
      </c>
      <c r="B659" s="14">
        <f t="shared" ref="B659:D659" si="443">B619</f>
        <v>14</v>
      </c>
      <c r="C659" s="14">
        <f t="shared" si="443"/>
        <v>0</v>
      </c>
      <c r="D659" s="14">
        <f t="shared" si="443"/>
        <v>1</v>
      </c>
      <c r="E659" s="14">
        <f t="shared" si="429"/>
        <v>17</v>
      </c>
      <c r="F659" s="14">
        <f t="shared" si="424"/>
        <v>16</v>
      </c>
      <c r="G659" s="12" t="s">
        <v>689</v>
      </c>
      <c r="H659" s="12">
        <f t="shared" si="430"/>
        <v>90</v>
      </c>
      <c r="I659" s="10" t="str">
        <f>VLOOKUP(A659,战役结算奖励!$A$1:$O$800,15,0)</f>
        <v>[{"id":14,"num":60},{"id":2,"num":2500000},{"id":1,"num":3500000}]</v>
      </c>
      <c r="J659" s="12" t="str">
        <f t="shared" si="431"/>
        <v>[14,2,1]</v>
      </c>
      <c r="K659" s="12">
        <f t="shared" ref="K659:M659" si="444">IF(K619="","",K619)</f>
        <v>90</v>
      </c>
      <c r="L659" s="3" t="s">
        <v>514</v>
      </c>
      <c r="M659" s="12" t="str">
        <f t="shared" si="444"/>
        <v/>
      </c>
      <c r="N659" s="12"/>
      <c r="O659" s="12" t="s">
        <v>514</v>
      </c>
    </row>
    <row r="660" spans="1:15" s="7" customFormat="1" x14ac:dyDescent="0.15">
      <c r="A660" s="3">
        <f t="shared" si="427"/>
        <v>1417017</v>
      </c>
      <c r="B660" s="14">
        <f t="shared" ref="B660:D660" si="445">B620</f>
        <v>14</v>
      </c>
      <c r="C660" s="14">
        <f t="shared" si="445"/>
        <v>0</v>
      </c>
      <c r="D660" s="14">
        <f t="shared" si="445"/>
        <v>1</v>
      </c>
      <c r="E660" s="14">
        <f t="shared" si="429"/>
        <v>17</v>
      </c>
      <c r="F660" s="14">
        <f t="shared" si="424"/>
        <v>17</v>
      </c>
      <c r="G660" s="12" t="s">
        <v>690</v>
      </c>
      <c r="H660" s="12">
        <f t="shared" si="430"/>
        <v>90</v>
      </c>
      <c r="I660" s="10" t="str">
        <f>VLOOKUP(A660,战役结算奖励!$A$1:$O$800,15,0)</f>
        <v>[{"id":14,"num":60},{"id":2,"num":2500000},{"id":1,"num":3500000}]</v>
      </c>
      <c r="J660" s="12" t="str">
        <f t="shared" si="431"/>
        <v>[14,2,1]</v>
      </c>
      <c r="K660" s="12">
        <f t="shared" ref="K660:M660" si="446">IF(K620="","",K620)</f>
        <v>90</v>
      </c>
      <c r="L660" s="3" t="s">
        <v>514</v>
      </c>
      <c r="M660" s="12" t="str">
        <f t="shared" si="446"/>
        <v/>
      </c>
      <c r="N660" s="12"/>
      <c r="O660" s="12" t="s">
        <v>514</v>
      </c>
    </row>
    <row r="661" spans="1:15" s="7" customFormat="1" x14ac:dyDescent="0.15">
      <c r="A661" s="3">
        <f t="shared" si="427"/>
        <v>1417018</v>
      </c>
      <c r="B661" s="14">
        <f t="shared" ref="B661:D661" si="447">B621</f>
        <v>14</v>
      </c>
      <c r="C661" s="14">
        <f t="shared" si="447"/>
        <v>0</v>
      </c>
      <c r="D661" s="14">
        <f t="shared" si="447"/>
        <v>1</v>
      </c>
      <c r="E661" s="14">
        <f t="shared" si="429"/>
        <v>17</v>
      </c>
      <c r="F661" s="14">
        <f t="shared" si="424"/>
        <v>18</v>
      </c>
      <c r="G661" s="12" t="s">
        <v>691</v>
      </c>
      <c r="H661" s="12">
        <f t="shared" si="430"/>
        <v>90</v>
      </c>
      <c r="I661" s="10" t="str">
        <f>VLOOKUP(A661,战役结算奖励!$A$1:$O$800,15,0)</f>
        <v>[{"id":14,"num":60},{"id":2,"num":2500000},{"id":1,"num":3500000}]</v>
      </c>
      <c r="J661" s="12" t="str">
        <f t="shared" si="431"/>
        <v>[14,2,1]</v>
      </c>
      <c r="K661" s="12">
        <f t="shared" ref="K661:M661" si="448">IF(K621="","",K621)</f>
        <v>90</v>
      </c>
      <c r="L661" s="3" t="s">
        <v>514</v>
      </c>
      <c r="M661" s="12" t="str">
        <f t="shared" si="448"/>
        <v/>
      </c>
      <c r="N661" s="12"/>
      <c r="O661" s="12" t="s">
        <v>514</v>
      </c>
    </row>
    <row r="662" spans="1:15" s="7" customFormat="1" x14ac:dyDescent="0.15">
      <c r="A662" s="3">
        <f t="shared" si="427"/>
        <v>1417019</v>
      </c>
      <c r="B662" s="14">
        <f t="shared" ref="B662:D662" si="449">B622</f>
        <v>14</v>
      </c>
      <c r="C662" s="14">
        <f t="shared" si="449"/>
        <v>0</v>
      </c>
      <c r="D662" s="14">
        <f t="shared" si="449"/>
        <v>1</v>
      </c>
      <c r="E662" s="14">
        <f t="shared" si="429"/>
        <v>17</v>
      </c>
      <c r="F662" s="14">
        <f t="shared" si="424"/>
        <v>19</v>
      </c>
      <c r="G662" s="12" t="s">
        <v>692</v>
      </c>
      <c r="H662" s="12">
        <f t="shared" si="430"/>
        <v>90</v>
      </c>
      <c r="I662" s="10" t="str">
        <f>VLOOKUP(A662,战役结算奖励!$A$1:$O$800,15,0)</f>
        <v>[{"id":14,"num":60},{"id":2,"num":2500000},{"id":1,"num":3500000}]</v>
      </c>
      <c r="J662" s="12" t="str">
        <f t="shared" si="431"/>
        <v>[14,2,1]</v>
      </c>
      <c r="K662" s="12">
        <f t="shared" ref="K662:M662" si="450">IF(K622="","",K622)</f>
        <v>90</v>
      </c>
      <c r="L662" s="3" t="s">
        <v>514</v>
      </c>
      <c r="M662" s="12" t="str">
        <f t="shared" si="450"/>
        <v/>
      </c>
      <c r="N662" s="12"/>
      <c r="O662" s="12" t="s">
        <v>514</v>
      </c>
    </row>
    <row r="663" spans="1:15" s="7" customFormat="1" x14ac:dyDescent="0.15">
      <c r="A663" s="3">
        <f t="shared" si="427"/>
        <v>1417020</v>
      </c>
      <c r="B663" s="14">
        <f t="shared" ref="B663:D663" si="451">B623</f>
        <v>14</v>
      </c>
      <c r="C663" s="14">
        <f t="shared" si="451"/>
        <v>0</v>
      </c>
      <c r="D663" s="14">
        <f t="shared" si="451"/>
        <v>1</v>
      </c>
      <c r="E663" s="14">
        <f t="shared" si="429"/>
        <v>17</v>
      </c>
      <c r="F663" s="14">
        <f t="shared" si="424"/>
        <v>20</v>
      </c>
      <c r="G663" s="12" t="s">
        <v>693</v>
      </c>
      <c r="H663" s="12">
        <f t="shared" si="430"/>
        <v>90</v>
      </c>
      <c r="I663" s="10" t="str">
        <f>VLOOKUP(A663,战役结算奖励!$A$1:$O$800,15,0)</f>
        <v>[{"id":14,"num":60},{"id":2,"num":2500000},{"id":1,"num":3500000}]</v>
      </c>
      <c r="J663" s="12" t="str">
        <f t="shared" si="431"/>
        <v>[14,2,1]</v>
      </c>
      <c r="K663" s="12">
        <f t="shared" ref="K663:M663" si="452">IF(K623="","",K623)</f>
        <v>90</v>
      </c>
      <c r="L663" s="3" t="s">
        <v>514</v>
      </c>
      <c r="M663" s="12" t="str">
        <f t="shared" si="452"/>
        <v/>
      </c>
      <c r="N663" s="12"/>
      <c r="O663" s="12" t="s">
        <v>514</v>
      </c>
    </row>
    <row r="664" spans="1:15" s="7" customFormat="1" x14ac:dyDescent="0.15">
      <c r="A664" s="3">
        <f t="shared" si="427"/>
        <v>1417021</v>
      </c>
      <c r="B664" s="14">
        <f t="shared" ref="B664:D664" si="453">B624</f>
        <v>14</v>
      </c>
      <c r="C664" s="14">
        <f t="shared" si="453"/>
        <v>0</v>
      </c>
      <c r="D664" s="14">
        <f t="shared" si="453"/>
        <v>1</v>
      </c>
      <c r="E664" s="14">
        <f t="shared" si="429"/>
        <v>17</v>
      </c>
      <c r="F664" s="14">
        <f t="shared" si="424"/>
        <v>21</v>
      </c>
      <c r="G664" s="12" t="s">
        <v>694</v>
      </c>
      <c r="H664" s="12">
        <f t="shared" si="430"/>
        <v>90</v>
      </c>
      <c r="I664" s="10" t="str">
        <f>VLOOKUP(A664,战役结算奖励!$A$1:$O$800,15,0)</f>
        <v>[{"id":14,"num":60},{"id":2,"num":2500000},{"id":1,"num":3500000}]</v>
      </c>
      <c r="J664" s="12" t="str">
        <f t="shared" si="431"/>
        <v>[14,2,1]</v>
      </c>
      <c r="K664" s="12">
        <f t="shared" ref="K664:M664" si="454">IF(K624="","",K624)</f>
        <v>90</v>
      </c>
      <c r="L664" s="3" t="s">
        <v>514</v>
      </c>
      <c r="M664" s="12" t="str">
        <f t="shared" si="454"/>
        <v/>
      </c>
      <c r="N664" s="12"/>
      <c r="O664" s="12" t="s">
        <v>514</v>
      </c>
    </row>
    <row r="665" spans="1:15" s="7" customFormat="1" x14ac:dyDescent="0.15">
      <c r="A665" s="3">
        <f t="shared" si="427"/>
        <v>1417022</v>
      </c>
      <c r="B665" s="14">
        <f t="shared" ref="B665:D665" si="455">B625</f>
        <v>14</v>
      </c>
      <c r="C665" s="14">
        <f t="shared" si="455"/>
        <v>0</v>
      </c>
      <c r="D665" s="14">
        <f t="shared" si="455"/>
        <v>1</v>
      </c>
      <c r="E665" s="14">
        <f t="shared" si="429"/>
        <v>17</v>
      </c>
      <c r="F665" s="14">
        <f t="shared" si="424"/>
        <v>22</v>
      </c>
      <c r="G665" s="12" t="s">
        <v>695</v>
      </c>
      <c r="H665" s="12">
        <f t="shared" si="430"/>
        <v>90</v>
      </c>
      <c r="I665" s="10" t="str">
        <f>VLOOKUP(A665,战役结算奖励!$A$1:$O$800,15,0)</f>
        <v>[{"id":14,"num":60},{"id":2,"num":2500000},{"id":1,"num":3500000}]</v>
      </c>
      <c r="J665" s="12" t="str">
        <f t="shared" si="431"/>
        <v>[14,2,1]</v>
      </c>
      <c r="K665" s="12">
        <f t="shared" ref="K665:M665" si="456">IF(K625="","",K625)</f>
        <v>90</v>
      </c>
      <c r="L665" s="3" t="s">
        <v>514</v>
      </c>
      <c r="M665" s="12" t="str">
        <f t="shared" si="456"/>
        <v/>
      </c>
      <c r="N665" s="12"/>
      <c r="O665" s="12" t="s">
        <v>514</v>
      </c>
    </row>
    <row r="666" spans="1:15" s="7" customFormat="1" x14ac:dyDescent="0.15">
      <c r="A666" s="3">
        <f t="shared" si="427"/>
        <v>1417023</v>
      </c>
      <c r="B666" s="14">
        <f t="shared" ref="B666:D666" si="457">B626</f>
        <v>14</v>
      </c>
      <c r="C666" s="14">
        <f t="shared" si="457"/>
        <v>0</v>
      </c>
      <c r="D666" s="14">
        <f t="shared" si="457"/>
        <v>1</v>
      </c>
      <c r="E666" s="14">
        <f t="shared" si="429"/>
        <v>17</v>
      </c>
      <c r="F666" s="14">
        <f t="shared" si="424"/>
        <v>23</v>
      </c>
      <c r="G666" s="12" t="s">
        <v>696</v>
      </c>
      <c r="H666" s="12">
        <f t="shared" si="430"/>
        <v>90</v>
      </c>
      <c r="I666" s="10" t="str">
        <f>VLOOKUP(A666,战役结算奖励!$A$1:$O$800,15,0)</f>
        <v>[{"id":14,"num":60},{"id":2,"num":2500000},{"id":1,"num":3500000}]</v>
      </c>
      <c r="J666" s="12" t="str">
        <f t="shared" si="431"/>
        <v>[14,2,1]</v>
      </c>
      <c r="K666" s="12">
        <f t="shared" ref="K666:M666" si="458">IF(K626="","",K626)</f>
        <v>90</v>
      </c>
      <c r="L666" s="3" t="s">
        <v>514</v>
      </c>
      <c r="M666" s="12" t="str">
        <f t="shared" si="458"/>
        <v/>
      </c>
      <c r="N666" s="12"/>
      <c r="O666" s="12" t="s">
        <v>514</v>
      </c>
    </row>
    <row r="667" spans="1:15" s="7" customFormat="1" x14ac:dyDescent="0.15">
      <c r="A667" s="3">
        <f t="shared" si="427"/>
        <v>1417024</v>
      </c>
      <c r="B667" s="14">
        <f t="shared" ref="B667:D667" si="459">B627</f>
        <v>14</v>
      </c>
      <c r="C667" s="14">
        <f t="shared" si="459"/>
        <v>0</v>
      </c>
      <c r="D667" s="14">
        <f t="shared" si="459"/>
        <v>1</v>
      </c>
      <c r="E667" s="14">
        <f t="shared" si="429"/>
        <v>17</v>
      </c>
      <c r="F667" s="14">
        <f t="shared" si="424"/>
        <v>24</v>
      </c>
      <c r="G667" s="12" t="s">
        <v>697</v>
      </c>
      <c r="H667" s="12">
        <f t="shared" si="430"/>
        <v>90</v>
      </c>
      <c r="I667" s="10" t="str">
        <f>VLOOKUP(A667,战役结算奖励!$A$1:$O$800,15,0)</f>
        <v>[{"id":14,"num":60},{"id":2,"num":2500000},{"id":1,"num":3500000}]</v>
      </c>
      <c r="J667" s="12" t="str">
        <f t="shared" si="431"/>
        <v>[14,2,1]</v>
      </c>
      <c r="K667" s="12">
        <f t="shared" ref="K667:M667" si="460">IF(K627="","",K627)</f>
        <v>90</v>
      </c>
      <c r="L667" s="3" t="s">
        <v>514</v>
      </c>
      <c r="M667" s="12" t="str">
        <f t="shared" si="460"/>
        <v/>
      </c>
      <c r="N667" s="12"/>
      <c r="O667" s="12" t="s">
        <v>514</v>
      </c>
    </row>
    <row r="668" spans="1:15" s="7" customFormat="1" x14ac:dyDescent="0.15">
      <c r="A668" s="3">
        <f t="shared" si="427"/>
        <v>1417025</v>
      </c>
      <c r="B668" s="14">
        <f t="shared" ref="B668:D668" si="461">B628</f>
        <v>14</v>
      </c>
      <c r="C668" s="14">
        <f t="shared" si="461"/>
        <v>0</v>
      </c>
      <c r="D668" s="14">
        <f t="shared" si="461"/>
        <v>1</v>
      </c>
      <c r="E668" s="14">
        <f t="shared" si="429"/>
        <v>17</v>
      </c>
      <c r="F668" s="14">
        <f t="shared" si="424"/>
        <v>25</v>
      </c>
      <c r="G668" s="12" t="s">
        <v>698</v>
      </c>
      <c r="H668" s="12">
        <f t="shared" si="430"/>
        <v>90</v>
      </c>
      <c r="I668" s="10" t="str">
        <f>VLOOKUP(A668,战役结算奖励!$A$1:$O$800,15,0)</f>
        <v>[{"id":14,"num":60},{"id":2,"num":2500000},{"id":1,"num":3500000}]</v>
      </c>
      <c r="J668" s="12" t="str">
        <f t="shared" si="431"/>
        <v>[14,2,1]</v>
      </c>
      <c r="K668" s="12">
        <f t="shared" ref="K668:M668" si="462">IF(K628="","",K628)</f>
        <v>90</v>
      </c>
      <c r="L668" s="3" t="s">
        <v>514</v>
      </c>
      <c r="M668" s="12" t="str">
        <f t="shared" si="462"/>
        <v/>
      </c>
      <c r="N668" s="12"/>
      <c r="O668" s="12" t="s">
        <v>514</v>
      </c>
    </row>
    <row r="669" spans="1:15" s="7" customFormat="1" x14ac:dyDescent="0.15">
      <c r="A669" s="3">
        <f t="shared" si="427"/>
        <v>1417026</v>
      </c>
      <c r="B669" s="14">
        <f t="shared" ref="B669:D669" si="463">B629</f>
        <v>14</v>
      </c>
      <c r="C669" s="14">
        <f t="shared" si="463"/>
        <v>0</v>
      </c>
      <c r="D669" s="14">
        <f t="shared" si="463"/>
        <v>1</v>
      </c>
      <c r="E669" s="14">
        <f t="shared" si="429"/>
        <v>17</v>
      </c>
      <c r="F669" s="14">
        <f t="shared" si="424"/>
        <v>26</v>
      </c>
      <c r="G669" s="12" t="s">
        <v>699</v>
      </c>
      <c r="H669" s="12">
        <f t="shared" si="430"/>
        <v>90</v>
      </c>
      <c r="I669" s="10" t="str">
        <f>VLOOKUP(A669,战役结算奖励!$A$1:$O$800,15,0)</f>
        <v>[{"id":14,"num":60},{"id":2,"num":2500000},{"id":1,"num":3500000}]</v>
      </c>
      <c r="J669" s="12" t="str">
        <f t="shared" si="431"/>
        <v>[14,2,1]</v>
      </c>
      <c r="K669" s="12">
        <f t="shared" ref="K669:M669" si="464">IF(K629="","",K629)</f>
        <v>90</v>
      </c>
      <c r="L669" s="3" t="s">
        <v>514</v>
      </c>
      <c r="M669" s="12" t="str">
        <f t="shared" si="464"/>
        <v/>
      </c>
      <c r="N669" s="12"/>
      <c r="O669" s="12" t="s">
        <v>514</v>
      </c>
    </row>
    <row r="670" spans="1:15" s="7" customFormat="1" x14ac:dyDescent="0.15">
      <c r="A670" s="3">
        <f t="shared" si="427"/>
        <v>1417027</v>
      </c>
      <c r="B670" s="14">
        <f t="shared" ref="B670:D670" si="465">B630</f>
        <v>14</v>
      </c>
      <c r="C670" s="14">
        <f t="shared" si="465"/>
        <v>0</v>
      </c>
      <c r="D670" s="14">
        <f t="shared" si="465"/>
        <v>1</v>
      </c>
      <c r="E670" s="14">
        <f t="shared" si="429"/>
        <v>17</v>
      </c>
      <c r="F670" s="14">
        <f t="shared" si="424"/>
        <v>27</v>
      </c>
      <c r="G670" s="12" t="s">
        <v>700</v>
      </c>
      <c r="H670" s="12">
        <f t="shared" ref="H670:J670" si="466">H630</f>
        <v>90</v>
      </c>
      <c r="I670" s="10" t="str">
        <f>VLOOKUP(A670,战役结算奖励!$A$1:$O$800,15,0)</f>
        <v>[{"id":14,"num":60},{"id":2,"num":2500000},{"id":1,"num":3500000}]</v>
      </c>
      <c r="J670" s="12" t="str">
        <f t="shared" si="466"/>
        <v>[14,2,1]</v>
      </c>
      <c r="K670" s="12">
        <f>IF(K630="","",K630)</f>
        <v>90</v>
      </c>
      <c r="L670" s="3" t="s">
        <v>514</v>
      </c>
      <c r="M670" s="12" t="str">
        <f>IF(M630="","",M630)</f>
        <v/>
      </c>
      <c r="N670" s="12"/>
      <c r="O670" s="12" t="s">
        <v>514</v>
      </c>
    </row>
    <row r="671" spans="1:15" s="7" customFormat="1" x14ac:dyDescent="0.15">
      <c r="A671" s="3">
        <f t="shared" si="427"/>
        <v>1417028</v>
      </c>
      <c r="B671" s="14">
        <f t="shared" ref="B671:D671" si="467">B631</f>
        <v>14</v>
      </c>
      <c r="C671" s="14">
        <f t="shared" si="467"/>
        <v>0</v>
      </c>
      <c r="D671" s="14">
        <f t="shared" si="467"/>
        <v>1</v>
      </c>
      <c r="E671" s="14">
        <f t="shared" si="429"/>
        <v>17</v>
      </c>
      <c r="F671" s="14">
        <f t="shared" si="424"/>
        <v>28</v>
      </c>
      <c r="G671" s="12" t="s">
        <v>701</v>
      </c>
      <c r="H671" s="12">
        <f t="shared" ref="H671:H693" si="468">H631</f>
        <v>90</v>
      </c>
      <c r="I671" s="10" t="str">
        <f>VLOOKUP(A671,战役结算奖励!$A$1:$O$800,15,0)</f>
        <v>[{"id":14,"num":60},{"id":2,"num":2500000},{"id":1,"num":3500000}]</v>
      </c>
      <c r="J671" s="12" t="str">
        <f t="shared" ref="J671:J693" si="469">J631</f>
        <v>[14,2,1]</v>
      </c>
      <c r="K671" s="12">
        <f t="shared" ref="K671:M671" si="470">IF(K631="","",K631)</f>
        <v>90</v>
      </c>
      <c r="L671" s="3" t="s">
        <v>514</v>
      </c>
      <c r="M671" s="12" t="str">
        <f t="shared" si="470"/>
        <v/>
      </c>
      <c r="N671" s="12"/>
      <c r="O671" s="12" t="s">
        <v>514</v>
      </c>
    </row>
    <row r="672" spans="1:15" s="7" customFormat="1" x14ac:dyDescent="0.15">
      <c r="A672" s="3">
        <f t="shared" si="427"/>
        <v>1417029</v>
      </c>
      <c r="B672" s="14">
        <f t="shared" ref="B672:D672" si="471">B632</f>
        <v>14</v>
      </c>
      <c r="C672" s="14">
        <f t="shared" si="471"/>
        <v>0</v>
      </c>
      <c r="D672" s="14">
        <f t="shared" si="471"/>
        <v>1</v>
      </c>
      <c r="E672" s="14">
        <f t="shared" si="429"/>
        <v>17</v>
      </c>
      <c r="F672" s="14">
        <f t="shared" si="424"/>
        <v>29</v>
      </c>
      <c r="G672" s="12" t="s">
        <v>702</v>
      </c>
      <c r="H672" s="12">
        <f t="shared" si="468"/>
        <v>90</v>
      </c>
      <c r="I672" s="10" t="str">
        <f>VLOOKUP(A672,战役结算奖励!$A$1:$O$800,15,0)</f>
        <v>[{"id":14,"num":60},{"id":2,"num":2500000},{"id":1,"num":3500000}]</v>
      </c>
      <c r="J672" s="12" t="str">
        <f t="shared" si="469"/>
        <v>[14,2,1]</v>
      </c>
      <c r="K672" s="12">
        <f t="shared" ref="K672:M672" si="472">IF(K632="","",K632)</f>
        <v>90</v>
      </c>
      <c r="L672" s="3" t="s">
        <v>514</v>
      </c>
      <c r="M672" s="12" t="str">
        <f t="shared" si="472"/>
        <v/>
      </c>
      <c r="N672" s="12"/>
      <c r="O672" s="12" t="s">
        <v>514</v>
      </c>
    </row>
    <row r="673" spans="1:15" s="7" customFormat="1" x14ac:dyDescent="0.15">
      <c r="A673" s="3">
        <f t="shared" si="427"/>
        <v>1417030</v>
      </c>
      <c r="B673" s="14">
        <f t="shared" ref="B673:D673" si="473">B633</f>
        <v>14</v>
      </c>
      <c r="C673" s="14">
        <f t="shared" si="473"/>
        <v>0</v>
      </c>
      <c r="D673" s="14">
        <f t="shared" si="473"/>
        <v>1</v>
      </c>
      <c r="E673" s="14">
        <f t="shared" si="429"/>
        <v>17</v>
      </c>
      <c r="F673" s="14">
        <f t="shared" si="424"/>
        <v>30</v>
      </c>
      <c r="G673" s="12" t="s">
        <v>703</v>
      </c>
      <c r="H673" s="12">
        <f t="shared" si="468"/>
        <v>90</v>
      </c>
      <c r="I673" s="10" t="str">
        <f>VLOOKUP(A673,战役结算奖励!$A$1:$O$800,15,0)</f>
        <v>[{"id":14,"num":60},{"id":2,"num":2500000},{"id":1,"num":3500000}]</v>
      </c>
      <c r="J673" s="12" t="str">
        <f t="shared" si="469"/>
        <v>[14,2,1]</v>
      </c>
      <c r="K673" s="12">
        <f t="shared" ref="K673:M673" si="474">IF(K633="","",K633)</f>
        <v>90</v>
      </c>
      <c r="L673" s="3" t="s">
        <v>514</v>
      </c>
      <c r="M673" s="12" t="str">
        <f t="shared" si="474"/>
        <v/>
      </c>
      <c r="N673" s="12"/>
      <c r="O673" s="12" t="s">
        <v>514</v>
      </c>
    </row>
    <row r="674" spans="1:15" s="7" customFormat="1" x14ac:dyDescent="0.15">
      <c r="A674" s="3">
        <f t="shared" si="427"/>
        <v>1417031</v>
      </c>
      <c r="B674" s="14">
        <f t="shared" ref="B674:D674" si="475">B634</f>
        <v>14</v>
      </c>
      <c r="C674" s="14">
        <f t="shared" si="475"/>
        <v>0</v>
      </c>
      <c r="D674" s="14">
        <f t="shared" si="475"/>
        <v>1</v>
      </c>
      <c r="E674" s="14">
        <f t="shared" si="429"/>
        <v>17</v>
      </c>
      <c r="F674" s="14">
        <f t="shared" si="424"/>
        <v>31</v>
      </c>
      <c r="G674" s="12" t="s">
        <v>704</v>
      </c>
      <c r="H674" s="12">
        <f t="shared" si="468"/>
        <v>90</v>
      </c>
      <c r="I674" s="10" t="str">
        <f>VLOOKUP(A674,战役结算奖励!$A$1:$O$800,15,0)</f>
        <v>[{"id":14,"num":60},{"id":2,"num":2500000},{"id":1,"num":3500000}]</v>
      </c>
      <c r="J674" s="12" t="str">
        <f t="shared" si="469"/>
        <v>[14,2,1]</v>
      </c>
      <c r="K674" s="12">
        <f t="shared" ref="K674:M674" si="476">IF(K634="","",K634)</f>
        <v>90</v>
      </c>
      <c r="L674" s="3" t="s">
        <v>514</v>
      </c>
      <c r="M674" s="12" t="str">
        <f t="shared" si="476"/>
        <v/>
      </c>
      <c r="N674" s="12"/>
      <c r="O674" s="12" t="s">
        <v>514</v>
      </c>
    </row>
    <row r="675" spans="1:15" s="7" customFormat="1" x14ac:dyDescent="0.15">
      <c r="A675" s="3">
        <f t="shared" si="427"/>
        <v>1417032</v>
      </c>
      <c r="B675" s="14">
        <f t="shared" ref="B675:D675" si="477">B635</f>
        <v>14</v>
      </c>
      <c r="C675" s="14">
        <f t="shared" si="477"/>
        <v>0</v>
      </c>
      <c r="D675" s="14">
        <f t="shared" si="477"/>
        <v>1</v>
      </c>
      <c r="E675" s="14">
        <f t="shared" si="429"/>
        <v>17</v>
      </c>
      <c r="F675" s="14">
        <f t="shared" si="424"/>
        <v>32</v>
      </c>
      <c r="G675" s="12" t="s">
        <v>705</v>
      </c>
      <c r="H675" s="12">
        <f t="shared" si="468"/>
        <v>90</v>
      </c>
      <c r="I675" s="10" t="str">
        <f>VLOOKUP(A675,战役结算奖励!$A$1:$O$800,15,0)</f>
        <v>[{"id":14,"num":60},{"id":2,"num":2500000},{"id":1,"num":3500000}]</v>
      </c>
      <c r="J675" s="12" t="str">
        <f t="shared" si="469"/>
        <v>[14,2,1]</v>
      </c>
      <c r="K675" s="12">
        <f t="shared" ref="K675:M675" si="478">IF(K635="","",K635)</f>
        <v>90</v>
      </c>
      <c r="L675" s="3" t="s">
        <v>514</v>
      </c>
      <c r="M675" s="12" t="str">
        <f t="shared" si="478"/>
        <v/>
      </c>
      <c r="N675" s="12"/>
      <c r="O675" s="12" t="s">
        <v>514</v>
      </c>
    </row>
    <row r="676" spans="1:15" s="7" customFormat="1" x14ac:dyDescent="0.15">
      <c r="A676" s="3">
        <f t="shared" si="427"/>
        <v>1417033</v>
      </c>
      <c r="B676" s="14">
        <f t="shared" ref="B676:D676" si="479">B636</f>
        <v>14</v>
      </c>
      <c r="C676" s="14">
        <f t="shared" si="479"/>
        <v>0</v>
      </c>
      <c r="D676" s="14">
        <f t="shared" si="479"/>
        <v>1</v>
      </c>
      <c r="E676" s="14">
        <f t="shared" si="429"/>
        <v>17</v>
      </c>
      <c r="F676" s="14">
        <f t="shared" si="424"/>
        <v>33</v>
      </c>
      <c r="G676" s="12" t="s">
        <v>706</v>
      </c>
      <c r="H676" s="12">
        <f t="shared" si="468"/>
        <v>90</v>
      </c>
      <c r="I676" s="10" t="str">
        <f>VLOOKUP(A676,战役结算奖励!$A$1:$O$800,15,0)</f>
        <v>[{"id":14,"num":60},{"id":2,"num":2500000},{"id":1,"num":3500000}]</v>
      </c>
      <c r="J676" s="12" t="str">
        <f t="shared" si="469"/>
        <v>[14,2,1]</v>
      </c>
      <c r="K676" s="12">
        <f t="shared" ref="K676:M676" si="480">IF(K636="","",K636)</f>
        <v>90</v>
      </c>
      <c r="L676" s="3" t="s">
        <v>514</v>
      </c>
      <c r="M676" s="12" t="str">
        <f t="shared" si="480"/>
        <v/>
      </c>
      <c r="N676" s="12"/>
      <c r="O676" s="12" t="s">
        <v>514</v>
      </c>
    </row>
    <row r="677" spans="1:15" s="7" customFormat="1" x14ac:dyDescent="0.15">
      <c r="A677" s="3">
        <f t="shared" si="427"/>
        <v>1417034</v>
      </c>
      <c r="B677" s="14">
        <f t="shared" ref="B677:D677" si="481">B637</f>
        <v>14</v>
      </c>
      <c r="C677" s="14">
        <f t="shared" si="481"/>
        <v>0</v>
      </c>
      <c r="D677" s="14">
        <f t="shared" si="481"/>
        <v>1</v>
      </c>
      <c r="E677" s="14">
        <f t="shared" si="429"/>
        <v>17</v>
      </c>
      <c r="F677" s="14">
        <f t="shared" si="424"/>
        <v>34</v>
      </c>
      <c r="G677" s="12" t="s">
        <v>707</v>
      </c>
      <c r="H677" s="12">
        <f t="shared" si="468"/>
        <v>90</v>
      </c>
      <c r="I677" s="10" t="str">
        <f>VLOOKUP(A677,战役结算奖励!$A$1:$O$800,15,0)</f>
        <v>[{"id":14,"num":60},{"id":2,"num":2500000},{"id":1,"num":3500000}]</v>
      </c>
      <c r="J677" s="12" t="str">
        <f t="shared" si="469"/>
        <v>[14,2,1]</v>
      </c>
      <c r="K677" s="12">
        <f t="shared" ref="K677:M677" si="482">IF(K637="","",K637)</f>
        <v>90</v>
      </c>
      <c r="L677" s="3" t="s">
        <v>514</v>
      </c>
      <c r="M677" s="12" t="str">
        <f t="shared" si="482"/>
        <v/>
      </c>
      <c r="N677" s="12"/>
      <c r="O677" s="12" t="s">
        <v>514</v>
      </c>
    </row>
    <row r="678" spans="1:15" s="7" customFormat="1" x14ac:dyDescent="0.15">
      <c r="A678" s="3">
        <f t="shared" si="427"/>
        <v>1417035</v>
      </c>
      <c r="B678" s="14">
        <f t="shared" ref="B678:D678" si="483">B638</f>
        <v>14</v>
      </c>
      <c r="C678" s="14">
        <f t="shared" si="483"/>
        <v>0</v>
      </c>
      <c r="D678" s="14">
        <f t="shared" si="483"/>
        <v>1</v>
      </c>
      <c r="E678" s="14">
        <f t="shared" si="429"/>
        <v>17</v>
      </c>
      <c r="F678" s="14">
        <f t="shared" si="424"/>
        <v>35</v>
      </c>
      <c r="G678" s="12" t="s">
        <v>708</v>
      </c>
      <c r="H678" s="12">
        <f t="shared" si="468"/>
        <v>90</v>
      </c>
      <c r="I678" s="10" t="str">
        <f>VLOOKUP(A678,战役结算奖励!$A$1:$O$800,15,0)</f>
        <v>[{"id":14,"num":60},{"id":2,"num":2500000},{"id":1,"num":3500000}]</v>
      </c>
      <c r="J678" s="12" t="str">
        <f t="shared" si="469"/>
        <v>[14,2,1]</v>
      </c>
      <c r="K678" s="12">
        <f t="shared" ref="K678:M678" si="484">IF(K638="","",K638)</f>
        <v>90</v>
      </c>
      <c r="L678" s="3" t="s">
        <v>514</v>
      </c>
      <c r="M678" s="12" t="str">
        <f t="shared" si="484"/>
        <v/>
      </c>
      <c r="N678" s="12"/>
      <c r="O678" s="12" t="s">
        <v>514</v>
      </c>
    </row>
    <row r="679" spans="1:15" s="7" customFormat="1" x14ac:dyDescent="0.15">
      <c r="A679" s="3">
        <f t="shared" si="427"/>
        <v>1417036</v>
      </c>
      <c r="B679" s="14">
        <f t="shared" ref="B679:D679" si="485">B639</f>
        <v>14</v>
      </c>
      <c r="C679" s="14">
        <f t="shared" si="485"/>
        <v>0</v>
      </c>
      <c r="D679" s="14">
        <f t="shared" si="485"/>
        <v>1</v>
      </c>
      <c r="E679" s="14">
        <f t="shared" si="429"/>
        <v>17</v>
      </c>
      <c r="F679" s="14">
        <f t="shared" si="424"/>
        <v>36</v>
      </c>
      <c r="G679" s="12" t="s">
        <v>709</v>
      </c>
      <c r="H679" s="12">
        <f t="shared" si="468"/>
        <v>90</v>
      </c>
      <c r="I679" s="10" t="str">
        <f>VLOOKUP(A679,战役结算奖励!$A$1:$O$800,15,0)</f>
        <v>[{"id":14,"num":60},{"id":2,"num":2500000},{"id":1,"num":3500000}]</v>
      </c>
      <c r="J679" s="12" t="str">
        <f t="shared" si="469"/>
        <v>[14,2,1]</v>
      </c>
      <c r="K679" s="12">
        <f t="shared" ref="K679:M679" si="486">IF(K639="","",K639)</f>
        <v>90</v>
      </c>
      <c r="L679" s="3" t="s">
        <v>514</v>
      </c>
      <c r="M679" s="12" t="str">
        <f t="shared" si="486"/>
        <v/>
      </c>
      <c r="N679" s="12"/>
      <c r="O679" s="12" t="s">
        <v>514</v>
      </c>
    </row>
    <row r="680" spans="1:15" s="7" customFormat="1" x14ac:dyDescent="0.15">
      <c r="A680" s="3">
        <f t="shared" si="427"/>
        <v>1417037</v>
      </c>
      <c r="B680" s="14">
        <f t="shared" ref="B680:D680" si="487">B640</f>
        <v>14</v>
      </c>
      <c r="C680" s="14">
        <f t="shared" si="487"/>
        <v>0</v>
      </c>
      <c r="D680" s="14">
        <f t="shared" si="487"/>
        <v>1</v>
      </c>
      <c r="E680" s="14">
        <f t="shared" si="429"/>
        <v>17</v>
      </c>
      <c r="F680" s="14">
        <f t="shared" si="424"/>
        <v>37</v>
      </c>
      <c r="G680" s="12" t="s">
        <v>710</v>
      </c>
      <c r="H680" s="12">
        <f t="shared" si="468"/>
        <v>90</v>
      </c>
      <c r="I680" s="10" t="str">
        <f>VLOOKUP(A680,战役结算奖励!$A$1:$O$800,15,0)</f>
        <v>[{"id":14,"num":60},{"id":2,"num":2500000},{"id":1,"num":3500000}]</v>
      </c>
      <c r="J680" s="12" t="str">
        <f t="shared" si="469"/>
        <v>[14,2,1]</v>
      </c>
      <c r="K680" s="12">
        <f t="shared" ref="K680:M680" si="488">IF(K640="","",K640)</f>
        <v>90</v>
      </c>
      <c r="L680" s="3" t="s">
        <v>514</v>
      </c>
      <c r="M680" s="12" t="str">
        <f t="shared" si="488"/>
        <v/>
      </c>
      <c r="N680" s="12"/>
      <c r="O680" s="12" t="s">
        <v>514</v>
      </c>
    </row>
    <row r="681" spans="1:15" s="7" customFormat="1" x14ac:dyDescent="0.15">
      <c r="A681" s="3">
        <f t="shared" si="427"/>
        <v>1417038</v>
      </c>
      <c r="B681" s="14">
        <f t="shared" ref="B681:D681" si="489">B641</f>
        <v>14</v>
      </c>
      <c r="C681" s="14">
        <f t="shared" si="489"/>
        <v>0</v>
      </c>
      <c r="D681" s="14">
        <f t="shared" si="489"/>
        <v>1</v>
      </c>
      <c r="E681" s="14">
        <f t="shared" si="429"/>
        <v>17</v>
      </c>
      <c r="F681" s="14">
        <f t="shared" si="424"/>
        <v>38</v>
      </c>
      <c r="G681" s="12" t="s">
        <v>711</v>
      </c>
      <c r="H681" s="12">
        <f t="shared" si="468"/>
        <v>90</v>
      </c>
      <c r="I681" s="10" t="str">
        <f>VLOOKUP(A681,战役结算奖励!$A$1:$O$800,15,0)</f>
        <v>[{"id":14,"num":60},{"id":2,"num":2500000},{"id":1,"num":3500000}]</v>
      </c>
      <c r="J681" s="12" t="str">
        <f t="shared" si="469"/>
        <v>[14,2,1]</v>
      </c>
      <c r="K681" s="12">
        <f t="shared" ref="K681:M681" si="490">IF(K641="","",K641)</f>
        <v>90</v>
      </c>
      <c r="L681" s="3" t="s">
        <v>514</v>
      </c>
      <c r="M681" s="12" t="str">
        <f t="shared" si="490"/>
        <v/>
      </c>
      <c r="N681" s="12"/>
      <c r="O681" s="12" t="s">
        <v>514</v>
      </c>
    </row>
    <row r="682" spans="1:15" s="7" customFormat="1" x14ac:dyDescent="0.15">
      <c r="A682" s="3">
        <f t="shared" si="427"/>
        <v>1417039</v>
      </c>
      <c r="B682" s="14">
        <f t="shared" ref="B682:D682" si="491">B642</f>
        <v>14</v>
      </c>
      <c r="C682" s="14">
        <f t="shared" si="491"/>
        <v>0</v>
      </c>
      <c r="D682" s="14">
        <f t="shared" si="491"/>
        <v>1</v>
      </c>
      <c r="E682" s="14">
        <f t="shared" si="429"/>
        <v>17</v>
      </c>
      <c r="F682" s="14">
        <f t="shared" si="424"/>
        <v>39</v>
      </c>
      <c r="G682" s="12" t="s">
        <v>712</v>
      </c>
      <c r="H682" s="12">
        <f t="shared" si="468"/>
        <v>90</v>
      </c>
      <c r="I682" s="10" t="str">
        <f>VLOOKUP(A682,战役结算奖励!$A$1:$O$800,15,0)</f>
        <v>[{"id":14,"num":60},{"id":2,"num":2500000},{"id":1,"num":3500000}]</v>
      </c>
      <c r="J682" s="12" t="str">
        <f t="shared" si="469"/>
        <v>[14,2,1]</v>
      </c>
      <c r="K682" s="12">
        <f t="shared" ref="K682:M682" si="492">IF(K642="","",K642)</f>
        <v>90</v>
      </c>
      <c r="L682" s="3" t="s">
        <v>514</v>
      </c>
      <c r="M682" s="12" t="str">
        <f t="shared" si="492"/>
        <v/>
      </c>
      <c r="N682" s="12"/>
      <c r="O682" s="12" t="s">
        <v>514</v>
      </c>
    </row>
    <row r="683" spans="1:15" s="7" customFormat="1" x14ac:dyDescent="0.15">
      <c r="A683" s="3">
        <f t="shared" si="427"/>
        <v>1417040</v>
      </c>
      <c r="B683" s="14">
        <f t="shared" ref="B683:D683" si="493">B643</f>
        <v>14</v>
      </c>
      <c r="C683" s="14">
        <f t="shared" si="493"/>
        <v>0</v>
      </c>
      <c r="D683" s="14">
        <f t="shared" si="493"/>
        <v>1</v>
      </c>
      <c r="E683" s="14">
        <f t="shared" si="429"/>
        <v>17</v>
      </c>
      <c r="F683" s="14">
        <f t="shared" si="424"/>
        <v>40</v>
      </c>
      <c r="G683" s="12" t="s">
        <v>713</v>
      </c>
      <c r="H683" s="12">
        <f t="shared" si="468"/>
        <v>90</v>
      </c>
      <c r="I683" s="10" t="str">
        <f>VLOOKUP(A683,战役结算奖励!$A$1:$O$800,15,0)</f>
        <v>[{"id":14,"num":60},{"id":2,"num":2500000},{"id":1,"num":3500000}]</v>
      </c>
      <c r="J683" s="12" t="str">
        <f t="shared" si="469"/>
        <v>[14,2,1]</v>
      </c>
      <c r="K683" s="12">
        <f t="shared" ref="K683:M683" si="494">IF(K643="","",K643)</f>
        <v>90</v>
      </c>
      <c r="L683" s="3" t="s">
        <v>1228</v>
      </c>
      <c r="M683" s="12" t="str">
        <f t="shared" si="494"/>
        <v/>
      </c>
      <c r="N683" s="12"/>
      <c r="O683" s="12">
        <v>1</v>
      </c>
    </row>
    <row r="684" spans="1:15" s="7" customFormat="1" x14ac:dyDescent="0.15">
      <c r="A684" s="3">
        <f t="shared" si="427"/>
        <v>1418001</v>
      </c>
      <c r="B684" s="14">
        <f t="shared" ref="B684:D684" si="495">B644</f>
        <v>14</v>
      </c>
      <c r="C684" s="14">
        <f t="shared" si="495"/>
        <v>0</v>
      </c>
      <c r="D684" s="14">
        <f t="shared" si="495"/>
        <v>1</v>
      </c>
      <c r="E684" s="14">
        <f t="shared" si="429"/>
        <v>18</v>
      </c>
      <c r="F684" s="14">
        <f t="shared" si="424"/>
        <v>1</v>
      </c>
      <c r="G684" s="12" t="s">
        <v>714</v>
      </c>
      <c r="H684" s="12">
        <f t="shared" si="468"/>
        <v>90</v>
      </c>
      <c r="I684" s="10" t="str">
        <f>VLOOKUP(A684,战役结算奖励!$A$1:$O$800,15,0)</f>
        <v>[{"id":14,"num":60},{"id":2,"num":2500000},{"id":1,"num":3700000}]</v>
      </c>
      <c r="J684" s="12" t="str">
        <f t="shared" si="469"/>
        <v>[14,2,1]</v>
      </c>
      <c r="K684" s="12">
        <f t="shared" ref="K684:M684" si="496">IF(K644="","",K644)</f>
        <v>87</v>
      </c>
      <c r="L684" s="3" t="s">
        <v>514</v>
      </c>
      <c r="M684" s="12" t="str">
        <f t="shared" si="496"/>
        <v/>
      </c>
      <c r="N684" s="12"/>
      <c r="O684" s="12" t="s">
        <v>514</v>
      </c>
    </row>
    <row r="685" spans="1:15" s="7" customFormat="1" x14ac:dyDescent="0.15">
      <c r="A685" s="3">
        <f t="shared" si="427"/>
        <v>1418002</v>
      </c>
      <c r="B685" s="14">
        <f t="shared" ref="B685:D685" si="497">B645</f>
        <v>14</v>
      </c>
      <c r="C685" s="14">
        <f t="shared" si="497"/>
        <v>0</v>
      </c>
      <c r="D685" s="14">
        <f t="shared" si="497"/>
        <v>1</v>
      </c>
      <c r="E685" s="14">
        <f t="shared" si="429"/>
        <v>18</v>
      </c>
      <c r="F685" s="14">
        <f t="shared" si="424"/>
        <v>2</v>
      </c>
      <c r="G685" s="12" t="s">
        <v>715</v>
      </c>
      <c r="H685" s="12">
        <f t="shared" si="468"/>
        <v>90</v>
      </c>
      <c r="I685" s="10" t="str">
        <f>VLOOKUP(A685,战役结算奖励!$A$1:$O$800,15,0)</f>
        <v>[{"id":14,"num":60},{"id":2,"num":2500000},{"id":1,"num":3700000}]</v>
      </c>
      <c r="J685" s="12" t="str">
        <f t="shared" si="469"/>
        <v>[14,2,1]</v>
      </c>
      <c r="K685" s="12">
        <f t="shared" ref="K685:M685" si="498">IF(K645="","",K645)</f>
        <v>87</v>
      </c>
      <c r="L685" s="3" t="s">
        <v>514</v>
      </c>
      <c r="M685" s="12" t="str">
        <f t="shared" si="498"/>
        <v/>
      </c>
      <c r="N685" s="12"/>
      <c r="O685" s="12" t="s">
        <v>514</v>
      </c>
    </row>
    <row r="686" spans="1:15" s="7" customFormat="1" x14ac:dyDescent="0.15">
      <c r="A686" s="3">
        <f t="shared" si="427"/>
        <v>1418003</v>
      </c>
      <c r="B686" s="14">
        <f t="shared" ref="B686:D686" si="499">B646</f>
        <v>14</v>
      </c>
      <c r="C686" s="14">
        <f t="shared" si="499"/>
        <v>0</v>
      </c>
      <c r="D686" s="14">
        <f t="shared" si="499"/>
        <v>1</v>
      </c>
      <c r="E686" s="14">
        <f t="shared" si="429"/>
        <v>18</v>
      </c>
      <c r="F686" s="14">
        <f t="shared" si="424"/>
        <v>3</v>
      </c>
      <c r="G686" s="12" t="s">
        <v>716</v>
      </c>
      <c r="H686" s="12">
        <f t="shared" si="468"/>
        <v>90</v>
      </c>
      <c r="I686" s="10" t="str">
        <f>VLOOKUP(A686,战役结算奖励!$A$1:$O$800,15,0)</f>
        <v>[{"id":14,"num":60},{"id":2,"num":2500000},{"id":1,"num":3700000}]</v>
      </c>
      <c r="J686" s="12" t="str">
        <f t="shared" si="469"/>
        <v>[14,2,1]</v>
      </c>
      <c r="K686" s="12">
        <f t="shared" ref="K686:M686" si="500">IF(K646="","",K646)</f>
        <v>87</v>
      </c>
      <c r="L686" s="3" t="s">
        <v>514</v>
      </c>
      <c r="M686" s="12" t="str">
        <f t="shared" si="500"/>
        <v/>
      </c>
      <c r="N686" s="12"/>
      <c r="O686" s="12" t="s">
        <v>514</v>
      </c>
    </row>
    <row r="687" spans="1:15" s="7" customFormat="1" x14ac:dyDescent="0.15">
      <c r="A687" s="3">
        <f t="shared" si="427"/>
        <v>1418004</v>
      </c>
      <c r="B687" s="14">
        <f t="shared" ref="B687:D687" si="501">B647</f>
        <v>14</v>
      </c>
      <c r="C687" s="14">
        <f t="shared" si="501"/>
        <v>0</v>
      </c>
      <c r="D687" s="14">
        <f t="shared" si="501"/>
        <v>1</v>
      </c>
      <c r="E687" s="14">
        <f t="shared" si="429"/>
        <v>18</v>
      </c>
      <c r="F687" s="14">
        <f t="shared" si="424"/>
        <v>4</v>
      </c>
      <c r="G687" s="12" t="s">
        <v>717</v>
      </c>
      <c r="H687" s="12">
        <f t="shared" si="468"/>
        <v>90</v>
      </c>
      <c r="I687" s="10" t="str">
        <f>VLOOKUP(A687,战役结算奖励!$A$1:$O$800,15,0)</f>
        <v>[{"id":14,"num":60},{"id":2,"num":2500000},{"id":1,"num":3700000}]</v>
      </c>
      <c r="J687" s="12" t="str">
        <f t="shared" si="469"/>
        <v>[14,2,1]</v>
      </c>
      <c r="K687" s="12">
        <f t="shared" ref="K687:M687" si="502">IF(K647="","",K647)</f>
        <v>87</v>
      </c>
      <c r="L687" s="3" t="s">
        <v>514</v>
      </c>
      <c r="M687" s="12" t="str">
        <f t="shared" si="502"/>
        <v/>
      </c>
      <c r="N687" s="12"/>
      <c r="O687" s="12" t="s">
        <v>514</v>
      </c>
    </row>
    <row r="688" spans="1:15" s="7" customFormat="1" x14ac:dyDescent="0.15">
      <c r="A688" s="3">
        <f t="shared" si="427"/>
        <v>1418005</v>
      </c>
      <c r="B688" s="14">
        <f t="shared" ref="B688:D688" si="503">B648</f>
        <v>14</v>
      </c>
      <c r="C688" s="14">
        <f t="shared" si="503"/>
        <v>0</v>
      </c>
      <c r="D688" s="14">
        <f t="shared" si="503"/>
        <v>1</v>
      </c>
      <c r="E688" s="14">
        <f t="shared" si="429"/>
        <v>18</v>
      </c>
      <c r="F688" s="14">
        <f t="shared" si="424"/>
        <v>5</v>
      </c>
      <c r="G688" s="12" t="s">
        <v>718</v>
      </c>
      <c r="H688" s="12">
        <f t="shared" si="468"/>
        <v>90</v>
      </c>
      <c r="I688" s="10" t="str">
        <f>VLOOKUP(A688,战役结算奖励!$A$1:$O$800,15,0)</f>
        <v>[{"id":14,"num":60},{"id":2,"num":2500000},{"id":1,"num":3700000}]</v>
      </c>
      <c r="J688" s="12" t="str">
        <f t="shared" si="469"/>
        <v>[14,2,1]</v>
      </c>
      <c r="K688" s="12">
        <f t="shared" ref="K688:M688" si="504">IF(K648="","",K648)</f>
        <v>87</v>
      </c>
      <c r="L688" s="3" t="s">
        <v>514</v>
      </c>
      <c r="M688" s="12" t="str">
        <f t="shared" si="504"/>
        <v/>
      </c>
      <c r="N688" s="12"/>
      <c r="O688" s="12" t="s">
        <v>514</v>
      </c>
    </row>
    <row r="689" spans="1:15" s="7" customFormat="1" x14ac:dyDescent="0.15">
      <c r="A689" s="3">
        <f t="shared" si="427"/>
        <v>1418006</v>
      </c>
      <c r="B689" s="14">
        <f t="shared" ref="B689:D689" si="505">B649</f>
        <v>14</v>
      </c>
      <c r="C689" s="14">
        <f t="shared" si="505"/>
        <v>0</v>
      </c>
      <c r="D689" s="14">
        <f t="shared" si="505"/>
        <v>1</v>
      </c>
      <c r="E689" s="14">
        <f t="shared" si="429"/>
        <v>18</v>
      </c>
      <c r="F689" s="14">
        <f t="shared" si="424"/>
        <v>6</v>
      </c>
      <c r="G689" s="12" t="s">
        <v>719</v>
      </c>
      <c r="H689" s="12">
        <f t="shared" si="468"/>
        <v>90</v>
      </c>
      <c r="I689" s="10" t="str">
        <f>VLOOKUP(A689,战役结算奖励!$A$1:$O$800,15,0)</f>
        <v>[{"id":14,"num":60},{"id":2,"num":2500000},{"id":1,"num":3700000}]</v>
      </c>
      <c r="J689" s="12" t="str">
        <f t="shared" si="469"/>
        <v>[14,2,1]</v>
      </c>
      <c r="K689" s="12">
        <f t="shared" ref="K689:M689" si="506">IF(K649="","",K649)</f>
        <v>88</v>
      </c>
      <c r="L689" s="3" t="s">
        <v>514</v>
      </c>
      <c r="M689" s="12" t="str">
        <f t="shared" si="506"/>
        <v/>
      </c>
      <c r="N689" s="12"/>
      <c r="O689" s="12" t="s">
        <v>514</v>
      </c>
    </row>
    <row r="690" spans="1:15" s="7" customFormat="1" x14ac:dyDescent="0.15">
      <c r="A690" s="3">
        <f t="shared" si="427"/>
        <v>1418007</v>
      </c>
      <c r="B690" s="14">
        <f t="shared" ref="B690:D690" si="507">B650</f>
        <v>14</v>
      </c>
      <c r="C690" s="14">
        <f t="shared" si="507"/>
        <v>0</v>
      </c>
      <c r="D690" s="14">
        <f t="shared" si="507"/>
        <v>1</v>
      </c>
      <c r="E690" s="14">
        <f t="shared" si="429"/>
        <v>18</v>
      </c>
      <c r="F690" s="14">
        <f t="shared" si="424"/>
        <v>7</v>
      </c>
      <c r="G690" s="12" t="s">
        <v>720</v>
      </c>
      <c r="H690" s="12">
        <f t="shared" si="468"/>
        <v>90</v>
      </c>
      <c r="I690" s="10" t="str">
        <f>VLOOKUP(A690,战役结算奖励!$A$1:$O$800,15,0)</f>
        <v>[{"id":14,"num":60},{"id":2,"num":2500000},{"id":1,"num":3700000}]</v>
      </c>
      <c r="J690" s="12" t="str">
        <f t="shared" si="469"/>
        <v>[14,2,1]</v>
      </c>
      <c r="K690" s="12">
        <f t="shared" ref="K690:M690" si="508">IF(K650="","",K650)</f>
        <v>88</v>
      </c>
      <c r="L690" s="3" t="s">
        <v>514</v>
      </c>
      <c r="M690" s="12" t="str">
        <f t="shared" si="508"/>
        <v/>
      </c>
      <c r="N690" s="12"/>
      <c r="O690" s="12" t="s">
        <v>514</v>
      </c>
    </row>
    <row r="691" spans="1:15" s="7" customFormat="1" x14ac:dyDescent="0.15">
      <c r="A691" s="3">
        <f t="shared" si="427"/>
        <v>1418008</v>
      </c>
      <c r="B691" s="14">
        <f t="shared" ref="B691:D691" si="509">B651</f>
        <v>14</v>
      </c>
      <c r="C691" s="14">
        <f t="shared" si="509"/>
        <v>0</v>
      </c>
      <c r="D691" s="14">
        <f t="shared" si="509"/>
        <v>1</v>
      </c>
      <c r="E691" s="14">
        <f t="shared" si="429"/>
        <v>18</v>
      </c>
      <c r="F691" s="14">
        <f t="shared" si="424"/>
        <v>8</v>
      </c>
      <c r="G691" s="12" t="s">
        <v>721</v>
      </c>
      <c r="H691" s="12">
        <f t="shared" si="468"/>
        <v>90</v>
      </c>
      <c r="I691" s="10" t="str">
        <f>VLOOKUP(A691,战役结算奖励!$A$1:$O$800,15,0)</f>
        <v>[{"id":14,"num":60},{"id":2,"num":2500000},{"id":1,"num":3700000}]</v>
      </c>
      <c r="J691" s="12" t="str">
        <f t="shared" si="469"/>
        <v>[14,2,1]</v>
      </c>
      <c r="K691" s="12">
        <f t="shared" ref="K691:M691" si="510">IF(K651="","",K651)</f>
        <v>88</v>
      </c>
      <c r="L691" s="3" t="s">
        <v>514</v>
      </c>
      <c r="M691" s="12" t="str">
        <f t="shared" si="510"/>
        <v/>
      </c>
      <c r="N691" s="12"/>
      <c r="O691" s="12" t="s">
        <v>514</v>
      </c>
    </row>
    <row r="692" spans="1:15" s="7" customFormat="1" x14ac:dyDescent="0.15">
      <c r="A692" s="3">
        <f t="shared" si="427"/>
        <v>1418009</v>
      </c>
      <c r="B692" s="14">
        <f t="shared" ref="B692:D692" si="511">B652</f>
        <v>14</v>
      </c>
      <c r="C692" s="14">
        <f t="shared" si="511"/>
        <v>0</v>
      </c>
      <c r="D692" s="14">
        <f t="shared" si="511"/>
        <v>1</v>
      </c>
      <c r="E692" s="14">
        <f t="shared" si="429"/>
        <v>18</v>
      </c>
      <c r="F692" s="14">
        <f t="shared" si="424"/>
        <v>9</v>
      </c>
      <c r="G692" s="12" t="s">
        <v>722</v>
      </c>
      <c r="H692" s="12">
        <f t="shared" si="468"/>
        <v>90</v>
      </c>
      <c r="I692" s="10" t="str">
        <f>VLOOKUP(A692,战役结算奖励!$A$1:$O$800,15,0)</f>
        <v>[{"id":14,"num":60},{"id":2,"num":2500000},{"id":1,"num":3700000}]</v>
      </c>
      <c r="J692" s="12" t="str">
        <f t="shared" si="469"/>
        <v>[14,2,1]</v>
      </c>
      <c r="K692" s="12">
        <f t="shared" ref="K692:M692" si="512">IF(K652="","",K652)</f>
        <v>88</v>
      </c>
      <c r="L692" s="3" t="s">
        <v>514</v>
      </c>
      <c r="M692" s="12" t="str">
        <f t="shared" si="512"/>
        <v/>
      </c>
      <c r="N692" s="12"/>
      <c r="O692" s="12" t="s">
        <v>514</v>
      </c>
    </row>
    <row r="693" spans="1:15" s="7" customFormat="1" x14ac:dyDescent="0.15">
      <c r="A693" s="3">
        <f t="shared" si="427"/>
        <v>1418010</v>
      </c>
      <c r="B693" s="14">
        <f t="shared" ref="B693:D693" si="513">B653</f>
        <v>14</v>
      </c>
      <c r="C693" s="14">
        <f t="shared" si="513"/>
        <v>0</v>
      </c>
      <c r="D693" s="14">
        <f t="shared" si="513"/>
        <v>1</v>
      </c>
      <c r="E693" s="14">
        <f t="shared" si="429"/>
        <v>18</v>
      </c>
      <c r="F693" s="14">
        <f t="shared" si="424"/>
        <v>10</v>
      </c>
      <c r="G693" s="12" t="s">
        <v>723</v>
      </c>
      <c r="H693" s="12">
        <f t="shared" si="468"/>
        <v>90</v>
      </c>
      <c r="I693" s="10" t="str">
        <f>VLOOKUP(A693,战役结算奖励!$A$1:$O$800,15,0)</f>
        <v>[{"id":14,"num":60},{"id":2,"num":2500000},{"id":1,"num":3700000}]</v>
      </c>
      <c r="J693" s="12" t="str">
        <f t="shared" si="469"/>
        <v>[14,2,1]</v>
      </c>
      <c r="K693" s="12">
        <f t="shared" ref="K693:M693" si="514">IF(K653="","",K653)</f>
        <v>88</v>
      </c>
      <c r="L693" s="3" t="s">
        <v>514</v>
      </c>
      <c r="M693" s="12" t="str">
        <f t="shared" si="514"/>
        <v/>
      </c>
      <c r="N693" s="12"/>
      <c r="O693" s="12" t="s">
        <v>514</v>
      </c>
    </row>
    <row r="694" spans="1:15" s="7" customFormat="1" x14ac:dyDescent="0.15">
      <c r="A694" s="3">
        <f t="shared" si="427"/>
        <v>1418011</v>
      </c>
      <c r="B694" s="14">
        <f t="shared" ref="B694:D694" si="515">B654</f>
        <v>14</v>
      </c>
      <c r="C694" s="14">
        <f t="shared" si="515"/>
        <v>0</v>
      </c>
      <c r="D694" s="14">
        <f t="shared" si="515"/>
        <v>1</v>
      </c>
      <c r="E694" s="14">
        <f t="shared" si="429"/>
        <v>18</v>
      </c>
      <c r="F694" s="14">
        <f t="shared" si="424"/>
        <v>11</v>
      </c>
      <c r="G694" s="12" t="s">
        <v>724</v>
      </c>
      <c r="H694" s="12">
        <f t="shared" ref="H694:J694" si="516">H654</f>
        <v>90</v>
      </c>
      <c r="I694" s="10" t="str">
        <f>VLOOKUP(A694,战役结算奖励!$A$1:$O$800,15,0)</f>
        <v>[{"id":14,"num":60},{"id":2,"num":2500000},{"id":1,"num":3700000}]</v>
      </c>
      <c r="J694" s="12" t="str">
        <f t="shared" si="516"/>
        <v>[14,2,1]</v>
      </c>
      <c r="K694" s="12">
        <f>IF(K654="","",K654)</f>
        <v>89</v>
      </c>
      <c r="L694" s="3" t="s">
        <v>514</v>
      </c>
      <c r="M694" s="12" t="str">
        <f>IF(M654="","",M654)</f>
        <v/>
      </c>
      <c r="N694" s="12"/>
      <c r="O694" s="12" t="s">
        <v>514</v>
      </c>
    </row>
    <row r="695" spans="1:15" s="7" customFormat="1" x14ac:dyDescent="0.15">
      <c r="A695" s="3">
        <f t="shared" si="427"/>
        <v>1418012</v>
      </c>
      <c r="B695" s="14">
        <f t="shared" ref="B695:D695" si="517">B655</f>
        <v>14</v>
      </c>
      <c r="C695" s="14">
        <f t="shared" si="517"/>
        <v>0</v>
      </c>
      <c r="D695" s="14">
        <f t="shared" si="517"/>
        <v>1</v>
      </c>
      <c r="E695" s="14">
        <f t="shared" si="429"/>
        <v>18</v>
      </c>
      <c r="F695" s="14">
        <f t="shared" si="424"/>
        <v>12</v>
      </c>
      <c r="G695" s="12" t="s">
        <v>725</v>
      </c>
      <c r="H695" s="12">
        <f t="shared" ref="H695:H702" si="518">H655</f>
        <v>90</v>
      </c>
      <c r="I695" s="10" t="str">
        <f>VLOOKUP(A695,战役结算奖励!$A$1:$O$800,15,0)</f>
        <v>[{"id":14,"num":60},{"id":2,"num":2500000},{"id":1,"num":3700000}]</v>
      </c>
      <c r="J695" s="12" t="str">
        <f t="shared" ref="J695:J701" si="519">J655</f>
        <v>[14,2,1]</v>
      </c>
      <c r="K695" s="12">
        <f t="shared" ref="K695:M695" si="520">IF(K655="","",K655)</f>
        <v>89</v>
      </c>
      <c r="L695" s="3" t="s">
        <v>514</v>
      </c>
      <c r="M695" s="12" t="str">
        <f t="shared" si="520"/>
        <v/>
      </c>
      <c r="N695" s="12"/>
      <c r="O695" s="12" t="s">
        <v>514</v>
      </c>
    </row>
    <row r="696" spans="1:15" s="7" customFormat="1" x14ac:dyDescent="0.15">
      <c r="A696" s="3">
        <f t="shared" si="427"/>
        <v>1418013</v>
      </c>
      <c r="B696" s="14">
        <f t="shared" ref="B696:D696" si="521">B656</f>
        <v>14</v>
      </c>
      <c r="C696" s="14">
        <f t="shared" si="521"/>
        <v>0</v>
      </c>
      <c r="D696" s="14">
        <f t="shared" si="521"/>
        <v>1</v>
      </c>
      <c r="E696" s="14">
        <f t="shared" si="429"/>
        <v>18</v>
      </c>
      <c r="F696" s="14">
        <f t="shared" si="424"/>
        <v>13</v>
      </c>
      <c r="G696" s="12" t="s">
        <v>726</v>
      </c>
      <c r="H696" s="12">
        <f t="shared" si="518"/>
        <v>90</v>
      </c>
      <c r="I696" s="10" t="str">
        <f>VLOOKUP(A696,战役结算奖励!$A$1:$O$800,15,0)</f>
        <v>[{"id":14,"num":60},{"id":2,"num":2500000},{"id":1,"num":3700000}]</v>
      </c>
      <c r="J696" s="12" t="str">
        <f t="shared" si="519"/>
        <v>[14,2,1]</v>
      </c>
      <c r="K696" s="12">
        <f t="shared" ref="K696:M696" si="522">IF(K656="","",K656)</f>
        <v>89</v>
      </c>
      <c r="L696" s="3" t="s">
        <v>514</v>
      </c>
      <c r="M696" s="12" t="str">
        <f t="shared" si="522"/>
        <v/>
      </c>
      <c r="N696" s="12"/>
      <c r="O696" s="12" t="s">
        <v>514</v>
      </c>
    </row>
    <row r="697" spans="1:15" s="7" customFormat="1" x14ac:dyDescent="0.15">
      <c r="A697" s="3">
        <f t="shared" si="427"/>
        <v>1418014</v>
      </c>
      <c r="B697" s="14">
        <f t="shared" ref="B697:D697" si="523">B657</f>
        <v>14</v>
      </c>
      <c r="C697" s="14">
        <f t="shared" si="523"/>
        <v>0</v>
      </c>
      <c r="D697" s="14">
        <f t="shared" si="523"/>
        <v>1</v>
      </c>
      <c r="E697" s="14">
        <f t="shared" si="429"/>
        <v>18</v>
      </c>
      <c r="F697" s="14">
        <f t="shared" si="424"/>
        <v>14</v>
      </c>
      <c r="G697" s="12" t="s">
        <v>727</v>
      </c>
      <c r="H697" s="12">
        <f t="shared" si="518"/>
        <v>90</v>
      </c>
      <c r="I697" s="10" t="str">
        <f>VLOOKUP(A697,战役结算奖励!$A$1:$O$800,15,0)</f>
        <v>[{"id":14,"num":60},{"id":2,"num":2500000},{"id":1,"num":3700000}]</v>
      </c>
      <c r="J697" s="12" t="str">
        <f t="shared" si="519"/>
        <v>[14,2,1]</v>
      </c>
      <c r="K697" s="12">
        <f t="shared" ref="K697:M697" si="524">IF(K657="","",K657)</f>
        <v>89</v>
      </c>
      <c r="L697" s="3" t="s">
        <v>514</v>
      </c>
      <c r="M697" s="12" t="str">
        <f t="shared" si="524"/>
        <v/>
      </c>
      <c r="N697" s="12"/>
      <c r="O697" s="12" t="s">
        <v>514</v>
      </c>
    </row>
    <row r="698" spans="1:15" s="7" customFormat="1" x14ac:dyDescent="0.15">
      <c r="A698" s="3">
        <f t="shared" si="427"/>
        <v>1418015</v>
      </c>
      <c r="B698" s="14">
        <f t="shared" ref="B698:D698" si="525">B658</f>
        <v>14</v>
      </c>
      <c r="C698" s="14">
        <f t="shared" si="525"/>
        <v>0</v>
      </c>
      <c r="D698" s="14">
        <f t="shared" si="525"/>
        <v>1</v>
      </c>
      <c r="E698" s="14">
        <f t="shared" si="429"/>
        <v>18</v>
      </c>
      <c r="F698" s="14">
        <f t="shared" si="424"/>
        <v>15</v>
      </c>
      <c r="G698" s="12" t="s">
        <v>728</v>
      </c>
      <c r="H698" s="12">
        <f t="shared" si="518"/>
        <v>90</v>
      </c>
      <c r="I698" s="10" t="str">
        <f>VLOOKUP(A698,战役结算奖励!$A$1:$O$800,15,0)</f>
        <v>[{"id":14,"num":60},{"id":2,"num":2500000},{"id":1,"num":3700000}]</v>
      </c>
      <c r="J698" s="12" t="str">
        <f t="shared" si="519"/>
        <v>[14,2,1]</v>
      </c>
      <c r="K698" s="12">
        <f t="shared" ref="K698:M698" si="526">IF(K658="","",K658)</f>
        <v>89</v>
      </c>
      <c r="L698" s="3" t="s">
        <v>514</v>
      </c>
      <c r="M698" s="12" t="str">
        <f t="shared" si="526"/>
        <v/>
      </c>
      <c r="N698" s="12"/>
      <c r="O698" s="12" t="s">
        <v>514</v>
      </c>
    </row>
    <row r="699" spans="1:15" s="7" customFormat="1" x14ac:dyDescent="0.15">
      <c r="A699" s="3">
        <f t="shared" si="427"/>
        <v>1418016</v>
      </c>
      <c r="B699" s="14">
        <f t="shared" ref="B699:D699" si="527">B659</f>
        <v>14</v>
      </c>
      <c r="C699" s="14">
        <f t="shared" si="527"/>
        <v>0</v>
      </c>
      <c r="D699" s="14">
        <f t="shared" si="527"/>
        <v>1</v>
      </c>
      <c r="E699" s="14">
        <f t="shared" si="429"/>
        <v>18</v>
      </c>
      <c r="F699" s="14">
        <f t="shared" si="424"/>
        <v>16</v>
      </c>
      <c r="G699" s="12" t="s">
        <v>729</v>
      </c>
      <c r="H699" s="12">
        <f t="shared" si="518"/>
        <v>90</v>
      </c>
      <c r="I699" s="10" t="str">
        <f>VLOOKUP(A699,战役结算奖励!$A$1:$O$800,15,0)</f>
        <v>[{"id":14,"num":60},{"id":2,"num":2500000},{"id":1,"num":3700000}]</v>
      </c>
      <c r="J699" s="12" t="str">
        <f t="shared" si="519"/>
        <v>[14,2,1]</v>
      </c>
      <c r="K699" s="12">
        <f t="shared" ref="K699:M699" si="528">IF(K659="","",K659)</f>
        <v>90</v>
      </c>
      <c r="L699" s="3" t="s">
        <v>514</v>
      </c>
      <c r="M699" s="12" t="str">
        <f t="shared" si="528"/>
        <v/>
      </c>
      <c r="N699" s="12"/>
      <c r="O699" s="12" t="s">
        <v>514</v>
      </c>
    </row>
    <row r="700" spans="1:15" s="7" customFormat="1" x14ac:dyDescent="0.15">
      <c r="A700" s="3">
        <f t="shared" si="427"/>
        <v>1418017</v>
      </c>
      <c r="B700" s="14">
        <f t="shared" ref="B700:D700" si="529">B660</f>
        <v>14</v>
      </c>
      <c r="C700" s="14">
        <f t="shared" si="529"/>
        <v>0</v>
      </c>
      <c r="D700" s="14">
        <f t="shared" si="529"/>
        <v>1</v>
      </c>
      <c r="E700" s="14">
        <f t="shared" si="429"/>
        <v>18</v>
      </c>
      <c r="F700" s="14">
        <f t="shared" si="424"/>
        <v>17</v>
      </c>
      <c r="G700" s="12" t="s">
        <v>730</v>
      </c>
      <c r="H700" s="12">
        <f t="shared" si="518"/>
        <v>90</v>
      </c>
      <c r="I700" s="10" t="str">
        <f>VLOOKUP(A700,战役结算奖励!$A$1:$O$800,15,0)</f>
        <v>[{"id":14,"num":60},{"id":2,"num":2500000},{"id":1,"num":3700000}]</v>
      </c>
      <c r="J700" s="12" t="str">
        <f t="shared" si="519"/>
        <v>[14,2,1]</v>
      </c>
      <c r="K700" s="12">
        <f t="shared" ref="K700:M700" si="530">IF(K660="","",K660)</f>
        <v>90</v>
      </c>
      <c r="L700" s="3" t="s">
        <v>514</v>
      </c>
      <c r="M700" s="12" t="str">
        <f t="shared" si="530"/>
        <v/>
      </c>
      <c r="N700" s="12"/>
      <c r="O700" s="12" t="s">
        <v>514</v>
      </c>
    </row>
    <row r="701" spans="1:15" s="7" customFormat="1" x14ac:dyDescent="0.15">
      <c r="A701" s="3">
        <f t="shared" si="427"/>
        <v>1418018</v>
      </c>
      <c r="B701" s="14">
        <f t="shared" ref="B701:D701" si="531">B661</f>
        <v>14</v>
      </c>
      <c r="C701" s="14">
        <f t="shared" si="531"/>
        <v>0</v>
      </c>
      <c r="D701" s="14">
        <f t="shared" si="531"/>
        <v>1</v>
      </c>
      <c r="E701" s="14">
        <f t="shared" si="429"/>
        <v>18</v>
      </c>
      <c r="F701" s="14">
        <f t="shared" si="424"/>
        <v>18</v>
      </c>
      <c r="G701" s="12" t="s">
        <v>731</v>
      </c>
      <c r="H701" s="12">
        <f t="shared" si="518"/>
        <v>90</v>
      </c>
      <c r="I701" s="10" t="str">
        <f>VLOOKUP(A701,战役结算奖励!$A$1:$O$800,15,0)</f>
        <v>[{"id":14,"num":60},{"id":2,"num":2500000},{"id":1,"num":3700000}]</v>
      </c>
      <c r="J701" s="12" t="str">
        <f t="shared" si="519"/>
        <v>[14,2,1]</v>
      </c>
      <c r="K701" s="12">
        <f t="shared" ref="K701:M701" si="532">IF(K661="","",K661)</f>
        <v>90</v>
      </c>
      <c r="L701" s="3" t="s">
        <v>514</v>
      </c>
      <c r="M701" s="12" t="str">
        <f t="shared" si="532"/>
        <v/>
      </c>
      <c r="N701" s="12"/>
      <c r="O701" s="12" t="s">
        <v>514</v>
      </c>
    </row>
    <row r="702" spans="1:15" s="7" customFormat="1" x14ac:dyDescent="0.15">
      <c r="A702" s="3">
        <f t="shared" si="427"/>
        <v>1418019</v>
      </c>
      <c r="B702" s="14">
        <f t="shared" ref="B702:D702" si="533">B662</f>
        <v>14</v>
      </c>
      <c r="C702" s="14">
        <f t="shared" si="533"/>
        <v>0</v>
      </c>
      <c r="D702" s="14">
        <f t="shared" si="533"/>
        <v>1</v>
      </c>
      <c r="E702" s="14">
        <f t="shared" si="429"/>
        <v>18</v>
      </c>
      <c r="F702" s="14">
        <f t="shared" si="424"/>
        <v>19</v>
      </c>
      <c r="G702" s="12" t="s">
        <v>732</v>
      </c>
      <c r="H702" s="12">
        <f t="shared" si="518"/>
        <v>90</v>
      </c>
      <c r="I702" s="10" t="str">
        <f>VLOOKUP(A702,战役结算奖励!$A$1:$O$800,15,0)</f>
        <v>[{"id":14,"num":60},{"id":2,"num":2500000},{"id":1,"num":3700000}]</v>
      </c>
      <c r="J702" s="12" t="str">
        <f t="shared" ref="J702" si="534">J662</f>
        <v>[14,2,1]</v>
      </c>
      <c r="K702" s="12">
        <f t="shared" ref="K702:M702" si="535">IF(K662="","",K662)</f>
        <v>90</v>
      </c>
      <c r="L702" s="3" t="s">
        <v>514</v>
      </c>
      <c r="M702" s="12" t="str">
        <f t="shared" si="535"/>
        <v/>
      </c>
      <c r="N702" s="12"/>
      <c r="O702" s="12" t="s">
        <v>514</v>
      </c>
    </row>
    <row r="703" spans="1:15" s="7" customFormat="1" x14ac:dyDescent="0.15">
      <c r="A703" s="3">
        <f t="shared" si="427"/>
        <v>1418020</v>
      </c>
      <c r="B703" s="14">
        <f t="shared" ref="B703:D703" si="536">B663</f>
        <v>14</v>
      </c>
      <c r="C703" s="14">
        <f t="shared" si="536"/>
        <v>0</v>
      </c>
      <c r="D703" s="14">
        <f t="shared" si="536"/>
        <v>1</v>
      </c>
      <c r="E703" s="14">
        <f t="shared" si="429"/>
        <v>18</v>
      </c>
      <c r="F703" s="14">
        <f t="shared" si="424"/>
        <v>20</v>
      </c>
      <c r="G703" s="12" t="s">
        <v>733</v>
      </c>
      <c r="H703" s="12">
        <f t="shared" ref="H703:J703" si="537">H663</f>
        <v>90</v>
      </c>
      <c r="I703" s="10" t="str">
        <f>VLOOKUP(A703,战役结算奖励!$A$1:$O$800,15,0)</f>
        <v>[{"id":14,"num":60},{"id":2,"num":2500000},{"id":1,"num":3700000}]</v>
      </c>
      <c r="J703" s="12" t="str">
        <f t="shared" si="537"/>
        <v>[14,2,1]</v>
      </c>
      <c r="K703" s="12">
        <f t="shared" ref="K703:M703" si="538">IF(K663="","",K663)</f>
        <v>90</v>
      </c>
      <c r="L703" s="3" t="s">
        <v>514</v>
      </c>
      <c r="M703" s="12" t="str">
        <f t="shared" si="538"/>
        <v/>
      </c>
      <c r="N703" s="12"/>
      <c r="O703" s="12" t="s">
        <v>514</v>
      </c>
    </row>
    <row r="704" spans="1:15" s="7" customFormat="1" x14ac:dyDescent="0.15">
      <c r="A704" s="3">
        <f t="shared" si="427"/>
        <v>1418021</v>
      </c>
      <c r="B704" s="14">
        <f t="shared" ref="B704:D704" si="539">B664</f>
        <v>14</v>
      </c>
      <c r="C704" s="14">
        <f t="shared" si="539"/>
        <v>0</v>
      </c>
      <c r="D704" s="14">
        <f t="shared" si="539"/>
        <v>1</v>
      </c>
      <c r="E704" s="14">
        <f t="shared" si="429"/>
        <v>18</v>
      </c>
      <c r="F704" s="14">
        <f t="shared" si="424"/>
        <v>21</v>
      </c>
      <c r="G704" s="12" t="s">
        <v>734</v>
      </c>
      <c r="H704" s="12">
        <f t="shared" ref="H704:J704" si="540">H664</f>
        <v>90</v>
      </c>
      <c r="I704" s="10" t="str">
        <f>VLOOKUP(A704,战役结算奖励!$A$1:$O$800,15,0)</f>
        <v>[{"id":14,"num":60},{"id":2,"num":2500000},{"id":1,"num":3700000}]</v>
      </c>
      <c r="J704" s="12" t="str">
        <f t="shared" si="540"/>
        <v>[14,2,1]</v>
      </c>
      <c r="K704" s="12">
        <f t="shared" ref="K704:M704" si="541">IF(K664="","",K664)</f>
        <v>90</v>
      </c>
      <c r="L704" s="3" t="s">
        <v>514</v>
      </c>
      <c r="M704" s="12" t="str">
        <f t="shared" si="541"/>
        <v/>
      </c>
      <c r="N704" s="12"/>
      <c r="O704" s="12" t="s">
        <v>514</v>
      </c>
    </row>
    <row r="705" spans="1:15" s="7" customFormat="1" x14ac:dyDescent="0.15">
      <c r="A705" s="3">
        <f t="shared" si="427"/>
        <v>1418022</v>
      </c>
      <c r="B705" s="14">
        <f t="shared" ref="B705:D705" si="542">B665</f>
        <v>14</v>
      </c>
      <c r="C705" s="14">
        <f t="shared" si="542"/>
        <v>0</v>
      </c>
      <c r="D705" s="14">
        <f t="shared" si="542"/>
        <v>1</v>
      </c>
      <c r="E705" s="14">
        <f t="shared" si="429"/>
        <v>18</v>
      </c>
      <c r="F705" s="14">
        <f t="shared" si="424"/>
        <v>22</v>
      </c>
      <c r="G705" s="12" t="s">
        <v>735</v>
      </c>
      <c r="H705" s="12">
        <f t="shared" ref="H705:J705" si="543">H665</f>
        <v>90</v>
      </c>
      <c r="I705" s="10" t="str">
        <f>VLOOKUP(A705,战役结算奖励!$A$1:$O$800,15,0)</f>
        <v>[{"id":14,"num":60},{"id":2,"num":2500000},{"id":1,"num":3700000}]</v>
      </c>
      <c r="J705" s="12" t="str">
        <f t="shared" si="543"/>
        <v>[14,2,1]</v>
      </c>
      <c r="K705" s="12">
        <f t="shared" ref="K705:M705" si="544">IF(K665="","",K665)</f>
        <v>90</v>
      </c>
      <c r="L705" s="3" t="s">
        <v>514</v>
      </c>
      <c r="M705" s="12" t="str">
        <f t="shared" si="544"/>
        <v/>
      </c>
      <c r="N705" s="12"/>
      <c r="O705" s="12" t="s">
        <v>514</v>
      </c>
    </row>
    <row r="706" spans="1:15" s="7" customFormat="1" x14ac:dyDescent="0.15">
      <c r="A706" s="3">
        <f t="shared" si="427"/>
        <v>1418023</v>
      </c>
      <c r="B706" s="14">
        <f t="shared" ref="B706:D706" si="545">B666</f>
        <v>14</v>
      </c>
      <c r="C706" s="14">
        <f t="shared" si="545"/>
        <v>0</v>
      </c>
      <c r="D706" s="14">
        <f t="shared" si="545"/>
        <v>1</v>
      </c>
      <c r="E706" s="14">
        <f t="shared" si="429"/>
        <v>18</v>
      </c>
      <c r="F706" s="14">
        <f t="shared" si="424"/>
        <v>23</v>
      </c>
      <c r="G706" s="12" t="s">
        <v>736</v>
      </c>
      <c r="H706" s="12">
        <f t="shared" ref="H706:J706" si="546">H666</f>
        <v>90</v>
      </c>
      <c r="I706" s="10" t="str">
        <f>VLOOKUP(A706,战役结算奖励!$A$1:$O$800,15,0)</f>
        <v>[{"id":14,"num":60},{"id":2,"num":2500000},{"id":1,"num":3700000}]</v>
      </c>
      <c r="J706" s="12" t="str">
        <f t="shared" si="546"/>
        <v>[14,2,1]</v>
      </c>
      <c r="K706" s="12">
        <f t="shared" ref="K706:M706" si="547">IF(K666="","",K666)</f>
        <v>90</v>
      </c>
      <c r="L706" s="3" t="s">
        <v>514</v>
      </c>
      <c r="M706" s="12" t="str">
        <f t="shared" si="547"/>
        <v/>
      </c>
      <c r="N706" s="12"/>
      <c r="O706" s="12" t="s">
        <v>514</v>
      </c>
    </row>
    <row r="707" spans="1:15" s="7" customFormat="1" x14ac:dyDescent="0.15">
      <c r="A707" s="3">
        <f t="shared" si="427"/>
        <v>1418024</v>
      </c>
      <c r="B707" s="14">
        <f t="shared" ref="B707:D707" si="548">B667</f>
        <v>14</v>
      </c>
      <c r="C707" s="14">
        <f t="shared" si="548"/>
        <v>0</v>
      </c>
      <c r="D707" s="14">
        <f t="shared" si="548"/>
        <v>1</v>
      </c>
      <c r="E707" s="14">
        <f t="shared" si="429"/>
        <v>18</v>
      </c>
      <c r="F707" s="14">
        <f t="shared" si="424"/>
        <v>24</v>
      </c>
      <c r="G707" s="12" t="s">
        <v>737</v>
      </c>
      <c r="H707" s="12">
        <f t="shared" ref="H707:J707" si="549">H667</f>
        <v>90</v>
      </c>
      <c r="I707" s="10" t="str">
        <f>VLOOKUP(A707,战役结算奖励!$A$1:$O$800,15,0)</f>
        <v>[{"id":14,"num":60},{"id":2,"num":2500000},{"id":1,"num":3700000}]</v>
      </c>
      <c r="J707" s="12" t="str">
        <f t="shared" si="549"/>
        <v>[14,2,1]</v>
      </c>
      <c r="K707" s="12">
        <f t="shared" ref="K707:M707" si="550">IF(K667="","",K667)</f>
        <v>90</v>
      </c>
      <c r="L707" s="3" t="s">
        <v>514</v>
      </c>
      <c r="M707" s="12" t="str">
        <f t="shared" si="550"/>
        <v/>
      </c>
      <c r="N707" s="12"/>
      <c r="O707" s="12" t="s">
        <v>514</v>
      </c>
    </row>
    <row r="708" spans="1:15" s="7" customFormat="1" x14ac:dyDescent="0.15">
      <c r="A708" s="3">
        <f t="shared" si="427"/>
        <v>1418025</v>
      </c>
      <c r="B708" s="14">
        <f t="shared" ref="B708:D708" si="551">B668</f>
        <v>14</v>
      </c>
      <c r="C708" s="14">
        <f t="shared" si="551"/>
        <v>0</v>
      </c>
      <c r="D708" s="14">
        <f t="shared" si="551"/>
        <v>1</v>
      </c>
      <c r="E708" s="14">
        <f t="shared" si="429"/>
        <v>18</v>
      </c>
      <c r="F708" s="14">
        <f t="shared" si="424"/>
        <v>25</v>
      </c>
      <c r="G708" s="12" t="s">
        <v>738</v>
      </c>
      <c r="H708" s="12">
        <f t="shared" ref="H708:J708" si="552">H668</f>
        <v>90</v>
      </c>
      <c r="I708" s="10" t="str">
        <f>VLOOKUP(A708,战役结算奖励!$A$1:$O$800,15,0)</f>
        <v>[{"id":14,"num":60},{"id":2,"num":2500000},{"id":1,"num":3700000}]</v>
      </c>
      <c r="J708" s="12" t="str">
        <f t="shared" si="552"/>
        <v>[14,2,1]</v>
      </c>
      <c r="K708" s="12">
        <f>IF(K668="","",K668)</f>
        <v>90</v>
      </c>
      <c r="L708" s="3" t="s">
        <v>514</v>
      </c>
      <c r="M708" s="12" t="str">
        <f>IF(M668="","",M668)</f>
        <v/>
      </c>
      <c r="N708" s="12"/>
      <c r="O708" s="12" t="s">
        <v>514</v>
      </c>
    </row>
    <row r="709" spans="1:15" s="7" customFormat="1" x14ac:dyDescent="0.15">
      <c r="A709" s="3">
        <f t="shared" si="427"/>
        <v>1418026</v>
      </c>
      <c r="B709" s="14">
        <f t="shared" ref="B709:D709" si="553">B669</f>
        <v>14</v>
      </c>
      <c r="C709" s="14">
        <f t="shared" si="553"/>
        <v>0</v>
      </c>
      <c r="D709" s="14">
        <f t="shared" si="553"/>
        <v>1</v>
      </c>
      <c r="E709" s="14">
        <f t="shared" si="429"/>
        <v>18</v>
      </c>
      <c r="F709" s="14">
        <f t="shared" si="424"/>
        <v>26</v>
      </c>
      <c r="G709" s="12" t="s">
        <v>739</v>
      </c>
      <c r="H709" s="12">
        <f t="shared" ref="H709:J709" si="554">H669</f>
        <v>90</v>
      </c>
      <c r="I709" s="10" t="str">
        <f>VLOOKUP(A709,战役结算奖励!$A$1:$O$800,15,0)</f>
        <v>[{"id":14,"num":60},{"id":2,"num":2500000},{"id":1,"num":3700000}]</v>
      </c>
      <c r="J709" s="12" t="str">
        <f t="shared" si="554"/>
        <v>[14,2,1]</v>
      </c>
      <c r="K709" s="12">
        <f t="shared" ref="K709:M709" si="555">IF(K669="","",K669)</f>
        <v>90</v>
      </c>
      <c r="L709" s="3" t="s">
        <v>514</v>
      </c>
      <c r="M709" s="12" t="str">
        <f t="shared" si="555"/>
        <v/>
      </c>
      <c r="N709" s="12"/>
      <c r="O709" s="12" t="s">
        <v>514</v>
      </c>
    </row>
    <row r="710" spans="1:15" s="7" customFormat="1" x14ac:dyDescent="0.15">
      <c r="A710" s="3">
        <f t="shared" si="427"/>
        <v>1418027</v>
      </c>
      <c r="B710" s="14">
        <f t="shared" ref="B710:D710" si="556">B670</f>
        <v>14</v>
      </c>
      <c r="C710" s="14">
        <f t="shared" si="556"/>
        <v>0</v>
      </c>
      <c r="D710" s="14">
        <f t="shared" si="556"/>
        <v>1</v>
      </c>
      <c r="E710" s="14">
        <f t="shared" si="429"/>
        <v>18</v>
      </c>
      <c r="F710" s="14">
        <f t="shared" si="424"/>
        <v>27</v>
      </c>
      <c r="G710" s="12" t="s">
        <v>740</v>
      </c>
      <c r="H710" s="12">
        <f t="shared" ref="H710:J710" si="557">H670</f>
        <v>90</v>
      </c>
      <c r="I710" s="10" t="str">
        <f>VLOOKUP(A710,战役结算奖励!$A$1:$O$800,15,0)</f>
        <v>[{"id":14,"num":60},{"id":2,"num":2500000},{"id":1,"num":3700000}]</v>
      </c>
      <c r="J710" s="12" t="str">
        <f t="shared" si="557"/>
        <v>[14,2,1]</v>
      </c>
      <c r="K710" s="12">
        <f t="shared" ref="K710:M710" si="558">IF(K670="","",K670)</f>
        <v>90</v>
      </c>
      <c r="L710" s="3" t="s">
        <v>514</v>
      </c>
      <c r="M710" s="12" t="str">
        <f t="shared" si="558"/>
        <v/>
      </c>
      <c r="N710" s="12"/>
      <c r="O710" s="12" t="s">
        <v>514</v>
      </c>
    </row>
    <row r="711" spans="1:15" s="7" customFormat="1" x14ac:dyDescent="0.15">
      <c r="A711" s="3">
        <f t="shared" si="427"/>
        <v>1418028</v>
      </c>
      <c r="B711" s="14">
        <f t="shared" ref="B711:D711" si="559">B671</f>
        <v>14</v>
      </c>
      <c r="C711" s="14">
        <f t="shared" si="559"/>
        <v>0</v>
      </c>
      <c r="D711" s="14">
        <f t="shared" si="559"/>
        <v>1</v>
      </c>
      <c r="E711" s="14">
        <f t="shared" si="429"/>
        <v>18</v>
      </c>
      <c r="F711" s="14">
        <f t="shared" si="424"/>
        <v>28</v>
      </c>
      <c r="G711" s="12" t="s">
        <v>741</v>
      </c>
      <c r="H711" s="12">
        <f t="shared" ref="H711:J711" si="560">H671</f>
        <v>90</v>
      </c>
      <c r="I711" s="10" t="str">
        <f>VLOOKUP(A711,战役结算奖励!$A$1:$O$800,15,0)</f>
        <v>[{"id":14,"num":60},{"id":2,"num":2500000},{"id":1,"num":3700000}]</v>
      </c>
      <c r="J711" s="12" t="str">
        <f t="shared" si="560"/>
        <v>[14,2,1]</v>
      </c>
      <c r="K711" s="12">
        <f t="shared" ref="K711:M711" si="561">IF(K671="","",K671)</f>
        <v>90</v>
      </c>
      <c r="L711" s="3" t="s">
        <v>514</v>
      </c>
      <c r="M711" s="12" t="str">
        <f t="shared" si="561"/>
        <v/>
      </c>
      <c r="N711" s="12"/>
      <c r="O711" s="12" t="s">
        <v>514</v>
      </c>
    </row>
    <row r="712" spans="1:15" s="7" customFormat="1" x14ac:dyDescent="0.15">
      <c r="A712" s="3">
        <f t="shared" si="427"/>
        <v>1418029</v>
      </c>
      <c r="B712" s="14">
        <f t="shared" ref="B712:D712" si="562">B672</f>
        <v>14</v>
      </c>
      <c r="C712" s="14">
        <f t="shared" si="562"/>
        <v>0</v>
      </c>
      <c r="D712" s="14">
        <f t="shared" si="562"/>
        <v>1</v>
      </c>
      <c r="E712" s="14">
        <f t="shared" si="429"/>
        <v>18</v>
      </c>
      <c r="F712" s="14">
        <f t="shared" si="424"/>
        <v>29</v>
      </c>
      <c r="G712" s="12" t="s">
        <v>742</v>
      </c>
      <c r="H712" s="12">
        <f t="shared" ref="H712:J712" si="563">H672</f>
        <v>90</v>
      </c>
      <c r="I712" s="10" t="str">
        <f>VLOOKUP(A712,战役结算奖励!$A$1:$O$800,15,0)</f>
        <v>[{"id":14,"num":60},{"id":2,"num":2500000},{"id":1,"num":3700000}]</v>
      </c>
      <c r="J712" s="12" t="str">
        <f t="shared" si="563"/>
        <v>[14,2,1]</v>
      </c>
      <c r="K712" s="12">
        <f t="shared" ref="K712:M712" si="564">IF(K672="","",K672)</f>
        <v>90</v>
      </c>
      <c r="L712" s="3" t="s">
        <v>514</v>
      </c>
      <c r="M712" s="12" t="str">
        <f t="shared" si="564"/>
        <v/>
      </c>
      <c r="N712" s="12"/>
      <c r="O712" s="12" t="s">
        <v>514</v>
      </c>
    </row>
    <row r="713" spans="1:15" s="7" customFormat="1" x14ac:dyDescent="0.15">
      <c r="A713" s="3">
        <f t="shared" si="427"/>
        <v>1418030</v>
      </c>
      <c r="B713" s="14">
        <f t="shared" ref="B713:D713" si="565">B673</f>
        <v>14</v>
      </c>
      <c r="C713" s="14">
        <f t="shared" si="565"/>
        <v>0</v>
      </c>
      <c r="D713" s="14">
        <f t="shared" si="565"/>
        <v>1</v>
      </c>
      <c r="E713" s="14">
        <f t="shared" si="429"/>
        <v>18</v>
      </c>
      <c r="F713" s="14">
        <f t="shared" si="424"/>
        <v>30</v>
      </c>
      <c r="G713" s="12" t="s">
        <v>743</v>
      </c>
      <c r="H713" s="12">
        <f t="shared" ref="H713:J713" si="566">H673</f>
        <v>90</v>
      </c>
      <c r="I713" s="10" t="str">
        <f>VLOOKUP(A713,战役结算奖励!$A$1:$O$800,15,0)</f>
        <v>[{"id":14,"num":60},{"id":2,"num":2500000},{"id":1,"num":3700000}]</v>
      </c>
      <c r="J713" s="12" t="str">
        <f t="shared" si="566"/>
        <v>[14,2,1]</v>
      </c>
      <c r="K713" s="12">
        <f t="shared" ref="K713:M713" si="567">IF(K673="","",K673)</f>
        <v>90</v>
      </c>
      <c r="L713" s="3" t="s">
        <v>514</v>
      </c>
      <c r="M713" s="12" t="str">
        <f t="shared" si="567"/>
        <v/>
      </c>
      <c r="N713" s="12"/>
      <c r="O713" s="12" t="s">
        <v>514</v>
      </c>
    </row>
    <row r="714" spans="1:15" s="7" customFormat="1" x14ac:dyDescent="0.15">
      <c r="A714" s="3">
        <f t="shared" si="427"/>
        <v>1418031</v>
      </c>
      <c r="B714" s="14">
        <f t="shared" ref="B714:D714" si="568">B674</f>
        <v>14</v>
      </c>
      <c r="C714" s="14">
        <f t="shared" si="568"/>
        <v>0</v>
      </c>
      <c r="D714" s="14">
        <f t="shared" si="568"/>
        <v>1</v>
      </c>
      <c r="E714" s="14">
        <f t="shared" si="429"/>
        <v>18</v>
      </c>
      <c r="F714" s="14">
        <f t="shared" si="424"/>
        <v>31</v>
      </c>
      <c r="G714" s="12" t="s">
        <v>744</v>
      </c>
      <c r="H714" s="12">
        <f t="shared" ref="H714:J714" si="569">H674</f>
        <v>90</v>
      </c>
      <c r="I714" s="10" t="str">
        <f>VLOOKUP(A714,战役结算奖励!$A$1:$O$800,15,0)</f>
        <v>[{"id":14,"num":60},{"id":2,"num":2500000},{"id":1,"num":3700000}]</v>
      </c>
      <c r="J714" s="12" t="str">
        <f t="shared" si="569"/>
        <v>[14,2,1]</v>
      </c>
      <c r="K714" s="12">
        <f t="shared" ref="K714:M714" si="570">IF(K674="","",K674)</f>
        <v>90</v>
      </c>
      <c r="L714" s="3" t="s">
        <v>514</v>
      </c>
      <c r="M714" s="12" t="str">
        <f t="shared" si="570"/>
        <v/>
      </c>
      <c r="N714" s="12"/>
      <c r="O714" s="12" t="s">
        <v>514</v>
      </c>
    </row>
    <row r="715" spans="1:15" s="7" customFormat="1" x14ac:dyDescent="0.15">
      <c r="A715" s="3">
        <f t="shared" si="427"/>
        <v>1418032</v>
      </c>
      <c r="B715" s="14">
        <f t="shared" ref="B715:D715" si="571">B675</f>
        <v>14</v>
      </c>
      <c r="C715" s="14">
        <f t="shared" si="571"/>
        <v>0</v>
      </c>
      <c r="D715" s="14">
        <f t="shared" si="571"/>
        <v>1</v>
      </c>
      <c r="E715" s="14">
        <f t="shared" si="429"/>
        <v>18</v>
      </c>
      <c r="F715" s="14">
        <f t="shared" si="424"/>
        <v>32</v>
      </c>
      <c r="G715" s="12" t="s">
        <v>745</v>
      </c>
      <c r="H715" s="12">
        <f t="shared" ref="H715:J715" si="572">H675</f>
        <v>90</v>
      </c>
      <c r="I715" s="10" t="str">
        <f>VLOOKUP(A715,战役结算奖励!$A$1:$O$800,15,0)</f>
        <v>[{"id":14,"num":60},{"id":2,"num":2500000},{"id":1,"num":3700000}]</v>
      </c>
      <c r="J715" s="12" t="str">
        <f t="shared" si="572"/>
        <v>[14,2,1]</v>
      </c>
      <c r="K715" s="12">
        <f t="shared" ref="K715:M715" si="573">IF(K675="","",K675)</f>
        <v>90</v>
      </c>
      <c r="L715" s="3" t="s">
        <v>514</v>
      </c>
      <c r="M715" s="12" t="str">
        <f t="shared" si="573"/>
        <v/>
      </c>
      <c r="N715" s="12"/>
      <c r="O715" s="12" t="s">
        <v>514</v>
      </c>
    </row>
    <row r="716" spans="1:15" s="7" customFormat="1" x14ac:dyDescent="0.15">
      <c r="A716" s="3">
        <f t="shared" si="427"/>
        <v>1418033</v>
      </c>
      <c r="B716" s="14">
        <f t="shared" ref="B716:D716" si="574">B676</f>
        <v>14</v>
      </c>
      <c r="C716" s="14">
        <f t="shared" si="574"/>
        <v>0</v>
      </c>
      <c r="D716" s="14">
        <f t="shared" si="574"/>
        <v>1</v>
      </c>
      <c r="E716" s="14">
        <f t="shared" si="429"/>
        <v>18</v>
      </c>
      <c r="F716" s="14">
        <f t="shared" ref="F716:F779" si="575">F676</f>
        <v>33</v>
      </c>
      <c r="G716" s="12" t="s">
        <v>746</v>
      </c>
      <c r="H716" s="12">
        <f t="shared" ref="H716:J716" si="576">H676</f>
        <v>90</v>
      </c>
      <c r="I716" s="10" t="str">
        <f>VLOOKUP(A716,战役结算奖励!$A$1:$O$800,15,0)</f>
        <v>[{"id":14,"num":60},{"id":2,"num":2500000},{"id":1,"num":3700000}]</v>
      </c>
      <c r="J716" s="12" t="str">
        <f t="shared" si="576"/>
        <v>[14,2,1]</v>
      </c>
      <c r="K716" s="12">
        <f t="shared" ref="K716:M716" si="577">IF(K676="","",K676)</f>
        <v>90</v>
      </c>
      <c r="L716" s="3" t="s">
        <v>514</v>
      </c>
      <c r="M716" s="12" t="str">
        <f t="shared" si="577"/>
        <v/>
      </c>
      <c r="N716" s="12"/>
      <c r="O716" s="12" t="s">
        <v>514</v>
      </c>
    </row>
    <row r="717" spans="1:15" s="7" customFormat="1" x14ac:dyDescent="0.15">
      <c r="A717" s="3">
        <f t="shared" ref="A717:A780" si="578">B717*100000+E717*1000+F717</f>
        <v>1418034</v>
      </c>
      <c r="B717" s="14">
        <f t="shared" ref="B717:D717" si="579">B677</f>
        <v>14</v>
      </c>
      <c r="C717" s="14">
        <f t="shared" si="579"/>
        <v>0</v>
      </c>
      <c r="D717" s="14">
        <f t="shared" si="579"/>
        <v>1</v>
      </c>
      <c r="E717" s="14">
        <f t="shared" ref="E717:E780" si="580">E677+1</f>
        <v>18</v>
      </c>
      <c r="F717" s="14">
        <f t="shared" si="575"/>
        <v>34</v>
      </c>
      <c r="G717" s="12" t="s">
        <v>747</v>
      </c>
      <c r="H717" s="12">
        <f t="shared" ref="H717:H724" si="581">H677</f>
        <v>90</v>
      </c>
      <c r="I717" s="10" t="str">
        <f>VLOOKUP(A717,战役结算奖励!$A$1:$O$800,15,0)</f>
        <v>[{"id":14,"num":60},{"id":2,"num":2500000},{"id":1,"num":3700000}]</v>
      </c>
      <c r="J717" s="12" t="str">
        <f t="shared" ref="J717:J724" si="582">J677</f>
        <v>[14,2,1]</v>
      </c>
      <c r="K717" s="12">
        <f t="shared" ref="K717:M717" si="583">IF(K677="","",K677)</f>
        <v>90</v>
      </c>
      <c r="L717" s="3" t="s">
        <v>514</v>
      </c>
      <c r="M717" s="12" t="str">
        <f t="shared" si="583"/>
        <v/>
      </c>
      <c r="N717" s="12"/>
      <c r="O717" s="12" t="s">
        <v>514</v>
      </c>
    </row>
    <row r="718" spans="1:15" s="7" customFormat="1" x14ac:dyDescent="0.15">
      <c r="A718" s="3">
        <f t="shared" si="578"/>
        <v>1418035</v>
      </c>
      <c r="B718" s="14">
        <f t="shared" ref="B718:D718" si="584">B678</f>
        <v>14</v>
      </c>
      <c r="C718" s="14">
        <f t="shared" si="584"/>
        <v>0</v>
      </c>
      <c r="D718" s="14">
        <f t="shared" si="584"/>
        <v>1</v>
      </c>
      <c r="E718" s="14">
        <f t="shared" si="580"/>
        <v>18</v>
      </c>
      <c r="F718" s="14">
        <f t="shared" si="575"/>
        <v>35</v>
      </c>
      <c r="G718" s="12" t="s">
        <v>748</v>
      </c>
      <c r="H718" s="12">
        <f t="shared" si="581"/>
        <v>90</v>
      </c>
      <c r="I718" s="10" t="str">
        <f>VLOOKUP(A718,战役结算奖励!$A$1:$O$800,15,0)</f>
        <v>[{"id":14,"num":60},{"id":2,"num":2500000},{"id":1,"num":3700000}]</v>
      </c>
      <c r="J718" s="12" t="str">
        <f t="shared" si="582"/>
        <v>[14,2,1]</v>
      </c>
      <c r="K718" s="12">
        <f t="shared" ref="K718:M718" si="585">IF(K678="","",K678)</f>
        <v>90</v>
      </c>
      <c r="L718" s="3" t="s">
        <v>514</v>
      </c>
      <c r="M718" s="12" t="str">
        <f t="shared" si="585"/>
        <v/>
      </c>
      <c r="N718" s="12"/>
      <c r="O718" s="12" t="s">
        <v>514</v>
      </c>
    </row>
    <row r="719" spans="1:15" s="7" customFormat="1" x14ac:dyDescent="0.15">
      <c r="A719" s="3">
        <f t="shared" si="578"/>
        <v>1418036</v>
      </c>
      <c r="B719" s="14">
        <f t="shared" ref="B719:D719" si="586">B679</f>
        <v>14</v>
      </c>
      <c r="C719" s="14">
        <f t="shared" si="586"/>
        <v>0</v>
      </c>
      <c r="D719" s="14">
        <f t="shared" si="586"/>
        <v>1</v>
      </c>
      <c r="E719" s="14">
        <f t="shared" si="580"/>
        <v>18</v>
      </c>
      <c r="F719" s="14">
        <f t="shared" si="575"/>
        <v>36</v>
      </c>
      <c r="G719" s="12" t="s">
        <v>749</v>
      </c>
      <c r="H719" s="12">
        <f t="shared" si="581"/>
        <v>90</v>
      </c>
      <c r="I719" s="10" t="str">
        <f>VLOOKUP(A719,战役结算奖励!$A$1:$O$800,15,0)</f>
        <v>[{"id":14,"num":60},{"id":2,"num":2500000},{"id":1,"num":3700000}]</v>
      </c>
      <c r="J719" s="12" t="str">
        <f t="shared" si="582"/>
        <v>[14,2,1]</v>
      </c>
      <c r="K719" s="12">
        <f t="shared" ref="K719:M719" si="587">IF(K679="","",K679)</f>
        <v>90</v>
      </c>
      <c r="L719" s="3" t="s">
        <v>514</v>
      </c>
      <c r="M719" s="12" t="str">
        <f t="shared" si="587"/>
        <v/>
      </c>
      <c r="N719" s="12"/>
      <c r="O719" s="12" t="s">
        <v>514</v>
      </c>
    </row>
    <row r="720" spans="1:15" s="7" customFormat="1" x14ac:dyDescent="0.15">
      <c r="A720" s="3">
        <f t="shared" si="578"/>
        <v>1418037</v>
      </c>
      <c r="B720" s="14">
        <f t="shared" ref="B720:D720" si="588">B680</f>
        <v>14</v>
      </c>
      <c r="C720" s="14">
        <f t="shared" si="588"/>
        <v>0</v>
      </c>
      <c r="D720" s="14">
        <f t="shared" si="588"/>
        <v>1</v>
      </c>
      <c r="E720" s="14">
        <f t="shared" si="580"/>
        <v>18</v>
      </c>
      <c r="F720" s="14">
        <f t="shared" si="575"/>
        <v>37</v>
      </c>
      <c r="G720" s="12" t="s">
        <v>750</v>
      </c>
      <c r="H720" s="12">
        <f t="shared" si="581"/>
        <v>90</v>
      </c>
      <c r="I720" s="10" t="str">
        <f>VLOOKUP(A720,战役结算奖励!$A$1:$O$800,15,0)</f>
        <v>[{"id":14,"num":60},{"id":2,"num":2500000},{"id":1,"num":3700000}]</v>
      </c>
      <c r="J720" s="12" t="str">
        <f t="shared" si="582"/>
        <v>[14,2,1]</v>
      </c>
      <c r="K720" s="12">
        <f t="shared" ref="K720:M720" si="589">IF(K680="","",K680)</f>
        <v>90</v>
      </c>
      <c r="L720" s="3" t="s">
        <v>514</v>
      </c>
      <c r="M720" s="12" t="str">
        <f t="shared" si="589"/>
        <v/>
      </c>
      <c r="N720" s="12"/>
      <c r="O720" s="12" t="s">
        <v>514</v>
      </c>
    </row>
    <row r="721" spans="1:15" s="7" customFormat="1" x14ac:dyDescent="0.15">
      <c r="A721" s="3">
        <f t="shared" si="578"/>
        <v>1418038</v>
      </c>
      <c r="B721" s="14">
        <f t="shared" ref="B721:D721" si="590">B681</f>
        <v>14</v>
      </c>
      <c r="C721" s="14">
        <f t="shared" si="590"/>
        <v>0</v>
      </c>
      <c r="D721" s="14">
        <f t="shared" si="590"/>
        <v>1</v>
      </c>
      <c r="E721" s="14">
        <f t="shared" si="580"/>
        <v>18</v>
      </c>
      <c r="F721" s="14">
        <f t="shared" si="575"/>
        <v>38</v>
      </c>
      <c r="G721" s="12" t="s">
        <v>751</v>
      </c>
      <c r="H721" s="12">
        <f t="shared" si="581"/>
        <v>90</v>
      </c>
      <c r="I721" s="10" t="str">
        <f>VLOOKUP(A721,战役结算奖励!$A$1:$O$800,15,0)</f>
        <v>[{"id":14,"num":60},{"id":2,"num":2500000},{"id":1,"num":3700000}]</v>
      </c>
      <c r="J721" s="12" t="str">
        <f t="shared" si="582"/>
        <v>[14,2,1]</v>
      </c>
      <c r="K721" s="12">
        <f t="shared" ref="K721:M721" si="591">IF(K681="","",K681)</f>
        <v>90</v>
      </c>
      <c r="L721" s="3" t="s">
        <v>514</v>
      </c>
      <c r="M721" s="12" t="str">
        <f t="shared" si="591"/>
        <v/>
      </c>
      <c r="N721" s="12"/>
      <c r="O721" s="12" t="s">
        <v>514</v>
      </c>
    </row>
    <row r="722" spans="1:15" s="7" customFormat="1" x14ac:dyDescent="0.15">
      <c r="A722" s="3">
        <f t="shared" si="578"/>
        <v>1418039</v>
      </c>
      <c r="B722" s="14">
        <f t="shared" ref="B722:D722" si="592">B682</f>
        <v>14</v>
      </c>
      <c r="C722" s="14">
        <f t="shared" si="592"/>
        <v>0</v>
      </c>
      <c r="D722" s="14">
        <f t="shared" si="592"/>
        <v>1</v>
      </c>
      <c r="E722" s="14">
        <f t="shared" si="580"/>
        <v>18</v>
      </c>
      <c r="F722" s="14">
        <f t="shared" si="575"/>
        <v>39</v>
      </c>
      <c r="G722" s="12" t="s">
        <v>752</v>
      </c>
      <c r="H722" s="12">
        <f t="shared" si="581"/>
        <v>90</v>
      </c>
      <c r="I722" s="10" t="str">
        <f>VLOOKUP(A722,战役结算奖励!$A$1:$O$800,15,0)</f>
        <v>[{"id":14,"num":60},{"id":2,"num":2500000},{"id":1,"num":3700000}]</v>
      </c>
      <c r="J722" s="12" t="str">
        <f t="shared" si="582"/>
        <v>[14,2,1]</v>
      </c>
      <c r="K722" s="12">
        <f t="shared" ref="K722:M722" si="593">IF(K682="","",K682)</f>
        <v>90</v>
      </c>
      <c r="L722" s="3" t="s">
        <v>514</v>
      </c>
      <c r="M722" s="12" t="str">
        <f t="shared" si="593"/>
        <v/>
      </c>
      <c r="N722" s="12"/>
      <c r="O722" s="12" t="s">
        <v>514</v>
      </c>
    </row>
    <row r="723" spans="1:15" s="7" customFormat="1" x14ac:dyDescent="0.15">
      <c r="A723" s="3">
        <f t="shared" si="578"/>
        <v>1418040</v>
      </c>
      <c r="B723" s="14">
        <f t="shared" ref="B723:D723" si="594">B683</f>
        <v>14</v>
      </c>
      <c r="C723" s="14">
        <f t="shared" si="594"/>
        <v>0</v>
      </c>
      <c r="D723" s="14">
        <f t="shared" si="594"/>
        <v>1</v>
      </c>
      <c r="E723" s="14">
        <f t="shared" si="580"/>
        <v>18</v>
      </c>
      <c r="F723" s="14">
        <f t="shared" si="575"/>
        <v>40</v>
      </c>
      <c r="G723" s="12" t="s">
        <v>753</v>
      </c>
      <c r="H723" s="12">
        <f t="shared" si="581"/>
        <v>90</v>
      </c>
      <c r="I723" s="10" t="str">
        <f>VLOOKUP(A723,战役结算奖励!$A$1:$O$800,15,0)</f>
        <v>[{"id":14,"num":60},{"id":2,"num":2500000},{"id":1,"num":3700000}]</v>
      </c>
      <c r="J723" s="12" t="str">
        <f t="shared" si="582"/>
        <v>[14,2,1]</v>
      </c>
      <c r="K723" s="12">
        <f t="shared" ref="K723:M723" si="595">IF(K683="","",K683)</f>
        <v>90</v>
      </c>
      <c r="L723" s="3" t="s">
        <v>1228</v>
      </c>
      <c r="M723" s="12" t="str">
        <f t="shared" si="595"/>
        <v/>
      </c>
      <c r="N723" s="12"/>
      <c r="O723" s="12">
        <v>1</v>
      </c>
    </row>
    <row r="724" spans="1:15" s="7" customFormat="1" x14ac:dyDescent="0.15">
      <c r="A724" s="3">
        <f t="shared" si="578"/>
        <v>1419001</v>
      </c>
      <c r="B724" s="14">
        <f t="shared" ref="B724:D724" si="596">B684</f>
        <v>14</v>
      </c>
      <c r="C724" s="14">
        <f t="shared" si="596"/>
        <v>0</v>
      </c>
      <c r="D724" s="14">
        <f t="shared" si="596"/>
        <v>1</v>
      </c>
      <c r="E724" s="14">
        <f t="shared" si="580"/>
        <v>19</v>
      </c>
      <c r="F724" s="14">
        <f t="shared" si="575"/>
        <v>1</v>
      </c>
      <c r="G724" s="12" t="s">
        <v>754</v>
      </c>
      <c r="H724" s="12">
        <f t="shared" si="581"/>
        <v>90</v>
      </c>
      <c r="I724" s="10" t="str">
        <f>VLOOKUP(A724,战役结算奖励!$A$1:$O$800,15,0)</f>
        <v>[{"id":14,"num":60},{"id":2,"num":2500000},{"id":1,"num":3900000}]</v>
      </c>
      <c r="J724" s="12" t="str">
        <f t="shared" si="582"/>
        <v>[14,2,1]</v>
      </c>
      <c r="K724" s="12">
        <f t="shared" ref="K724:M724" si="597">IF(K684="","",K684)</f>
        <v>87</v>
      </c>
      <c r="L724" s="3" t="s">
        <v>514</v>
      </c>
      <c r="M724" s="12" t="str">
        <f t="shared" si="597"/>
        <v/>
      </c>
      <c r="N724" s="12"/>
      <c r="O724" s="12" t="s">
        <v>514</v>
      </c>
    </row>
    <row r="725" spans="1:15" s="7" customFormat="1" x14ac:dyDescent="0.15">
      <c r="A725" s="3">
        <f t="shared" si="578"/>
        <v>1419002</v>
      </c>
      <c r="B725" s="14">
        <f t="shared" ref="B725:D725" si="598">B685</f>
        <v>14</v>
      </c>
      <c r="C725" s="14">
        <f t="shared" si="598"/>
        <v>0</v>
      </c>
      <c r="D725" s="14">
        <f t="shared" si="598"/>
        <v>1</v>
      </c>
      <c r="E725" s="14">
        <f t="shared" si="580"/>
        <v>19</v>
      </c>
      <c r="F725" s="14">
        <f t="shared" si="575"/>
        <v>2</v>
      </c>
      <c r="G725" s="12" t="s">
        <v>755</v>
      </c>
      <c r="H725" s="12">
        <f t="shared" ref="H725:J725" si="599">H685</f>
        <v>90</v>
      </c>
      <c r="I725" s="10" t="str">
        <f>VLOOKUP(A725,战役结算奖励!$A$1:$O$800,15,0)</f>
        <v>[{"id":14,"num":60},{"id":2,"num":2500000},{"id":1,"num":3900000}]</v>
      </c>
      <c r="J725" s="12" t="str">
        <f t="shared" si="599"/>
        <v>[14,2,1]</v>
      </c>
      <c r="K725" s="12">
        <f>IF(K685="","",K685)</f>
        <v>87</v>
      </c>
      <c r="L725" s="3" t="s">
        <v>514</v>
      </c>
      <c r="M725" s="12" t="str">
        <f>IF(M685="","",M685)</f>
        <v/>
      </c>
      <c r="N725" s="12"/>
      <c r="O725" s="12" t="s">
        <v>514</v>
      </c>
    </row>
    <row r="726" spans="1:15" s="7" customFormat="1" x14ac:dyDescent="0.15">
      <c r="A726" s="3">
        <f t="shared" si="578"/>
        <v>1419003</v>
      </c>
      <c r="B726" s="14">
        <f t="shared" ref="B726:D726" si="600">B686</f>
        <v>14</v>
      </c>
      <c r="C726" s="14">
        <f t="shared" si="600"/>
        <v>0</v>
      </c>
      <c r="D726" s="14">
        <f t="shared" si="600"/>
        <v>1</v>
      </c>
      <c r="E726" s="14">
        <f t="shared" si="580"/>
        <v>19</v>
      </c>
      <c r="F726" s="14">
        <f t="shared" si="575"/>
        <v>3</v>
      </c>
      <c r="G726" s="12" t="s">
        <v>756</v>
      </c>
      <c r="H726" s="12">
        <f t="shared" ref="H726:H748" si="601">H686</f>
        <v>90</v>
      </c>
      <c r="I726" s="10" t="str">
        <f>VLOOKUP(A726,战役结算奖励!$A$1:$O$800,15,0)</f>
        <v>[{"id":14,"num":60},{"id":2,"num":2500000},{"id":1,"num":3900000}]</v>
      </c>
      <c r="J726" s="12" t="str">
        <f t="shared" ref="J726:J748" si="602">J686</f>
        <v>[14,2,1]</v>
      </c>
      <c r="K726" s="12">
        <f t="shared" ref="K726:M726" si="603">IF(K686="","",K686)</f>
        <v>87</v>
      </c>
      <c r="L726" s="3" t="s">
        <v>514</v>
      </c>
      <c r="M726" s="12" t="str">
        <f t="shared" si="603"/>
        <v/>
      </c>
      <c r="N726" s="12"/>
      <c r="O726" s="12" t="s">
        <v>514</v>
      </c>
    </row>
    <row r="727" spans="1:15" s="7" customFormat="1" x14ac:dyDescent="0.15">
      <c r="A727" s="3">
        <f t="shared" si="578"/>
        <v>1419004</v>
      </c>
      <c r="B727" s="14">
        <f t="shared" ref="B727:D727" si="604">B687</f>
        <v>14</v>
      </c>
      <c r="C727" s="14">
        <f t="shared" si="604"/>
        <v>0</v>
      </c>
      <c r="D727" s="14">
        <f t="shared" si="604"/>
        <v>1</v>
      </c>
      <c r="E727" s="14">
        <f t="shared" si="580"/>
        <v>19</v>
      </c>
      <c r="F727" s="14">
        <f t="shared" si="575"/>
        <v>4</v>
      </c>
      <c r="G727" s="12" t="s">
        <v>757</v>
      </c>
      <c r="H727" s="12">
        <f t="shared" si="601"/>
        <v>90</v>
      </c>
      <c r="I727" s="10" t="str">
        <f>VLOOKUP(A727,战役结算奖励!$A$1:$O$800,15,0)</f>
        <v>[{"id":14,"num":60},{"id":2,"num":2500000},{"id":1,"num":3900000}]</v>
      </c>
      <c r="J727" s="12" t="str">
        <f t="shared" si="602"/>
        <v>[14,2,1]</v>
      </c>
      <c r="K727" s="12">
        <f t="shared" ref="K727:M727" si="605">IF(K687="","",K687)</f>
        <v>87</v>
      </c>
      <c r="L727" s="3" t="s">
        <v>514</v>
      </c>
      <c r="M727" s="12" t="str">
        <f t="shared" si="605"/>
        <v/>
      </c>
      <c r="N727" s="12"/>
      <c r="O727" s="12" t="s">
        <v>514</v>
      </c>
    </row>
    <row r="728" spans="1:15" s="7" customFormat="1" x14ac:dyDescent="0.15">
      <c r="A728" s="3">
        <f t="shared" si="578"/>
        <v>1419005</v>
      </c>
      <c r="B728" s="14">
        <f t="shared" ref="B728:D728" si="606">B688</f>
        <v>14</v>
      </c>
      <c r="C728" s="14">
        <f t="shared" si="606"/>
        <v>0</v>
      </c>
      <c r="D728" s="14">
        <f t="shared" si="606"/>
        <v>1</v>
      </c>
      <c r="E728" s="14">
        <f t="shared" si="580"/>
        <v>19</v>
      </c>
      <c r="F728" s="14">
        <f t="shared" si="575"/>
        <v>5</v>
      </c>
      <c r="G728" s="12" t="s">
        <v>758</v>
      </c>
      <c r="H728" s="12">
        <f t="shared" si="601"/>
        <v>90</v>
      </c>
      <c r="I728" s="10" t="str">
        <f>VLOOKUP(A728,战役结算奖励!$A$1:$O$800,15,0)</f>
        <v>[{"id":14,"num":60},{"id":2,"num":2500000},{"id":1,"num":3900000}]</v>
      </c>
      <c r="J728" s="12" t="str">
        <f t="shared" si="602"/>
        <v>[14,2,1]</v>
      </c>
      <c r="K728" s="12">
        <f t="shared" ref="K728:M728" si="607">IF(K688="","",K688)</f>
        <v>87</v>
      </c>
      <c r="L728" s="3" t="s">
        <v>514</v>
      </c>
      <c r="M728" s="12" t="str">
        <f t="shared" si="607"/>
        <v/>
      </c>
      <c r="N728" s="12"/>
      <c r="O728" s="12" t="s">
        <v>514</v>
      </c>
    </row>
    <row r="729" spans="1:15" s="7" customFormat="1" x14ac:dyDescent="0.15">
      <c r="A729" s="3">
        <f t="shared" si="578"/>
        <v>1419006</v>
      </c>
      <c r="B729" s="14">
        <f t="shared" ref="B729:D729" si="608">B689</f>
        <v>14</v>
      </c>
      <c r="C729" s="14">
        <f t="shared" si="608"/>
        <v>0</v>
      </c>
      <c r="D729" s="14">
        <f t="shared" si="608"/>
        <v>1</v>
      </c>
      <c r="E729" s="14">
        <f t="shared" si="580"/>
        <v>19</v>
      </c>
      <c r="F729" s="14">
        <f t="shared" si="575"/>
        <v>6</v>
      </c>
      <c r="G729" s="12" t="s">
        <v>759</v>
      </c>
      <c r="H729" s="12">
        <f t="shared" si="601"/>
        <v>90</v>
      </c>
      <c r="I729" s="10" t="str">
        <f>VLOOKUP(A729,战役结算奖励!$A$1:$O$800,15,0)</f>
        <v>[{"id":14,"num":60},{"id":2,"num":2500000},{"id":1,"num":3900000}]</v>
      </c>
      <c r="J729" s="12" t="str">
        <f t="shared" si="602"/>
        <v>[14,2,1]</v>
      </c>
      <c r="K729" s="12">
        <f t="shared" ref="K729:M729" si="609">IF(K689="","",K689)</f>
        <v>88</v>
      </c>
      <c r="L729" s="3" t="s">
        <v>514</v>
      </c>
      <c r="M729" s="12" t="str">
        <f t="shared" si="609"/>
        <v/>
      </c>
      <c r="N729" s="12"/>
      <c r="O729" s="12" t="s">
        <v>514</v>
      </c>
    </row>
    <row r="730" spans="1:15" s="7" customFormat="1" x14ac:dyDescent="0.15">
      <c r="A730" s="3">
        <f t="shared" si="578"/>
        <v>1419007</v>
      </c>
      <c r="B730" s="14">
        <f t="shared" ref="B730:D730" si="610">B690</f>
        <v>14</v>
      </c>
      <c r="C730" s="14">
        <f t="shared" si="610"/>
        <v>0</v>
      </c>
      <c r="D730" s="14">
        <f t="shared" si="610"/>
        <v>1</v>
      </c>
      <c r="E730" s="14">
        <f t="shared" si="580"/>
        <v>19</v>
      </c>
      <c r="F730" s="14">
        <f t="shared" si="575"/>
        <v>7</v>
      </c>
      <c r="G730" s="12" t="s">
        <v>760</v>
      </c>
      <c r="H730" s="12">
        <f t="shared" si="601"/>
        <v>90</v>
      </c>
      <c r="I730" s="10" t="str">
        <f>VLOOKUP(A730,战役结算奖励!$A$1:$O$800,15,0)</f>
        <v>[{"id":14,"num":60},{"id":2,"num":2500000},{"id":1,"num":3900000}]</v>
      </c>
      <c r="J730" s="12" t="str">
        <f t="shared" si="602"/>
        <v>[14,2,1]</v>
      </c>
      <c r="K730" s="12">
        <f t="shared" ref="K730:M730" si="611">IF(K690="","",K690)</f>
        <v>88</v>
      </c>
      <c r="L730" s="3" t="s">
        <v>514</v>
      </c>
      <c r="M730" s="12" t="str">
        <f t="shared" si="611"/>
        <v/>
      </c>
      <c r="N730" s="12"/>
      <c r="O730" s="12" t="s">
        <v>514</v>
      </c>
    </row>
    <row r="731" spans="1:15" s="7" customFormat="1" x14ac:dyDescent="0.15">
      <c r="A731" s="3">
        <f t="shared" si="578"/>
        <v>1419008</v>
      </c>
      <c r="B731" s="14">
        <f t="shared" ref="B731:D731" si="612">B691</f>
        <v>14</v>
      </c>
      <c r="C731" s="14">
        <f t="shared" si="612"/>
        <v>0</v>
      </c>
      <c r="D731" s="14">
        <f t="shared" si="612"/>
        <v>1</v>
      </c>
      <c r="E731" s="14">
        <f t="shared" si="580"/>
        <v>19</v>
      </c>
      <c r="F731" s="14">
        <f t="shared" si="575"/>
        <v>8</v>
      </c>
      <c r="G731" s="12" t="s">
        <v>761</v>
      </c>
      <c r="H731" s="12">
        <f t="shared" si="601"/>
        <v>90</v>
      </c>
      <c r="I731" s="10" t="str">
        <f>VLOOKUP(A731,战役结算奖励!$A$1:$O$800,15,0)</f>
        <v>[{"id":14,"num":60},{"id":2,"num":2500000},{"id":1,"num":3900000}]</v>
      </c>
      <c r="J731" s="12" t="str">
        <f t="shared" si="602"/>
        <v>[14,2,1]</v>
      </c>
      <c r="K731" s="12">
        <f t="shared" ref="K731:M731" si="613">IF(K691="","",K691)</f>
        <v>88</v>
      </c>
      <c r="L731" s="3" t="s">
        <v>514</v>
      </c>
      <c r="M731" s="12" t="str">
        <f t="shared" si="613"/>
        <v/>
      </c>
      <c r="N731" s="12"/>
      <c r="O731" s="12" t="s">
        <v>514</v>
      </c>
    </row>
    <row r="732" spans="1:15" s="7" customFormat="1" x14ac:dyDescent="0.15">
      <c r="A732" s="3">
        <f t="shared" si="578"/>
        <v>1419009</v>
      </c>
      <c r="B732" s="14">
        <f t="shared" ref="B732:D732" si="614">B692</f>
        <v>14</v>
      </c>
      <c r="C732" s="14">
        <f t="shared" si="614"/>
        <v>0</v>
      </c>
      <c r="D732" s="14">
        <f t="shared" si="614"/>
        <v>1</v>
      </c>
      <c r="E732" s="14">
        <f t="shared" si="580"/>
        <v>19</v>
      </c>
      <c r="F732" s="14">
        <f t="shared" si="575"/>
        <v>9</v>
      </c>
      <c r="G732" s="12" t="s">
        <v>762</v>
      </c>
      <c r="H732" s="12">
        <f t="shared" si="601"/>
        <v>90</v>
      </c>
      <c r="I732" s="10" t="str">
        <f>VLOOKUP(A732,战役结算奖励!$A$1:$O$800,15,0)</f>
        <v>[{"id":14,"num":60},{"id":2,"num":2500000},{"id":1,"num":3900000}]</v>
      </c>
      <c r="J732" s="12" t="str">
        <f t="shared" si="602"/>
        <v>[14,2,1]</v>
      </c>
      <c r="K732" s="12">
        <f t="shared" ref="K732:M732" si="615">IF(K692="","",K692)</f>
        <v>88</v>
      </c>
      <c r="L732" s="3" t="s">
        <v>514</v>
      </c>
      <c r="M732" s="12" t="str">
        <f t="shared" si="615"/>
        <v/>
      </c>
      <c r="N732" s="12"/>
      <c r="O732" s="12" t="s">
        <v>514</v>
      </c>
    </row>
    <row r="733" spans="1:15" s="7" customFormat="1" x14ac:dyDescent="0.15">
      <c r="A733" s="3">
        <f t="shared" si="578"/>
        <v>1419010</v>
      </c>
      <c r="B733" s="14">
        <f t="shared" ref="B733:D733" si="616">B693</f>
        <v>14</v>
      </c>
      <c r="C733" s="14">
        <f t="shared" si="616"/>
        <v>0</v>
      </c>
      <c r="D733" s="14">
        <f t="shared" si="616"/>
        <v>1</v>
      </c>
      <c r="E733" s="14">
        <f t="shared" si="580"/>
        <v>19</v>
      </c>
      <c r="F733" s="14">
        <f t="shared" si="575"/>
        <v>10</v>
      </c>
      <c r="G733" s="12" t="s">
        <v>763</v>
      </c>
      <c r="H733" s="12">
        <f t="shared" si="601"/>
        <v>90</v>
      </c>
      <c r="I733" s="10" t="str">
        <f>VLOOKUP(A733,战役结算奖励!$A$1:$O$800,15,0)</f>
        <v>[{"id":14,"num":60},{"id":2,"num":2500000},{"id":1,"num":3900000}]</v>
      </c>
      <c r="J733" s="12" t="str">
        <f t="shared" si="602"/>
        <v>[14,2,1]</v>
      </c>
      <c r="K733" s="12">
        <f t="shared" ref="K733:M733" si="617">IF(K693="","",K693)</f>
        <v>88</v>
      </c>
      <c r="L733" s="3" t="s">
        <v>514</v>
      </c>
      <c r="M733" s="12" t="str">
        <f t="shared" si="617"/>
        <v/>
      </c>
      <c r="N733" s="12"/>
      <c r="O733" s="12" t="s">
        <v>514</v>
      </c>
    </row>
    <row r="734" spans="1:15" s="7" customFormat="1" x14ac:dyDescent="0.15">
      <c r="A734" s="3">
        <f t="shared" si="578"/>
        <v>1419011</v>
      </c>
      <c r="B734" s="14">
        <f t="shared" ref="B734:D734" si="618">B694</f>
        <v>14</v>
      </c>
      <c r="C734" s="14">
        <f t="shared" si="618"/>
        <v>0</v>
      </c>
      <c r="D734" s="14">
        <f t="shared" si="618"/>
        <v>1</v>
      </c>
      <c r="E734" s="14">
        <f t="shared" si="580"/>
        <v>19</v>
      </c>
      <c r="F734" s="14">
        <f t="shared" si="575"/>
        <v>11</v>
      </c>
      <c r="G734" s="12" t="s">
        <v>764</v>
      </c>
      <c r="H734" s="12">
        <f t="shared" si="601"/>
        <v>90</v>
      </c>
      <c r="I734" s="10" t="str">
        <f>VLOOKUP(A734,战役结算奖励!$A$1:$O$800,15,0)</f>
        <v>[{"id":14,"num":60},{"id":2,"num":2500000},{"id":1,"num":3900000}]</v>
      </c>
      <c r="J734" s="12" t="str">
        <f t="shared" si="602"/>
        <v>[14,2,1]</v>
      </c>
      <c r="K734" s="12">
        <f t="shared" ref="K734:M734" si="619">IF(K694="","",K694)</f>
        <v>89</v>
      </c>
      <c r="L734" s="3" t="s">
        <v>514</v>
      </c>
      <c r="M734" s="12" t="str">
        <f t="shared" si="619"/>
        <v/>
      </c>
      <c r="N734" s="12"/>
      <c r="O734" s="12" t="s">
        <v>514</v>
      </c>
    </row>
    <row r="735" spans="1:15" s="7" customFormat="1" x14ac:dyDescent="0.15">
      <c r="A735" s="3">
        <f t="shared" si="578"/>
        <v>1419012</v>
      </c>
      <c r="B735" s="14">
        <f t="shared" ref="B735:D735" si="620">B695</f>
        <v>14</v>
      </c>
      <c r="C735" s="14">
        <f t="shared" si="620"/>
        <v>0</v>
      </c>
      <c r="D735" s="14">
        <f t="shared" si="620"/>
        <v>1</v>
      </c>
      <c r="E735" s="14">
        <f t="shared" si="580"/>
        <v>19</v>
      </c>
      <c r="F735" s="14">
        <f t="shared" si="575"/>
        <v>12</v>
      </c>
      <c r="G735" s="12" t="s">
        <v>765</v>
      </c>
      <c r="H735" s="12">
        <f t="shared" si="601"/>
        <v>90</v>
      </c>
      <c r="I735" s="10" t="str">
        <f>VLOOKUP(A735,战役结算奖励!$A$1:$O$800,15,0)</f>
        <v>[{"id":14,"num":60},{"id":2,"num":2500000},{"id":1,"num":3900000}]</v>
      </c>
      <c r="J735" s="12" t="str">
        <f t="shared" si="602"/>
        <v>[14,2,1]</v>
      </c>
      <c r="K735" s="12">
        <f t="shared" ref="K735:M735" si="621">IF(K695="","",K695)</f>
        <v>89</v>
      </c>
      <c r="L735" s="3" t="s">
        <v>514</v>
      </c>
      <c r="M735" s="12" t="str">
        <f t="shared" si="621"/>
        <v/>
      </c>
      <c r="N735" s="12"/>
      <c r="O735" s="12" t="s">
        <v>514</v>
      </c>
    </row>
    <row r="736" spans="1:15" s="7" customFormat="1" x14ac:dyDescent="0.15">
      <c r="A736" s="3">
        <f t="shared" si="578"/>
        <v>1419013</v>
      </c>
      <c r="B736" s="14">
        <f t="shared" ref="B736:D736" si="622">B696</f>
        <v>14</v>
      </c>
      <c r="C736" s="14">
        <f t="shared" si="622"/>
        <v>0</v>
      </c>
      <c r="D736" s="14">
        <f t="shared" si="622"/>
        <v>1</v>
      </c>
      <c r="E736" s="14">
        <f t="shared" si="580"/>
        <v>19</v>
      </c>
      <c r="F736" s="14">
        <f t="shared" si="575"/>
        <v>13</v>
      </c>
      <c r="G736" s="12" t="s">
        <v>766</v>
      </c>
      <c r="H736" s="12">
        <f t="shared" si="601"/>
        <v>90</v>
      </c>
      <c r="I736" s="10" t="str">
        <f>VLOOKUP(A736,战役结算奖励!$A$1:$O$800,15,0)</f>
        <v>[{"id":14,"num":60},{"id":2,"num":2500000},{"id":1,"num":3900000}]</v>
      </c>
      <c r="J736" s="12" t="str">
        <f t="shared" si="602"/>
        <v>[14,2,1]</v>
      </c>
      <c r="K736" s="12">
        <f t="shared" ref="K736:M736" si="623">IF(K696="","",K696)</f>
        <v>89</v>
      </c>
      <c r="L736" s="3" t="s">
        <v>514</v>
      </c>
      <c r="M736" s="12" t="str">
        <f t="shared" si="623"/>
        <v/>
      </c>
      <c r="N736" s="12"/>
      <c r="O736" s="12" t="s">
        <v>514</v>
      </c>
    </row>
    <row r="737" spans="1:15" s="7" customFormat="1" x14ac:dyDescent="0.15">
      <c r="A737" s="3">
        <f t="shared" si="578"/>
        <v>1419014</v>
      </c>
      <c r="B737" s="14">
        <f t="shared" ref="B737:D737" si="624">B697</f>
        <v>14</v>
      </c>
      <c r="C737" s="14">
        <f t="shared" si="624"/>
        <v>0</v>
      </c>
      <c r="D737" s="14">
        <f t="shared" si="624"/>
        <v>1</v>
      </c>
      <c r="E737" s="14">
        <f t="shared" si="580"/>
        <v>19</v>
      </c>
      <c r="F737" s="14">
        <f t="shared" si="575"/>
        <v>14</v>
      </c>
      <c r="G737" s="12" t="s">
        <v>767</v>
      </c>
      <c r="H737" s="12">
        <f t="shared" si="601"/>
        <v>90</v>
      </c>
      <c r="I737" s="10" t="str">
        <f>VLOOKUP(A737,战役结算奖励!$A$1:$O$800,15,0)</f>
        <v>[{"id":14,"num":60},{"id":2,"num":2500000},{"id":1,"num":3900000}]</v>
      </c>
      <c r="J737" s="12" t="str">
        <f t="shared" si="602"/>
        <v>[14,2,1]</v>
      </c>
      <c r="K737" s="12">
        <f t="shared" ref="K737:M737" si="625">IF(K697="","",K697)</f>
        <v>89</v>
      </c>
      <c r="L737" s="3" t="s">
        <v>514</v>
      </c>
      <c r="M737" s="12" t="str">
        <f t="shared" si="625"/>
        <v/>
      </c>
      <c r="N737" s="12"/>
      <c r="O737" s="12" t="s">
        <v>514</v>
      </c>
    </row>
    <row r="738" spans="1:15" s="7" customFormat="1" x14ac:dyDescent="0.15">
      <c r="A738" s="3">
        <f t="shared" si="578"/>
        <v>1419015</v>
      </c>
      <c r="B738" s="14">
        <f t="shared" ref="B738:D738" si="626">B698</f>
        <v>14</v>
      </c>
      <c r="C738" s="14">
        <f t="shared" si="626"/>
        <v>0</v>
      </c>
      <c r="D738" s="14">
        <f t="shared" si="626"/>
        <v>1</v>
      </c>
      <c r="E738" s="14">
        <f t="shared" si="580"/>
        <v>19</v>
      </c>
      <c r="F738" s="14">
        <f t="shared" si="575"/>
        <v>15</v>
      </c>
      <c r="G738" s="12" t="s">
        <v>768</v>
      </c>
      <c r="H738" s="12">
        <f t="shared" si="601"/>
        <v>90</v>
      </c>
      <c r="I738" s="10" t="str">
        <f>VLOOKUP(A738,战役结算奖励!$A$1:$O$800,15,0)</f>
        <v>[{"id":14,"num":60},{"id":2,"num":2500000},{"id":1,"num":3900000}]</v>
      </c>
      <c r="J738" s="12" t="str">
        <f t="shared" si="602"/>
        <v>[14,2,1]</v>
      </c>
      <c r="K738" s="12">
        <f t="shared" ref="K738:M738" si="627">IF(K698="","",K698)</f>
        <v>89</v>
      </c>
      <c r="L738" s="3" t="s">
        <v>514</v>
      </c>
      <c r="M738" s="12" t="str">
        <f t="shared" si="627"/>
        <v/>
      </c>
      <c r="N738" s="12"/>
      <c r="O738" s="12" t="s">
        <v>514</v>
      </c>
    </row>
    <row r="739" spans="1:15" s="7" customFormat="1" x14ac:dyDescent="0.15">
      <c r="A739" s="3">
        <f t="shared" si="578"/>
        <v>1419016</v>
      </c>
      <c r="B739" s="14">
        <f t="shared" ref="B739:D739" si="628">B699</f>
        <v>14</v>
      </c>
      <c r="C739" s="14">
        <f t="shared" si="628"/>
        <v>0</v>
      </c>
      <c r="D739" s="14">
        <f t="shared" si="628"/>
        <v>1</v>
      </c>
      <c r="E739" s="14">
        <f t="shared" si="580"/>
        <v>19</v>
      </c>
      <c r="F739" s="14">
        <f t="shared" si="575"/>
        <v>16</v>
      </c>
      <c r="G739" s="12" t="s">
        <v>769</v>
      </c>
      <c r="H739" s="12">
        <f t="shared" si="601"/>
        <v>90</v>
      </c>
      <c r="I739" s="10" t="str">
        <f>VLOOKUP(A739,战役结算奖励!$A$1:$O$800,15,0)</f>
        <v>[{"id":14,"num":60},{"id":2,"num":2500000},{"id":1,"num":3900000}]</v>
      </c>
      <c r="J739" s="12" t="str">
        <f t="shared" si="602"/>
        <v>[14,2,1]</v>
      </c>
      <c r="K739" s="12">
        <f t="shared" ref="K739:M739" si="629">IF(K699="","",K699)</f>
        <v>90</v>
      </c>
      <c r="L739" s="3" t="s">
        <v>514</v>
      </c>
      <c r="M739" s="12" t="str">
        <f t="shared" si="629"/>
        <v/>
      </c>
      <c r="N739" s="12"/>
      <c r="O739" s="12" t="s">
        <v>514</v>
      </c>
    </row>
    <row r="740" spans="1:15" s="7" customFormat="1" x14ac:dyDescent="0.15">
      <c r="A740" s="3">
        <f t="shared" si="578"/>
        <v>1419017</v>
      </c>
      <c r="B740" s="14">
        <f t="shared" ref="B740:D740" si="630">B700</f>
        <v>14</v>
      </c>
      <c r="C740" s="14">
        <f t="shared" si="630"/>
        <v>0</v>
      </c>
      <c r="D740" s="14">
        <f t="shared" si="630"/>
        <v>1</v>
      </c>
      <c r="E740" s="14">
        <f t="shared" si="580"/>
        <v>19</v>
      </c>
      <c r="F740" s="14">
        <f t="shared" si="575"/>
        <v>17</v>
      </c>
      <c r="G740" s="12" t="s">
        <v>770</v>
      </c>
      <c r="H740" s="12">
        <f t="shared" si="601"/>
        <v>90</v>
      </c>
      <c r="I740" s="10" t="str">
        <f>VLOOKUP(A740,战役结算奖励!$A$1:$O$800,15,0)</f>
        <v>[{"id":14,"num":60},{"id":2,"num":2500000},{"id":1,"num":3900000}]</v>
      </c>
      <c r="J740" s="12" t="str">
        <f t="shared" si="602"/>
        <v>[14,2,1]</v>
      </c>
      <c r="K740" s="12">
        <f t="shared" ref="K740:M740" si="631">IF(K700="","",K700)</f>
        <v>90</v>
      </c>
      <c r="L740" s="3" t="s">
        <v>514</v>
      </c>
      <c r="M740" s="12" t="str">
        <f t="shared" si="631"/>
        <v/>
      </c>
      <c r="N740" s="12"/>
      <c r="O740" s="12" t="s">
        <v>514</v>
      </c>
    </row>
    <row r="741" spans="1:15" s="7" customFormat="1" x14ac:dyDescent="0.15">
      <c r="A741" s="3">
        <f t="shared" si="578"/>
        <v>1419018</v>
      </c>
      <c r="B741" s="14">
        <f t="shared" ref="B741:D741" si="632">B701</f>
        <v>14</v>
      </c>
      <c r="C741" s="14">
        <f t="shared" si="632"/>
        <v>0</v>
      </c>
      <c r="D741" s="14">
        <f t="shared" si="632"/>
        <v>1</v>
      </c>
      <c r="E741" s="14">
        <f t="shared" si="580"/>
        <v>19</v>
      </c>
      <c r="F741" s="14">
        <f t="shared" si="575"/>
        <v>18</v>
      </c>
      <c r="G741" s="12" t="s">
        <v>771</v>
      </c>
      <c r="H741" s="12">
        <f t="shared" si="601"/>
        <v>90</v>
      </c>
      <c r="I741" s="10" t="str">
        <f>VLOOKUP(A741,战役结算奖励!$A$1:$O$800,15,0)</f>
        <v>[{"id":14,"num":60},{"id":2,"num":2500000},{"id":1,"num":3900000}]</v>
      </c>
      <c r="J741" s="12" t="str">
        <f t="shared" si="602"/>
        <v>[14,2,1]</v>
      </c>
      <c r="K741" s="12">
        <f t="shared" ref="K741:M741" si="633">IF(K701="","",K701)</f>
        <v>90</v>
      </c>
      <c r="L741" s="3" t="s">
        <v>514</v>
      </c>
      <c r="M741" s="12" t="str">
        <f t="shared" si="633"/>
        <v/>
      </c>
      <c r="N741" s="12"/>
      <c r="O741" s="12" t="s">
        <v>514</v>
      </c>
    </row>
    <row r="742" spans="1:15" s="7" customFormat="1" x14ac:dyDescent="0.15">
      <c r="A742" s="3">
        <f t="shared" si="578"/>
        <v>1419019</v>
      </c>
      <c r="B742" s="14">
        <f t="shared" ref="B742:D742" si="634">B702</f>
        <v>14</v>
      </c>
      <c r="C742" s="14">
        <f t="shared" si="634"/>
        <v>0</v>
      </c>
      <c r="D742" s="14">
        <f t="shared" si="634"/>
        <v>1</v>
      </c>
      <c r="E742" s="14">
        <f t="shared" si="580"/>
        <v>19</v>
      </c>
      <c r="F742" s="14">
        <f t="shared" si="575"/>
        <v>19</v>
      </c>
      <c r="G742" s="12" t="s">
        <v>772</v>
      </c>
      <c r="H742" s="12">
        <f t="shared" si="601"/>
        <v>90</v>
      </c>
      <c r="I742" s="10" t="str">
        <f>VLOOKUP(A742,战役结算奖励!$A$1:$O$800,15,0)</f>
        <v>[{"id":14,"num":60},{"id":2,"num":2500000},{"id":1,"num":3900000}]</v>
      </c>
      <c r="J742" s="12" t="str">
        <f t="shared" si="602"/>
        <v>[14,2,1]</v>
      </c>
      <c r="K742" s="12">
        <f t="shared" ref="K742:M742" si="635">IF(K702="","",K702)</f>
        <v>90</v>
      </c>
      <c r="L742" s="3" t="s">
        <v>514</v>
      </c>
      <c r="M742" s="12" t="str">
        <f t="shared" si="635"/>
        <v/>
      </c>
      <c r="N742" s="12"/>
      <c r="O742" s="12" t="s">
        <v>514</v>
      </c>
    </row>
    <row r="743" spans="1:15" s="7" customFormat="1" x14ac:dyDescent="0.15">
      <c r="A743" s="3">
        <f t="shared" si="578"/>
        <v>1419020</v>
      </c>
      <c r="B743" s="14">
        <f t="shared" ref="B743:D743" si="636">B703</f>
        <v>14</v>
      </c>
      <c r="C743" s="14">
        <f t="shared" si="636"/>
        <v>0</v>
      </c>
      <c r="D743" s="14">
        <f t="shared" si="636"/>
        <v>1</v>
      </c>
      <c r="E743" s="14">
        <f t="shared" si="580"/>
        <v>19</v>
      </c>
      <c r="F743" s="14">
        <f t="shared" si="575"/>
        <v>20</v>
      </c>
      <c r="G743" s="12" t="s">
        <v>773</v>
      </c>
      <c r="H743" s="12">
        <f t="shared" si="601"/>
        <v>90</v>
      </c>
      <c r="I743" s="10" t="str">
        <f>VLOOKUP(A743,战役结算奖励!$A$1:$O$800,15,0)</f>
        <v>[{"id":14,"num":60},{"id":2,"num":2500000},{"id":1,"num":3900000}]</v>
      </c>
      <c r="J743" s="12" t="str">
        <f t="shared" si="602"/>
        <v>[14,2,1]</v>
      </c>
      <c r="K743" s="12">
        <f t="shared" ref="K743:M743" si="637">IF(K703="","",K703)</f>
        <v>90</v>
      </c>
      <c r="L743" s="3" t="s">
        <v>514</v>
      </c>
      <c r="M743" s="12" t="str">
        <f t="shared" si="637"/>
        <v/>
      </c>
      <c r="N743" s="12"/>
      <c r="O743" s="12" t="s">
        <v>514</v>
      </c>
    </row>
    <row r="744" spans="1:15" s="7" customFormat="1" x14ac:dyDescent="0.15">
      <c r="A744" s="3">
        <f t="shared" si="578"/>
        <v>1419021</v>
      </c>
      <c r="B744" s="14">
        <f t="shared" ref="B744:D744" si="638">B704</f>
        <v>14</v>
      </c>
      <c r="C744" s="14">
        <f t="shared" si="638"/>
        <v>0</v>
      </c>
      <c r="D744" s="14">
        <f t="shared" si="638"/>
        <v>1</v>
      </c>
      <c r="E744" s="14">
        <f t="shared" si="580"/>
        <v>19</v>
      </c>
      <c r="F744" s="14">
        <f t="shared" si="575"/>
        <v>21</v>
      </c>
      <c r="G744" s="12" t="s">
        <v>774</v>
      </c>
      <c r="H744" s="12">
        <f t="shared" si="601"/>
        <v>90</v>
      </c>
      <c r="I744" s="10" t="str">
        <f>VLOOKUP(A744,战役结算奖励!$A$1:$O$800,15,0)</f>
        <v>[{"id":14,"num":60},{"id":2,"num":2500000},{"id":1,"num":3900000}]</v>
      </c>
      <c r="J744" s="12" t="str">
        <f t="shared" si="602"/>
        <v>[14,2,1]</v>
      </c>
      <c r="K744" s="12">
        <f t="shared" ref="K744:M744" si="639">IF(K704="","",K704)</f>
        <v>90</v>
      </c>
      <c r="L744" s="3" t="s">
        <v>514</v>
      </c>
      <c r="M744" s="12" t="str">
        <f t="shared" si="639"/>
        <v/>
      </c>
      <c r="N744" s="12"/>
      <c r="O744" s="12" t="s">
        <v>514</v>
      </c>
    </row>
    <row r="745" spans="1:15" s="7" customFormat="1" x14ac:dyDescent="0.15">
      <c r="A745" s="3">
        <f t="shared" si="578"/>
        <v>1419022</v>
      </c>
      <c r="B745" s="14">
        <f t="shared" ref="B745:D745" si="640">B705</f>
        <v>14</v>
      </c>
      <c r="C745" s="14">
        <f t="shared" si="640"/>
        <v>0</v>
      </c>
      <c r="D745" s="14">
        <f t="shared" si="640"/>
        <v>1</v>
      </c>
      <c r="E745" s="14">
        <f t="shared" si="580"/>
        <v>19</v>
      </c>
      <c r="F745" s="14">
        <f t="shared" si="575"/>
        <v>22</v>
      </c>
      <c r="G745" s="12" t="s">
        <v>775</v>
      </c>
      <c r="H745" s="12">
        <f t="shared" si="601"/>
        <v>90</v>
      </c>
      <c r="I745" s="10" t="str">
        <f>VLOOKUP(A745,战役结算奖励!$A$1:$O$800,15,0)</f>
        <v>[{"id":14,"num":60},{"id":2,"num":2500000},{"id":1,"num":3900000}]</v>
      </c>
      <c r="J745" s="12" t="str">
        <f t="shared" si="602"/>
        <v>[14,2,1]</v>
      </c>
      <c r="K745" s="12">
        <f t="shared" ref="K745:M745" si="641">IF(K705="","",K705)</f>
        <v>90</v>
      </c>
      <c r="L745" s="3" t="s">
        <v>514</v>
      </c>
      <c r="M745" s="12" t="str">
        <f t="shared" si="641"/>
        <v/>
      </c>
      <c r="N745" s="12"/>
      <c r="O745" s="12" t="s">
        <v>514</v>
      </c>
    </row>
    <row r="746" spans="1:15" s="7" customFormat="1" x14ac:dyDescent="0.15">
      <c r="A746" s="3">
        <f t="shared" si="578"/>
        <v>1419023</v>
      </c>
      <c r="B746" s="14">
        <f t="shared" ref="B746:D746" si="642">B706</f>
        <v>14</v>
      </c>
      <c r="C746" s="14">
        <f t="shared" si="642"/>
        <v>0</v>
      </c>
      <c r="D746" s="14">
        <f t="shared" si="642"/>
        <v>1</v>
      </c>
      <c r="E746" s="14">
        <f t="shared" si="580"/>
        <v>19</v>
      </c>
      <c r="F746" s="14">
        <f t="shared" si="575"/>
        <v>23</v>
      </c>
      <c r="G746" s="12" t="s">
        <v>776</v>
      </c>
      <c r="H746" s="12">
        <f t="shared" si="601"/>
        <v>90</v>
      </c>
      <c r="I746" s="10" t="str">
        <f>VLOOKUP(A746,战役结算奖励!$A$1:$O$800,15,0)</f>
        <v>[{"id":14,"num":60},{"id":2,"num":2500000},{"id":1,"num":3900000}]</v>
      </c>
      <c r="J746" s="12" t="str">
        <f t="shared" si="602"/>
        <v>[14,2,1]</v>
      </c>
      <c r="K746" s="12">
        <f t="shared" ref="K746:M746" si="643">IF(K706="","",K706)</f>
        <v>90</v>
      </c>
      <c r="L746" s="3" t="s">
        <v>514</v>
      </c>
      <c r="M746" s="12" t="str">
        <f t="shared" si="643"/>
        <v/>
      </c>
      <c r="N746" s="12"/>
      <c r="O746" s="12" t="s">
        <v>514</v>
      </c>
    </row>
    <row r="747" spans="1:15" s="7" customFormat="1" x14ac:dyDescent="0.15">
      <c r="A747" s="3">
        <f t="shared" si="578"/>
        <v>1419024</v>
      </c>
      <c r="B747" s="14">
        <f t="shared" ref="B747:D747" si="644">B707</f>
        <v>14</v>
      </c>
      <c r="C747" s="14">
        <f t="shared" si="644"/>
        <v>0</v>
      </c>
      <c r="D747" s="14">
        <f t="shared" si="644"/>
        <v>1</v>
      </c>
      <c r="E747" s="14">
        <f t="shared" si="580"/>
        <v>19</v>
      </c>
      <c r="F747" s="14">
        <f t="shared" si="575"/>
        <v>24</v>
      </c>
      <c r="G747" s="12" t="s">
        <v>777</v>
      </c>
      <c r="H747" s="12">
        <f t="shared" si="601"/>
        <v>90</v>
      </c>
      <c r="I747" s="10" t="str">
        <f>VLOOKUP(A747,战役结算奖励!$A$1:$O$800,15,0)</f>
        <v>[{"id":14,"num":60},{"id":2,"num":2500000},{"id":1,"num":3900000}]</v>
      </c>
      <c r="J747" s="12" t="str">
        <f t="shared" si="602"/>
        <v>[14,2,1]</v>
      </c>
      <c r="K747" s="12">
        <f t="shared" ref="K747:M747" si="645">IF(K707="","",K707)</f>
        <v>90</v>
      </c>
      <c r="L747" s="3" t="s">
        <v>514</v>
      </c>
      <c r="M747" s="12" t="str">
        <f t="shared" si="645"/>
        <v/>
      </c>
      <c r="N747" s="12"/>
      <c r="O747" s="12" t="s">
        <v>514</v>
      </c>
    </row>
    <row r="748" spans="1:15" s="7" customFormat="1" x14ac:dyDescent="0.15">
      <c r="A748" s="3">
        <f t="shared" si="578"/>
        <v>1419025</v>
      </c>
      <c r="B748" s="14">
        <f t="shared" ref="B748:D748" si="646">B708</f>
        <v>14</v>
      </c>
      <c r="C748" s="14">
        <f t="shared" si="646"/>
        <v>0</v>
      </c>
      <c r="D748" s="14">
        <f t="shared" si="646"/>
        <v>1</v>
      </c>
      <c r="E748" s="14">
        <f t="shared" si="580"/>
        <v>19</v>
      </c>
      <c r="F748" s="14">
        <f t="shared" si="575"/>
        <v>25</v>
      </c>
      <c r="G748" s="12" t="s">
        <v>778</v>
      </c>
      <c r="H748" s="12">
        <f t="shared" si="601"/>
        <v>90</v>
      </c>
      <c r="I748" s="10" t="str">
        <f>VLOOKUP(A748,战役结算奖励!$A$1:$O$800,15,0)</f>
        <v>[{"id":14,"num":60},{"id":2,"num":2500000},{"id":1,"num":3900000}]</v>
      </c>
      <c r="J748" s="12" t="str">
        <f t="shared" si="602"/>
        <v>[14,2,1]</v>
      </c>
      <c r="K748" s="12">
        <f t="shared" ref="K748:M748" si="647">IF(K708="","",K708)</f>
        <v>90</v>
      </c>
      <c r="L748" s="3" t="s">
        <v>514</v>
      </c>
      <c r="M748" s="12" t="str">
        <f t="shared" si="647"/>
        <v/>
      </c>
      <c r="N748" s="12"/>
      <c r="O748" s="12" t="s">
        <v>514</v>
      </c>
    </row>
    <row r="749" spans="1:15" s="7" customFormat="1" x14ac:dyDescent="0.15">
      <c r="A749" s="3">
        <f t="shared" si="578"/>
        <v>1419026</v>
      </c>
      <c r="B749" s="14">
        <f t="shared" ref="B749:D749" si="648">B709</f>
        <v>14</v>
      </c>
      <c r="C749" s="14">
        <f t="shared" si="648"/>
        <v>0</v>
      </c>
      <c r="D749" s="14">
        <f t="shared" si="648"/>
        <v>1</v>
      </c>
      <c r="E749" s="14">
        <f t="shared" si="580"/>
        <v>19</v>
      </c>
      <c r="F749" s="14">
        <f t="shared" si="575"/>
        <v>26</v>
      </c>
      <c r="G749" s="12" t="s">
        <v>779</v>
      </c>
      <c r="H749" s="12">
        <f t="shared" ref="H749:J749" si="649">H709</f>
        <v>90</v>
      </c>
      <c r="I749" s="10" t="str">
        <f>VLOOKUP(A749,战役结算奖励!$A$1:$O$800,15,0)</f>
        <v>[{"id":14,"num":60},{"id":2,"num":2500000},{"id":1,"num":3900000}]</v>
      </c>
      <c r="J749" s="12" t="str">
        <f t="shared" si="649"/>
        <v>[14,2,1]</v>
      </c>
      <c r="K749" s="12">
        <f>IF(K709="","",K709)</f>
        <v>90</v>
      </c>
      <c r="L749" s="3" t="s">
        <v>514</v>
      </c>
      <c r="M749" s="12" t="str">
        <f>IF(M709="","",M709)</f>
        <v/>
      </c>
      <c r="N749" s="12"/>
      <c r="O749" s="12" t="s">
        <v>514</v>
      </c>
    </row>
    <row r="750" spans="1:15" s="7" customFormat="1" x14ac:dyDescent="0.15">
      <c r="A750" s="3">
        <f t="shared" si="578"/>
        <v>1419027</v>
      </c>
      <c r="B750" s="14">
        <f t="shared" ref="B750:D750" si="650">B710</f>
        <v>14</v>
      </c>
      <c r="C750" s="14">
        <f t="shared" si="650"/>
        <v>0</v>
      </c>
      <c r="D750" s="14">
        <f t="shared" si="650"/>
        <v>1</v>
      </c>
      <c r="E750" s="14">
        <f t="shared" si="580"/>
        <v>19</v>
      </c>
      <c r="F750" s="14">
        <f t="shared" si="575"/>
        <v>27</v>
      </c>
      <c r="G750" s="12" t="s">
        <v>780</v>
      </c>
      <c r="H750" s="12">
        <f>H710</f>
        <v>90</v>
      </c>
      <c r="I750" s="10" t="str">
        <f>VLOOKUP(A750,战役结算奖励!$A$1:$O$800,15,0)</f>
        <v>[{"id":14,"num":60},{"id":2,"num":2500000},{"id":1,"num":3900000}]</v>
      </c>
      <c r="J750" s="12" t="str">
        <f>J710</f>
        <v>[14,2,1]</v>
      </c>
      <c r="K750" s="12">
        <f t="shared" ref="K750:M750" si="651">IF(K710="","",K710)</f>
        <v>90</v>
      </c>
      <c r="L750" s="3" t="s">
        <v>514</v>
      </c>
      <c r="M750" s="12" t="str">
        <f t="shared" si="651"/>
        <v/>
      </c>
      <c r="N750" s="12"/>
      <c r="O750" s="12" t="s">
        <v>514</v>
      </c>
    </row>
    <row r="751" spans="1:15" s="7" customFormat="1" x14ac:dyDescent="0.15">
      <c r="A751" s="3">
        <f t="shared" si="578"/>
        <v>1419028</v>
      </c>
      <c r="B751" s="14">
        <f t="shared" ref="B751:D751" si="652">B711</f>
        <v>14</v>
      </c>
      <c r="C751" s="14">
        <f t="shared" si="652"/>
        <v>0</v>
      </c>
      <c r="D751" s="14">
        <f t="shared" si="652"/>
        <v>1</v>
      </c>
      <c r="E751" s="14">
        <f t="shared" si="580"/>
        <v>19</v>
      </c>
      <c r="F751" s="14">
        <f t="shared" si="575"/>
        <v>28</v>
      </c>
      <c r="G751" s="12" t="s">
        <v>781</v>
      </c>
      <c r="H751" s="12">
        <f t="shared" ref="H751:J751" si="653">H711</f>
        <v>90</v>
      </c>
      <c r="I751" s="10" t="str">
        <f>VLOOKUP(A751,战役结算奖励!$A$1:$O$800,15,0)</f>
        <v>[{"id":14,"num":60},{"id":2,"num":2500000},{"id":1,"num":3900000}]</v>
      </c>
      <c r="J751" s="12" t="str">
        <f t="shared" si="653"/>
        <v>[14,2,1]</v>
      </c>
      <c r="K751" s="12">
        <f>IF(K711="","",K711)</f>
        <v>90</v>
      </c>
      <c r="L751" s="3" t="s">
        <v>514</v>
      </c>
      <c r="M751" s="12" t="str">
        <f>IF(M711="","",M711)</f>
        <v/>
      </c>
      <c r="N751" s="12"/>
      <c r="O751" s="12" t="s">
        <v>514</v>
      </c>
    </row>
    <row r="752" spans="1:15" s="7" customFormat="1" x14ac:dyDescent="0.15">
      <c r="A752" s="3">
        <f t="shared" si="578"/>
        <v>1419029</v>
      </c>
      <c r="B752" s="14">
        <f t="shared" ref="B752:D752" si="654">B712</f>
        <v>14</v>
      </c>
      <c r="C752" s="14">
        <f t="shared" si="654"/>
        <v>0</v>
      </c>
      <c r="D752" s="14">
        <f t="shared" si="654"/>
        <v>1</v>
      </c>
      <c r="E752" s="14">
        <f t="shared" si="580"/>
        <v>19</v>
      </c>
      <c r="F752" s="14">
        <f t="shared" si="575"/>
        <v>29</v>
      </c>
      <c r="G752" s="12" t="s">
        <v>782</v>
      </c>
      <c r="H752" s="12">
        <f t="shared" ref="H752:H767" si="655">H712</f>
        <v>90</v>
      </c>
      <c r="I752" s="10" t="str">
        <f>VLOOKUP(A752,战役结算奖励!$A$1:$O$800,15,0)</f>
        <v>[{"id":14,"num":60},{"id":2,"num":2500000},{"id":1,"num":3900000}]</v>
      </c>
      <c r="J752" s="12" t="str">
        <f t="shared" ref="J752:J766" si="656">J712</f>
        <v>[14,2,1]</v>
      </c>
      <c r="K752" s="12">
        <f t="shared" ref="K752:M752" si="657">IF(K712="","",K712)</f>
        <v>90</v>
      </c>
      <c r="L752" s="3" t="s">
        <v>514</v>
      </c>
      <c r="M752" s="12" t="str">
        <f t="shared" si="657"/>
        <v/>
      </c>
      <c r="N752" s="12"/>
      <c r="O752" s="12" t="s">
        <v>514</v>
      </c>
    </row>
    <row r="753" spans="1:15" s="7" customFormat="1" x14ac:dyDescent="0.15">
      <c r="A753" s="3">
        <f t="shared" si="578"/>
        <v>1419030</v>
      </c>
      <c r="B753" s="14">
        <f t="shared" ref="B753:D753" si="658">B713</f>
        <v>14</v>
      </c>
      <c r="C753" s="14">
        <f t="shared" si="658"/>
        <v>0</v>
      </c>
      <c r="D753" s="14">
        <f t="shared" si="658"/>
        <v>1</v>
      </c>
      <c r="E753" s="14">
        <f t="shared" si="580"/>
        <v>19</v>
      </c>
      <c r="F753" s="14">
        <f t="shared" si="575"/>
        <v>30</v>
      </c>
      <c r="G753" s="12" t="s">
        <v>783</v>
      </c>
      <c r="H753" s="12">
        <f t="shared" si="655"/>
        <v>90</v>
      </c>
      <c r="I753" s="10" t="str">
        <f>VLOOKUP(A753,战役结算奖励!$A$1:$O$800,15,0)</f>
        <v>[{"id":14,"num":60},{"id":2,"num":2500000},{"id":1,"num":3900000}]</v>
      </c>
      <c r="J753" s="12" t="str">
        <f t="shared" si="656"/>
        <v>[14,2,1]</v>
      </c>
      <c r="K753" s="12">
        <f t="shared" ref="K753:M753" si="659">IF(K713="","",K713)</f>
        <v>90</v>
      </c>
      <c r="L753" s="3" t="s">
        <v>514</v>
      </c>
      <c r="M753" s="12" t="str">
        <f t="shared" si="659"/>
        <v/>
      </c>
      <c r="N753" s="12"/>
      <c r="O753" s="12" t="s">
        <v>514</v>
      </c>
    </row>
    <row r="754" spans="1:15" s="7" customFormat="1" x14ac:dyDescent="0.15">
      <c r="A754" s="3">
        <f t="shared" si="578"/>
        <v>1419031</v>
      </c>
      <c r="B754" s="14">
        <f t="shared" ref="B754:D754" si="660">B714</f>
        <v>14</v>
      </c>
      <c r="C754" s="14">
        <f t="shared" si="660"/>
        <v>0</v>
      </c>
      <c r="D754" s="14">
        <f t="shared" si="660"/>
        <v>1</v>
      </c>
      <c r="E754" s="14">
        <f t="shared" si="580"/>
        <v>19</v>
      </c>
      <c r="F754" s="14">
        <f t="shared" si="575"/>
        <v>31</v>
      </c>
      <c r="G754" s="12" t="s">
        <v>784</v>
      </c>
      <c r="H754" s="12">
        <f t="shared" si="655"/>
        <v>90</v>
      </c>
      <c r="I754" s="10" t="str">
        <f>VLOOKUP(A754,战役结算奖励!$A$1:$O$800,15,0)</f>
        <v>[{"id":14,"num":60},{"id":2,"num":2500000},{"id":1,"num":3900000}]</v>
      </c>
      <c r="J754" s="12" t="str">
        <f t="shared" si="656"/>
        <v>[14,2,1]</v>
      </c>
      <c r="K754" s="12">
        <f t="shared" ref="K754:M754" si="661">IF(K714="","",K714)</f>
        <v>90</v>
      </c>
      <c r="L754" s="3" t="s">
        <v>514</v>
      </c>
      <c r="M754" s="12" t="str">
        <f t="shared" si="661"/>
        <v/>
      </c>
      <c r="N754" s="12"/>
      <c r="O754" s="12" t="s">
        <v>514</v>
      </c>
    </row>
    <row r="755" spans="1:15" s="7" customFormat="1" x14ac:dyDescent="0.15">
      <c r="A755" s="3">
        <f t="shared" si="578"/>
        <v>1419032</v>
      </c>
      <c r="B755" s="14">
        <f t="shared" ref="B755:D755" si="662">B715</f>
        <v>14</v>
      </c>
      <c r="C755" s="14">
        <f t="shared" si="662"/>
        <v>0</v>
      </c>
      <c r="D755" s="14">
        <f t="shared" si="662"/>
        <v>1</v>
      </c>
      <c r="E755" s="14">
        <f t="shared" si="580"/>
        <v>19</v>
      </c>
      <c r="F755" s="14">
        <f t="shared" si="575"/>
        <v>32</v>
      </c>
      <c r="G755" s="12" t="s">
        <v>785</v>
      </c>
      <c r="H755" s="12">
        <f t="shared" si="655"/>
        <v>90</v>
      </c>
      <c r="I755" s="10" t="str">
        <f>VLOOKUP(A755,战役结算奖励!$A$1:$O$800,15,0)</f>
        <v>[{"id":14,"num":60},{"id":2,"num":2500000},{"id":1,"num":3900000}]</v>
      </c>
      <c r="J755" s="12" t="str">
        <f t="shared" si="656"/>
        <v>[14,2,1]</v>
      </c>
      <c r="K755" s="12">
        <f t="shared" ref="K755:M755" si="663">IF(K715="","",K715)</f>
        <v>90</v>
      </c>
      <c r="L755" s="3" t="s">
        <v>514</v>
      </c>
      <c r="M755" s="12" t="str">
        <f t="shared" si="663"/>
        <v/>
      </c>
      <c r="N755" s="12"/>
      <c r="O755" s="12" t="s">
        <v>514</v>
      </c>
    </row>
    <row r="756" spans="1:15" s="7" customFormat="1" x14ac:dyDescent="0.15">
      <c r="A756" s="3">
        <f t="shared" si="578"/>
        <v>1419033</v>
      </c>
      <c r="B756" s="14">
        <f t="shared" ref="B756:D756" si="664">B716</f>
        <v>14</v>
      </c>
      <c r="C756" s="14">
        <f t="shared" si="664"/>
        <v>0</v>
      </c>
      <c r="D756" s="14">
        <f t="shared" si="664"/>
        <v>1</v>
      </c>
      <c r="E756" s="14">
        <f t="shared" si="580"/>
        <v>19</v>
      </c>
      <c r="F756" s="14">
        <f t="shared" si="575"/>
        <v>33</v>
      </c>
      <c r="G756" s="12" t="s">
        <v>786</v>
      </c>
      <c r="H756" s="12">
        <f t="shared" si="655"/>
        <v>90</v>
      </c>
      <c r="I756" s="10" t="str">
        <f>VLOOKUP(A756,战役结算奖励!$A$1:$O$800,15,0)</f>
        <v>[{"id":14,"num":60},{"id":2,"num":2500000},{"id":1,"num":3900000}]</v>
      </c>
      <c r="J756" s="12" t="str">
        <f t="shared" si="656"/>
        <v>[14,2,1]</v>
      </c>
      <c r="K756" s="12">
        <f t="shared" ref="K756:M756" si="665">IF(K716="","",K716)</f>
        <v>90</v>
      </c>
      <c r="L756" s="3" t="s">
        <v>514</v>
      </c>
      <c r="M756" s="12" t="str">
        <f t="shared" si="665"/>
        <v/>
      </c>
      <c r="N756" s="12"/>
      <c r="O756" s="12" t="s">
        <v>514</v>
      </c>
    </row>
    <row r="757" spans="1:15" s="7" customFormat="1" x14ac:dyDescent="0.15">
      <c r="A757" s="3">
        <f t="shared" si="578"/>
        <v>1419034</v>
      </c>
      <c r="B757" s="14">
        <f t="shared" ref="B757:D757" si="666">B717</f>
        <v>14</v>
      </c>
      <c r="C757" s="14">
        <f t="shared" si="666"/>
        <v>0</v>
      </c>
      <c r="D757" s="14">
        <f t="shared" si="666"/>
        <v>1</v>
      </c>
      <c r="E757" s="14">
        <f t="shared" si="580"/>
        <v>19</v>
      </c>
      <c r="F757" s="14">
        <f t="shared" si="575"/>
        <v>34</v>
      </c>
      <c r="G757" s="12" t="s">
        <v>787</v>
      </c>
      <c r="H757" s="12">
        <f t="shared" si="655"/>
        <v>90</v>
      </c>
      <c r="I757" s="10" t="str">
        <f>VLOOKUP(A757,战役结算奖励!$A$1:$O$800,15,0)</f>
        <v>[{"id":14,"num":60},{"id":2,"num":2500000},{"id":1,"num":3900000}]</v>
      </c>
      <c r="J757" s="12" t="str">
        <f t="shared" si="656"/>
        <v>[14,2,1]</v>
      </c>
      <c r="K757" s="12">
        <f t="shared" ref="K757:M757" si="667">IF(K717="","",K717)</f>
        <v>90</v>
      </c>
      <c r="L757" s="3" t="s">
        <v>514</v>
      </c>
      <c r="M757" s="12" t="str">
        <f t="shared" si="667"/>
        <v/>
      </c>
      <c r="N757" s="12"/>
      <c r="O757" s="12" t="s">
        <v>514</v>
      </c>
    </row>
    <row r="758" spans="1:15" s="7" customFormat="1" x14ac:dyDescent="0.15">
      <c r="A758" s="3">
        <f t="shared" si="578"/>
        <v>1419035</v>
      </c>
      <c r="B758" s="14">
        <f t="shared" ref="B758:D758" si="668">B718</f>
        <v>14</v>
      </c>
      <c r="C758" s="14">
        <f t="shared" si="668"/>
        <v>0</v>
      </c>
      <c r="D758" s="14">
        <f t="shared" si="668"/>
        <v>1</v>
      </c>
      <c r="E758" s="14">
        <f t="shared" si="580"/>
        <v>19</v>
      </c>
      <c r="F758" s="14">
        <f t="shared" si="575"/>
        <v>35</v>
      </c>
      <c r="G758" s="12" t="s">
        <v>788</v>
      </c>
      <c r="H758" s="12">
        <f t="shared" si="655"/>
        <v>90</v>
      </c>
      <c r="I758" s="10" t="str">
        <f>VLOOKUP(A758,战役结算奖励!$A$1:$O$800,15,0)</f>
        <v>[{"id":14,"num":60},{"id":2,"num":2500000},{"id":1,"num":3900000}]</v>
      </c>
      <c r="J758" s="12" t="str">
        <f t="shared" si="656"/>
        <v>[14,2,1]</v>
      </c>
      <c r="K758" s="12">
        <f t="shared" ref="K758:M758" si="669">IF(K718="","",K718)</f>
        <v>90</v>
      </c>
      <c r="L758" s="3" t="s">
        <v>514</v>
      </c>
      <c r="M758" s="12" t="str">
        <f t="shared" si="669"/>
        <v/>
      </c>
      <c r="N758" s="12"/>
      <c r="O758" s="12" t="s">
        <v>514</v>
      </c>
    </row>
    <row r="759" spans="1:15" s="7" customFormat="1" x14ac:dyDescent="0.15">
      <c r="A759" s="3">
        <f t="shared" si="578"/>
        <v>1419036</v>
      </c>
      <c r="B759" s="14">
        <f t="shared" ref="B759:D759" si="670">B719</f>
        <v>14</v>
      </c>
      <c r="C759" s="14">
        <f t="shared" si="670"/>
        <v>0</v>
      </c>
      <c r="D759" s="14">
        <f t="shared" si="670"/>
        <v>1</v>
      </c>
      <c r="E759" s="14">
        <f t="shared" si="580"/>
        <v>19</v>
      </c>
      <c r="F759" s="14">
        <f t="shared" si="575"/>
        <v>36</v>
      </c>
      <c r="G759" s="12" t="s">
        <v>789</v>
      </c>
      <c r="H759" s="12">
        <f t="shared" si="655"/>
        <v>90</v>
      </c>
      <c r="I759" s="10" t="str">
        <f>VLOOKUP(A759,战役结算奖励!$A$1:$O$800,15,0)</f>
        <v>[{"id":14,"num":60},{"id":2,"num":2500000},{"id":1,"num":3900000}]</v>
      </c>
      <c r="J759" s="12" t="str">
        <f t="shared" si="656"/>
        <v>[14,2,1]</v>
      </c>
      <c r="K759" s="12">
        <f t="shared" ref="K759:M759" si="671">IF(K719="","",K719)</f>
        <v>90</v>
      </c>
      <c r="L759" s="3" t="s">
        <v>514</v>
      </c>
      <c r="M759" s="12" t="str">
        <f t="shared" si="671"/>
        <v/>
      </c>
      <c r="N759" s="12"/>
      <c r="O759" s="12" t="s">
        <v>514</v>
      </c>
    </row>
    <row r="760" spans="1:15" s="7" customFormat="1" x14ac:dyDescent="0.15">
      <c r="A760" s="3">
        <f t="shared" si="578"/>
        <v>1419037</v>
      </c>
      <c r="B760" s="14">
        <f t="shared" ref="B760:D760" si="672">B720</f>
        <v>14</v>
      </c>
      <c r="C760" s="14">
        <f t="shared" si="672"/>
        <v>0</v>
      </c>
      <c r="D760" s="14">
        <f t="shared" si="672"/>
        <v>1</v>
      </c>
      <c r="E760" s="14">
        <f t="shared" si="580"/>
        <v>19</v>
      </c>
      <c r="F760" s="14">
        <f t="shared" si="575"/>
        <v>37</v>
      </c>
      <c r="G760" s="12" t="s">
        <v>790</v>
      </c>
      <c r="H760" s="12">
        <f t="shared" si="655"/>
        <v>90</v>
      </c>
      <c r="I760" s="10" t="str">
        <f>VLOOKUP(A760,战役结算奖励!$A$1:$O$800,15,0)</f>
        <v>[{"id":14,"num":60},{"id":2,"num":2500000},{"id":1,"num":3900000}]</v>
      </c>
      <c r="J760" s="12" t="str">
        <f t="shared" si="656"/>
        <v>[14,2,1]</v>
      </c>
      <c r="K760" s="12">
        <f t="shared" ref="K760:M760" si="673">IF(K720="","",K720)</f>
        <v>90</v>
      </c>
      <c r="L760" s="3" t="s">
        <v>514</v>
      </c>
      <c r="M760" s="12" t="str">
        <f t="shared" si="673"/>
        <v/>
      </c>
      <c r="N760" s="12"/>
      <c r="O760" s="12" t="s">
        <v>514</v>
      </c>
    </row>
    <row r="761" spans="1:15" s="7" customFormat="1" x14ac:dyDescent="0.15">
      <c r="A761" s="3">
        <f t="shared" si="578"/>
        <v>1419038</v>
      </c>
      <c r="B761" s="14">
        <f t="shared" ref="B761:D761" si="674">B721</f>
        <v>14</v>
      </c>
      <c r="C761" s="14">
        <f t="shared" si="674"/>
        <v>0</v>
      </c>
      <c r="D761" s="14">
        <f t="shared" si="674"/>
        <v>1</v>
      </c>
      <c r="E761" s="14">
        <f t="shared" si="580"/>
        <v>19</v>
      </c>
      <c r="F761" s="14">
        <f t="shared" si="575"/>
        <v>38</v>
      </c>
      <c r="G761" s="12" t="s">
        <v>791</v>
      </c>
      <c r="H761" s="12">
        <f t="shared" si="655"/>
        <v>90</v>
      </c>
      <c r="I761" s="10" t="str">
        <f>VLOOKUP(A761,战役结算奖励!$A$1:$O$800,15,0)</f>
        <v>[{"id":14,"num":60},{"id":2,"num":2500000},{"id":1,"num":3900000}]</v>
      </c>
      <c r="J761" s="12" t="str">
        <f t="shared" si="656"/>
        <v>[14,2,1]</v>
      </c>
      <c r="K761" s="12">
        <f t="shared" ref="K761:M761" si="675">IF(K721="","",K721)</f>
        <v>90</v>
      </c>
      <c r="L761" s="3" t="s">
        <v>514</v>
      </c>
      <c r="M761" s="12" t="str">
        <f t="shared" si="675"/>
        <v/>
      </c>
      <c r="N761" s="12"/>
      <c r="O761" s="12" t="s">
        <v>514</v>
      </c>
    </row>
    <row r="762" spans="1:15" s="7" customFormat="1" x14ac:dyDescent="0.15">
      <c r="A762" s="3">
        <f t="shared" si="578"/>
        <v>1419039</v>
      </c>
      <c r="B762" s="14">
        <f t="shared" ref="B762:D762" si="676">B722</f>
        <v>14</v>
      </c>
      <c r="C762" s="14">
        <f t="shared" si="676"/>
        <v>0</v>
      </c>
      <c r="D762" s="14">
        <f t="shared" si="676"/>
        <v>1</v>
      </c>
      <c r="E762" s="14">
        <f t="shared" si="580"/>
        <v>19</v>
      </c>
      <c r="F762" s="14">
        <f t="shared" si="575"/>
        <v>39</v>
      </c>
      <c r="G762" s="12" t="s">
        <v>792</v>
      </c>
      <c r="H762" s="12">
        <f t="shared" si="655"/>
        <v>90</v>
      </c>
      <c r="I762" s="10" t="str">
        <f>VLOOKUP(A762,战役结算奖励!$A$1:$O$800,15,0)</f>
        <v>[{"id":14,"num":60},{"id":2,"num":2500000},{"id":1,"num":3900000}]</v>
      </c>
      <c r="J762" s="12" t="str">
        <f t="shared" si="656"/>
        <v>[14,2,1]</v>
      </c>
      <c r="K762" s="12">
        <f t="shared" ref="K762:M762" si="677">IF(K722="","",K722)</f>
        <v>90</v>
      </c>
      <c r="L762" s="3" t="s">
        <v>514</v>
      </c>
      <c r="M762" s="12" t="str">
        <f t="shared" si="677"/>
        <v/>
      </c>
      <c r="N762" s="12"/>
      <c r="O762" s="12" t="s">
        <v>514</v>
      </c>
    </row>
    <row r="763" spans="1:15" s="7" customFormat="1" x14ac:dyDescent="0.15">
      <c r="A763" s="3">
        <f t="shared" si="578"/>
        <v>1419040</v>
      </c>
      <c r="B763" s="14">
        <f t="shared" ref="B763:D763" si="678">B723</f>
        <v>14</v>
      </c>
      <c r="C763" s="14">
        <f t="shared" si="678"/>
        <v>0</v>
      </c>
      <c r="D763" s="14">
        <f t="shared" si="678"/>
        <v>1</v>
      </c>
      <c r="E763" s="14">
        <f t="shared" si="580"/>
        <v>19</v>
      </c>
      <c r="F763" s="14">
        <f t="shared" si="575"/>
        <v>40</v>
      </c>
      <c r="G763" s="12" t="s">
        <v>793</v>
      </c>
      <c r="H763" s="12">
        <f t="shared" si="655"/>
        <v>90</v>
      </c>
      <c r="I763" s="10" t="str">
        <f>VLOOKUP(A763,战役结算奖励!$A$1:$O$800,15,0)</f>
        <v>[{"id":14,"num":60},{"id":2,"num":2500000},{"id":1,"num":3900000}]</v>
      </c>
      <c r="J763" s="12" t="str">
        <f t="shared" si="656"/>
        <v>[14,2,1]</v>
      </c>
      <c r="K763" s="12">
        <f t="shared" ref="K763:M763" si="679">IF(K723="","",K723)</f>
        <v>90</v>
      </c>
      <c r="L763" s="3" t="s">
        <v>1229</v>
      </c>
      <c r="M763" s="12" t="str">
        <f t="shared" si="679"/>
        <v/>
      </c>
      <c r="N763" s="12"/>
      <c r="O763" s="12">
        <v>1</v>
      </c>
    </row>
    <row r="764" spans="1:15" s="7" customFormat="1" x14ac:dyDescent="0.15">
      <c r="A764" s="3">
        <f t="shared" si="578"/>
        <v>1420001</v>
      </c>
      <c r="B764" s="14">
        <f t="shared" ref="B764:D764" si="680">B724</f>
        <v>14</v>
      </c>
      <c r="C764" s="14">
        <f t="shared" si="680"/>
        <v>0</v>
      </c>
      <c r="D764" s="14">
        <f t="shared" si="680"/>
        <v>1</v>
      </c>
      <c r="E764" s="14">
        <f t="shared" si="580"/>
        <v>20</v>
      </c>
      <c r="F764" s="14">
        <f t="shared" si="575"/>
        <v>1</v>
      </c>
      <c r="G764" s="12" t="s">
        <v>794</v>
      </c>
      <c r="H764" s="12">
        <f t="shared" si="655"/>
        <v>90</v>
      </c>
      <c r="I764" s="10" t="str">
        <f>VLOOKUP(A764,战役结算奖励!$A$1:$O$800,15,0)</f>
        <v>[{"id":14,"num":60},{"id":2,"num":2500000},{"id":1,"num":4100000}]</v>
      </c>
      <c r="J764" s="12" t="str">
        <f t="shared" si="656"/>
        <v>[14,2,1]</v>
      </c>
      <c r="K764" s="12">
        <f t="shared" ref="K764:M764" si="681">IF(K724="","",K724)</f>
        <v>87</v>
      </c>
      <c r="L764" s="3" t="s">
        <v>514</v>
      </c>
      <c r="M764" s="12" t="str">
        <f t="shared" si="681"/>
        <v/>
      </c>
      <c r="N764" s="12"/>
      <c r="O764" s="12" t="s">
        <v>514</v>
      </c>
    </row>
    <row r="765" spans="1:15" s="7" customFormat="1" x14ac:dyDescent="0.15">
      <c r="A765" s="3">
        <f t="shared" si="578"/>
        <v>1420002</v>
      </c>
      <c r="B765" s="14">
        <f t="shared" ref="B765:D765" si="682">B725</f>
        <v>14</v>
      </c>
      <c r="C765" s="14">
        <f t="shared" si="682"/>
        <v>0</v>
      </c>
      <c r="D765" s="14">
        <f t="shared" si="682"/>
        <v>1</v>
      </c>
      <c r="E765" s="14">
        <f t="shared" si="580"/>
        <v>20</v>
      </c>
      <c r="F765" s="14">
        <f t="shared" si="575"/>
        <v>2</v>
      </c>
      <c r="G765" s="12" t="s">
        <v>795</v>
      </c>
      <c r="H765" s="12">
        <f t="shared" si="655"/>
        <v>90</v>
      </c>
      <c r="I765" s="10" t="str">
        <f>VLOOKUP(A765,战役结算奖励!$A$1:$O$800,15,0)</f>
        <v>[{"id":14,"num":60},{"id":2,"num":2500000},{"id":1,"num":4100000}]</v>
      </c>
      <c r="J765" s="12" t="str">
        <f t="shared" si="656"/>
        <v>[14,2,1]</v>
      </c>
      <c r="K765" s="12">
        <f t="shared" ref="K765:M765" si="683">IF(K725="","",K725)</f>
        <v>87</v>
      </c>
      <c r="L765" s="3" t="s">
        <v>514</v>
      </c>
      <c r="M765" s="12" t="str">
        <f t="shared" si="683"/>
        <v/>
      </c>
      <c r="N765" s="12"/>
      <c r="O765" s="12" t="s">
        <v>514</v>
      </c>
    </row>
    <row r="766" spans="1:15" s="7" customFormat="1" x14ac:dyDescent="0.15">
      <c r="A766" s="3">
        <f t="shared" si="578"/>
        <v>1420003</v>
      </c>
      <c r="B766" s="14">
        <f t="shared" ref="B766:D766" si="684">B726</f>
        <v>14</v>
      </c>
      <c r="C766" s="14">
        <f t="shared" si="684"/>
        <v>0</v>
      </c>
      <c r="D766" s="14">
        <f t="shared" si="684"/>
        <v>1</v>
      </c>
      <c r="E766" s="14">
        <f t="shared" si="580"/>
        <v>20</v>
      </c>
      <c r="F766" s="14">
        <f t="shared" si="575"/>
        <v>3</v>
      </c>
      <c r="G766" s="12" t="s">
        <v>796</v>
      </c>
      <c r="H766" s="12">
        <f t="shared" si="655"/>
        <v>90</v>
      </c>
      <c r="I766" s="10" t="str">
        <f>VLOOKUP(A766,战役结算奖励!$A$1:$O$800,15,0)</f>
        <v>[{"id":14,"num":60},{"id":2,"num":2500000},{"id":1,"num":4100000}]</v>
      </c>
      <c r="J766" s="12" t="str">
        <f t="shared" si="656"/>
        <v>[14,2,1]</v>
      </c>
      <c r="K766" s="12">
        <f t="shared" ref="K766:M766" si="685">IF(K726="","",K726)</f>
        <v>87</v>
      </c>
      <c r="L766" s="3" t="s">
        <v>514</v>
      </c>
      <c r="M766" s="12" t="str">
        <f t="shared" si="685"/>
        <v/>
      </c>
      <c r="N766" s="12"/>
      <c r="O766" s="12" t="s">
        <v>514</v>
      </c>
    </row>
    <row r="767" spans="1:15" s="7" customFormat="1" x14ac:dyDescent="0.15">
      <c r="A767" s="3">
        <f t="shared" si="578"/>
        <v>1420004</v>
      </c>
      <c r="B767" s="14">
        <f t="shared" ref="B767:D767" si="686">B727</f>
        <v>14</v>
      </c>
      <c r="C767" s="14">
        <f t="shared" si="686"/>
        <v>0</v>
      </c>
      <c r="D767" s="14">
        <f t="shared" si="686"/>
        <v>1</v>
      </c>
      <c r="E767" s="14">
        <f t="shared" si="580"/>
        <v>20</v>
      </c>
      <c r="F767" s="14">
        <f t="shared" si="575"/>
        <v>4</v>
      </c>
      <c r="G767" s="12" t="s">
        <v>797</v>
      </c>
      <c r="H767" s="12">
        <f t="shared" si="655"/>
        <v>90</v>
      </c>
      <c r="I767" s="10" t="str">
        <f>VLOOKUP(A767,战役结算奖励!$A$1:$O$800,15,0)</f>
        <v>[{"id":14,"num":60},{"id":2,"num":2500000},{"id":1,"num":4100000}]</v>
      </c>
      <c r="J767" s="12" t="str">
        <f t="shared" ref="J767" si="687">J727</f>
        <v>[14,2,1]</v>
      </c>
      <c r="K767" s="12">
        <f t="shared" ref="K767:M767" si="688">IF(K727="","",K727)</f>
        <v>87</v>
      </c>
      <c r="L767" s="3" t="s">
        <v>514</v>
      </c>
      <c r="M767" s="12" t="str">
        <f t="shared" si="688"/>
        <v/>
      </c>
      <c r="N767" s="12"/>
      <c r="O767" s="12" t="s">
        <v>514</v>
      </c>
    </row>
    <row r="768" spans="1:15" s="7" customFormat="1" x14ac:dyDescent="0.15">
      <c r="A768" s="3">
        <f t="shared" si="578"/>
        <v>1420005</v>
      </c>
      <c r="B768" s="14">
        <f t="shared" ref="B768:D768" si="689">B728</f>
        <v>14</v>
      </c>
      <c r="C768" s="14">
        <f t="shared" si="689"/>
        <v>0</v>
      </c>
      <c r="D768" s="14">
        <f t="shared" si="689"/>
        <v>1</v>
      </c>
      <c r="E768" s="14">
        <f t="shared" si="580"/>
        <v>20</v>
      </c>
      <c r="F768" s="14">
        <f t="shared" si="575"/>
        <v>5</v>
      </c>
      <c r="G768" s="12" t="s">
        <v>798</v>
      </c>
      <c r="H768" s="12">
        <f t="shared" ref="H768:J768" si="690">H728</f>
        <v>90</v>
      </c>
      <c r="I768" s="10" t="str">
        <f>VLOOKUP(A768,战役结算奖励!$A$1:$O$800,15,0)</f>
        <v>[{"id":14,"num":60},{"id":2,"num":2500000},{"id":1,"num":4100000}]</v>
      </c>
      <c r="J768" s="12" t="str">
        <f t="shared" si="690"/>
        <v>[14,2,1]</v>
      </c>
      <c r="K768" s="12">
        <f t="shared" ref="K768:M768" si="691">IF(K728="","",K728)</f>
        <v>87</v>
      </c>
      <c r="L768" s="3" t="s">
        <v>514</v>
      </c>
      <c r="M768" s="12" t="str">
        <f t="shared" si="691"/>
        <v/>
      </c>
      <c r="N768" s="12"/>
      <c r="O768" s="12" t="s">
        <v>514</v>
      </c>
    </row>
    <row r="769" spans="1:15" s="7" customFormat="1" x14ac:dyDescent="0.15">
      <c r="A769" s="3">
        <f t="shared" si="578"/>
        <v>1420006</v>
      </c>
      <c r="B769" s="14">
        <f t="shared" ref="B769:D769" si="692">B729</f>
        <v>14</v>
      </c>
      <c r="C769" s="14">
        <f t="shared" si="692"/>
        <v>0</v>
      </c>
      <c r="D769" s="14">
        <f t="shared" si="692"/>
        <v>1</v>
      </c>
      <c r="E769" s="14">
        <f t="shared" si="580"/>
        <v>20</v>
      </c>
      <c r="F769" s="14">
        <f t="shared" si="575"/>
        <v>6</v>
      </c>
      <c r="G769" s="12" t="s">
        <v>799</v>
      </c>
      <c r="H769" s="12">
        <f t="shared" ref="H769:J769" si="693">H729</f>
        <v>90</v>
      </c>
      <c r="I769" s="10" t="str">
        <f>VLOOKUP(A769,战役结算奖励!$A$1:$O$800,15,0)</f>
        <v>[{"id":14,"num":60},{"id":2,"num":2500000},{"id":1,"num":4100000}]</v>
      </c>
      <c r="J769" s="12" t="str">
        <f t="shared" si="693"/>
        <v>[14,2,1]</v>
      </c>
      <c r="K769" s="12">
        <f>IF(K729="","",K729)</f>
        <v>88</v>
      </c>
      <c r="L769" s="3" t="s">
        <v>514</v>
      </c>
      <c r="M769" s="12" t="str">
        <f>IF(M729="","",M729)</f>
        <v/>
      </c>
      <c r="N769" s="12"/>
      <c r="O769" s="12" t="s">
        <v>514</v>
      </c>
    </row>
    <row r="770" spans="1:15" s="7" customFormat="1" x14ac:dyDescent="0.15">
      <c r="A770" s="3">
        <f t="shared" si="578"/>
        <v>1420007</v>
      </c>
      <c r="B770" s="14">
        <f t="shared" ref="B770:D770" si="694">B730</f>
        <v>14</v>
      </c>
      <c r="C770" s="14">
        <f t="shared" si="694"/>
        <v>0</v>
      </c>
      <c r="D770" s="14">
        <f t="shared" si="694"/>
        <v>1</v>
      </c>
      <c r="E770" s="14">
        <f t="shared" si="580"/>
        <v>20</v>
      </c>
      <c r="F770" s="14">
        <f t="shared" si="575"/>
        <v>7</v>
      </c>
      <c r="G770" s="12" t="s">
        <v>800</v>
      </c>
      <c r="H770" s="12">
        <f t="shared" ref="H770:J770" si="695">H730</f>
        <v>90</v>
      </c>
      <c r="I770" s="10" t="str">
        <f>VLOOKUP(A770,战役结算奖励!$A$1:$O$800,15,0)</f>
        <v>[{"id":14,"num":60},{"id":2,"num":2500000},{"id":1,"num":4100000}]</v>
      </c>
      <c r="J770" s="12" t="str">
        <f t="shared" si="695"/>
        <v>[14,2,1]</v>
      </c>
      <c r="K770" s="12">
        <f t="shared" ref="K770:M770" si="696">IF(K730="","",K730)</f>
        <v>88</v>
      </c>
      <c r="L770" s="3" t="s">
        <v>514</v>
      </c>
      <c r="M770" s="12" t="str">
        <f t="shared" si="696"/>
        <v/>
      </c>
      <c r="N770" s="12"/>
      <c r="O770" s="12" t="s">
        <v>514</v>
      </c>
    </row>
    <row r="771" spans="1:15" s="7" customFormat="1" x14ac:dyDescent="0.15">
      <c r="A771" s="3">
        <f t="shared" si="578"/>
        <v>1420008</v>
      </c>
      <c r="B771" s="14">
        <f t="shared" ref="B771:D771" si="697">B731</f>
        <v>14</v>
      </c>
      <c r="C771" s="14">
        <f t="shared" si="697"/>
        <v>0</v>
      </c>
      <c r="D771" s="14">
        <f t="shared" si="697"/>
        <v>1</v>
      </c>
      <c r="E771" s="14">
        <f t="shared" si="580"/>
        <v>20</v>
      </c>
      <c r="F771" s="14">
        <f t="shared" si="575"/>
        <v>8</v>
      </c>
      <c r="G771" s="12" t="s">
        <v>801</v>
      </c>
      <c r="H771" s="12">
        <f t="shared" ref="H771:J771" si="698">H731</f>
        <v>90</v>
      </c>
      <c r="I771" s="10" t="str">
        <f>VLOOKUP(A771,战役结算奖励!$A$1:$O$800,15,0)</f>
        <v>[{"id":14,"num":60},{"id":2,"num":2500000},{"id":1,"num":4100000}]</v>
      </c>
      <c r="J771" s="12" t="str">
        <f t="shared" si="698"/>
        <v>[14,2,1]</v>
      </c>
      <c r="K771" s="12">
        <f t="shared" ref="K771:M771" si="699">IF(K731="","",K731)</f>
        <v>88</v>
      </c>
      <c r="L771" s="3" t="s">
        <v>514</v>
      </c>
      <c r="M771" s="12" t="str">
        <f t="shared" si="699"/>
        <v/>
      </c>
      <c r="N771" s="12"/>
      <c r="O771" s="12" t="s">
        <v>514</v>
      </c>
    </row>
    <row r="772" spans="1:15" s="7" customFormat="1" x14ac:dyDescent="0.15">
      <c r="A772" s="3">
        <f t="shared" si="578"/>
        <v>1420009</v>
      </c>
      <c r="B772" s="14">
        <f t="shared" ref="B772:D772" si="700">B732</f>
        <v>14</v>
      </c>
      <c r="C772" s="14">
        <f t="shared" si="700"/>
        <v>0</v>
      </c>
      <c r="D772" s="14">
        <f t="shared" si="700"/>
        <v>1</v>
      </c>
      <c r="E772" s="14">
        <f t="shared" si="580"/>
        <v>20</v>
      </c>
      <c r="F772" s="14">
        <f t="shared" si="575"/>
        <v>9</v>
      </c>
      <c r="G772" s="12" t="s">
        <v>802</v>
      </c>
      <c r="H772" s="12">
        <f t="shared" ref="H772:J772" si="701">H732</f>
        <v>90</v>
      </c>
      <c r="I772" s="10" t="str">
        <f>VLOOKUP(A772,战役结算奖励!$A$1:$O$800,15,0)</f>
        <v>[{"id":14,"num":60},{"id":2,"num":2500000},{"id":1,"num":4100000}]</v>
      </c>
      <c r="J772" s="12" t="str">
        <f t="shared" si="701"/>
        <v>[14,2,1]</v>
      </c>
      <c r="K772" s="12">
        <f t="shared" ref="K772:M772" si="702">IF(K732="","",K732)</f>
        <v>88</v>
      </c>
      <c r="L772" s="3" t="s">
        <v>514</v>
      </c>
      <c r="M772" s="12" t="str">
        <f t="shared" si="702"/>
        <v/>
      </c>
      <c r="N772" s="12"/>
      <c r="O772" s="12" t="s">
        <v>514</v>
      </c>
    </row>
    <row r="773" spans="1:15" s="7" customFormat="1" x14ac:dyDescent="0.15">
      <c r="A773" s="3">
        <f t="shared" si="578"/>
        <v>1420010</v>
      </c>
      <c r="B773" s="14">
        <f t="shared" ref="B773:D773" si="703">B733</f>
        <v>14</v>
      </c>
      <c r="C773" s="14">
        <f t="shared" si="703"/>
        <v>0</v>
      </c>
      <c r="D773" s="14">
        <f t="shared" si="703"/>
        <v>1</v>
      </c>
      <c r="E773" s="14">
        <f t="shared" si="580"/>
        <v>20</v>
      </c>
      <c r="F773" s="14">
        <f t="shared" si="575"/>
        <v>10</v>
      </c>
      <c r="G773" s="12" t="s">
        <v>803</v>
      </c>
      <c r="H773" s="12">
        <f t="shared" ref="H773:J773" si="704">H733</f>
        <v>90</v>
      </c>
      <c r="I773" s="10" t="str">
        <f>VLOOKUP(A773,战役结算奖励!$A$1:$O$800,15,0)</f>
        <v>[{"id":14,"num":60},{"id":2,"num":2500000},{"id":1,"num":4100000}]</v>
      </c>
      <c r="J773" s="12" t="str">
        <f t="shared" si="704"/>
        <v>[14,2,1]</v>
      </c>
      <c r="K773" s="12">
        <f t="shared" ref="K773:M773" si="705">IF(K733="","",K733)</f>
        <v>88</v>
      </c>
      <c r="L773" s="3" t="s">
        <v>514</v>
      </c>
      <c r="M773" s="12" t="str">
        <f t="shared" si="705"/>
        <v/>
      </c>
      <c r="N773" s="12"/>
      <c r="O773" s="12" t="s">
        <v>514</v>
      </c>
    </row>
    <row r="774" spans="1:15" s="7" customFormat="1" x14ac:dyDescent="0.15">
      <c r="A774" s="3">
        <f t="shared" si="578"/>
        <v>1420011</v>
      </c>
      <c r="B774" s="14">
        <f t="shared" ref="B774:D774" si="706">B734</f>
        <v>14</v>
      </c>
      <c r="C774" s="14">
        <f t="shared" si="706"/>
        <v>0</v>
      </c>
      <c r="D774" s="14">
        <f t="shared" si="706"/>
        <v>1</v>
      </c>
      <c r="E774" s="14">
        <f t="shared" si="580"/>
        <v>20</v>
      </c>
      <c r="F774" s="14">
        <f t="shared" si="575"/>
        <v>11</v>
      </c>
      <c r="G774" s="12" t="s">
        <v>804</v>
      </c>
      <c r="H774" s="12">
        <f t="shared" ref="H774:J774" si="707">H734</f>
        <v>90</v>
      </c>
      <c r="I774" s="10" t="str">
        <f>VLOOKUP(A774,战役结算奖励!$A$1:$O$800,15,0)</f>
        <v>[{"id":14,"num":60},{"id":2,"num":2500000},{"id":1,"num":4100000}]</v>
      </c>
      <c r="J774" s="12" t="str">
        <f t="shared" si="707"/>
        <v>[14,2,1]</v>
      </c>
      <c r="K774" s="12">
        <f t="shared" ref="K774:M774" si="708">IF(K734="","",K734)</f>
        <v>89</v>
      </c>
      <c r="L774" s="3" t="s">
        <v>514</v>
      </c>
      <c r="M774" s="12" t="str">
        <f t="shared" si="708"/>
        <v/>
      </c>
      <c r="N774" s="12"/>
      <c r="O774" s="12" t="s">
        <v>514</v>
      </c>
    </row>
    <row r="775" spans="1:15" s="7" customFormat="1" x14ac:dyDescent="0.15">
      <c r="A775" s="3">
        <f t="shared" si="578"/>
        <v>1420012</v>
      </c>
      <c r="B775" s="14">
        <f t="shared" ref="B775:D775" si="709">B735</f>
        <v>14</v>
      </c>
      <c r="C775" s="14">
        <f t="shared" si="709"/>
        <v>0</v>
      </c>
      <c r="D775" s="14">
        <f t="shared" si="709"/>
        <v>1</v>
      </c>
      <c r="E775" s="14">
        <f t="shared" si="580"/>
        <v>20</v>
      </c>
      <c r="F775" s="14">
        <f t="shared" si="575"/>
        <v>12</v>
      </c>
      <c r="G775" s="12" t="s">
        <v>805</v>
      </c>
      <c r="H775" s="12">
        <f t="shared" ref="H775:J775" si="710">H735</f>
        <v>90</v>
      </c>
      <c r="I775" s="10" t="str">
        <f>VLOOKUP(A775,战役结算奖励!$A$1:$O$800,15,0)</f>
        <v>[{"id":14,"num":60},{"id":2,"num":2500000},{"id":1,"num":4100000}]</v>
      </c>
      <c r="J775" s="12" t="str">
        <f t="shared" si="710"/>
        <v>[14,2,1]</v>
      </c>
      <c r="K775" s="12">
        <f t="shared" ref="K775:M775" si="711">IF(K735="","",K735)</f>
        <v>89</v>
      </c>
      <c r="L775" s="3" t="s">
        <v>514</v>
      </c>
      <c r="M775" s="12" t="str">
        <f t="shared" si="711"/>
        <v/>
      </c>
      <c r="N775" s="12"/>
      <c r="O775" s="12" t="s">
        <v>514</v>
      </c>
    </row>
    <row r="776" spans="1:15" s="7" customFormat="1" x14ac:dyDescent="0.15">
      <c r="A776" s="3">
        <f t="shared" si="578"/>
        <v>1420013</v>
      </c>
      <c r="B776" s="14">
        <f t="shared" ref="B776:D776" si="712">B736</f>
        <v>14</v>
      </c>
      <c r="C776" s="14">
        <f t="shared" si="712"/>
        <v>0</v>
      </c>
      <c r="D776" s="14">
        <f t="shared" si="712"/>
        <v>1</v>
      </c>
      <c r="E776" s="14">
        <f t="shared" si="580"/>
        <v>20</v>
      </c>
      <c r="F776" s="14">
        <f t="shared" si="575"/>
        <v>13</v>
      </c>
      <c r="G776" s="12" t="s">
        <v>806</v>
      </c>
      <c r="H776" s="12">
        <f t="shared" ref="H776:J776" si="713">H736</f>
        <v>90</v>
      </c>
      <c r="I776" s="10" t="str">
        <f>VLOOKUP(A776,战役结算奖励!$A$1:$O$800,15,0)</f>
        <v>[{"id":14,"num":60},{"id":2,"num":2500000},{"id":1,"num":4100000}]</v>
      </c>
      <c r="J776" s="12" t="str">
        <f t="shared" si="713"/>
        <v>[14,2,1]</v>
      </c>
      <c r="K776" s="12">
        <f t="shared" ref="K776:M776" si="714">IF(K736="","",K736)</f>
        <v>89</v>
      </c>
      <c r="L776" s="3" t="s">
        <v>514</v>
      </c>
      <c r="M776" s="12" t="str">
        <f t="shared" si="714"/>
        <v/>
      </c>
      <c r="N776" s="12"/>
      <c r="O776" s="12" t="s">
        <v>514</v>
      </c>
    </row>
    <row r="777" spans="1:15" s="7" customFormat="1" x14ac:dyDescent="0.15">
      <c r="A777" s="3">
        <f t="shared" si="578"/>
        <v>1420014</v>
      </c>
      <c r="B777" s="14">
        <f t="shared" ref="B777:D777" si="715">B737</f>
        <v>14</v>
      </c>
      <c r="C777" s="14">
        <f t="shared" si="715"/>
        <v>0</v>
      </c>
      <c r="D777" s="14">
        <f t="shared" si="715"/>
        <v>1</v>
      </c>
      <c r="E777" s="14">
        <f t="shared" si="580"/>
        <v>20</v>
      </c>
      <c r="F777" s="14">
        <f t="shared" si="575"/>
        <v>14</v>
      </c>
      <c r="G777" s="12" t="s">
        <v>807</v>
      </c>
      <c r="H777" s="12">
        <f t="shared" ref="H777:J777" si="716">H737</f>
        <v>90</v>
      </c>
      <c r="I777" s="10" t="str">
        <f>VLOOKUP(A777,战役结算奖励!$A$1:$O$800,15,0)</f>
        <v>[{"id":14,"num":60},{"id":2,"num":2500000},{"id":1,"num":4100000}]</v>
      </c>
      <c r="J777" s="12" t="str">
        <f t="shared" si="716"/>
        <v>[14,2,1]</v>
      </c>
      <c r="K777" s="12">
        <f t="shared" ref="K777:M777" si="717">IF(K737="","",K737)</f>
        <v>89</v>
      </c>
      <c r="L777" s="3" t="s">
        <v>514</v>
      </c>
      <c r="M777" s="12" t="str">
        <f t="shared" si="717"/>
        <v/>
      </c>
      <c r="N777" s="12"/>
      <c r="O777" s="12" t="s">
        <v>514</v>
      </c>
    </row>
    <row r="778" spans="1:15" s="7" customFormat="1" x14ac:dyDescent="0.15">
      <c r="A778" s="3">
        <f t="shared" si="578"/>
        <v>1420015</v>
      </c>
      <c r="B778" s="14">
        <f t="shared" ref="B778:D778" si="718">B738</f>
        <v>14</v>
      </c>
      <c r="C778" s="14">
        <f t="shared" si="718"/>
        <v>0</v>
      </c>
      <c r="D778" s="14">
        <f t="shared" si="718"/>
        <v>1</v>
      </c>
      <c r="E778" s="14">
        <f t="shared" si="580"/>
        <v>20</v>
      </c>
      <c r="F778" s="14">
        <f t="shared" si="575"/>
        <v>15</v>
      </c>
      <c r="G778" s="12" t="s">
        <v>808</v>
      </c>
      <c r="H778" s="12">
        <f t="shared" ref="H778:J778" si="719">H738</f>
        <v>90</v>
      </c>
      <c r="I778" s="10" t="str">
        <f>VLOOKUP(A778,战役结算奖励!$A$1:$O$800,15,0)</f>
        <v>[{"id":14,"num":60},{"id":2,"num":2500000},{"id":1,"num":4100000}]</v>
      </c>
      <c r="J778" s="12" t="str">
        <f t="shared" si="719"/>
        <v>[14,2,1]</v>
      </c>
      <c r="K778" s="12">
        <f t="shared" ref="K778:M778" si="720">IF(K738="","",K738)</f>
        <v>89</v>
      </c>
      <c r="L778" s="3" t="s">
        <v>514</v>
      </c>
      <c r="M778" s="12" t="str">
        <f t="shared" si="720"/>
        <v/>
      </c>
      <c r="N778" s="12"/>
      <c r="O778" s="12" t="s">
        <v>514</v>
      </c>
    </row>
    <row r="779" spans="1:15" s="7" customFormat="1" x14ac:dyDescent="0.15">
      <c r="A779" s="3">
        <f t="shared" si="578"/>
        <v>1420016</v>
      </c>
      <c r="B779" s="14">
        <f t="shared" ref="B779:D779" si="721">B739</f>
        <v>14</v>
      </c>
      <c r="C779" s="14">
        <f t="shared" si="721"/>
        <v>0</v>
      </c>
      <c r="D779" s="14">
        <f t="shared" si="721"/>
        <v>1</v>
      </c>
      <c r="E779" s="14">
        <f t="shared" si="580"/>
        <v>20</v>
      </c>
      <c r="F779" s="14">
        <f t="shared" si="575"/>
        <v>16</v>
      </c>
      <c r="G779" s="12" t="s">
        <v>809</v>
      </c>
      <c r="H779" s="12">
        <f t="shared" ref="H779:J779" si="722">H739</f>
        <v>90</v>
      </c>
      <c r="I779" s="10" t="str">
        <f>VLOOKUP(A779,战役结算奖励!$A$1:$O$800,15,0)</f>
        <v>[{"id":14,"num":60},{"id":2,"num":2500000},{"id":1,"num":4100000}]</v>
      </c>
      <c r="J779" s="12" t="str">
        <f t="shared" si="722"/>
        <v>[14,2,1]</v>
      </c>
      <c r="K779" s="12">
        <f t="shared" ref="K779:M779" si="723">IF(K739="","",K739)</f>
        <v>90</v>
      </c>
      <c r="L779" s="3" t="s">
        <v>514</v>
      </c>
      <c r="M779" s="12" t="str">
        <f t="shared" si="723"/>
        <v/>
      </c>
      <c r="N779" s="12"/>
      <c r="O779" s="12" t="s">
        <v>514</v>
      </c>
    </row>
    <row r="780" spans="1:15" s="7" customFormat="1" x14ac:dyDescent="0.15">
      <c r="A780" s="3">
        <f t="shared" si="578"/>
        <v>1420017</v>
      </c>
      <c r="B780" s="14">
        <f t="shared" ref="B780:D780" si="724">B740</f>
        <v>14</v>
      </c>
      <c r="C780" s="14">
        <f t="shared" si="724"/>
        <v>0</v>
      </c>
      <c r="D780" s="14">
        <f t="shared" si="724"/>
        <v>1</v>
      </c>
      <c r="E780" s="14">
        <f t="shared" si="580"/>
        <v>20</v>
      </c>
      <c r="F780" s="14">
        <f>F740</f>
        <v>17</v>
      </c>
      <c r="G780" s="12" t="s">
        <v>810</v>
      </c>
      <c r="H780" s="12">
        <f t="shared" ref="H780:J780" si="725">H740</f>
        <v>90</v>
      </c>
      <c r="I780" s="10" t="str">
        <f>VLOOKUP(A780,战役结算奖励!$A$1:$O$800,15,0)</f>
        <v>[{"id":14,"num":60},{"id":2,"num":2500000},{"id":1,"num":4100000}]</v>
      </c>
      <c r="J780" s="12" t="str">
        <f t="shared" si="725"/>
        <v>[14,2,1]</v>
      </c>
      <c r="K780" s="12">
        <f t="shared" ref="K780:M780" si="726">IF(K740="","",K740)</f>
        <v>90</v>
      </c>
      <c r="L780" s="3" t="s">
        <v>514</v>
      </c>
      <c r="M780" s="12" t="str">
        <f t="shared" si="726"/>
        <v/>
      </c>
      <c r="N780" s="12"/>
      <c r="O780" s="12" t="s">
        <v>514</v>
      </c>
    </row>
    <row r="781" spans="1:15" s="7" customFormat="1" x14ac:dyDescent="0.15">
      <c r="A781" s="3">
        <f t="shared" ref="A781:A790" si="727">B781*100000+E781*1000+F781</f>
        <v>1420018</v>
      </c>
      <c r="B781" s="14">
        <f t="shared" ref="B781:D781" si="728">B741</f>
        <v>14</v>
      </c>
      <c r="C781" s="14">
        <f t="shared" si="728"/>
        <v>0</v>
      </c>
      <c r="D781" s="14">
        <f t="shared" si="728"/>
        <v>1</v>
      </c>
      <c r="E781" s="14">
        <f t="shared" ref="E781:E788" si="729">E741+1</f>
        <v>20</v>
      </c>
      <c r="F781" s="14">
        <f t="shared" ref="F781:J787" si="730">F741</f>
        <v>18</v>
      </c>
      <c r="G781" s="12" t="s">
        <v>811</v>
      </c>
      <c r="H781" s="12">
        <f t="shared" si="730"/>
        <v>90</v>
      </c>
      <c r="I781" s="10" t="str">
        <f>VLOOKUP(A781,战役结算奖励!$A$1:$O$800,15,0)</f>
        <v>[{"id":14,"num":60},{"id":2,"num":2500000},{"id":1,"num":4100000}]</v>
      </c>
      <c r="J781" s="12" t="str">
        <f t="shared" si="730"/>
        <v>[14,2,1]</v>
      </c>
      <c r="K781" s="12">
        <f t="shared" ref="K781:M781" si="731">IF(K741="","",K741)</f>
        <v>90</v>
      </c>
      <c r="L781" s="3" t="s">
        <v>514</v>
      </c>
      <c r="M781" s="12" t="str">
        <f t="shared" si="731"/>
        <v/>
      </c>
      <c r="N781" s="12"/>
      <c r="O781" s="12" t="s">
        <v>514</v>
      </c>
    </row>
    <row r="782" spans="1:15" s="7" customFormat="1" x14ac:dyDescent="0.15">
      <c r="A782" s="3">
        <f t="shared" si="727"/>
        <v>1420019</v>
      </c>
      <c r="B782" s="14">
        <f t="shared" ref="B782:D782" si="732">B742</f>
        <v>14</v>
      </c>
      <c r="C782" s="14">
        <f t="shared" si="732"/>
        <v>0</v>
      </c>
      <c r="D782" s="14">
        <f t="shared" si="732"/>
        <v>1</v>
      </c>
      <c r="E782" s="14">
        <f t="shared" si="729"/>
        <v>20</v>
      </c>
      <c r="F782" s="14">
        <f t="shared" si="730"/>
        <v>19</v>
      </c>
      <c r="G782" s="12" t="s">
        <v>812</v>
      </c>
      <c r="H782" s="12">
        <f t="shared" si="730"/>
        <v>90</v>
      </c>
      <c r="I782" s="10" t="str">
        <f>VLOOKUP(A782,战役结算奖励!$A$1:$O$800,15,0)</f>
        <v>[{"id":14,"num":60},{"id":2,"num":2500000},{"id":1,"num":4100000}]</v>
      </c>
      <c r="J782" s="12" t="str">
        <f t="shared" si="730"/>
        <v>[14,2,1]</v>
      </c>
      <c r="K782" s="12">
        <f t="shared" ref="K782:M782" si="733">IF(K742="","",K742)</f>
        <v>90</v>
      </c>
      <c r="L782" s="3" t="s">
        <v>514</v>
      </c>
      <c r="M782" s="12" t="str">
        <f t="shared" si="733"/>
        <v/>
      </c>
      <c r="N782" s="12"/>
      <c r="O782" s="12" t="s">
        <v>514</v>
      </c>
    </row>
    <row r="783" spans="1:15" s="7" customFormat="1" x14ac:dyDescent="0.15">
      <c r="A783" s="3">
        <f t="shared" si="727"/>
        <v>1420020</v>
      </c>
      <c r="B783" s="14">
        <f t="shared" ref="B783:D783" si="734">B743</f>
        <v>14</v>
      </c>
      <c r="C783" s="14">
        <f t="shared" si="734"/>
        <v>0</v>
      </c>
      <c r="D783" s="14">
        <f t="shared" si="734"/>
        <v>1</v>
      </c>
      <c r="E783" s="14">
        <f t="shared" si="729"/>
        <v>20</v>
      </c>
      <c r="F783" s="14">
        <f t="shared" si="730"/>
        <v>20</v>
      </c>
      <c r="G783" s="12" t="s">
        <v>1194</v>
      </c>
      <c r="H783" s="12">
        <f t="shared" si="730"/>
        <v>90</v>
      </c>
      <c r="I783" s="10" t="str">
        <f>VLOOKUP(A783,战役结算奖励!$A$1:$O$800,15,0)</f>
        <v>[{"id":14,"num":60},{"id":2,"num":2500000},{"id":1,"num":4100000}]</v>
      </c>
      <c r="J783" s="12" t="str">
        <f t="shared" si="730"/>
        <v>[14,2,1]</v>
      </c>
      <c r="K783" s="12">
        <f t="shared" ref="K783:M783" si="735">IF(K743="","",K743)</f>
        <v>90</v>
      </c>
      <c r="L783" s="3" t="s">
        <v>514</v>
      </c>
      <c r="M783" s="12" t="str">
        <f t="shared" si="735"/>
        <v/>
      </c>
      <c r="N783" s="12"/>
      <c r="O783" s="12" t="s">
        <v>514</v>
      </c>
    </row>
    <row r="784" spans="1:15" s="7" customFormat="1" x14ac:dyDescent="0.15">
      <c r="A784" s="3">
        <f t="shared" si="727"/>
        <v>1420021</v>
      </c>
      <c r="B784" s="14">
        <f t="shared" ref="B784:D784" si="736">B744</f>
        <v>14</v>
      </c>
      <c r="C784" s="14">
        <f t="shared" si="736"/>
        <v>0</v>
      </c>
      <c r="D784" s="14">
        <f t="shared" si="736"/>
        <v>1</v>
      </c>
      <c r="E784" s="14">
        <f t="shared" si="729"/>
        <v>20</v>
      </c>
      <c r="F784" s="14">
        <f t="shared" si="730"/>
        <v>21</v>
      </c>
      <c r="G784" s="12" t="s">
        <v>1195</v>
      </c>
      <c r="H784" s="12">
        <f t="shared" si="730"/>
        <v>90</v>
      </c>
      <c r="I784" s="10" t="str">
        <f>VLOOKUP(A784,战役结算奖励!$A$1:$O$800,15,0)</f>
        <v>[{"id":14,"num":60},{"id":2,"num":2500000},{"id":1,"num":4100000}]</v>
      </c>
      <c r="J784" s="12" t="str">
        <f t="shared" si="730"/>
        <v>[14,2,1]</v>
      </c>
      <c r="K784" s="12">
        <f t="shared" ref="K784:M784" si="737">IF(K744="","",K744)</f>
        <v>90</v>
      </c>
      <c r="L784" s="3" t="s">
        <v>514</v>
      </c>
      <c r="M784" s="12" t="str">
        <f t="shared" si="737"/>
        <v/>
      </c>
      <c r="N784" s="12"/>
      <c r="O784" s="12" t="s">
        <v>514</v>
      </c>
    </row>
    <row r="785" spans="1:15" s="7" customFormat="1" x14ac:dyDescent="0.15">
      <c r="A785" s="3">
        <f t="shared" si="727"/>
        <v>1420022</v>
      </c>
      <c r="B785" s="14">
        <f t="shared" ref="B785:D785" si="738">B745</f>
        <v>14</v>
      </c>
      <c r="C785" s="14">
        <f t="shared" si="738"/>
        <v>0</v>
      </c>
      <c r="D785" s="14">
        <f t="shared" si="738"/>
        <v>1</v>
      </c>
      <c r="E785" s="14">
        <f t="shared" si="729"/>
        <v>20</v>
      </c>
      <c r="F785" s="14">
        <f t="shared" si="730"/>
        <v>22</v>
      </c>
      <c r="G785" s="12" t="s">
        <v>1196</v>
      </c>
      <c r="H785" s="12">
        <f t="shared" si="730"/>
        <v>90</v>
      </c>
      <c r="I785" s="10" t="str">
        <f>VLOOKUP(A785,战役结算奖励!$A$1:$O$800,15,0)</f>
        <v>[{"id":14,"num":60},{"id":2,"num":2500000},{"id":1,"num":4100000}]</v>
      </c>
      <c r="J785" s="12" t="str">
        <f t="shared" si="730"/>
        <v>[14,2,1]</v>
      </c>
      <c r="K785" s="12">
        <f t="shared" ref="K785:M785" si="739">IF(K745="","",K745)</f>
        <v>90</v>
      </c>
      <c r="L785" s="3" t="s">
        <v>514</v>
      </c>
      <c r="M785" s="12" t="str">
        <f t="shared" si="739"/>
        <v/>
      </c>
      <c r="N785" s="12"/>
      <c r="O785" s="12" t="s">
        <v>514</v>
      </c>
    </row>
    <row r="786" spans="1:15" s="7" customFormat="1" x14ac:dyDescent="0.15">
      <c r="A786" s="3">
        <f t="shared" si="727"/>
        <v>1420023</v>
      </c>
      <c r="B786" s="14">
        <f t="shared" ref="B786:D786" si="740">B746</f>
        <v>14</v>
      </c>
      <c r="C786" s="14">
        <f t="shared" si="740"/>
        <v>0</v>
      </c>
      <c r="D786" s="14">
        <f t="shared" si="740"/>
        <v>1</v>
      </c>
      <c r="E786" s="14">
        <f t="shared" si="729"/>
        <v>20</v>
      </c>
      <c r="F786" s="14">
        <f t="shared" si="730"/>
        <v>23</v>
      </c>
      <c r="G786" s="12" t="s">
        <v>1197</v>
      </c>
      <c r="H786" s="12">
        <f t="shared" si="730"/>
        <v>90</v>
      </c>
      <c r="I786" s="10" t="str">
        <f>VLOOKUP(A786,战役结算奖励!$A$1:$O$800,15,0)</f>
        <v>[{"id":14,"num":60},{"id":2,"num":2500000},{"id":1,"num":4100000}]</v>
      </c>
      <c r="J786" s="12" t="str">
        <f t="shared" si="730"/>
        <v>[14,2,1]</v>
      </c>
      <c r="K786" s="12">
        <f t="shared" ref="K786:M786" si="741">IF(K746="","",K746)</f>
        <v>90</v>
      </c>
      <c r="L786" s="3" t="s">
        <v>514</v>
      </c>
      <c r="M786" s="12" t="str">
        <f t="shared" si="741"/>
        <v/>
      </c>
      <c r="N786" s="12"/>
      <c r="O786" s="12" t="s">
        <v>514</v>
      </c>
    </row>
    <row r="787" spans="1:15" s="7" customFormat="1" x14ac:dyDescent="0.15">
      <c r="A787" s="3">
        <f t="shared" si="727"/>
        <v>1420024</v>
      </c>
      <c r="B787" s="14">
        <f t="shared" ref="B787:D787" si="742">B747</f>
        <v>14</v>
      </c>
      <c r="C787" s="14">
        <f t="shared" si="742"/>
        <v>0</v>
      </c>
      <c r="D787" s="14">
        <f t="shared" si="742"/>
        <v>1</v>
      </c>
      <c r="E787" s="14">
        <f t="shared" si="729"/>
        <v>20</v>
      </c>
      <c r="F787" s="14">
        <f t="shared" si="730"/>
        <v>24</v>
      </c>
      <c r="G787" s="12" t="s">
        <v>1198</v>
      </c>
      <c r="H787" s="12">
        <f t="shared" ref="H787:J787" si="743">H747</f>
        <v>90</v>
      </c>
      <c r="I787" s="10" t="str">
        <f>VLOOKUP(A787,战役结算奖励!$A$1:$O$800,15,0)</f>
        <v>[{"id":14,"num":60},{"id":2,"num":2500000},{"id":1,"num":4100000}]</v>
      </c>
      <c r="J787" s="12" t="str">
        <f t="shared" si="743"/>
        <v>[14,2,1]</v>
      </c>
      <c r="K787" s="12">
        <f>IF(K747="","",K747)</f>
        <v>90</v>
      </c>
      <c r="L787" s="3" t="s">
        <v>514</v>
      </c>
      <c r="M787" s="12" t="str">
        <f>IF(M747="","",M747)</f>
        <v/>
      </c>
      <c r="N787" s="12"/>
      <c r="O787" s="12" t="s">
        <v>514</v>
      </c>
    </row>
    <row r="788" spans="1:15" s="7" customFormat="1" x14ac:dyDescent="0.15">
      <c r="A788" s="3">
        <f t="shared" si="727"/>
        <v>1420025</v>
      </c>
      <c r="B788" s="14">
        <f>B748</f>
        <v>14</v>
      </c>
      <c r="C788" s="14">
        <f>C748</f>
        <v>0</v>
      </c>
      <c r="D788" s="14">
        <f>D748</f>
        <v>1</v>
      </c>
      <c r="E788" s="14">
        <f t="shared" si="729"/>
        <v>20</v>
      </c>
      <c r="F788" s="14">
        <f>F748</f>
        <v>25</v>
      </c>
      <c r="G788" s="12" t="s">
        <v>1199</v>
      </c>
      <c r="H788" s="12">
        <f t="shared" ref="H788:J788" si="744">H748</f>
        <v>90</v>
      </c>
      <c r="I788" s="10" t="str">
        <f>VLOOKUP(A788,战役结算奖励!$A$1:$O$800,15,0)</f>
        <v>[{"id":14,"num":60},{"id":2,"num":2500000},{"id":1,"num":4100000}]</v>
      </c>
      <c r="J788" s="12" t="str">
        <f t="shared" si="744"/>
        <v>[14,2,1]</v>
      </c>
      <c r="K788" s="12">
        <f t="shared" ref="K788:M788" si="745">IF(K748="","",K748)</f>
        <v>90</v>
      </c>
      <c r="L788" s="3" t="s">
        <v>514</v>
      </c>
      <c r="M788" s="12" t="str">
        <f t="shared" si="745"/>
        <v/>
      </c>
      <c r="N788" s="12"/>
      <c r="O788" s="12" t="s">
        <v>514</v>
      </c>
    </row>
    <row r="789" spans="1:15" s="7" customFormat="1" x14ac:dyDescent="0.15">
      <c r="A789" s="3">
        <f t="shared" si="727"/>
        <v>1420026</v>
      </c>
      <c r="B789" s="14">
        <f t="shared" ref="B789:D789" si="746">B749</f>
        <v>14</v>
      </c>
      <c r="C789" s="14">
        <f t="shared" si="746"/>
        <v>0</v>
      </c>
      <c r="D789" s="14">
        <f t="shared" si="746"/>
        <v>1</v>
      </c>
      <c r="E789" s="14">
        <f t="shared" ref="E789:E803" si="747">E749+1</f>
        <v>20</v>
      </c>
      <c r="F789" s="14">
        <f t="shared" ref="F789:J803" si="748">F749</f>
        <v>26</v>
      </c>
      <c r="G789" s="12" t="s">
        <v>1200</v>
      </c>
      <c r="H789" s="12">
        <f t="shared" si="748"/>
        <v>90</v>
      </c>
      <c r="I789" s="10" t="str">
        <f>VLOOKUP(A789,战役结算奖励!$A$1:$O$800,15,0)</f>
        <v>[{"id":14,"num":60},{"id":2,"num":2500000},{"id":1,"num":4100000}]</v>
      </c>
      <c r="J789" s="12" t="str">
        <f t="shared" si="748"/>
        <v>[14,2,1]</v>
      </c>
      <c r="K789" s="12">
        <f t="shared" ref="K789:M789" si="749">IF(K749="","",K749)</f>
        <v>90</v>
      </c>
      <c r="L789" s="3" t="s">
        <v>514</v>
      </c>
      <c r="M789" s="12" t="str">
        <f t="shared" si="749"/>
        <v/>
      </c>
      <c r="N789" s="12"/>
      <c r="O789" s="12" t="s">
        <v>514</v>
      </c>
    </row>
    <row r="790" spans="1:15" s="7" customFormat="1" x14ac:dyDescent="0.15">
      <c r="A790" s="3">
        <f t="shared" si="727"/>
        <v>1420027</v>
      </c>
      <c r="B790" s="14">
        <f t="shared" ref="B790:D790" si="750">B750</f>
        <v>14</v>
      </c>
      <c r="C790" s="14">
        <f t="shared" si="750"/>
        <v>0</v>
      </c>
      <c r="D790" s="14">
        <f t="shared" si="750"/>
        <v>1</v>
      </c>
      <c r="E790" s="14">
        <f t="shared" si="747"/>
        <v>20</v>
      </c>
      <c r="F790" s="14">
        <f t="shared" si="748"/>
        <v>27</v>
      </c>
      <c r="G790" s="12" t="s">
        <v>1201</v>
      </c>
      <c r="H790" s="12">
        <f t="shared" si="748"/>
        <v>90</v>
      </c>
      <c r="I790" s="10" t="str">
        <f>VLOOKUP(A790,战役结算奖励!$A$1:$O$800,15,0)</f>
        <v>[{"id":14,"num":60},{"id":2,"num":2500000},{"id":1,"num":4100000}]</v>
      </c>
      <c r="J790" s="12" t="str">
        <f t="shared" si="748"/>
        <v>[14,2,1]</v>
      </c>
      <c r="K790" s="12">
        <f t="shared" ref="K790:M790" si="751">IF(K750="","",K750)</f>
        <v>90</v>
      </c>
      <c r="L790" s="3" t="s">
        <v>514</v>
      </c>
      <c r="M790" s="12" t="str">
        <f t="shared" si="751"/>
        <v/>
      </c>
      <c r="N790" s="12"/>
      <c r="O790" s="12" t="s">
        <v>514</v>
      </c>
    </row>
    <row r="791" spans="1:15" s="7" customFormat="1" x14ac:dyDescent="0.15">
      <c r="A791" s="3">
        <f t="shared" ref="A791:A798" si="752">B791*100000+E791*1000+F791</f>
        <v>1420028</v>
      </c>
      <c r="B791" s="14">
        <f t="shared" ref="B791:D791" si="753">B751</f>
        <v>14</v>
      </c>
      <c r="C791" s="14">
        <f t="shared" si="753"/>
        <v>0</v>
      </c>
      <c r="D791" s="14">
        <f t="shared" si="753"/>
        <v>1</v>
      </c>
      <c r="E791" s="14">
        <f t="shared" si="747"/>
        <v>20</v>
      </c>
      <c r="F791" s="14">
        <f t="shared" si="748"/>
        <v>28</v>
      </c>
      <c r="G791" s="12" t="s">
        <v>1202</v>
      </c>
      <c r="H791" s="12">
        <f t="shared" si="748"/>
        <v>90</v>
      </c>
      <c r="I791" s="10" t="str">
        <f>VLOOKUP(A791,战役结算奖励!$A$1:$O$800,15,0)</f>
        <v>[{"id":14,"num":60},{"id":2,"num":2500000},{"id":1,"num":4100000}]</v>
      </c>
      <c r="J791" s="12" t="str">
        <f t="shared" si="748"/>
        <v>[14,2,1]</v>
      </c>
      <c r="K791" s="12">
        <f t="shared" ref="K791:M791" si="754">IF(K751="","",K751)</f>
        <v>90</v>
      </c>
      <c r="L791" s="3" t="s">
        <v>514</v>
      </c>
      <c r="M791" s="12" t="str">
        <f t="shared" si="754"/>
        <v/>
      </c>
      <c r="N791" s="12"/>
      <c r="O791" s="12" t="s">
        <v>514</v>
      </c>
    </row>
    <row r="792" spans="1:15" s="7" customFormat="1" x14ac:dyDescent="0.15">
      <c r="A792" s="3">
        <f t="shared" si="752"/>
        <v>1420029</v>
      </c>
      <c r="B792" s="14">
        <f t="shared" ref="B792:D792" si="755">B752</f>
        <v>14</v>
      </c>
      <c r="C792" s="14">
        <f t="shared" si="755"/>
        <v>0</v>
      </c>
      <c r="D792" s="14">
        <f t="shared" si="755"/>
        <v>1</v>
      </c>
      <c r="E792" s="14">
        <f t="shared" si="747"/>
        <v>20</v>
      </c>
      <c r="F792" s="14">
        <f t="shared" si="748"/>
        <v>29</v>
      </c>
      <c r="G792" s="12" t="s">
        <v>1203</v>
      </c>
      <c r="H792" s="12">
        <f t="shared" si="748"/>
        <v>90</v>
      </c>
      <c r="I792" s="10" t="str">
        <f>VLOOKUP(A792,战役结算奖励!$A$1:$O$800,15,0)</f>
        <v>[{"id":14,"num":60},{"id":2,"num":2500000},{"id":1,"num":4100000}]</v>
      </c>
      <c r="J792" s="12" t="str">
        <f t="shared" si="748"/>
        <v>[14,2,1]</v>
      </c>
      <c r="K792" s="12">
        <f t="shared" ref="K792:M792" si="756">IF(K752="","",K752)</f>
        <v>90</v>
      </c>
      <c r="L792" s="3" t="s">
        <v>514</v>
      </c>
      <c r="M792" s="12" t="str">
        <f t="shared" si="756"/>
        <v/>
      </c>
      <c r="N792" s="12"/>
      <c r="O792" s="12" t="s">
        <v>514</v>
      </c>
    </row>
    <row r="793" spans="1:15" s="7" customFormat="1" x14ac:dyDescent="0.15">
      <c r="A793" s="3">
        <f t="shared" si="752"/>
        <v>1420030</v>
      </c>
      <c r="B793" s="14">
        <f t="shared" ref="B793:D793" si="757">B753</f>
        <v>14</v>
      </c>
      <c r="C793" s="14">
        <f t="shared" si="757"/>
        <v>0</v>
      </c>
      <c r="D793" s="14">
        <f t="shared" si="757"/>
        <v>1</v>
      </c>
      <c r="E793" s="14">
        <f t="shared" si="747"/>
        <v>20</v>
      </c>
      <c r="F793" s="14">
        <f t="shared" si="748"/>
        <v>30</v>
      </c>
      <c r="G793" s="12" t="s">
        <v>1204</v>
      </c>
      <c r="H793" s="12">
        <f t="shared" si="748"/>
        <v>90</v>
      </c>
      <c r="I793" s="10" t="str">
        <f>VLOOKUP(A793,战役结算奖励!$A$1:$O$800,15,0)</f>
        <v>[{"id":14,"num":60},{"id":2,"num":2500000},{"id":1,"num":4100000}]</v>
      </c>
      <c r="J793" s="12" t="str">
        <f t="shared" si="748"/>
        <v>[14,2,1]</v>
      </c>
      <c r="K793" s="12">
        <f t="shared" ref="K793:M793" si="758">IF(K753="","",K753)</f>
        <v>90</v>
      </c>
      <c r="L793" s="3" t="s">
        <v>514</v>
      </c>
      <c r="M793" s="12" t="str">
        <f t="shared" si="758"/>
        <v/>
      </c>
      <c r="N793" s="12"/>
      <c r="O793" s="12" t="s">
        <v>514</v>
      </c>
    </row>
    <row r="794" spans="1:15" s="7" customFormat="1" x14ac:dyDescent="0.15">
      <c r="A794" s="3">
        <f t="shared" si="752"/>
        <v>1420031</v>
      </c>
      <c r="B794" s="14">
        <f t="shared" ref="B794:D794" si="759">B754</f>
        <v>14</v>
      </c>
      <c r="C794" s="14">
        <f t="shared" si="759"/>
        <v>0</v>
      </c>
      <c r="D794" s="14">
        <f t="shared" si="759"/>
        <v>1</v>
      </c>
      <c r="E794" s="14">
        <f t="shared" si="747"/>
        <v>20</v>
      </c>
      <c r="F794" s="14">
        <f t="shared" si="748"/>
        <v>31</v>
      </c>
      <c r="G794" s="12" t="s">
        <v>1205</v>
      </c>
      <c r="H794" s="12">
        <f t="shared" si="748"/>
        <v>90</v>
      </c>
      <c r="I794" s="10" t="str">
        <f>VLOOKUP(A794,战役结算奖励!$A$1:$O$800,15,0)</f>
        <v>[{"id":14,"num":60},{"id":2,"num":2500000},{"id":1,"num":4100000}]</v>
      </c>
      <c r="J794" s="12" t="str">
        <f t="shared" si="748"/>
        <v>[14,2,1]</v>
      </c>
      <c r="K794" s="12">
        <f t="shared" ref="K794:M794" si="760">IF(K754="","",K754)</f>
        <v>90</v>
      </c>
      <c r="L794" s="3" t="s">
        <v>514</v>
      </c>
      <c r="M794" s="12" t="str">
        <f t="shared" si="760"/>
        <v/>
      </c>
      <c r="N794" s="12"/>
      <c r="O794" s="12" t="s">
        <v>514</v>
      </c>
    </row>
    <row r="795" spans="1:15" s="7" customFormat="1" x14ac:dyDescent="0.15">
      <c r="A795" s="3">
        <f t="shared" si="752"/>
        <v>1420032</v>
      </c>
      <c r="B795" s="14">
        <f t="shared" ref="B795:D795" si="761">B755</f>
        <v>14</v>
      </c>
      <c r="C795" s="14">
        <f t="shared" si="761"/>
        <v>0</v>
      </c>
      <c r="D795" s="14">
        <f t="shared" si="761"/>
        <v>1</v>
      </c>
      <c r="E795" s="14">
        <f t="shared" si="747"/>
        <v>20</v>
      </c>
      <c r="F795" s="14">
        <f t="shared" si="748"/>
        <v>32</v>
      </c>
      <c r="G795" s="12" t="s">
        <v>1206</v>
      </c>
      <c r="H795" s="12">
        <f t="shared" si="748"/>
        <v>90</v>
      </c>
      <c r="I795" s="10" t="str">
        <f>VLOOKUP(A795,战役结算奖励!$A$1:$O$800,15,0)</f>
        <v>[{"id":14,"num":60},{"id":2,"num":2500000},{"id":1,"num":4100000}]</v>
      </c>
      <c r="J795" s="12" t="str">
        <f t="shared" si="748"/>
        <v>[14,2,1]</v>
      </c>
      <c r="K795" s="12">
        <f t="shared" ref="K795:M795" si="762">IF(K755="","",K755)</f>
        <v>90</v>
      </c>
      <c r="L795" s="3" t="s">
        <v>514</v>
      </c>
      <c r="M795" s="12" t="str">
        <f t="shared" si="762"/>
        <v/>
      </c>
      <c r="N795" s="12"/>
      <c r="O795" s="12" t="s">
        <v>514</v>
      </c>
    </row>
    <row r="796" spans="1:15" s="7" customFormat="1" x14ac:dyDescent="0.15">
      <c r="A796" s="3">
        <f t="shared" si="752"/>
        <v>1420033</v>
      </c>
      <c r="B796" s="14">
        <f t="shared" ref="B796:D796" si="763">B756</f>
        <v>14</v>
      </c>
      <c r="C796" s="14">
        <f t="shared" si="763"/>
        <v>0</v>
      </c>
      <c r="D796" s="14">
        <f t="shared" si="763"/>
        <v>1</v>
      </c>
      <c r="E796" s="14">
        <f t="shared" si="747"/>
        <v>20</v>
      </c>
      <c r="F796" s="14">
        <f t="shared" si="748"/>
        <v>33</v>
      </c>
      <c r="G796" s="12" t="s">
        <v>1207</v>
      </c>
      <c r="H796" s="12">
        <f t="shared" si="748"/>
        <v>90</v>
      </c>
      <c r="I796" s="10" t="str">
        <f>VLOOKUP(A796,战役结算奖励!$A$1:$O$800,15,0)</f>
        <v>[{"id":14,"num":60},{"id":2,"num":2500000},{"id":1,"num":4100000}]</v>
      </c>
      <c r="J796" s="12" t="str">
        <f t="shared" si="748"/>
        <v>[14,2,1]</v>
      </c>
      <c r="K796" s="12">
        <f t="shared" ref="K796:M796" si="764">IF(K756="","",K756)</f>
        <v>90</v>
      </c>
      <c r="L796" s="3" t="s">
        <v>514</v>
      </c>
      <c r="M796" s="12" t="str">
        <f t="shared" si="764"/>
        <v/>
      </c>
      <c r="N796" s="12"/>
      <c r="O796" s="12" t="s">
        <v>514</v>
      </c>
    </row>
    <row r="797" spans="1:15" s="7" customFormat="1" x14ac:dyDescent="0.15">
      <c r="A797" s="3">
        <f t="shared" si="752"/>
        <v>1420034</v>
      </c>
      <c r="B797" s="14">
        <f t="shared" ref="B797:D797" si="765">B757</f>
        <v>14</v>
      </c>
      <c r="C797" s="14">
        <f t="shared" si="765"/>
        <v>0</v>
      </c>
      <c r="D797" s="14">
        <f t="shared" si="765"/>
        <v>1</v>
      </c>
      <c r="E797" s="14">
        <f t="shared" si="747"/>
        <v>20</v>
      </c>
      <c r="F797" s="14">
        <f t="shared" si="748"/>
        <v>34</v>
      </c>
      <c r="G797" s="12" t="s">
        <v>1208</v>
      </c>
      <c r="H797" s="12">
        <f t="shared" si="748"/>
        <v>90</v>
      </c>
      <c r="I797" s="10" t="str">
        <f>VLOOKUP(A797,战役结算奖励!$A$1:$O$800,15,0)</f>
        <v>[{"id":14,"num":60},{"id":2,"num":2500000},{"id":1,"num":4100000}]</v>
      </c>
      <c r="J797" s="12" t="str">
        <f t="shared" si="748"/>
        <v>[14,2,1]</v>
      </c>
      <c r="K797" s="12">
        <f t="shared" ref="K797:M797" si="766">IF(K757="","",K757)</f>
        <v>90</v>
      </c>
      <c r="L797" s="3" t="s">
        <v>514</v>
      </c>
      <c r="M797" s="12" t="str">
        <f t="shared" si="766"/>
        <v/>
      </c>
      <c r="N797" s="12"/>
      <c r="O797" s="12" t="s">
        <v>514</v>
      </c>
    </row>
    <row r="798" spans="1:15" s="7" customFormat="1" x14ac:dyDescent="0.15">
      <c r="A798" s="3">
        <f t="shared" si="752"/>
        <v>1420035</v>
      </c>
      <c r="B798" s="14">
        <f t="shared" ref="B798:D798" si="767">B758</f>
        <v>14</v>
      </c>
      <c r="C798" s="14">
        <f t="shared" si="767"/>
        <v>0</v>
      </c>
      <c r="D798" s="14">
        <f t="shared" si="767"/>
        <v>1</v>
      </c>
      <c r="E798" s="14">
        <f t="shared" si="747"/>
        <v>20</v>
      </c>
      <c r="F798" s="14">
        <f t="shared" si="748"/>
        <v>35</v>
      </c>
      <c r="G798" s="12" t="s">
        <v>1209</v>
      </c>
      <c r="H798" s="12">
        <f t="shared" si="748"/>
        <v>90</v>
      </c>
      <c r="I798" s="10" t="str">
        <f>VLOOKUP(A798,战役结算奖励!$A$1:$O$800,15,0)</f>
        <v>[{"id":14,"num":60},{"id":2,"num":2500000},{"id":1,"num":4100000}]</v>
      </c>
      <c r="J798" s="12" t="str">
        <f t="shared" si="748"/>
        <v>[14,2,1]</v>
      </c>
      <c r="K798" s="12">
        <f t="shared" ref="K798:M798" si="768">IF(K758="","",K758)</f>
        <v>90</v>
      </c>
      <c r="L798" s="3" t="s">
        <v>514</v>
      </c>
      <c r="M798" s="12" t="str">
        <f t="shared" si="768"/>
        <v/>
      </c>
      <c r="N798" s="12"/>
      <c r="O798" s="12" t="s">
        <v>514</v>
      </c>
    </row>
    <row r="799" spans="1:15" s="7" customFormat="1" x14ac:dyDescent="0.15">
      <c r="A799" s="3">
        <f t="shared" ref="A799:A803" si="769">B799*100000+E799*1000+F799</f>
        <v>1420036</v>
      </c>
      <c r="B799" s="14">
        <f t="shared" ref="B799:D799" si="770">B759</f>
        <v>14</v>
      </c>
      <c r="C799" s="14">
        <f t="shared" si="770"/>
        <v>0</v>
      </c>
      <c r="D799" s="14">
        <f t="shared" si="770"/>
        <v>1</v>
      </c>
      <c r="E799" s="14">
        <f t="shared" si="747"/>
        <v>20</v>
      </c>
      <c r="F799" s="14">
        <f t="shared" si="748"/>
        <v>36</v>
      </c>
      <c r="G799" s="12" t="s">
        <v>1210</v>
      </c>
      <c r="H799" s="12">
        <f t="shared" si="748"/>
        <v>90</v>
      </c>
      <c r="I799" s="10" t="str">
        <f>VLOOKUP(A799,战役结算奖励!$A$1:$O$800,15,0)</f>
        <v>[{"id":14,"num":60},{"id":2,"num":2500000},{"id":1,"num":4100000}]</v>
      </c>
      <c r="J799" s="12" t="str">
        <f t="shared" si="748"/>
        <v>[14,2,1]</v>
      </c>
      <c r="K799" s="12">
        <f t="shared" ref="K799:M799" si="771">IF(K759="","",K759)</f>
        <v>90</v>
      </c>
      <c r="L799" s="3" t="s">
        <v>514</v>
      </c>
      <c r="M799" s="12" t="str">
        <f t="shared" si="771"/>
        <v/>
      </c>
      <c r="N799" s="12"/>
      <c r="O799" s="12" t="s">
        <v>514</v>
      </c>
    </row>
    <row r="800" spans="1:15" s="7" customFormat="1" x14ac:dyDescent="0.15">
      <c r="A800" s="3">
        <f t="shared" si="769"/>
        <v>1420037</v>
      </c>
      <c r="B800" s="14">
        <f t="shared" ref="B800:D800" si="772">B760</f>
        <v>14</v>
      </c>
      <c r="C800" s="14">
        <f t="shared" si="772"/>
        <v>0</v>
      </c>
      <c r="D800" s="14">
        <f t="shared" si="772"/>
        <v>1</v>
      </c>
      <c r="E800" s="14">
        <f t="shared" si="747"/>
        <v>20</v>
      </c>
      <c r="F800" s="14">
        <f t="shared" si="748"/>
        <v>37</v>
      </c>
      <c r="G800" s="12" t="s">
        <v>1211</v>
      </c>
      <c r="H800" s="12">
        <f t="shared" si="748"/>
        <v>90</v>
      </c>
      <c r="I800" s="10" t="str">
        <f>VLOOKUP(A800,战役结算奖励!$A$1:$O$800,15,0)</f>
        <v>[{"id":14,"num":60},{"id":2,"num":2500000},{"id":1,"num":4100000}]</v>
      </c>
      <c r="J800" s="12" t="str">
        <f t="shared" si="748"/>
        <v>[14,2,1]</v>
      </c>
      <c r="K800" s="12">
        <f t="shared" ref="K800:M800" si="773">IF(K760="","",K760)</f>
        <v>90</v>
      </c>
      <c r="L800" s="3" t="s">
        <v>514</v>
      </c>
      <c r="M800" s="12" t="str">
        <f t="shared" si="773"/>
        <v/>
      </c>
      <c r="N800" s="12"/>
      <c r="O800" s="12" t="s">
        <v>514</v>
      </c>
    </row>
    <row r="801" spans="1:15" s="7" customFormat="1" x14ac:dyDescent="0.15">
      <c r="A801" s="3">
        <f t="shared" si="769"/>
        <v>1420038</v>
      </c>
      <c r="B801" s="14">
        <f t="shared" ref="B801:D801" si="774">B761</f>
        <v>14</v>
      </c>
      <c r="C801" s="14">
        <f t="shared" si="774"/>
        <v>0</v>
      </c>
      <c r="D801" s="14">
        <f t="shared" si="774"/>
        <v>1</v>
      </c>
      <c r="E801" s="14">
        <f t="shared" si="747"/>
        <v>20</v>
      </c>
      <c r="F801" s="14">
        <f t="shared" si="748"/>
        <v>38</v>
      </c>
      <c r="G801" s="12" t="s">
        <v>1212</v>
      </c>
      <c r="H801" s="12">
        <f t="shared" si="748"/>
        <v>90</v>
      </c>
      <c r="I801" s="10" t="str">
        <f>VLOOKUP(A801,战役结算奖励!$A$1:$O$800,15,0)</f>
        <v>[{"id":14,"num":60},{"id":2,"num":2500000},{"id":1,"num":4100000}]</v>
      </c>
      <c r="J801" s="12" t="str">
        <f t="shared" si="748"/>
        <v>[14,2,1]</v>
      </c>
      <c r="K801" s="12">
        <f t="shared" ref="K801:M801" si="775">IF(K761="","",K761)</f>
        <v>90</v>
      </c>
      <c r="L801" s="3" t="s">
        <v>514</v>
      </c>
      <c r="M801" s="12" t="str">
        <f t="shared" si="775"/>
        <v/>
      </c>
      <c r="N801" s="12"/>
      <c r="O801" s="12" t="s">
        <v>514</v>
      </c>
    </row>
    <row r="802" spans="1:15" s="7" customFormat="1" x14ac:dyDescent="0.15">
      <c r="A802" s="3">
        <f t="shared" si="769"/>
        <v>1420039</v>
      </c>
      <c r="B802" s="14">
        <f t="shared" ref="B802:D802" si="776">B762</f>
        <v>14</v>
      </c>
      <c r="C802" s="14">
        <f t="shared" si="776"/>
        <v>0</v>
      </c>
      <c r="D802" s="14">
        <f t="shared" si="776"/>
        <v>1</v>
      </c>
      <c r="E802" s="14">
        <f t="shared" si="747"/>
        <v>20</v>
      </c>
      <c r="F802" s="14">
        <f t="shared" si="748"/>
        <v>39</v>
      </c>
      <c r="G802" s="12" t="s">
        <v>1213</v>
      </c>
      <c r="H802" s="12">
        <f t="shared" ref="H802:J802" si="777">H762</f>
        <v>90</v>
      </c>
      <c r="I802" s="10" t="str">
        <f>VLOOKUP(A802,战役结算奖励!$A$1:$O$850,15,0)</f>
        <v>[{"id":14,"num":60},{"id":2,"num":2500000},{"id":1,"num":4100000}]</v>
      </c>
      <c r="J802" s="12" t="str">
        <f t="shared" si="777"/>
        <v>[14,2,1]</v>
      </c>
      <c r="K802" s="12">
        <f>IF(K762="","",K762)</f>
        <v>90</v>
      </c>
      <c r="L802" s="3" t="s">
        <v>514</v>
      </c>
      <c r="M802" s="12" t="str">
        <f>IF(M762="","",M762)</f>
        <v/>
      </c>
      <c r="N802" s="12"/>
      <c r="O802" s="12" t="s">
        <v>514</v>
      </c>
    </row>
    <row r="803" spans="1:15" s="6" customFormat="1" x14ac:dyDescent="0.15">
      <c r="A803" s="13">
        <f t="shared" si="769"/>
        <v>1420040</v>
      </c>
      <c r="B803" s="13">
        <f t="shared" ref="B803:D803" si="778">B763</f>
        <v>14</v>
      </c>
      <c r="C803" s="13">
        <f t="shared" si="778"/>
        <v>0</v>
      </c>
      <c r="D803" s="13">
        <f t="shared" si="778"/>
        <v>1</v>
      </c>
      <c r="E803" s="13">
        <f t="shared" si="747"/>
        <v>20</v>
      </c>
      <c r="F803" s="13">
        <f t="shared" si="748"/>
        <v>40</v>
      </c>
      <c r="G803" s="12" t="s">
        <v>1214</v>
      </c>
      <c r="H803" s="12">
        <f t="shared" si="748"/>
        <v>90</v>
      </c>
      <c r="I803" s="10" t="str">
        <f>VLOOKUP(A803,战役结算奖励!$A$1:$O$850,15,0)</f>
        <v>[{"id":14,"num":60},{"id":2,"num":2500000},{"id":1,"num":4100000}]</v>
      </c>
      <c r="J803" s="12" t="str">
        <f t="shared" si="748"/>
        <v>[14,2,1]</v>
      </c>
      <c r="K803" s="12">
        <f t="shared" ref="K803:M803" si="779">IF(K763="","",K763)</f>
        <v>90</v>
      </c>
      <c r="L803" s="3" t="s">
        <v>1229</v>
      </c>
      <c r="M803" s="12" t="str">
        <f t="shared" si="779"/>
        <v/>
      </c>
      <c r="N803" s="12"/>
      <c r="O803" s="12">
        <v>1</v>
      </c>
    </row>
    <row r="804" spans="1:15" x14ac:dyDescent="0.15">
      <c r="A804" s="3">
        <f t="shared" ref="A804:A833" si="780">B804*100000+E804*1000+F804</f>
        <v>1501001</v>
      </c>
      <c r="B804" s="3">
        <v>15</v>
      </c>
      <c r="C804" s="3">
        <v>1000</v>
      </c>
      <c r="D804" s="3">
        <v>0</v>
      </c>
      <c r="E804" s="3">
        <v>1</v>
      </c>
      <c r="F804" s="3">
        <v>1</v>
      </c>
      <c r="G804" s="3" t="s">
        <v>813</v>
      </c>
      <c r="H804" s="3">
        <v>120</v>
      </c>
      <c r="I804" s="3" t="str">
        <f>VLOOKUP(A804,首领结算奖励!$A$1:$O$122,15,0)</f>
        <v>[{"id":14,"num":50},{"id":5,"num":100},{"id":60,"num":1}]</v>
      </c>
      <c r="J804" s="3" t="s">
        <v>814</v>
      </c>
      <c r="K804" s="3">
        <v>61</v>
      </c>
      <c r="L804" s="3"/>
      <c r="M804" s="3"/>
      <c r="N804" s="3">
        <v>8</v>
      </c>
      <c r="O804" s="3"/>
    </row>
    <row r="805" spans="1:15" x14ac:dyDescent="0.15">
      <c r="A805" s="3">
        <f t="shared" si="780"/>
        <v>1501002</v>
      </c>
      <c r="B805" s="3">
        <v>15</v>
      </c>
      <c r="C805" s="3">
        <v>2000</v>
      </c>
      <c r="D805" s="3">
        <v>0</v>
      </c>
      <c r="E805" s="3">
        <v>1</v>
      </c>
      <c r="F805" s="3">
        <v>2</v>
      </c>
      <c r="G805" s="3" t="s">
        <v>815</v>
      </c>
      <c r="H805" s="3">
        <v>120</v>
      </c>
      <c r="I805" s="3" t="str">
        <f>VLOOKUP(A805,首领结算奖励!$A$1:$O$122,15,0)</f>
        <v>[{"id":14,"num":50},{"id":5,"num":125},{"id":60,"num":1}]</v>
      </c>
      <c r="J805" s="3" t="s">
        <v>814</v>
      </c>
      <c r="K805" s="3">
        <v>62</v>
      </c>
      <c r="L805" s="3"/>
      <c r="M805" s="3"/>
      <c r="N805" s="3">
        <v>8</v>
      </c>
      <c r="O805" s="3"/>
    </row>
    <row r="806" spans="1:15" x14ac:dyDescent="0.15">
      <c r="A806" s="3">
        <f t="shared" si="780"/>
        <v>1501003</v>
      </c>
      <c r="B806" s="3">
        <v>15</v>
      </c>
      <c r="C806" s="3">
        <v>3000</v>
      </c>
      <c r="D806" s="3">
        <v>0</v>
      </c>
      <c r="E806" s="3">
        <v>1</v>
      </c>
      <c r="F806" s="3">
        <v>3</v>
      </c>
      <c r="G806" s="3" t="s">
        <v>816</v>
      </c>
      <c r="H806" s="3">
        <v>120</v>
      </c>
      <c r="I806" s="3" t="str">
        <f>VLOOKUP(A806,首领结算奖励!$A$1:$O$122,15,0)</f>
        <v>[{"id":14,"num":50},{"id":5,"num":150},{"id":60,"num":1}]</v>
      </c>
      <c r="J806" s="3" t="s">
        <v>814</v>
      </c>
      <c r="K806" s="3">
        <v>63</v>
      </c>
      <c r="L806" s="3"/>
      <c r="M806" s="3"/>
      <c r="N806" s="3">
        <v>8</v>
      </c>
      <c r="O806" s="3"/>
    </row>
    <row r="807" spans="1:15" x14ac:dyDescent="0.15">
      <c r="A807" s="3">
        <f t="shared" si="780"/>
        <v>1501004</v>
      </c>
      <c r="B807" s="3">
        <v>15</v>
      </c>
      <c r="C807" s="3">
        <v>4000</v>
      </c>
      <c r="D807" s="3">
        <v>0</v>
      </c>
      <c r="E807" s="3">
        <v>1</v>
      </c>
      <c r="F807" s="3">
        <v>4</v>
      </c>
      <c r="G807" s="3" t="s">
        <v>817</v>
      </c>
      <c r="H807" s="3">
        <v>120</v>
      </c>
      <c r="I807" s="3" t="str">
        <f>VLOOKUP(A807,首领结算奖励!$A$1:$O$122,15,0)</f>
        <v>[{"id":14,"num":50},{"id":5,"num":175},{"id":60,"num":1}]</v>
      </c>
      <c r="J807" s="3" t="s">
        <v>814</v>
      </c>
      <c r="K807" s="3">
        <v>64</v>
      </c>
      <c r="L807" s="3"/>
      <c r="M807" s="3"/>
      <c r="N807" s="3">
        <v>8</v>
      </c>
      <c r="O807" s="3"/>
    </row>
    <row r="808" spans="1:15" x14ac:dyDescent="0.15">
      <c r="A808" s="3">
        <f t="shared" si="780"/>
        <v>1501005</v>
      </c>
      <c r="B808" s="3">
        <v>15</v>
      </c>
      <c r="C808" s="3">
        <v>5000</v>
      </c>
      <c r="D808" s="3">
        <v>0</v>
      </c>
      <c r="E808" s="3">
        <v>1</v>
      </c>
      <c r="F808" s="3">
        <v>5</v>
      </c>
      <c r="G808" s="3" t="s">
        <v>818</v>
      </c>
      <c r="H808" s="3">
        <v>120</v>
      </c>
      <c r="I808" s="3" t="str">
        <f>VLOOKUP(A808,首领结算奖励!$A$1:$O$122,15,0)</f>
        <v>[{"id":14,"num":50},{"id":5,"num":200},{"id":60,"num":1}]</v>
      </c>
      <c r="J808" s="3" t="s">
        <v>814</v>
      </c>
      <c r="K808" s="3">
        <v>65</v>
      </c>
      <c r="L808" s="3"/>
      <c r="M808" s="3"/>
      <c r="N808" s="3">
        <v>8</v>
      </c>
      <c r="O808" s="3"/>
    </row>
    <row r="809" spans="1:15" x14ac:dyDescent="0.15">
      <c r="A809" s="3">
        <f t="shared" si="780"/>
        <v>1501006</v>
      </c>
      <c r="B809" s="3">
        <v>15</v>
      </c>
      <c r="C809" s="3">
        <v>7000</v>
      </c>
      <c r="D809" s="3">
        <v>0</v>
      </c>
      <c r="E809" s="3">
        <v>1</v>
      </c>
      <c r="F809" s="3">
        <v>6</v>
      </c>
      <c r="G809" s="3" t="s">
        <v>819</v>
      </c>
      <c r="H809" s="3">
        <v>120</v>
      </c>
      <c r="I809" s="3" t="str">
        <f>VLOOKUP(A809,首领结算奖励!$A$1:$O$122,15,0)</f>
        <v>[{"id":14,"num":50},{"id":5,"num":225},{"id":61,"num":1}]</v>
      </c>
      <c r="J809" s="3" t="s">
        <v>820</v>
      </c>
      <c r="K809" s="3">
        <v>66</v>
      </c>
      <c r="L809" s="3"/>
      <c r="M809" s="3"/>
      <c r="N809" s="3">
        <v>8</v>
      </c>
      <c r="O809" s="3"/>
    </row>
    <row r="810" spans="1:15" x14ac:dyDescent="0.15">
      <c r="A810" s="3">
        <f t="shared" si="780"/>
        <v>1501007</v>
      </c>
      <c r="B810" s="3">
        <v>15</v>
      </c>
      <c r="C810" s="3">
        <v>10000</v>
      </c>
      <c r="D810" s="3">
        <v>0</v>
      </c>
      <c r="E810" s="3">
        <v>1</v>
      </c>
      <c r="F810" s="3">
        <v>7</v>
      </c>
      <c r="G810" s="3" t="s">
        <v>821</v>
      </c>
      <c r="H810" s="3">
        <v>120</v>
      </c>
      <c r="I810" s="3" t="str">
        <f>VLOOKUP(A810,首领结算奖励!$A$1:$O$122,15,0)</f>
        <v>[{"id":14,"num":50},{"id":5,"num":250},{"id":61,"num":1}]</v>
      </c>
      <c r="J810" s="3" t="s">
        <v>820</v>
      </c>
      <c r="K810" s="3">
        <v>67</v>
      </c>
      <c r="L810" s="3"/>
      <c r="M810" s="3"/>
      <c r="N810" s="3">
        <v>8</v>
      </c>
      <c r="O810" s="3"/>
    </row>
    <row r="811" spans="1:15" x14ac:dyDescent="0.15">
      <c r="A811" s="3">
        <f t="shared" si="780"/>
        <v>1501008</v>
      </c>
      <c r="B811" s="3">
        <v>15</v>
      </c>
      <c r="C811" s="3">
        <v>15000</v>
      </c>
      <c r="D811" s="3">
        <v>0</v>
      </c>
      <c r="E811" s="3">
        <v>1</v>
      </c>
      <c r="F811" s="3">
        <v>8</v>
      </c>
      <c r="G811" s="3" t="s">
        <v>822</v>
      </c>
      <c r="H811" s="3">
        <v>120</v>
      </c>
      <c r="I811" s="3" t="str">
        <f>VLOOKUP(A811,首领结算奖励!$A$1:$O$122,15,0)</f>
        <v>[{"id":14,"num":50},{"id":5,"num":265},{"id":61,"num":1}]</v>
      </c>
      <c r="J811" s="3" t="s">
        <v>820</v>
      </c>
      <c r="K811" s="3">
        <v>68</v>
      </c>
      <c r="L811" s="3"/>
      <c r="M811" s="3"/>
      <c r="N811" s="3">
        <v>8</v>
      </c>
      <c r="O811" s="3"/>
    </row>
    <row r="812" spans="1:15" x14ac:dyDescent="0.15">
      <c r="A812" s="3">
        <f t="shared" si="780"/>
        <v>1501009</v>
      </c>
      <c r="B812" s="3">
        <v>15</v>
      </c>
      <c r="C812" s="3">
        <v>20000</v>
      </c>
      <c r="D812" s="3">
        <v>0</v>
      </c>
      <c r="E812" s="3">
        <v>1</v>
      </c>
      <c r="F812" s="3">
        <v>9</v>
      </c>
      <c r="G812" s="3" t="s">
        <v>823</v>
      </c>
      <c r="H812" s="3">
        <v>120</v>
      </c>
      <c r="I812" s="3" t="str">
        <f>VLOOKUP(A812,首领结算奖励!$A$1:$O$122,15,0)</f>
        <v>[{"id":14,"num":50},{"id":5,"num":280},{"id":61,"num":1}]</v>
      </c>
      <c r="J812" s="3" t="s">
        <v>820</v>
      </c>
      <c r="K812" s="3">
        <v>69</v>
      </c>
      <c r="L812" s="3"/>
      <c r="M812" s="3"/>
      <c r="N812" s="3">
        <v>8</v>
      </c>
      <c r="O812" s="3"/>
    </row>
    <row r="813" spans="1:15" x14ac:dyDescent="0.15">
      <c r="A813" s="3">
        <f t="shared" si="780"/>
        <v>1501010</v>
      </c>
      <c r="B813" s="3">
        <v>15</v>
      </c>
      <c r="C813" s="3">
        <v>30000</v>
      </c>
      <c r="D813" s="3">
        <v>0</v>
      </c>
      <c r="E813" s="3">
        <v>1</v>
      </c>
      <c r="F813" s="3">
        <v>10</v>
      </c>
      <c r="G813" s="3" t="s">
        <v>824</v>
      </c>
      <c r="H813" s="3">
        <v>120</v>
      </c>
      <c r="I813" s="3" t="str">
        <f>VLOOKUP(A813,首领结算奖励!$A$1:$O$122,15,0)</f>
        <v>[{"id":14,"num":50},{"id":5,"num":295},{"id":61,"num":1}]</v>
      </c>
      <c r="J813" s="3" t="s">
        <v>820</v>
      </c>
      <c r="K813" s="3">
        <v>70</v>
      </c>
      <c r="L813" s="3"/>
      <c r="M813" s="3"/>
      <c r="N813" s="3">
        <v>8</v>
      </c>
      <c r="O813" s="3"/>
    </row>
    <row r="814" spans="1:15" x14ac:dyDescent="0.15">
      <c r="A814" s="3">
        <f t="shared" si="780"/>
        <v>1501011</v>
      </c>
      <c r="B814" s="3">
        <v>15</v>
      </c>
      <c r="C814" s="3">
        <v>50000</v>
      </c>
      <c r="D814" s="3">
        <v>0</v>
      </c>
      <c r="E814" s="3">
        <v>1</v>
      </c>
      <c r="F814" s="3">
        <v>11</v>
      </c>
      <c r="G814" s="3" t="s">
        <v>825</v>
      </c>
      <c r="H814" s="3">
        <v>120</v>
      </c>
      <c r="I814" s="3" t="str">
        <f>VLOOKUP(A814,首领结算奖励!$A$1:$O$122,15,0)</f>
        <v>[{"id":14,"num":50},{"id":5,"num":310},{"id":61,"num":2}]</v>
      </c>
      <c r="J814" s="3" t="s">
        <v>820</v>
      </c>
      <c r="K814" s="3">
        <v>71</v>
      </c>
      <c r="L814" s="3"/>
      <c r="M814" s="3"/>
      <c r="N814" s="3">
        <v>8</v>
      </c>
      <c r="O814" s="3"/>
    </row>
    <row r="815" spans="1:15" x14ac:dyDescent="0.15">
      <c r="A815" s="3">
        <f t="shared" si="780"/>
        <v>1501012</v>
      </c>
      <c r="B815" s="3">
        <v>15</v>
      </c>
      <c r="C815" s="3">
        <v>70000</v>
      </c>
      <c r="D815" s="3">
        <v>0</v>
      </c>
      <c r="E815" s="3">
        <v>1</v>
      </c>
      <c r="F815" s="3">
        <v>12</v>
      </c>
      <c r="G815" s="3" t="s">
        <v>826</v>
      </c>
      <c r="H815" s="3">
        <v>120</v>
      </c>
      <c r="I815" s="3" t="str">
        <f>VLOOKUP(A815,首领结算奖励!$A$1:$O$122,15,0)</f>
        <v>[{"id":14,"num":50},{"id":5,"num":325},{"id":61,"num":2}]</v>
      </c>
      <c r="J815" s="3" t="s">
        <v>820</v>
      </c>
      <c r="K815" s="3">
        <v>72</v>
      </c>
      <c r="L815" s="3"/>
      <c r="M815" s="3"/>
      <c r="N815" s="3">
        <v>8</v>
      </c>
      <c r="O815" s="3"/>
    </row>
    <row r="816" spans="1:15" x14ac:dyDescent="0.15">
      <c r="A816" s="3">
        <f t="shared" si="780"/>
        <v>1501013</v>
      </c>
      <c r="B816" s="3">
        <v>15</v>
      </c>
      <c r="C816" s="3">
        <v>100000</v>
      </c>
      <c r="D816" s="3">
        <v>0</v>
      </c>
      <c r="E816" s="3">
        <v>1</v>
      </c>
      <c r="F816" s="3">
        <v>13</v>
      </c>
      <c r="G816" s="3" t="s">
        <v>827</v>
      </c>
      <c r="H816" s="3">
        <v>120</v>
      </c>
      <c r="I816" s="3" t="str">
        <f>VLOOKUP(A816,首领结算奖励!$A$1:$O$122,15,0)</f>
        <v>[{"id":14,"num":50},{"id":5,"num":335},{"id":61,"num":2}]</v>
      </c>
      <c r="J816" s="3" t="s">
        <v>820</v>
      </c>
      <c r="K816" s="3">
        <v>73</v>
      </c>
      <c r="L816" s="3"/>
      <c r="M816" s="3"/>
      <c r="N816" s="3">
        <v>8</v>
      </c>
      <c r="O816" s="3"/>
    </row>
    <row r="817" spans="1:15" x14ac:dyDescent="0.15">
      <c r="A817" s="3">
        <f t="shared" si="780"/>
        <v>1501014</v>
      </c>
      <c r="B817" s="3">
        <v>15</v>
      </c>
      <c r="C817" s="3">
        <v>150000</v>
      </c>
      <c r="D817" s="3">
        <v>0</v>
      </c>
      <c r="E817" s="3">
        <v>1</v>
      </c>
      <c r="F817" s="3">
        <v>14</v>
      </c>
      <c r="G817" s="3" t="s">
        <v>828</v>
      </c>
      <c r="H817" s="3">
        <v>120</v>
      </c>
      <c r="I817" s="3" t="str">
        <f>VLOOKUP(A817,首领结算奖励!$A$1:$O$122,15,0)</f>
        <v>[{"id":14,"num":50},{"id":5,"num":345},{"id":61,"num":2}]</v>
      </c>
      <c r="J817" s="3" t="s">
        <v>820</v>
      </c>
      <c r="K817" s="3">
        <v>74</v>
      </c>
      <c r="L817" s="3"/>
      <c r="M817" s="3"/>
      <c r="N817" s="3">
        <v>8</v>
      </c>
      <c r="O817" s="3"/>
    </row>
    <row r="818" spans="1:15" x14ac:dyDescent="0.15">
      <c r="A818" s="3">
        <f t="shared" si="780"/>
        <v>1501015</v>
      </c>
      <c r="B818" s="3">
        <v>15</v>
      </c>
      <c r="C818" s="3">
        <v>170000</v>
      </c>
      <c r="D818" s="3">
        <v>0</v>
      </c>
      <c r="E818" s="3">
        <v>1</v>
      </c>
      <c r="F818" s="3">
        <v>15</v>
      </c>
      <c r="G818" s="3" t="s">
        <v>829</v>
      </c>
      <c r="H818" s="3">
        <v>120</v>
      </c>
      <c r="I818" s="3" t="str">
        <f>VLOOKUP(A818,首领结算奖励!$A$1:$O$122,15,0)</f>
        <v>[{"id":14,"num":50},{"id":5,"num":355},{"id":61,"num":2}]</v>
      </c>
      <c r="J818" s="3" t="s">
        <v>820</v>
      </c>
      <c r="K818" s="3">
        <v>75</v>
      </c>
      <c r="L818" s="3"/>
      <c r="M818" s="3"/>
      <c r="N818" s="3">
        <v>8</v>
      </c>
      <c r="O818" s="3"/>
    </row>
    <row r="819" spans="1:15" x14ac:dyDescent="0.15">
      <c r="A819" s="3">
        <f t="shared" si="780"/>
        <v>1501016</v>
      </c>
      <c r="B819" s="3">
        <v>15</v>
      </c>
      <c r="C819" s="3">
        <v>190000</v>
      </c>
      <c r="D819" s="3">
        <v>0</v>
      </c>
      <c r="E819" s="3">
        <v>1</v>
      </c>
      <c r="F819" s="3">
        <v>16</v>
      </c>
      <c r="G819" s="3" t="s">
        <v>830</v>
      </c>
      <c r="H819" s="3">
        <v>120</v>
      </c>
      <c r="I819" s="3" t="str">
        <f>VLOOKUP(A819,首领结算奖励!$A$1:$O$122,15,0)</f>
        <v>[{"id":14,"num":50},{"id":5,"num":365},{"id":61,"num":3}]</v>
      </c>
      <c r="J819" s="3" t="s">
        <v>820</v>
      </c>
      <c r="K819" s="3">
        <v>76</v>
      </c>
      <c r="L819" s="3"/>
      <c r="M819" s="3"/>
      <c r="N819" s="3">
        <v>8</v>
      </c>
      <c r="O819" s="3"/>
    </row>
    <row r="820" spans="1:15" x14ac:dyDescent="0.15">
      <c r="A820" s="3">
        <f t="shared" si="780"/>
        <v>1501017</v>
      </c>
      <c r="B820" s="3">
        <v>15</v>
      </c>
      <c r="C820" s="3">
        <v>210000</v>
      </c>
      <c r="D820" s="3">
        <v>0</v>
      </c>
      <c r="E820" s="3">
        <v>1</v>
      </c>
      <c r="F820" s="3">
        <v>17</v>
      </c>
      <c r="G820" s="3" t="s">
        <v>831</v>
      </c>
      <c r="H820" s="3">
        <v>120</v>
      </c>
      <c r="I820" s="3" t="str">
        <f>VLOOKUP(A820,首领结算奖励!$A$1:$O$122,15,0)</f>
        <v>[{"id":14,"num":50},{"id":5,"num":375},{"id":61,"num":3}]</v>
      </c>
      <c r="J820" s="3" t="s">
        <v>820</v>
      </c>
      <c r="K820" s="3">
        <v>77</v>
      </c>
      <c r="L820" s="3"/>
      <c r="M820" s="3"/>
      <c r="N820" s="3">
        <v>8</v>
      </c>
      <c r="O820" s="3"/>
    </row>
    <row r="821" spans="1:15" x14ac:dyDescent="0.15">
      <c r="A821" s="3">
        <f t="shared" si="780"/>
        <v>1501018</v>
      </c>
      <c r="B821" s="3">
        <v>15</v>
      </c>
      <c r="C821" s="3">
        <v>230000</v>
      </c>
      <c r="D821" s="3">
        <v>0</v>
      </c>
      <c r="E821" s="3">
        <v>1</v>
      </c>
      <c r="F821" s="3">
        <v>18</v>
      </c>
      <c r="G821" s="3" t="s">
        <v>832</v>
      </c>
      <c r="H821" s="3">
        <v>120</v>
      </c>
      <c r="I821" s="3" t="str">
        <f>VLOOKUP(A821,首领结算奖励!$A$1:$O$122,15,0)</f>
        <v>[{"id":14,"num":50},{"id":5,"num":380},{"id":61,"num":3}]</v>
      </c>
      <c r="J821" s="3" t="s">
        <v>820</v>
      </c>
      <c r="K821" s="3">
        <v>78</v>
      </c>
      <c r="L821" s="3"/>
      <c r="M821" s="3"/>
      <c r="N821" s="3">
        <v>8</v>
      </c>
      <c r="O821" s="3"/>
    </row>
    <row r="822" spans="1:15" x14ac:dyDescent="0.15">
      <c r="A822" s="3">
        <f t="shared" si="780"/>
        <v>1501019</v>
      </c>
      <c r="B822" s="3">
        <v>15</v>
      </c>
      <c r="C822" s="3">
        <v>250000</v>
      </c>
      <c r="D822" s="3">
        <v>0</v>
      </c>
      <c r="E822" s="3">
        <v>1</v>
      </c>
      <c r="F822" s="3">
        <v>19</v>
      </c>
      <c r="G822" s="3" t="s">
        <v>833</v>
      </c>
      <c r="H822" s="3">
        <v>120</v>
      </c>
      <c r="I822" s="3" t="str">
        <f>VLOOKUP(A822,首领结算奖励!$A$1:$O$122,15,0)</f>
        <v>[{"id":14,"num":50},{"id":5,"num":385},{"id":61,"num":3}]</v>
      </c>
      <c r="J822" s="3" t="s">
        <v>820</v>
      </c>
      <c r="K822" s="3">
        <v>79</v>
      </c>
      <c r="L822" s="3"/>
      <c r="M822" s="3"/>
      <c r="N822" s="3">
        <v>8</v>
      </c>
      <c r="O822" s="3"/>
    </row>
    <row r="823" spans="1:15" x14ac:dyDescent="0.15">
      <c r="A823" s="3">
        <f t="shared" si="780"/>
        <v>1501020</v>
      </c>
      <c r="B823" s="3">
        <v>15</v>
      </c>
      <c r="C823" s="3">
        <v>270000</v>
      </c>
      <c r="D823" s="3">
        <v>0</v>
      </c>
      <c r="E823" s="3">
        <v>1</v>
      </c>
      <c r="F823" s="3">
        <v>20</v>
      </c>
      <c r="G823" s="3" t="s">
        <v>834</v>
      </c>
      <c r="H823" s="3">
        <v>120</v>
      </c>
      <c r="I823" s="3" t="str">
        <f>VLOOKUP(A823,首领结算奖励!$A$1:$O$122,15,0)</f>
        <v>[{"id":14,"num":50},{"id":5,"num":390},{"id":61,"num":3}]</v>
      </c>
      <c r="J823" s="3" t="s">
        <v>820</v>
      </c>
      <c r="K823" s="3">
        <v>80</v>
      </c>
      <c r="L823" s="3"/>
      <c r="M823" s="3"/>
      <c r="N823" s="3">
        <v>8</v>
      </c>
      <c r="O823" s="3"/>
    </row>
    <row r="824" spans="1:15" x14ac:dyDescent="0.15">
      <c r="A824" s="3">
        <f t="shared" si="780"/>
        <v>1501021</v>
      </c>
      <c r="B824" s="3">
        <v>15</v>
      </c>
      <c r="C824" s="3">
        <v>290000</v>
      </c>
      <c r="D824" s="3">
        <v>0</v>
      </c>
      <c r="E824" s="3">
        <v>1</v>
      </c>
      <c r="F824" s="3">
        <v>21</v>
      </c>
      <c r="G824" s="3" t="s">
        <v>835</v>
      </c>
      <c r="H824" s="3">
        <v>120</v>
      </c>
      <c r="I824" s="3" t="str">
        <f>VLOOKUP(A824,首领结算奖励!$A$1:$O$122,15,0)</f>
        <v>[{"id":14,"num":60},{"id":5,"num":395},{"id":62,"num":1}]</v>
      </c>
      <c r="J824" s="3" t="s">
        <v>836</v>
      </c>
      <c r="K824" s="3">
        <v>81</v>
      </c>
      <c r="L824" s="3"/>
      <c r="M824" s="3"/>
      <c r="N824" s="3">
        <v>8</v>
      </c>
      <c r="O824" s="3"/>
    </row>
    <row r="825" spans="1:15" x14ac:dyDescent="0.15">
      <c r="A825" s="3">
        <f t="shared" si="780"/>
        <v>1501022</v>
      </c>
      <c r="B825" s="3">
        <v>15</v>
      </c>
      <c r="C825" s="3">
        <v>300000</v>
      </c>
      <c r="D825" s="3">
        <v>0</v>
      </c>
      <c r="E825" s="3">
        <v>1</v>
      </c>
      <c r="F825" s="3">
        <v>22</v>
      </c>
      <c r="G825" s="3" t="s">
        <v>837</v>
      </c>
      <c r="H825" s="3">
        <v>120</v>
      </c>
      <c r="I825" s="3" t="str">
        <f>VLOOKUP(A825,首领结算奖励!$A$1:$O$122,15,0)</f>
        <v>[{"id":14,"num":60},{"id":5,"num":400},{"id":62,"num":1}]</v>
      </c>
      <c r="J825" s="3" t="s">
        <v>836</v>
      </c>
      <c r="K825" s="3">
        <v>82</v>
      </c>
      <c r="L825" s="3"/>
      <c r="M825" s="3"/>
      <c r="N825" s="3">
        <v>8</v>
      </c>
      <c r="O825" s="3"/>
    </row>
    <row r="826" spans="1:15" x14ac:dyDescent="0.15">
      <c r="A826" s="3">
        <f t="shared" si="780"/>
        <v>1501023</v>
      </c>
      <c r="B826" s="3">
        <v>15</v>
      </c>
      <c r="C826" s="3">
        <v>350000</v>
      </c>
      <c r="D826" s="3">
        <v>0</v>
      </c>
      <c r="E826" s="3">
        <v>1</v>
      </c>
      <c r="F826" s="3">
        <v>23</v>
      </c>
      <c r="G826" s="3" t="s">
        <v>838</v>
      </c>
      <c r="H826" s="3">
        <v>120</v>
      </c>
      <c r="I826" s="3" t="str">
        <f>VLOOKUP(A826,首领结算奖励!$A$1:$O$122,15,0)</f>
        <v>[{"id":14,"num":60},{"id":5,"num":405},{"id":62,"num":1}]</v>
      </c>
      <c r="J826" s="3" t="s">
        <v>836</v>
      </c>
      <c r="K826" s="3">
        <v>83</v>
      </c>
      <c r="L826" s="3"/>
      <c r="M826" s="3"/>
      <c r="N826" s="3">
        <v>8</v>
      </c>
      <c r="O826" s="3"/>
    </row>
    <row r="827" spans="1:15" x14ac:dyDescent="0.15">
      <c r="A827" s="3">
        <f t="shared" si="780"/>
        <v>1501024</v>
      </c>
      <c r="B827" s="3">
        <v>15</v>
      </c>
      <c r="C827" s="3">
        <v>400000</v>
      </c>
      <c r="D827" s="3">
        <v>0</v>
      </c>
      <c r="E827" s="3">
        <v>1</v>
      </c>
      <c r="F827" s="3">
        <v>24</v>
      </c>
      <c r="G827" s="3" t="s">
        <v>839</v>
      </c>
      <c r="H827" s="3">
        <v>120</v>
      </c>
      <c r="I827" s="3" t="str">
        <f>VLOOKUP(A827,首领结算奖励!$A$1:$O$122,15,0)</f>
        <v>[{"id":14,"num":60},{"id":5,"num":410},{"id":62,"num":1}]</v>
      </c>
      <c r="J827" s="3" t="s">
        <v>836</v>
      </c>
      <c r="K827" s="3">
        <v>84</v>
      </c>
      <c r="L827" s="3"/>
      <c r="M827" s="3"/>
      <c r="N827" s="3">
        <v>8</v>
      </c>
      <c r="O827" s="3"/>
    </row>
    <row r="828" spans="1:15" x14ac:dyDescent="0.15">
      <c r="A828" s="3">
        <f t="shared" si="780"/>
        <v>1501025</v>
      </c>
      <c r="B828" s="3">
        <v>15</v>
      </c>
      <c r="C828" s="3">
        <v>450000</v>
      </c>
      <c r="D828" s="3">
        <v>0</v>
      </c>
      <c r="E828" s="3">
        <v>1</v>
      </c>
      <c r="F828" s="3">
        <v>25</v>
      </c>
      <c r="G828" s="3" t="s">
        <v>840</v>
      </c>
      <c r="H828" s="3">
        <v>120</v>
      </c>
      <c r="I828" s="3" t="str">
        <f>VLOOKUP(A828,首领结算奖励!$A$1:$O$122,15,0)</f>
        <v>[{"id":14,"num":60},{"id":5,"num":415},{"id":62,"num":1}]</v>
      </c>
      <c r="J828" s="3" t="s">
        <v>836</v>
      </c>
      <c r="K828" s="3">
        <v>85</v>
      </c>
      <c r="L828" s="3"/>
      <c r="M828" s="3"/>
      <c r="N828" s="3">
        <v>8</v>
      </c>
      <c r="O828" s="3"/>
    </row>
    <row r="829" spans="1:15" x14ac:dyDescent="0.15">
      <c r="A829" s="3">
        <f t="shared" si="780"/>
        <v>1501026</v>
      </c>
      <c r="B829" s="3">
        <v>15</v>
      </c>
      <c r="C829" s="3">
        <v>500000</v>
      </c>
      <c r="D829" s="3">
        <v>0</v>
      </c>
      <c r="E829" s="3">
        <v>1</v>
      </c>
      <c r="F829" s="3">
        <v>26</v>
      </c>
      <c r="G829" s="3" t="s">
        <v>841</v>
      </c>
      <c r="H829" s="3">
        <v>120</v>
      </c>
      <c r="I829" s="3" t="str">
        <f>VLOOKUP(A829,首领结算奖励!$A$1:$O$122,15,0)</f>
        <v>[{"id":14,"num":60},{"id":5,"num":420},{"id":62,"num":2}]</v>
      </c>
      <c r="J829" s="3" t="s">
        <v>836</v>
      </c>
      <c r="K829" s="3">
        <v>86</v>
      </c>
      <c r="L829" s="3"/>
      <c r="M829" s="3"/>
      <c r="N829" s="3">
        <v>8</v>
      </c>
      <c r="O829" s="3"/>
    </row>
    <row r="830" spans="1:15" x14ac:dyDescent="0.15">
      <c r="A830" s="3">
        <f t="shared" si="780"/>
        <v>1501027</v>
      </c>
      <c r="B830" s="3">
        <v>15</v>
      </c>
      <c r="C830" s="3">
        <v>550000</v>
      </c>
      <c r="D830" s="3">
        <v>0</v>
      </c>
      <c r="E830" s="3">
        <v>1</v>
      </c>
      <c r="F830" s="3">
        <v>27</v>
      </c>
      <c r="G830" s="3" t="s">
        <v>842</v>
      </c>
      <c r="H830" s="3">
        <v>120</v>
      </c>
      <c r="I830" s="3" t="str">
        <f>VLOOKUP(A830,首领结算奖励!$A$1:$O$122,15,0)</f>
        <v>[{"id":14,"num":60},{"id":5,"num":425},{"id":62,"num":2}]</v>
      </c>
      <c r="J830" s="3" t="s">
        <v>836</v>
      </c>
      <c r="K830" s="3">
        <v>87</v>
      </c>
      <c r="L830" s="3"/>
      <c r="M830" s="3"/>
      <c r="N830" s="3">
        <v>8</v>
      </c>
      <c r="O830" s="3"/>
    </row>
    <row r="831" spans="1:15" x14ac:dyDescent="0.15">
      <c r="A831" s="3">
        <f t="shared" si="780"/>
        <v>1501028</v>
      </c>
      <c r="B831" s="3">
        <v>15</v>
      </c>
      <c r="C831" s="3">
        <v>600000</v>
      </c>
      <c r="D831" s="3">
        <v>0</v>
      </c>
      <c r="E831" s="3">
        <v>1</v>
      </c>
      <c r="F831" s="3">
        <v>28</v>
      </c>
      <c r="G831" s="3" t="s">
        <v>843</v>
      </c>
      <c r="H831" s="3">
        <v>120</v>
      </c>
      <c r="I831" s="3" t="str">
        <f>VLOOKUP(A831,首领结算奖励!$A$1:$O$122,15,0)</f>
        <v>[{"id":14,"num":60},{"id":5,"num":430},{"id":62,"num":2}]</v>
      </c>
      <c r="J831" s="3" t="s">
        <v>836</v>
      </c>
      <c r="K831" s="3">
        <v>88</v>
      </c>
      <c r="L831" s="3"/>
      <c r="M831" s="3"/>
      <c r="N831" s="3">
        <v>8</v>
      </c>
      <c r="O831" s="3"/>
    </row>
    <row r="832" spans="1:15" x14ac:dyDescent="0.15">
      <c r="A832" s="3">
        <f t="shared" si="780"/>
        <v>1501029</v>
      </c>
      <c r="B832" s="3">
        <v>15</v>
      </c>
      <c r="C832" s="3">
        <v>650000</v>
      </c>
      <c r="D832" s="3">
        <v>0</v>
      </c>
      <c r="E832" s="3">
        <v>1</v>
      </c>
      <c r="F832" s="3">
        <v>29</v>
      </c>
      <c r="G832" s="3" t="s">
        <v>844</v>
      </c>
      <c r="H832" s="3">
        <v>120</v>
      </c>
      <c r="I832" s="3" t="str">
        <f>VLOOKUP(A832,首领结算奖励!$A$1:$O$122,15,0)</f>
        <v>[{"id":14,"num":60},{"id":5,"num":435},{"id":62,"num":2}]</v>
      </c>
      <c r="J832" s="3" t="s">
        <v>836</v>
      </c>
      <c r="K832" s="3">
        <v>89</v>
      </c>
      <c r="L832" s="3"/>
      <c r="M832" s="3"/>
      <c r="N832" s="3">
        <v>8</v>
      </c>
      <c r="O832" s="3"/>
    </row>
    <row r="833" spans="1:15" x14ac:dyDescent="0.15">
      <c r="A833" s="3">
        <f t="shared" si="780"/>
        <v>1501030</v>
      </c>
      <c r="B833" s="3">
        <v>15</v>
      </c>
      <c r="C833" s="3">
        <v>700000</v>
      </c>
      <c r="D833" s="3">
        <v>0</v>
      </c>
      <c r="E833" s="3">
        <v>1</v>
      </c>
      <c r="F833" s="3">
        <v>30</v>
      </c>
      <c r="G833" s="3" t="s">
        <v>845</v>
      </c>
      <c r="H833" s="3">
        <v>120</v>
      </c>
      <c r="I833" s="3" t="str">
        <f>VLOOKUP(A833,首领结算奖励!$A$1:$O$122,15,0)</f>
        <v>[{"id":14,"num":60},{"id":5,"num":440},{"id":62,"num":2}]</v>
      </c>
      <c r="J833" s="3" t="s">
        <v>836</v>
      </c>
      <c r="K833" s="3">
        <v>90</v>
      </c>
      <c r="L833" s="3"/>
      <c r="M833" s="3"/>
      <c r="N833" s="3">
        <v>8</v>
      </c>
      <c r="O833" s="3"/>
    </row>
    <row r="834" spans="1:15" x14ac:dyDescent="0.15">
      <c r="A834" s="3">
        <f t="shared" ref="A834:A865" si="781">B834*100000+E834*1000+F834</f>
        <v>1501031</v>
      </c>
      <c r="B834" s="3">
        <v>15</v>
      </c>
      <c r="C834" s="3">
        <v>750000</v>
      </c>
      <c r="D834" s="3">
        <v>0</v>
      </c>
      <c r="E834" s="3">
        <v>1</v>
      </c>
      <c r="F834" s="3">
        <v>31</v>
      </c>
      <c r="G834" s="3" t="s">
        <v>846</v>
      </c>
      <c r="H834" s="3">
        <v>120</v>
      </c>
      <c r="I834" s="3" t="str">
        <f>VLOOKUP(A834,首领结算奖励!$A$1:$O$122,15,0)</f>
        <v>[{"id":14,"num":60},{"id":5,"num":445},{"id":62,"num":3}]</v>
      </c>
      <c r="J834" s="3" t="s">
        <v>836</v>
      </c>
      <c r="K834" s="3">
        <v>261</v>
      </c>
      <c r="L834" s="3"/>
      <c r="M834" s="3"/>
      <c r="N834" s="3"/>
      <c r="O834" s="3"/>
    </row>
    <row r="835" spans="1:15" x14ac:dyDescent="0.15">
      <c r="A835" s="3">
        <f t="shared" si="781"/>
        <v>1501032</v>
      </c>
      <c r="B835" s="3">
        <v>15</v>
      </c>
      <c r="C835" s="3">
        <v>800000</v>
      </c>
      <c r="D835" s="3">
        <v>0</v>
      </c>
      <c r="E835" s="3">
        <v>1</v>
      </c>
      <c r="F835" s="3">
        <v>32</v>
      </c>
      <c r="G835" s="3" t="s">
        <v>847</v>
      </c>
      <c r="H835" s="3">
        <v>120</v>
      </c>
      <c r="I835" s="3" t="str">
        <f>VLOOKUP(A835,首领结算奖励!$A$1:$O$122,15,0)</f>
        <v>[{"id":14,"num":60},{"id":5,"num":450},{"id":62,"num":3}]</v>
      </c>
      <c r="J835" s="3" t="s">
        <v>836</v>
      </c>
      <c r="K835" s="3">
        <v>262</v>
      </c>
      <c r="L835" s="3"/>
      <c r="M835" s="3"/>
      <c r="N835" s="3"/>
      <c r="O835" s="3"/>
    </row>
    <row r="836" spans="1:15" x14ac:dyDescent="0.15">
      <c r="A836" s="3">
        <f t="shared" si="781"/>
        <v>1501033</v>
      </c>
      <c r="B836" s="3">
        <v>15</v>
      </c>
      <c r="C836" s="3">
        <v>850000</v>
      </c>
      <c r="D836" s="3">
        <v>0</v>
      </c>
      <c r="E836" s="3">
        <v>1</v>
      </c>
      <c r="F836" s="3">
        <v>33</v>
      </c>
      <c r="G836" s="3" t="s">
        <v>848</v>
      </c>
      <c r="H836" s="3">
        <v>120</v>
      </c>
      <c r="I836" s="3" t="str">
        <f>VLOOKUP(A836,首领结算奖励!$A$1:$O$122,15,0)</f>
        <v>[{"id":14,"num":60},{"id":5,"num":455},{"id":62,"num":3}]</v>
      </c>
      <c r="J836" s="3" t="s">
        <v>836</v>
      </c>
      <c r="K836" s="3">
        <v>263</v>
      </c>
      <c r="L836" s="3"/>
      <c r="M836" s="3"/>
      <c r="N836" s="3"/>
      <c r="O836" s="3"/>
    </row>
    <row r="837" spans="1:15" x14ac:dyDescent="0.15">
      <c r="A837" s="3">
        <f t="shared" si="781"/>
        <v>1501034</v>
      </c>
      <c r="B837" s="3">
        <v>15</v>
      </c>
      <c r="C837" s="3">
        <v>900000</v>
      </c>
      <c r="D837" s="3">
        <v>0</v>
      </c>
      <c r="E837" s="3">
        <v>1</v>
      </c>
      <c r="F837" s="3">
        <v>34</v>
      </c>
      <c r="G837" s="3" t="s">
        <v>849</v>
      </c>
      <c r="H837" s="3">
        <v>120</v>
      </c>
      <c r="I837" s="3" t="str">
        <f>VLOOKUP(A837,首领结算奖励!$A$1:$O$122,15,0)</f>
        <v>[{"id":14,"num":60},{"id":5,"num":460},{"id":62,"num":3}]</v>
      </c>
      <c r="J837" s="3" t="s">
        <v>836</v>
      </c>
      <c r="K837" s="3">
        <v>264</v>
      </c>
      <c r="L837" s="3"/>
      <c r="M837" s="3"/>
      <c r="N837" s="3"/>
      <c r="O837" s="3"/>
    </row>
    <row r="838" spans="1:15" x14ac:dyDescent="0.15">
      <c r="A838" s="3">
        <f t="shared" si="781"/>
        <v>1501035</v>
      </c>
      <c r="B838" s="3">
        <v>15</v>
      </c>
      <c r="C838" s="3">
        <v>950000</v>
      </c>
      <c r="D838" s="3">
        <v>0</v>
      </c>
      <c r="E838" s="3">
        <v>1</v>
      </c>
      <c r="F838" s="3">
        <v>35</v>
      </c>
      <c r="G838" s="3" t="s">
        <v>850</v>
      </c>
      <c r="H838" s="3">
        <v>120</v>
      </c>
      <c r="I838" s="3" t="str">
        <f>VLOOKUP(A838,首领结算奖励!$A$1:$O$122,15,0)</f>
        <v>[{"id":14,"num":60},{"id":5,"num":465},{"id":62,"num":3}]</v>
      </c>
      <c r="J838" s="3" t="s">
        <v>836</v>
      </c>
      <c r="K838" s="3">
        <v>265</v>
      </c>
      <c r="L838" s="3"/>
      <c r="M838" s="3"/>
      <c r="N838" s="3"/>
      <c r="O838" s="3"/>
    </row>
    <row r="839" spans="1:15" x14ac:dyDescent="0.15">
      <c r="A839" s="3">
        <f t="shared" si="781"/>
        <v>1501036</v>
      </c>
      <c r="B839" s="3">
        <v>15</v>
      </c>
      <c r="C839" s="3">
        <v>1000000</v>
      </c>
      <c r="D839" s="3">
        <v>0</v>
      </c>
      <c r="E839" s="3">
        <v>1</v>
      </c>
      <c r="F839" s="3">
        <v>36</v>
      </c>
      <c r="G839" s="3" t="s">
        <v>851</v>
      </c>
      <c r="H839" s="3">
        <v>120</v>
      </c>
      <c r="I839" s="3" t="str">
        <f>VLOOKUP(A839,首领结算奖励!$A$1:$O$122,15,0)</f>
        <v>[{"id":14,"num":60},{"id":5,"num":470},{"id":62,"num":4}]</v>
      </c>
      <c r="J839" s="3" t="s">
        <v>836</v>
      </c>
      <c r="K839" s="3">
        <v>266</v>
      </c>
      <c r="L839" s="3"/>
      <c r="M839" s="3"/>
      <c r="N839" s="3"/>
      <c r="O839" s="3"/>
    </row>
    <row r="840" spans="1:15" x14ac:dyDescent="0.15">
      <c r="A840" s="3">
        <f t="shared" si="781"/>
        <v>1501037</v>
      </c>
      <c r="B840" s="3">
        <v>15</v>
      </c>
      <c r="C840" s="3">
        <v>1050000</v>
      </c>
      <c r="D840" s="3">
        <v>0</v>
      </c>
      <c r="E840" s="3">
        <v>1</v>
      </c>
      <c r="F840" s="3">
        <v>37</v>
      </c>
      <c r="G840" s="3" t="s">
        <v>852</v>
      </c>
      <c r="H840" s="3">
        <v>120</v>
      </c>
      <c r="I840" s="3" t="str">
        <f>VLOOKUP(A840,首领结算奖励!$A$1:$O$122,15,0)</f>
        <v>[{"id":14,"num":60},{"id":5,"num":475},{"id":62,"num":4}]</v>
      </c>
      <c r="J840" s="3" t="s">
        <v>836</v>
      </c>
      <c r="K840" s="3">
        <v>267</v>
      </c>
      <c r="L840" s="3"/>
      <c r="M840" s="3"/>
      <c r="N840" s="3"/>
      <c r="O840" s="3"/>
    </row>
    <row r="841" spans="1:15" x14ac:dyDescent="0.15">
      <c r="A841" s="3">
        <f t="shared" si="781"/>
        <v>1501038</v>
      </c>
      <c r="B841" s="3">
        <v>15</v>
      </c>
      <c r="C841" s="3">
        <v>1100000</v>
      </c>
      <c r="D841" s="3">
        <v>0</v>
      </c>
      <c r="E841" s="3">
        <v>1</v>
      </c>
      <c r="F841" s="3">
        <v>38</v>
      </c>
      <c r="G841" s="3" t="s">
        <v>853</v>
      </c>
      <c r="H841" s="3">
        <v>120</v>
      </c>
      <c r="I841" s="3" t="str">
        <f>VLOOKUP(A841,首领结算奖励!$A$1:$O$122,15,0)</f>
        <v>[{"id":14,"num":60},{"id":5,"num":480},{"id":62,"num":4}]</v>
      </c>
      <c r="J841" s="3" t="s">
        <v>836</v>
      </c>
      <c r="K841" s="3">
        <v>268</v>
      </c>
      <c r="L841" s="3"/>
      <c r="M841" s="3"/>
      <c r="N841" s="3"/>
      <c r="O841" s="3"/>
    </row>
    <row r="842" spans="1:15" x14ac:dyDescent="0.15">
      <c r="A842" s="3">
        <f t="shared" si="781"/>
        <v>1501039</v>
      </c>
      <c r="B842" s="3">
        <v>15</v>
      </c>
      <c r="C842" s="3">
        <v>1150000</v>
      </c>
      <c r="D842" s="3">
        <v>0</v>
      </c>
      <c r="E842" s="3">
        <v>1</v>
      </c>
      <c r="F842" s="3">
        <v>39</v>
      </c>
      <c r="G842" s="3" t="s">
        <v>854</v>
      </c>
      <c r="H842" s="3">
        <v>120</v>
      </c>
      <c r="I842" s="3" t="str">
        <f>VLOOKUP(A842,首领结算奖励!$A$1:$O$122,15,0)</f>
        <v>[{"id":14,"num":60},{"id":5,"num":485},{"id":62,"num":4}]</v>
      </c>
      <c r="J842" s="3" t="s">
        <v>836</v>
      </c>
      <c r="K842" s="3">
        <v>269</v>
      </c>
      <c r="L842" s="3"/>
      <c r="M842" s="3"/>
      <c r="N842" s="3"/>
      <c r="O842" s="3"/>
    </row>
    <row r="843" spans="1:15" x14ac:dyDescent="0.15">
      <c r="A843" s="3">
        <f t="shared" si="781"/>
        <v>1501040</v>
      </c>
      <c r="B843" s="3">
        <v>15</v>
      </c>
      <c r="C843" s="3">
        <v>1200000</v>
      </c>
      <c r="D843" s="3">
        <v>0</v>
      </c>
      <c r="E843" s="3">
        <v>1</v>
      </c>
      <c r="F843" s="3">
        <v>40</v>
      </c>
      <c r="G843" s="3" t="s">
        <v>855</v>
      </c>
      <c r="H843" s="3">
        <v>120</v>
      </c>
      <c r="I843" s="3" t="str">
        <f>VLOOKUP(A843,首领结算奖励!$A$1:$O$122,15,0)</f>
        <v>[{"id":14,"num":60},{"id":5,"num":490},{"id":62,"num":4}]</v>
      </c>
      <c r="J843" s="3" t="s">
        <v>836</v>
      </c>
      <c r="K843" s="3">
        <v>270</v>
      </c>
      <c r="L843" s="3"/>
      <c r="M843" s="3"/>
      <c r="N843" s="3"/>
      <c r="O843" s="3"/>
    </row>
    <row r="844" spans="1:15" x14ac:dyDescent="0.15">
      <c r="A844" s="3">
        <f t="shared" si="781"/>
        <v>1501041</v>
      </c>
      <c r="B844" s="3">
        <v>15</v>
      </c>
      <c r="C844" s="3">
        <v>1250000</v>
      </c>
      <c r="D844" s="3">
        <v>0</v>
      </c>
      <c r="E844" s="3">
        <v>1</v>
      </c>
      <c r="F844" s="3">
        <v>41</v>
      </c>
      <c r="G844" s="3" t="s">
        <v>856</v>
      </c>
      <c r="H844" s="3">
        <v>120</v>
      </c>
      <c r="I844" s="3" t="str">
        <f>VLOOKUP(A844,首领结算奖励!$A$1:$O$122,15,0)</f>
        <v>[{"id":14,"num":70},{"id":5,"num":495},{"id":62,"num":5}]</v>
      </c>
      <c r="J844" s="3" t="s">
        <v>836</v>
      </c>
      <c r="K844" s="3">
        <v>271</v>
      </c>
      <c r="L844" s="3"/>
      <c r="M844" s="3"/>
      <c r="N844" s="3"/>
      <c r="O844" s="3"/>
    </row>
    <row r="845" spans="1:15" x14ac:dyDescent="0.15">
      <c r="A845" s="3">
        <f t="shared" si="781"/>
        <v>1501042</v>
      </c>
      <c r="B845" s="3">
        <v>15</v>
      </c>
      <c r="C845" s="3">
        <v>1300000</v>
      </c>
      <c r="D845" s="3">
        <v>0</v>
      </c>
      <c r="E845" s="3">
        <v>1</v>
      </c>
      <c r="F845" s="3">
        <v>42</v>
      </c>
      <c r="G845" s="3" t="s">
        <v>857</v>
      </c>
      <c r="H845" s="3">
        <v>120</v>
      </c>
      <c r="I845" s="3" t="str">
        <f>VLOOKUP(A845,首领结算奖励!$A$1:$O$122,15,0)</f>
        <v>[{"id":14,"num":70},{"id":5,"num":500},{"id":62,"num":5}]</v>
      </c>
      <c r="J845" s="3" t="s">
        <v>836</v>
      </c>
      <c r="K845" s="3">
        <v>272</v>
      </c>
      <c r="L845" s="3"/>
      <c r="M845" s="3"/>
      <c r="N845" s="3"/>
      <c r="O845" s="3"/>
    </row>
    <row r="846" spans="1:15" x14ac:dyDescent="0.15">
      <c r="A846" s="3">
        <f t="shared" si="781"/>
        <v>1501043</v>
      </c>
      <c r="B846" s="3">
        <v>15</v>
      </c>
      <c r="C846" s="3">
        <v>1350000</v>
      </c>
      <c r="D846" s="3">
        <v>0</v>
      </c>
      <c r="E846" s="3">
        <v>1</v>
      </c>
      <c r="F846" s="3">
        <v>43</v>
      </c>
      <c r="G846" s="3" t="s">
        <v>858</v>
      </c>
      <c r="H846" s="3">
        <v>120</v>
      </c>
      <c r="I846" s="3" t="str">
        <f>VLOOKUP(A846,首领结算奖励!$A$1:$O$122,15,0)</f>
        <v>[{"id":14,"num":70},{"id":5,"num":505},{"id":62,"num":5}]</v>
      </c>
      <c r="J846" s="3" t="s">
        <v>836</v>
      </c>
      <c r="K846" s="3">
        <v>273</v>
      </c>
      <c r="L846" s="3"/>
      <c r="M846" s="3"/>
      <c r="N846" s="3"/>
      <c r="O846" s="3"/>
    </row>
    <row r="847" spans="1:15" x14ac:dyDescent="0.15">
      <c r="A847" s="3">
        <f t="shared" si="781"/>
        <v>1501044</v>
      </c>
      <c r="B847" s="3">
        <v>15</v>
      </c>
      <c r="C847" s="3">
        <v>1400000</v>
      </c>
      <c r="D847" s="3">
        <v>0</v>
      </c>
      <c r="E847" s="3">
        <v>1</v>
      </c>
      <c r="F847" s="3">
        <v>44</v>
      </c>
      <c r="G847" s="3" t="s">
        <v>859</v>
      </c>
      <c r="H847" s="3">
        <v>120</v>
      </c>
      <c r="I847" s="3" t="str">
        <f>VLOOKUP(A847,首领结算奖励!$A$1:$O$122,15,0)</f>
        <v>[{"id":14,"num":70},{"id":5,"num":510},{"id":62,"num":5}]</v>
      </c>
      <c r="J847" s="3" t="s">
        <v>836</v>
      </c>
      <c r="K847" s="3">
        <v>274</v>
      </c>
      <c r="L847" s="3"/>
      <c r="M847" s="3"/>
      <c r="N847" s="3"/>
      <c r="O847" s="3"/>
    </row>
    <row r="848" spans="1:15" x14ac:dyDescent="0.15">
      <c r="A848" s="3">
        <f t="shared" si="781"/>
        <v>1501045</v>
      </c>
      <c r="B848" s="3">
        <v>15</v>
      </c>
      <c r="C848" s="3">
        <v>1450000</v>
      </c>
      <c r="D848" s="3">
        <v>0</v>
      </c>
      <c r="E848" s="3">
        <v>1</v>
      </c>
      <c r="F848" s="3">
        <v>45</v>
      </c>
      <c r="G848" s="3" t="s">
        <v>860</v>
      </c>
      <c r="H848" s="3">
        <v>120</v>
      </c>
      <c r="I848" s="3" t="str">
        <f>VLOOKUP(A848,首领结算奖励!$A$1:$O$122,15,0)</f>
        <v>[{"id":14,"num":70},{"id":5,"num":515},{"id":62,"num":5}]</v>
      </c>
      <c r="J848" s="3" t="s">
        <v>836</v>
      </c>
      <c r="K848" s="3">
        <v>275</v>
      </c>
      <c r="L848" s="3"/>
      <c r="M848" s="3"/>
      <c r="N848" s="3"/>
      <c r="O848" s="3"/>
    </row>
    <row r="849" spans="1:15" x14ac:dyDescent="0.15">
      <c r="A849" s="3">
        <f t="shared" si="781"/>
        <v>1501046</v>
      </c>
      <c r="B849" s="3">
        <v>15</v>
      </c>
      <c r="C849" s="3">
        <v>1500000</v>
      </c>
      <c r="D849" s="3">
        <v>0</v>
      </c>
      <c r="E849" s="3">
        <v>1</v>
      </c>
      <c r="F849" s="3">
        <v>46</v>
      </c>
      <c r="G849" s="3" t="s">
        <v>861</v>
      </c>
      <c r="H849" s="3">
        <v>120</v>
      </c>
      <c r="I849" s="3" t="str">
        <f>VLOOKUP(A849,首领结算奖励!$A$1:$O$122,15,0)</f>
        <v>[{"id":14,"num":70},{"id":5,"num":520},{"id":62,"num":6}]</v>
      </c>
      <c r="J849" s="3" t="s">
        <v>836</v>
      </c>
      <c r="K849" s="3">
        <v>276</v>
      </c>
      <c r="L849" s="3"/>
      <c r="M849" s="3"/>
      <c r="N849" s="3"/>
      <c r="O849" s="3"/>
    </row>
    <row r="850" spans="1:15" x14ac:dyDescent="0.15">
      <c r="A850" s="3">
        <f t="shared" si="781"/>
        <v>1501047</v>
      </c>
      <c r="B850" s="3">
        <v>15</v>
      </c>
      <c r="C850" s="3">
        <v>1550000</v>
      </c>
      <c r="D850" s="3">
        <v>0</v>
      </c>
      <c r="E850" s="3">
        <v>1</v>
      </c>
      <c r="F850" s="3">
        <v>47</v>
      </c>
      <c r="G850" s="3" t="s">
        <v>862</v>
      </c>
      <c r="H850" s="3">
        <v>120</v>
      </c>
      <c r="I850" s="3" t="str">
        <f>VLOOKUP(A850,首领结算奖励!$A$1:$O$122,15,0)</f>
        <v>[{"id":14,"num":70},{"id":5,"num":525},{"id":62,"num":6}]</v>
      </c>
      <c r="J850" s="3" t="s">
        <v>836</v>
      </c>
      <c r="K850" s="3">
        <v>277</v>
      </c>
      <c r="L850" s="3"/>
      <c r="M850" s="3"/>
      <c r="N850" s="3"/>
      <c r="O850" s="3"/>
    </row>
    <row r="851" spans="1:15" x14ac:dyDescent="0.15">
      <c r="A851" s="3">
        <f t="shared" si="781"/>
        <v>1501048</v>
      </c>
      <c r="B851" s="3">
        <v>15</v>
      </c>
      <c r="C851" s="3">
        <v>1600000</v>
      </c>
      <c r="D851" s="3">
        <v>0</v>
      </c>
      <c r="E851" s="3">
        <v>1</v>
      </c>
      <c r="F851" s="3">
        <v>48</v>
      </c>
      <c r="G851" s="3" t="s">
        <v>863</v>
      </c>
      <c r="H851" s="3">
        <v>120</v>
      </c>
      <c r="I851" s="3" t="str">
        <f>VLOOKUP(A851,首领结算奖励!$A$1:$O$122,15,0)</f>
        <v>[{"id":14,"num":70},{"id":5,"num":530},{"id":62,"num":6}]</v>
      </c>
      <c r="J851" s="3" t="s">
        <v>836</v>
      </c>
      <c r="K851" s="3">
        <v>278</v>
      </c>
      <c r="L851" s="3"/>
      <c r="M851" s="3"/>
      <c r="N851" s="3"/>
      <c r="O851" s="3"/>
    </row>
    <row r="852" spans="1:15" x14ac:dyDescent="0.15">
      <c r="A852" s="3">
        <f t="shared" si="781"/>
        <v>1501049</v>
      </c>
      <c r="B852" s="3">
        <v>15</v>
      </c>
      <c r="C852" s="3">
        <v>1650000</v>
      </c>
      <c r="D852" s="3">
        <v>0</v>
      </c>
      <c r="E852" s="3">
        <v>1</v>
      </c>
      <c r="F852" s="3">
        <v>49</v>
      </c>
      <c r="G852" s="3" t="s">
        <v>864</v>
      </c>
      <c r="H852" s="3">
        <v>120</v>
      </c>
      <c r="I852" s="3" t="str">
        <f>VLOOKUP(A852,首领结算奖励!$A$1:$O$122,15,0)</f>
        <v>[{"id":14,"num":70},{"id":5,"num":535},{"id":62,"num":6}]</v>
      </c>
      <c r="J852" s="3" t="s">
        <v>836</v>
      </c>
      <c r="K852" s="3">
        <v>279</v>
      </c>
      <c r="L852" s="3"/>
      <c r="M852" s="3"/>
      <c r="N852" s="3"/>
      <c r="O852" s="3"/>
    </row>
    <row r="853" spans="1:15" x14ac:dyDescent="0.15">
      <c r="A853" s="3">
        <f t="shared" si="781"/>
        <v>1501050</v>
      </c>
      <c r="B853" s="3">
        <v>15</v>
      </c>
      <c r="C853" s="3">
        <v>1700000</v>
      </c>
      <c r="D853" s="3">
        <v>0</v>
      </c>
      <c r="E853" s="3">
        <v>1</v>
      </c>
      <c r="F853" s="3">
        <v>50</v>
      </c>
      <c r="G853" s="3" t="s">
        <v>865</v>
      </c>
      <c r="H853" s="3">
        <v>120</v>
      </c>
      <c r="I853" s="3" t="str">
        <f>VLOOKUP(A853,首领结算奖励!$A$1:$O$122,15,0)</f>
        <v>[{"id":14,"num":70},{"id":5,"num":540},{"id":62,"num":6}]</v>
      </c>
      <c r="J853" s="3" t="s">
        <v>836</v>
      </c>
      <c r="K853" s="3">
        <v>280</v>
      </c>
      <c r="L853" s="3"/>
      <c r="M853" s="3"/>
      <c r="N853" s="3"/>
      <c r="O853" s="3"/>
    </row>
    <row r="854" spans="1:15" x14ac:dyDescent="0.15">
      <c r="A854" s="3">
        <f t="shared" si="781"/>
        <v>1501051</v>
      </c>
      <c r="B854" s="3">
        <v>15</v>
      </c>
      <c r="C854" s="3">
        <v>1750000</v>
      </c>
      <c r="D854" s="3">
        <v>0</v>
      </c>
      <c r="E854" s="3">
        <v>1</v>
      </c>
      <c r="F854" s="3">
        <v>51</v>
      </c>
      <c r="G854" s="3" t="s">
        <v>866</v>
      </c>
      <c r="H854" s="3">
        <v>120</v>
      </c>
      <c r="I854" s="3" t="str">
        <f>VLOOKUP(A854,首领结算奖励!$A$1:$O$122,15,0)</f>
        <v>[{"id":14,"num":70},{"id":5,"num":545},{"id":62,"num":7}]</v>
      </c>
      <c r="J854" s="3" t="s">
        <v>836</v>
      </c>
      <c r="K854" s="3">
        <v>281</v>
      </c>
      <c r="L854" s="3"/>
      <c r="M854" s="3"/>
      <c r="N854" s="3"/>
      <c r="O854" s="3"/>
    </row>
    <row r="855" spans="1:15" x14ac:dyDescent="0.15">
      <c r="A855" s="3">
        <f t="shared" si="781"/>
        <v>1501052</v>
      </c>
      <c r="B855" s="3">
        <v>15</v>
      </c>
      <c r="C855" s="3">
        <v>1800000</v>
      </c>
      <c r="D855" s="3">
        <v>0</v>
      </c>
      <c r="E855" s="3">
        <v>1</v>
      </c>
      <c r="F855" s="3">
        <v>52</v>
      </c>
      <c r="G855" s="3" t="s">
        <v>867</v>
      </c>
      <c r="H855" s="3">
        <v>120</v>
      </c>
      <c r="I855" s="3" t="str">
        <f>VLOOKUP(A855,首领结算奖励!$A$1:$O$122,15,0)</f>
        <v>[{"id":14,"num":70},{"id":5,"num":550},{"id":62,"num":7}]</v>
      </c>
      <c r="J855" s="3" t="s">
        <v>836</v>
      </c>
      <c r="K855" s="3">
        <v>282</v>
      </c>
      <c r="L855" s="3"/>
      <c r="M855" s="3"/>
      <c r="N855" s="3"/>
      <c r="O855" s="3"/>
    </row>
    <row r="856" spans="1:15" x14ac:dyDescent="0.15">
      <c r="A856" s="3">
        <f t="shared" si="781"/>
        <v>1501053</v>
      </c>
      <c r="B856" s="3">
        <v>15</v>
      </c>
      <c r="C856" s="3">
        <v>1850000</v>
      </c>
      <c r="D856" s="3">
        <v>0</v>
      </c>
      <c r="E856" s="3">
        <v>1</v>
      </c>
      <c r="F856" s="3">
        <v>53</v>
      </c>
      <c r="G856" s="3" t="s">
        <v>868</v>
      </c>
      <c r="H856" s="3">
        <v>120</v>
      </c>
      <c r="I856" s="3" t="str">
        <f>VLOOKUP(A856,首领结算奖励!$A$1:$O$122,15,0)</f>
        <v>[{"id":14,"num":70},{"id":5,"num":555},{"id":62,"num":7}]</v>
      </c>
      <c r="J856" s="3" t="s">
        <v>836</v>
      </c>
      <c r="K856" s="3">
        <v>283</v>
      </c>
      <c r="L856" s="3"/>
      <c r="M856" s="3"/>
      <c r="N856" s="3"/>
      <c r="O856" s="3"/>
    </row>
    <row r="857" spans="1:15" x14ac:dyDescent="0.15">
      <c r="A857" s="3">
        <f t="shared" si="781"/>
        <v>1501054</v>
      </c>
      <c r="B857" s="3">
        <v>15</v>
      </c>
      <c r="C857" s="3">
        <v>1900000</v>
      </c>
      <c r="D857" s="3">
        <v>0</v>
      </c>
      <c r="E857" s="3">
        <v>1</v>
      </c>
      <c r="F857" s="3">
        <v>54</v>
      </c>
      <c r="G857" s="3" t="s">
        <v>869</v>
      </c>
      <c r="H857" s="3">
        <v>120</v>
      </c>
      <c r="I857" s="3" t="str">
        <f>VLOOKUP(A857,首领结算奖励!$A$1:$O$122,15,0)</f>
        <v>[{"id":14,"num":70},{"id":5,"num":560},{"id":62,"num":7}]</v>
      </c>
      <c r="J857" s="3" t="s">
        <v>836</v>
      </c>
      <c r="K857" s="3">
        <v>284</v>
      </c>
      <c r="L857" s="3"/>
      <c r="M857" s="3"/>
      <c r="N857" s="3"/>
      <c r="O857" s="3"/>
    </row>
    <row r="858" spans="1:15" x14ac:dyDescent="0.15">
      <c r="A858" s="3">
        <f t="shared" si="781"/>
        <v>1501055</v>
      </c>
      <c r="B858" s="3">
        <v>15</v>
      </c>
      <c r="C858" s="3">
        <v>1950000</v>
      </c>
      <c r="D858" s="3">
        <v>0</v>
      </c>
      <c r="E858" s="3">
        <v>1</v>
      </c>
      <c r="F858" s="3">
        <v>55</v>
      </c>
      <c r="G858" s="3" t="s">
        <v>870</v>
      </c>
      <c r="H858" s="3">
        <v>120</v>
      </c>
      <c r="I858" s="3" t="str">
        <f>VLOOKUP(A858,首领结算奖励!$A$1:$O$122,15,0)</f>
        <v>[{"id":14,"num":70},{"id":5,"num":565},{"id":62,"num":7}]</v>
      </c>
      <c r="J858" s="3" t="s">
        <v>836</v>
      </c>
      <c r="K858" s="3">
        <v>285</v>
      </c>
      <c r="L858" s="3"/>
      <c r="M858" s="3"/>
      <c r="N858" s="3"/>
      <c r="O858" s="3"/>
    </row>
    <row r="859" spans="1:15" x14ac:dyDescent="0.15">
      <c r="A859" s="3">
        <f t="shared" si="781"/>
        <v>1501056</v>
      </c>
      <c r="B859" s="3">
        <v>15</v>
      </c>
      <c r="C859" s="3">
        <v>2000000</v>
      </c>
      <c r="D859" s="3">
        <v>0</v>
      </c>
      <c r="E859" s="3">
        <v>1</v>
      </c>
      <c r="F859" s="3">
        <v>56</v>
      </c>
      <c r="G859" s="3" t="s">
        <v>871</v>
      </c>
      <c r="H859" s="3">
        <v>120</v>
      </c>
      <c r="I859" s="3" t="str">
        <f>VLOOKUP(A859,首领结算奖励!$A$1:$O$122,15,0)</f>
        <v>[{"id":14,"num":70},{"id":5,"num":570},{"id":62,"num":8}]</v>
      </c>
      <c r="J859" s="3" t="s">
        <v>836</v>
      </c>
      <c r="K859" s="3">
        <v>286</v>
      </c>
      <c r="L859" s="3"/>
      <c r="M859" s="3"/>
      <c r="N859" s="3"/>
      <c r="O859" s="3"/>
    </row>
    <row r="860" spans="1:15" x14ac:dyDescent="0.15">
      <c r="A860" s="3">
        <f t="shared" si="781"/>
        <v>1501057</v>
      </c>
      <c r="B860" s="3">
        <v>15</v>
      </c>
      <c r="C860" s="3">
        <v>2050000</v>
      </c>
      <c r="D860" s="3">
        <v>0</v>
      </c>
      <c r="E860" s="3">
        <v>1</v>
      </c>
      <c r="F860" s="3">
        <v>57</v>
      </c>
      <c r="G860" s="3" t="s">
        <v>872</v>
      </c>
      <c r="H860" s="3">
        <v>120</v>
      </c>
      <c r="I860" s="3" t="str">
        <f>VLOOKUP(A860,首领结算奖励!$A$1:$O$122,15,0)</f>
        <v>[{"id":14,"num":70},{"id":5,"num":575},{"id":62,"num":8}]</v>
      </c>
      <c r="J860" s="3" t="s">
        <v>836</v>
      </c>
      <c r="K860" s="3">
        <v>287</v>
      </c>
      <c r="L860" s="3"/>
      <c r="M860" s="3"/>
      <c r="N860" s="3"/>
      <c r="O860" s="3"/>
    </row>
    <row r="861" spans="1:15" x14ac:dyDescent="0.15">
      <c r="A861" s="3">
        <f t="shared" si="781"/>
        <v>1501058</v>
      </c>
      <c r="B861" s="3">
        <v>15</v>
      </c>
      <c r="C861" s="3">
        <v>2100000</v>
      </c>
      <c r="D861" s="3">
        <v>0</v>
      </c>
      <c r="E861" s="3">
        <v>1</v>
      </c>
      <c r="F861" s="3">
        <v>58</v>
      </c>
      <c r="G861" s="3" t="s">
        <v>873</v>
      </c>
      <c r="H861" s="3">
        <v>120</v>
      </c>
      <c r="I861" s="3" t="str">
        <f>VLOOKUP(A861,首领结算奖励!$A$1:$O$122,15,0)</f>
        <v>[{"id":14,"num":70},{"id":5,"num":580},{"id":62,"num":8}]</v>
      </c>
      <c r="J861" s="3" t="s">
        <v>836</v>
      </c>
      <c r="K861" s="3">
        <v>288</v>
      </c>
      <c r="L861" s="3"/>
      <c r="M861" s="3"/>
      <c r="N861" s="3"/>
      <c r="O861" s="3"/>
    </row>
    <row r="862" spans="1:15" x14ac:dyDescent="0.15">
      <c r="A862" s="3">
        <f t="shared" si="781"/>
        <v>1501059</v>
      </c>
      <c r="B862" s="3">
        <v>15</v>
      </c>
      <c r="C862" s="3">
        <v>2150000</v>
      </c>
      <c r="D862" s="3">
        <v>0</v>
      </c>
      <c r="E862" s="3">
        <v>1</v>
      </c>
      <c r="F862" s="3">
        <v>59</v>
      </c>
      <c r="G862" s="3" t="s">
        <v>874</v>
      </c>
      <c r="H862" s="3">
        <v>120</v>
      </c>
      <c r="I862" s="3" t="str">
        <f>VLOOKUP(A862,首领结算奖励!$A$1:$O$122,15,0)</f>
        <v>[{"id":14,"num":70},{"id":5,"num":585},{"id":62,"num":8}]</v>
      </c>
      <c r="J862" s="3" t="s">
        <v>836</v>
      </c>
      <c r="K862" s="3">
        <v>289</v>
      </c>
      <c r="L862" s="3"/>
      <c r="M862" s="3"/>
      <c r="N862" s="3"/>
      <c r="O862" s="3"/>
    </row>
    <row r="863" spans="1:15" x14ac:dyDescent="0.15">
      <c r="A863" s="3">
        <f t="shared" si="781"/>
        <v>1501060</v>
      </c>
      <c r="B863" s="3">
        <v>15</v>
      </c>
      <c r="C863" s="3">
        <v>2200000</v>
      </c>
      <c r="D863" s="3">
        <v>0</v>
      </c>
      <c r="E863" s="3">
        <v>1</v>
      </c>
      <c r="F863" s="3">
        <v>60</v>
      </c>
      <c r="G863" s="3" t="s">
        <v>875</v>
      </c>
      <c r="H863" s="3">
        <v>120</v>
      </c>
      <c r="I863" s="3" t="str">
        <f>VLOOKUP(A863,首领结算奖励!$A$1:$O$122,15,0)</f>
        <v>[{"id":14,"num":70},{"id":5,"num":590},{"id":62,"num":8}]</v>
      </c>
      <c r="J863" s="3" t="s">
        <v>836</v>
      </c>
      <c r="K863" s="3">
        <v>290</v>
      </c>
      <c r="L863" s="3"/>
      <c r="M863" s="3"/>
      <c r="N863" s="3"/>
      <c r="O863" s="3"/>
    </row>
    <row r="864" spans="1:15" x14ac:dyDescent="0.15">
      <c r="A864" s="3">
        <f t="shared" si="781"/>
        <v>1501061</v>
      </c>
      <c r="B864" s="3">
        <v>15</v>
      </c>
      <c r="C864" s="3">
        <v>2250000</v>
      </c>
      <c r="D864" s="3">
        <v>0</v>
      </c>
      <c r="E864" s="3">
        <v>1</v>
      </c>
      <c r="F864" s="3">
        <v>61</v>
      </c>
      <c r="G864" s="3" t="s">
        <v>876</v>
      </c>
      <c r="H864" s="3">
        <v>120</v>
      </c>
      <c r="I864" s="3" t="str">
        <f>VLOOKUP(A864,首领结算奖励!$A$1:$O$122,15,0)</f>
        <v>[{"id":14,"num":80},{"id":5,"num":595},{"id":62,"num":9}]</v>
      </c>
      <c r="J864" s="3" t="s">
        <v>836</v>
      </c>
      <c r="K864" s="3">
        <v>291</v>
      </c>
      <c r="L864" s="3"/>
      <c r="M864" s="3"/>
      <c r="N864" s="3"/>
      <c r="O864" s="3"/>
    </row>
    <row r="865" spans="1:15" x14ac:dyDescent="0.15">
      <c r="A865" s="3">
        <f t="shared" si="781"/>
        <v>1501062</v>
      </c>
      <c r="B865" s="3">
        <v>15</v>
      </c>
      <c r="C865" s="3">
        <v>2300000</v>
      </c>
      <c r="D865" s="3">
        <v>0</v>
      </c>
      <c r="E865" s="3">
        <v>1</v>
      </c>
      <c r="F865" s="3">
        <v>62</v>
      </c>
      <c r="G865" s="3" t="s">
        <v>877</v>
      </c>
      <c r="H865" s="3">
        <v>120</v>
      </c>
      <c r="I865" s="3" t="str">
        <f>VLOOKUP(A865,首领结算奖励!$A$1:$O$122,15,0)</f>
        <v>[{"id":14,"num":80},{"id":5,"num":600},{"id":62,"num":9}]</v>
      </c>
      <c r="J865" s="3" t="s">
        <v>836</v>
      </c>
      <c r="K865" s="3">
        <v>292</v>
      </c>
      <c r="L865" s="3"/>
      <c r="M865" s="3"/>
      <c r="N865" s="3"/>
      <c r="O865" s="3"/>
    </row>
    <row r="866" spans="1:15" x14ac:dyDescent="0.15">
      <c r="A866" s="3">
        <f t="shared" ref="A866:A897" si="782">B866*100000+E866*1000+F866</f>
        <v>1501063</v>
      </c>
      <c r="B866" s="3">
        <v>15</v>
      </c>
      <c r="C866" s="3">
        <v>2350000</v>
      </c>
      <c r="D866" s="3">
        <v>0</v>
      </c>
      <c r="E866" s="3">
        <v>1</v>
      </c>
      <c r="F866" s="3">
        <v>63</v>
      </c>
      <c r="G866" s="3" t="s">
        <v>878</v>
      </c>
      <c r="H866" s="3">
        <v>120</v>
      </c>
      <c r="I866" s="3" t="str">
        <f>VLOOKUP(A866,首领结算奖励!$A$1:$O$122,15,0)</f>
        <v>[{"id":14,"num":80},{"id":5,"num":605},{"id":62,"num":9}]</v>
      </c>
      <c r="J866" s="3" t="s">
        <v>836</v>
      </c>
      <c r="K866" s="3">
        <v>293</v>
      </c>
      <c r="L866" s="3"/>
      <c r="M866" s="3"/>
      <c r="N866" s="3"/>
      <c r="O866" s="3"/>
    </row>
    <row r="867" spans="1:15" x14ac:dyDescent="0.15">
      <c r="A867" s="3">
        <f t="shared" si="782"/>
        <v>1501064</v>
      </c>
      <c r="B867" s="3">
        <v>15</v>
      </c>
      <c r="C867" s="3">
        <v>2400000</v>
      </c>
      <c r="D867" s="3">
        <v>0</v>
      </c>
      <c r="E867" s="3">
        <v>1</v>
      </c>
      <c r="F867" s="3">
        <v>64</v>
      </c>
      <c r="G867" s="3" t="s">
        <v>879</v>
      </c>
      <c r="H867" s="3">
        <v>120</v>
      </c>
      <c r="I867" s="3" t="str">
        <f>VLOOKUP(A867,首领结算奖励!$A$1:$O$122,15,0)</f>
        <v>[{"id":14,"num":80},{"id":5,"num":610},{"id":62,"num":9}]</v>
      </c>
      <c r="J867" s="3" t="s">
        <v>836</v>
      </c>
      <c r="K867" s="3">
        <v>294</v>
      </c>
      <c r="L867" s="3"/>
      <c r="M867" s="3"/>
      <c r="N867" s="3"/>
      <c r="O867" s="3"/>
    </row>
    <row r="868" spans="1:15" x14ac:dyDescent="0.15">
      <c r="A868" s="3">
        <f t="shared" si="782"/>
        <v>1501065</v>
      </c>
      <c r="B868" s="3">
        <v>15</v>
      </c>
      <c r="C868" s="3">
        <v>2450000</v>
      </c>
      <c r="D868" s="3">
        <v>0</v>
      </c>
      <c r="E868" s="3">
        <v>1</v>
      </c>
      <c r="F868" s="3">
        <v>65</v>
      </c>
      <c r="G868" s="3" t="s">
        <v>880</v>
      </c>
      <c r="H868" s="3">
        <v>120</v>
      </c>
      <c r="I868" s="3" t="str">
        <f>VLOOKUP(A868,首领结算奖励!$A$1:$O$122,15,0)</f>
        <v>[{"id":14,"num":80},{"id":5,"num":615},{"id":62,"num":9}]</v>
      </c>
      <c r="J868" s="3" t="s">
        <v>836</v>
      </c>
      <c r="K868" s="3">
        <v>295</v>
      </c>
      <c r="L868" s="3"/>
      <c r="M868" s="3"/>
      <c r="N868" s="3"/>
      <c r="O868" s="3"/>
    </row>
    <row r="869" spans="1:15" x14ac:dyDescent="0.15">
      <c r="A869" s="3">
        <f t="shared" si="782"/>
        <v>1501066</v>
      </c>
      <c r="B869" s="3">
        <v>15</v>
      </c>
      <c r="C869" s="3">
        <v>2500000</v>
      </c>
      <c r="D869" s="3">
        <v>0</v>
      </c>
      <c r="E869" s="3">
        <v>1</v>
      </c>
      <c r="F869" s="3">
        <v>66</v>
      </c>
      <c r="G869" s="3" t="s">
        <v>881</v>
      </c>
      <c r="H869" s="3">
        <v>120</v>
      </c>
      <c r="I869" s="3" t="str">
        <f>VLOOKUP(A869,首领结算奖励!$A$1:$O$122,15,0)</f>
        <v>[{"id":14,"num":80},{"id":5,"num":620},{"id":62,"num":10}]</v>
      </c>
      <c r="J869" s="3" t="s">
        <v>836</v>
      </c>
      <c r="K869" s="3">
        <v>296</v>
      </c>
      <c r="L869" s="3"/>
      <c r="M869" s="3"/>
      <c r="N869" s="3"/>
      <c r="O869" s="3"/>
    </row>
    <row r="870" spans="1:15" x14ac:dyDescent="0.15">
      <c r="A870" s="3">
        <f t="shared" si="782"/>
        <v>1501067</v>
      </c>
      <c r="B870" s="3">
        <v>15</v>
      </c>
      <c r="C870" s="3">
        <v>2550000</v>
      </c>
      <c r="D870" s="3">
        <v>0</v>
      </c>
      <c r="E870" s="3">
        <v>1</v>
      </c>
      <c r="F870" s="3">
        <v>67</v>
      </c>
      <c r="G870" s="3" t="s">
        <v>882</v>
      </c>
      <c r="H870" s="3">
        <v>120</v>
      </c>
      <c r="I870" s="3" t="str">
        <f>VLOOKUP(A870,首领结算奖励!$A$1:$O$122,15,0)</f>
        <v>[{"id":14,"num":80},{"id":5,"num":625},{"id":62,"num":10}]</v>
      </c>
      <c r="J870" s="3" t="s">
        <v>836</v>
      </c>
      <c r="K870" s="3">
        <v>297</v>
      </c>
      <c r="L870" s="3"/>
      <c r="M870" s="3"/>
      <c r="N870" s="3"/>
      <c r="O870" s="3"/>
    </row>
    <row r="871" spans="1:15" x14ac:dyDescent="0.15">
      <c r="A871" s="3">
        <f t="shared" si="782"/>
        <v>1501068</v>
      </c>
      <c r="B871" s="3">
        <v>15</v>
      </c>
      <c r="C871" s="3">
        <v>2600000</v>
      </c>
      <c r="D871" s="3">
        <v>0</v>
      </c>
      <c r="E871" s="3">
        <v>1</v>
      </c>
      <c r="F871" s="3">
        <v>68</v>
      </c>
      <c r="G871" s="3" t="s">
        <v>883</v>
      </c>
      <c r="H871" s="3">
        <v>120</v>
      </c>
      <c r="I871" s="3" t="str">
        <f>VLOOKUP(A871,首领结算奖励!$A$1:$O$122,15,0)</f>
        <v>[{"id":14,"num":80},{"id":5,"num":630},{"id":62,"num":10}]</v>
      </c>
      <c r="J871" s="3" t="s">
        <v>836</v>
      </c>
      <c r="K871" s="3">
        <v>298</v>
      </c>
      <c r="L871" s="3"/>
      <c r="M871" s="3"/>
      <c r="N871" s="3"/>
      <c r="O871" s="3"/>
    </row>
    <row r="872" spans="1:15" x14ac:dyDescent="0.15">
      <c r="A872" s="3">
        <f t="shared" si="782"/>
        <v>1501069</v>
      </c>
      <c r="B872" s="3">
        <v>15</v>
      </c>
      <c r="C872" s="3">
        <v>2650000</v>
      </c>
      <c r="D872" s="3">
        <v>0</v>
      </c>
      <c r="E872" s="3">
        <v>1</v>
      </c>
      <c r="F872" s="3">
        <v>69</v>
      </c>
      <c r="G872" s="3" t="s">
        <v>884</v>
      </c>
      <c r="H872" s="3">
        <v>120</v>
      </c>
      <c r="I872" s="3" t="str">
        <f>VLOOKUP(A872,首领结算奖励!$A$1:$O$122,15,0)</f>
        <v>[{"id":14,"num":80},{"id":5,"num":635},{"id":62,"num":10}]</v>
      </c>
      <c r="J872" s="3" t="s">
        <v>836</v>
      </c>
      <c r="K872" s="3">
        <v>299</v>
      </c>
      <c r="L872" s="3"/>
      <c r="M872" s="3"/>
      <c r="N872" s="3"/>
      <c r="O872" s="3"/>
    </row>
    <row r="873" spans="1:15" x14ac:dyDescent="0.15">
      <c r="A873" s="3">
        <f t="shared" si="782"/>
        <v>1501070</v>
      </c>
      <c r="B873" s="3">
        <v>15</v>
      </c>
      <c r="C873" s="3">
        <v>2700000</v>
      </c>
      <c r="D873" s="3">
        <v>0</v>
      </c>
      <c r="E873" s="3">
        <v>1</v>
      </c>
      <c r="F873" s="3">
        <v>70</v>
      </c>
      <c r="G873" s="3" t="s">
        <v>885</v>
      </c>
      <c r="H873" s="3">
        <v>120</v>
      </c>
      <c r="I873" s="3" t="str">
        <f>VLOOKUP(A873,首领结算奖励!$A$1:$O$122,15,0)</f>
        <v>[{"id":14,"num":80},{"id":5,"num":640},{"id":62,"num":10}]</v>
      </c>
      <c r="J873" s="3" t="s">
        <v>836</v>
      </c>
      <c r="K873" s="3">
        <v>300</v>
      </c>
      <c r="L873" s="3"/>
      <c r="M873" s="3"/>
      <c r="N873" s="3"/>
      <c r="O873" s="3"/>
    </row>
    <row r="874" spans="1:15" x14ac:dyDescent="0.15">
      <c r="A874" s="3">
        <f t="shared" si="782"/>
        <v>1501071</v>
      </c>
      <c r="B874" s="3">
        <v>15</v>
      </c>
      <c r="C874" s="3">
        <v>2750000</v>
      </c>
      <c r="D874" s="3">
        <v>0</v>
      </c>
      <c r="E874" s="3">
        <v>1</v>
      </c>
      <c r="F874" s="3">
        <v>71</v>
      </c>
      <c r="G874" s="3" t="s">
        <v>886</v>
      </c>
      <c r="H874" s="3">
        <v>120</v>
      </c>
      <c r="I874" s="3" t="str">
        <f>VLOOKUP(A874,首领结算奖励!$A$1:$O$122,15,0)</f>
        <v>[{"id":14,"num":80},{"id":5,"num":645},{"id":63,"num":1}]</v>
      </c>
      <c r="J874" s="3" t="s">
        <v>887</v>
      </c>
      <c r="K874" s="3">
        <v>301</v>
      </c>
      <c r="L874" s="3"/>
      <c r="M874" s="3"/>
      <c r="N874" s="3"/>
      <c r="O874" s="3"/>
    </row>
    <row r="875" spans="1:15" x14ac:dyDescent="0.15">
      <c r="A875" s="3">
        <f t="shared" si="782"/>
        <v>1501072</v>
      </c>
      <c r="B875" s="3">
        <v>15</v>
      </c>
      <c r="C875" s="3">
        <v>2800000</v>
      </c>
      <c r="D875" s="3">
        <v>0</v>
      </c>
      <c r="E875" s="3">
        <v>1</v>
      </c>
      <c r="F875" s="3">
        <v>72</v>
      </c>
      <c r="G875" s="3" t="s">
        <v>888</v>
      </c>
      <c r="H875" s="3">
        <v>120</v>
      </c>
      <c r="I875" s="3" t="str">
        <f>VLOOKUP(A875,首领结算奖励!$A$1:$O$122,15,0)</f>
        <v>[{"id":14,"num":80},{"id":5,"num":650},{"id":63,"num":1}]</v>
      </c>
      <c r="J875" s="3" t="s">
        <v>887</v>
      </c>
      <c r="K875" s="3">
        <v>302</v>
      </c>
      <c r="L875" s="3"/>
      <c r="M875" s="3"/>
      <c r="N875" s="3"/>
      <c r="O875" s="3"/>
    </row>
    <row r="876" spans="1:15" x14ac:dyDescent="0.15">
      <c r="A876" s="3">
        <f t="shared" si="782"/>
        <v>1501073</v>
      </c>
      <c r="B876" s="3">
        <v>15</v>
      </c>
      <c r="C876" s="3">
        <v>2850000</v>
      </c>
      <c r="D876" s="3">
        <v>0</v>
      </c>
      <c r="E876" s="3">
        <v>1</v>
      </c>
      <c r="F876" s="3">
        <v>73</v>
      </c>
      <c r="G876" s="3" t="s">
        <v>889</v>
      </c>
      <c r="H876" s="3">
        <v>120</v>
      </c>
      <c r="I876" s="3" t="str">
        <f>VLOOKUP(A876,首领结算奖励!$A$1:$O$122,15,0)</f>
        <v>[{"id":14,"num":80},{"id":5,"num":655},{"id":63,"num":1}]</v>
      </c>
      <c r="J876" s="3" t="s">
        <v>887</v>
      </c>
      <c r="K876" s="3">
        <v>303</v>
      </c>
      <c r="L876" s="3"/>
      <c r="M876" s="3"/>
      <c r="N876" s="3"/>
      <c r="O876" s="3"/>
    </row>
    <row r="877" spans="1:15" x14ac:dyDescent="0.15">
      <c r="A877" s="3">
        <f t="shared" si="782"/>
        <v>1501074</v>
      </c>
      <c r="B877" s="3">
        <v>15</v>
      </c>
      <c r="C877" s="3">
        <v>2900000</v>
      </c>
      <c r="D877" s="3">
        <v>0</v>
      </c>
      <c r="E877" s="3">
        <v>1</v>
      </c>
      <c r="F877" s="3">
        <v>74</v>
      </c>
      <c r="G877" s="3" t="s">
        <v>890</v>
      </c>
      <c r="H877" s="3">
        <v>120</v>
      </c>
      <c r="I877" s="3" t="str">
        <f>VLOOKUP(A877,首领结算奖励!$A$1:$O$122,15,0)</f>
        <v>[{"id":14,"num":80},{"id":5,"num":660},{"id":63,"num":1}]</v>
      </c>
      <c r="J877" s="3" t="s">
        <v>887</v>
      </c>
      <c r="K877" s="3">
        <v>304</v>
      </c>
      <c r="L877" s="3"/>
      <c r="M877" s="3"/>
      <c r="N877" s="3"/>
      <c r="O877" s="3"/>
    </row>
    <row r="878" spans="1:15" x14ac:dyDescent="0.15">
      <c r="A878" s="3">
        <f t="shared" si="782"/>
        <v>1501075</v>
      </c>
      <c r="B878" s="3">
        <v>15</v>
      </c>
      <c r="C878" s="3">
        <v>2950000</v>
      </c>
      <c r="D878" s="3">
        <v>0</v>
      </c>
      <c r="E878" s="3">
        <v>1</v>
      </c>
      <c r="F878" s="3">
        <v>75</v>
      </c>
      <c r="G878" s="3" t="s">
        <v>891</v>
      </c>
      <c r="H878" s="3">
        <v>120</v>
      </c>
      <c r="I878" s="3" t="str">
        <f>VLOOKUP(A878,首领结算奖励!$A$1:$O$122,15,0)</f>
        <v>[{"id":14,"num":80},{"id":5,"num":665},{"id":63,"num":1}]</v>
      </c>
      <c r="J878" s="3" t="s">
        <v>887</v>
      </c>
      <c r="K878" s="3">
        <v>305</v>
      </c>
      <c r="L878" s="3"/>
      <c r="M878" s="3"/>
      <c r="N878" s="3"/>
      <c r="O878" s="3"/>
    </row>
    <row r="879" spans="1:15" x14ac:dyDescent="0.15">
      <c r="A879" s="3">
        <f t="shared" si="782"/>
        <v>1501076</v>
      </c>
      <c r="B879" s="3">
        <v>15</v>
      </c>
      <c r="C879" s="3">
        <v>3000000</v>
      </c>
      <c r="D879" s="3">
        <v>0</v>
      </c>
      <c r="E879" s="3">
        <v>1</v>
      </c>
      <c r="F879" s="3">
        <v>76</v>
      </c>
      <c r="G879" s="3" t="s">
        <v>892</v>
      </c>
      <c r="H879" s="3">
        <v>120</v>
      </c>
      <c r="I879" s="3" t="str">
        <f>VLOOKUP(A879,首领结算奖励!$A$1:$O$122,15,0)</f>
        <v>[{"id":14,"num":80},{"id":5,"num":670},{"id":63,"num":2}]</v>
      </c>
      <c r="J879" s="3" t="s">
        <v>887</v>
      </c>
      <c r="K879" s="3">
        <v>306</v>
      </c>
      <c r="L879" s="3"/>
      <c r="M879" s="3"/>
      <c r="N879" s="3"/>
      <c r="O879" s="3"/>
    </row>
    <row r="880" spans="1:15" x14ac:dyDescent="0.15">
      <c r="A880" s="3">
        <f t="shared" si="782"/>
        <v>1501077</v>
      </c>
      <c r="B880" s="3">
        <v>15</v>
      </c>
      <c r="C880" s="3">
        <v>3050000</v>
      </c>
      <c r="D880" s="3">
        <v>0</v>
      </c>
      <c r="E880" s="3">
        <v>1</v>
      </c>
      <c r="F880" s="3">
        <v>77</v>
      </c>
      <c r="G880" s="3" t="s">
        <v>893</v>
      </c>
      <c r="H880" s="3">
        <v>120</v>
      </c>
      <c r="I880" s="3" t="str">
        <f>VLOOKUP(A880,首领结算奖励!$A$1:$O$122,15,0)</f>
        <v>[{"id":14,"num":80},{"id":5,"num":675},{"id":63,"num":2}]</v>
      </c>
      <c r="J880" s="3" t="s">
        <v>887</v>
      </c>
      <c r="K880" s="3">
        <v>307</v>
      </c>
      <c r="L880" s="3"/>
      <c r="M880" s="3"/>
      <c r="N880" s="3"/>
      <c r="O880" s="3"/>
    </row>
    <row r="881" spans="1:15" x14ac:dyDescent="0.15">
      <c r="A881" s="3">
        <f t="shared" si="782"/>
        <v>1501078</v>
      </c>
      <c r="B881" s="3">
        <v>15</v>
      </c>
      <c r="C881" s="3">
        <v>3100000</v>
      </c>
      <c r="D881" s="3">
        <v>0</v>
      </c>
      <c r="E881" s="3">
        <v>1</v>
      </c>
      <c r="F881" s="3">
        <v>78</v>
      </c>
      <c r="G881" s="3" t="s">
        <v>894</v>
      </c>
      <c r="H881" s="3">
        <v>120</v>
      </c>
      <c r="I881" s="3" t="str">
        <f>VLOOKUP(A881,首领结算奖励!$A$1:$O$122,15,0)</f>
        <v>[{"id":14,"num":80},{"id":5,"num":680},{"id":63,"num":2}]</v>
      </c>
      <c r="J881" s="3" t="s">
        <v>887</v>
      </c>
      <c r="K881" s="3">
        <v>308</v>
      </c>
      <c r="L881" s="3"/>
      <c r="M881" s="3"/>
      <c r="N881" s="3"/>
      <c r="O881" s="3"/>
    </row>
    <row r="882" spans="1:15" x14ac:dyDescent="0.15">
      <c r="A882" s="3">
        <f t="shared" si="782"/>
        <v>1501079</v>
      </c>
      <c r="B882" s="3">
        <v>15</v>
      </c>
      <c r="C882" s="3">
        <v>3150000</v>
      </c>
      <c r="D882" s="3">
        <v>0</v>
      </c>
      <c r="E882" s="3">
        <v>1</v>
      </c>
      <c r="F882" s="3">
        <v>79</v>
      </c>
      <c r="G882" s="3" t="s">
        <v>895</v>
      </c>
      <c r="H882" s="3">
        <v>120</v>
      </c>
      <c r="I882" s="3" t="str">
        <f>VLOOKUP(A882,首领结算奖励!$A$1:$O$122,15,0)</f>
        <v>[{"id":14,"num":80},{"id":5,"num":685},{"id":63,"num":2}]</v>
      </c>
      <c r="J882" s="3" t="s">
        <v>887</v>
      </c>
      <c r="K882" s="3">
        <v>309</v>
      </c>
      <c r="L882" s="3"/>
      <c r="M882" s="3"/>
      <c r="N882" s="3"/>
      <c r="O882" s="3"/>
    </row>
    <row r="883" spans="1:15" x14ac:dyDescent="0.15">
      <c r="A883" s="3">
        <f t="shared" si="782"/>
        <v>1501080</v>
      </c>
      <c r="B883" s="3">
        <v>15</v>
      </c>
      <c r="C883" s="3">
        <v>3200000</v>
      </c>
      <c r="D883" s="3">
        <v>0</v>
      </c>
      <c r="E883" s="3">
        <v>1</v>
      </c>
      <c r="F883" s="3">
        <v>80</v>
      </c>
      <c r="G883" s="3" t="s">
        <v>896</v>
      </c>
      <c r="H883" s="3">
        <v>120</v>
      </c>
      <c r="I883" s="3" t="str">
        <f>VLOOKUP(A883,首领结算奖励!$A$1:$O$122,15,0)</f>
        <v>[{"id":14,"num":80},{"id":5,"num":690},{"id":63,"num":2}]</v>
      </c>
      <c r="J883" s="3" t="s">
        <v>887</v>
      </c>
      <c r="K883" s="3">
        <v>310</v>
      </c>
      <c r="L883" s="3"/>
      <c r="M883" s="3"/>
      <c r="N883" s="3"/>
      <c r="O883" s="3"/>
    </row>
    <row r="884" spans="1:15" x14ac:dyDescent="0.15">
      <c r="A884" s="3">
        <f t="shared" si="782"/>
        <v>1501081</v>
      </c>
      <c r="B884" s="3">
        <v>15</v>
      </c>
      <c r="C884" s="3">
        <v>3250000</v>
      </c>
      <c r="D884" s="3">
        <v>0</v>
      </c>
      <c r="E884" s="3">
        <v>1</v>
      </c>
      <c r="F884" s="3">
        <v>81</v>
      </c>
      <c r="G884" s="3" t="s">
        <v>897</v>
      </c>
      <c r="H884" s="3">
        <v>120</v>
      </c>
      <c r="I884" s="3" t="str">
        <f>VLOOKUP(A884,首领结算奖励!$A$1:$O$122,15,0)</f>
        <v>[{"id":14,"num":90},{"id":5,"num":695},{"id":63,"num":3}]</v>
      </c>
      <c r="J884" s="3" t="s">
        <v>887</v>
      </c>
      <c r="K884" s="3">
        <v>311</v>
      </c>
      <c r="L884" s="3"/>
      <c r="M884" s="3"/>
      <c r="N884" s="3"/>
      <c r="O884" s="3"/>
    </row>
    <row r="885" spans="1:15" x14ac:dyDescent="0.15">
      <c r="A885" s="3">
        <f t="shared" si="782"/>
        <v>1501082</v>
      </c>
      <c r="B885" s="3">
        <v>15</v>
      </c>
      <c r="C885" s="3">
        <v>3300000</v>
      </c>
      <c r="D885" s="3">
        <v>0</v>
      </c>
      <c r="E885" s="3">
        <v>1</v>
      </c>
      <c r="F885" s="3">
        <v>82</v>
      </c>
      <c r="G885" s="3" t="s">
        <v>898</v>
      </c>
      <c r="H885" s="3">
        <v>120</v>
      </c>
      <c r="I885" s="3" t="str">
        <f>VLOOKUP(A885,首领结算奖励!$A$1:$O$122,15,0)</f>
        <v>[{"id":14,"num":90},{"id":5,"num":700},{"id":63,"num":3}]</v>
      </c>
      <c r="J885" s="3" t="s">
        <v>887</v>
      </c>
      <c r="K885" s="3">
        <v>312</v>
      </c>
      <c r="L885" s="3"/>
      <c r="M885" s="3"/>
      <c r="N885" s="3"/>
      <c r="O885" s="3"/>
    </row>
    <row r="886" spans="1:15" x14ac:dyDescent="0.15">
      <c r="A886" s="3">
        <f t="shared" si="782"/>
        <v>1501083</v>
      </c>
      <c r="B886" s="3">
        <v>15</v>
      </c>
      <c r="C886" s="3">
        <v>3350000</v>
      </c>
      <c r="D886" s="3">
        <v>0</v>
      </c>
      <c r="E886" s="3">
        <v>1</v>
      </c>
      <c r="F886" s="3">
        <v>83</v>
      </c>
      <c r="G886" s="3" t="s">
        <v>899</v>
      </c>
      <c r="H886" s="3">
        <v>120</v>
      </c>
      <c r="I886" s="3" t="str">
        <f>VLOOKUP(A886,首领结算奖励!$A$1:$O$122,15,0)</f>
        <v>[{"id":14,"num":90},{"id":5,"num":705},{"id":63,"num":3}]</v>
      </c>
      <c r="J886" s="3" t="s">
        <v>887</v>
      </c>
      <c r="K886" s="3">
        <v>313</v>
      </c>
      <c r="L886" s="3"/>
      <c r="M886" s="3"/>
      <c r="N886" s="3"/>
      <c r="O886" s="3"/>
    </row>
    <row r="887" spans="1:15" x14ac:dyDescent="0.15">
      <c r="A887" s="3">
        <f t="shared" si="782"/>
        <v>1501084</v>
      </c>
      <c r="B887" s="3">
        <v>15</v>
      </c>
      <c r="C887" s="3">
        <v>3400000</v>
      </c>
      <c r="D887" s="3">
        <v>0</v>
      </c>
      <c r="E887" s="3">
        <v>1</v>
      </c>
      <c r="F887" s="3">
        <v>84</v>
      </c>
      <c r="G887" s="3" t="s">
        <v>900</v>
      </c>
      <c r="H887" s="3">
        <v>120</v>
      </c>
      <c r="I887" s="3" t="str">
        <f>VLOOKUP(A887,首领结算奖励!$A$1:$O$122,15,0)</f>
        <v>[{"id":14,"num":90},{"id":5,"num":710},{"id":63,"num":3}]</v>
      </c>
      <c r="J887" s="3" t="s">
        <v>887</v>
      </c>
      <c r="K887" s="3">
        <v>314</v>
      </c>
      <c r="L887" s="3"/>
      <c r="M887" s="3"/>
      <c r="N887" s="3"/>
      <c r="O887" s="3"/>
    </row>
    <row r="888" spans="1:15" x14ac:dyDescent="0.15">
      <c r="A888" s="3">
        <f t="shared" si="782"/>
        <v>1501085</v>
      </c>
      <c r="B888" s="3">
        <v>15</v>
      </c>
      <c r="C888" s="3">
        <v>3450000</v>
      </c>
      <c r="D888" s="3">
        <v>0</v>
      </c>
      <c r="E888" s="3">
        <v>1</v>
      </c>
      <c r="F888" s="3">
        <v>85</v>
      </c>
      <c r="G888" s="3" t="s">
        <v>901</v>
      </c>
      <c r="H888" s="3">
        <v>120</v>
      </c>
      <c r="I888" s="3" t="str">
        <f>VLOOKUP(A888,首领结算奖励!$A$1:$O$122,15,0)</f>
        <v>[{"id":14,"num":90},{"id":5,"num":715},{"id":63,"num":3}]</v>
      </c>
      <c r="J888" s="3" t="s">
        <v>887</v>
      </c>
      <c r="K888" s="3">
        <v>315</v>
      </c>
      <c r="L888" s="3"/>
      <c r="M888" s="3"/>
      <c r="N888" s="3"/>
      <c r="O888" s="3"/>
    </row>
    <row r="889" spans="1:15" x14ac:dyDescent="0.15">
      <c r="A889" s="3">
        <f t="shared" si="782"/>
        <v>1501086</v>
      </c>
      <c r="B889" s="3">
        <v>15</v>
      </c>
      <c r="C889" s="3">
        <v>3500000</v>
      </c>
      <c r="D889" s="3">
        <v>0</v>
      </c>
      <c r="E889" s="3">
        <v>1</v>
      </c>
      <c r="F889" s="3">
        <v>86</v>
      </c>
      <c r="G889" s="3" t="s">
        <v>902</v>
      </c>
      <c r="H889" s="3">
        <v>120</v>
      </c>
      <c r="I889" s="3" t="str">
        <f>VLOOKUP(A889,首领结算奖励!$A$1:$O$122,15,0)</f>
        <v>[{"id":14,"num":90},{"id":5,"num":720},{"id":63,"num":4}]</v>
      </c>
      <c r="J889" s="3" t="s">
        <v>887</v>
      </c>
      <c r="K889" s="3">
        <v>316</v>
      </c>
      <c r="L889" s="3"/>
      <c r="M889" s="3"/>
      <c r="N889" s="3"/>
      <c r="O889" s="3"/>
    </row>
    <row r="890" spans="1:15" x14ac:dyDescent="0.15">
      <c r="A890" s="3">
        <f t="shared" si="782"/>
        <v>1501087</v>
      </c>
      <c r="B890" s="3">
        <v>15</v>
      </c>
      <c r="C890" s="3">
        <v>3550000</v>
      </c>
      <c r="D890" s="3">
        <v>0</v>
      </c>
      <c r="E890" s="3">
        <v>1</v>
      </c>
      <c r="F890" s="3">
        <v>87</v>
      </c>
      <c r="G890" s="3" t="s">
        <v>903</v>
      </c>
      <c r="H890" s="3">
        <v>120</v>
      </c>
      <c r="I890" s="3" t="str">
        <f>VLOOKUP(A890,首领结算奖励!$A$1:$O$122,15,0)</f>
        <v>[{"id":14,"num":90},{"id":5,"num":725},{"id":63,"num":4}]</v>
      </c>
      <c r="J890" s="3" t="s">
        <v>887</v>
      </c>
      <c r="K890" s="3">
        <v>317</v>
      </c>
      <c r="L890" s="3"/>
      <c r="M890" s="3"/>
      <c r="N890" s="3"/>
      <c r="O890" s="3"/>
    </row>
    <row r="891" spans="1:15" x14ac:dyDescent="0.15">
      <c r="A891" s="3">
        <f t="shared" si="782"/>
        <v>1501088</v>
      </c>
      <c r="B891" s="3">
        <v>15</v>
      </c>
      <c r="C891" s="3">
        <v>3600000</v>
      </c>
      <c r="D891" s="3">
        <v>0</v>
      </c>
      <c r="E891" s="3">
        <v>1</v>
      </c>
      <c r="F891" s="3">
        <v>88</v>
      </c>
      <c r="G891" s="3" t="s">
        <v>904</v>
      </c>
      <c r="H891" s="3">
        <v>120</v>
      </c>
      <c r="I891" s="3" t="str">
        <f>VLOOKUP(A891,首领结算奖励!$A$1:$O$122,15,0)</f>
        <v>[{"id":14,"num":90},{"id":5,"num":730},{"id":63,"num":4}]</v>
      </c>
      <c r="J891" s="3" t="s">
        <v>887</v>
      </c>
      <c r="K891" s="3">
        <v>318</v>
      </c>
      <c r="L891" s="3"/>
      <c r="M891" s="3"/>
      <c r="N891" s="3"/>
      <c r="O891" s="3"/>
    </row>
    <row r="892" spans="1:15" x14ac:dyDescent="0.15">
      <c r="A892" s="3">
        <f t="shared" si="782"/>
        <v>1501089</v>
      </c>
      <c r="B892" s="3">
        <v>15</v>
      </c>
      <c r="C892" s="3">
        <v>3650000</v>
      </c>
      <c r="D892" s="3">
        <v>0</v>
      </c>
      <c r="E892" s="3">
        <v>1</v>
      </c>
      <c r="F892" s="3">
        <v>89</v>
      </c>
      <c r="G892" s="3" t="s">
        <v>905</v>
      </c>
      <c r="H892" s="3">
        <v>120</v>
      </c>
      <c r="I892" s="3" t="str">
        <f>VLOOKUP(A892,首领结算奖励!$A$1:$O$122,15,0)</f>
        <v>[{"id":14,"num":90},{"id":5,"num":735},{"id":63,"num":4}]</v>
      </c>
      <c r="J892" s="3" t="s">
        <v>887</v>
      </c>
      <c r="K892" s="3">
        <v>319</v>
      </c>
      <c r="L892" s="3"/>
      <c r="M892" s="3"/>
      <c r="N892" s="3"/>
      <c r="O892" s="3"/>
    </row>
    <row r="893" spans="1:15" x14ac:dyDescent="0.15">
      <c r="A893" s="3">
        <f t="shared" si="782"/>
        <v>1501090</v>
      </c>
      <c r="B893" s="3">
        <v>15</v>
      </c>
      <c r="C893" s="3">
        <v>3700000</v>
      </c>
      <c r="D893" s="3">
        <v>0</v>
      </c>
      <c r="E893" s="3">
        <v>1</v>
      </c>
      <c r="F893" s="3">
        <v>90</v>
      </c>
      <c r="G893" s="3" t="s">
        <v>906</v>
      </c>
      <c r="H893" s="3">
        <v>120</v>
      </c>
      <c r="I893" s="3" t="str">
        <f>VLOOKUP(A893,首领结算奖励!$A$1:$O$122,15,0)</f>
        <v>[{"id":14,"num":90},{"id":5,"num":740},{"id":63,"num":4}]</v>
      </c>
      <c r="J893" s="3" t="s">
        <v>887</v>
      </c>
      <c r="K893" s="3">
        <v>320</v>
      </c>
      <c r="L893" s="3"/>
      <c r="M893" s="3"/>
      <c r="N893" s="3"/>
      <c r="O893" s="3"/>
    </row>
    <row r="894" spans="1:15" x14ac:dyDescent="0.15">
      <c r="A894" s="3">
        <f t="shared" si="782"/>
        <v>1501091</v>
      </c>
      <c r="B894" s="3">
        <v>15</v>
      </c>
      <c r="C894" s="3">
        <v>3750000</v>
      </c>
      <c r="D894" s="3">
        <v>0</v>
      </c>
      <c r="E894" s="3">
        <v>1</v>
      </c>
      <c r="F894" s="3">
        <v>91</v>
      </c>
      <c r="G894" s="3" t="s">
        <v>907</v>
      </c>
      <c r="H894" s="3">
        <v>120</v>
      </c>
      <c r="I894" s="3" t="str">
        <f>VLOOKUP(A894,首领结算奖励!$A$1:$O$122,15,0)</f>
        <v>[{"id":14,"num":90},{"id":5,"num":745},{"id":63,"num":5}]</v>
      </c>
      <c r="J894" s="3" t="s">
        <v>887</v>
      </c>
      <c r="K894" s="3">
        <v>321</v>
      </c>
      <c r="L894" s="3"/>
      <c r="M894" s="3"/>
      <c r="N894" s="3"/>
      <c r="O894" s="3"/>
    </row>
    <row r="895" spans="1:15" x14ac:dyDescent="0.15">
      <c r="A895" s="3">
        <f t="shared" si="782"/>
        <v>1501092</v>
      </c>
      <c r="B895" s="3">
        <v>15</v>
      </c>
      <c r="C895" s="3">
        <v>3800000</v>
      </c>
      <c r="D895" s="3">
        <v>0</v>
      </c>
      <c r="E895" s="3">
        <v>1</v>
      </c>
      <c r="F895" s="3">
        <v>92</v>
      </c>
      <c r="G895" s="3" t="s">
        <v>908</v>
      </c>
      <c r="H895" s="3">
        <v>120</v>
      </c>
      <c r="I895" s="3" t="str">
        <f>VLOOKUP(A895,首领结算奖励!$A$1:$O$122,15,0)</f>
        <v>[{"id":14,"num":90},{"id":5,"num":750},{"id":63,"num":5}]</v>
      </c>
      <c r="J895" s="3" t="s">
        <v>887</v>
      </c>
      <c r="K895" s="3">
        <v>322</v>
      </c>
      <c r="L895" s="3"/>
      <c r="M895" s="3"/>
      <c r="N895" s="3"/>
      <c r="O895" s="3"/>
    </row>
    <row r="896" spans="1:15" x14ac:dyDescent="0.15">
      <c r="A896" s="3">
        <f t="shared" si="782"/>
        <v>1501093</v>
      </c>
      <c r="B896" s="3">
        <v>15</v>
      </c>
      <c r="C896" s="3">
        <v>3850000</v>
      </c>
      <c r="D896" s="3">
        <v>0</v>
      </c>
      <c r="E896" s="3">
        <v>1</v>
      </c>
      <c r="F896" s="3">
        <v>93</v>
      </c>
      <c r="G896" s="3" t="s">
        <v>909</v>
      </c>
      <c r="H896" s="3">
        <v>120</v>
      </c>
      <c r="I896" s="3" t="str">
        <f>VLOOKUP(A896,首领结算奖励!$A$1:$O$122,15,0)</f>
        <v>[{"id":14,"num":90},{"id":5,"num":755},{"id":63,"num":5}]</v>
      </c>
      <c r="J896" s="3" t="s">
        <v>887</v>
      </c>
      <c r="K896" s="3">
        <v>323</v>
      </c>
      <c r="L896" s="3"/>
      <c r="M896" s="3"/>
      <c r="N896" s="3"/>
      <c r="O896" s="3"/>
    </row>
    <row r="897" spans="1:15" x14ac:dyDescent="0.15">
      <c r="A897" s="3">
        <f t="shared" si="782"/>
        <v>1501094</v>
      </c>
      <c r="B897" s="3">
        <v>15</v>
      </c>
      <c r="C897" s="3">
        <v>3900000</v>
      </c>
      <c r="D897" s="3">
        <v>0</v>
      </c>
      <c r="E897" s="3">
        <v>1</v>
      </c>
      <c r="F897" s="3">
        <v>94</v>
      </c>
      <c r="G897" s="3" t="s">
        <v>910</v>
      </c>
      <c r="H897" s="3">
        <v>120</v>
      </c>
      <c r="I897" s="3" t="str">
        <f>VLOOKUP(A897,首领结算奖励!$A$1:$O$122,15,0)</f>
        <v>[{"id":14,"num":90},{"id":5,"num":760},{"id":63,"num":5}]</v>
      </c>
      <c r="J897" s="3" t="s">
        <v>887</v>
      </c>
      <c r="K897" s="3">
        <v>324</v>
      </c>
      <c r="L897" s="3"/>
      <c r="M897" s="3"/>
      <c r="N897" s="3"/>
      <c r="O897" s="3"/>
    </row>
    <row r="898" spans="1:15" x14ac:dyDescent="0.15">
      <c r="A898" s="3">
        <f t="shared" ref="A898:A923" si="783">B898*100000+E898*1000+F898</f>
        <v>1501095</v>
      </c>
      <c r="B898" s="3">
        <v>15</v>
      </c>
      <c r="C898" s="3">
        <v>3950000</v>
      </c>
      <c r="D898" s="3">
        <v>0</v>
      </c>
      <c r="E898" s="3">
        <v>1</v>
      </c>
      <c r="F898" s="3">
        <v>95</v>
      </c>
      <c r="G898" s="3" t="s">
        <v>911</v>
      </c>
      <c r="H898" s="3">
        <v>120</v>
      </c>
      <c r="I898" s="3" t="str">
        <f>VLOOKUP(A898,首领结算奖励!$A$1:$O$122,15,0)</f>
        <v>[{"id":14,"num":90},{"id":5,"num":765},{"id":63,"num":5}]</v>
      </c>
      <c r="J898" s="3" t="s">
        <v>887</v>
      </c>
      <c r="K898" s="3">
        <v>325</v>
      </c>
      <c r="L898" s="3"/>
      <c r="M898" s="3"/>
      <c r="N898" s="3"/>
      <c r="O898" s="3"/>
    </row>
    <row r="899" spans="1:15" x14ac:dyDescent="0.15">
      <c r="A899" s="3">
        <f t="shared" si="783"/>
        <v>1501096</v>
      </c>
      <c r="B899" s="3">
        <v>15</v>
      </c>
      <c r="C899" s="3">
        <v>4000000</v>
      </c>
      <c r="D899" s="3">
        <v>0</v>
      </c>
      <c r="E899" s="3">
        <v>1</v>
      </c>
      <c r="F899" s="3">
        <v>96</v>
      </c>
      <c r="G899" s="3" t="s">
        <v>912</v>
      </c>
      <c r="H899" s="3">
        <v>120</v>
      </c>
      <c r="I899" s="3" t="str">
        <f>VLOOKUP(A899,首领结算奖励!$A$1:$O$122,15,0)</f>
        <v>[{"id":14,"num":90},{"id":5,"num":770},{"id":63,"num":6}]</v>
      </c>
      <c r="J899" s="3" t="s">
        <v>887</v>
      </c>
      <c r="K899" s="3">
        <v>326</v>
      </c>
      <c r="L899" s="3"/>
      <c r="M899" s="3"/>
      <c r="N899" s="3"/>
      <c r="O899" s="3"/>
    </row>
    <row r="900" spans="1:15" x14ac:dyDescent="0.15">
      <c r="A900" s="3">
        <f t="shared" si="783"/>
        <v>1501097</v>
      </c>
      <c r="B900" s="3">
        <v>15</v>
      </c>
      <c r="C900" s="3">
        <v>4050000</v>
      </c>
      <c r="D900" s="3">
        <v>0</v>
      </c>
      <c r="E900" s="3">
        <v>1</v>
      </c>
      <c r="F900" s="3">
        <v>97</v>
      </c>
      <c r="G900" s="3" t="s">
        <v>913</v>
      </c>
      <c r="H900" s="3">
        <v>120</v>
      </c>
      <c r="I900" s="3" t="str">
        <f>VLOOKUP(A900,首领结算奖励!$A$1:$O$122,15,0)</f>
        <v>[{"id":14,"num":90},{"id":5,"num":775},{"id":63,"num":6}]</v>
      </c>
      <c r="J900" s="3" t="s">
        <v>887</v>
      </c>
      <c r="K900" s="3">
        <v>327</v>
      </c>
      <c r="L900" s="3"/>
      <c r="M900" s="3"/>
      <c r="N900" s="3"/>
      <c r="O900" s="3"/>
    </row>
    <row r="901" spans="1:15" x14ac:dyDescent="0.15">
      <c r="A901" s="3">
        <f t="shared" si="783"/>
        <v>1501098</v>
      </c>
      <c r="B901" s="3">
        <v>15</v>
      </c>
      <c r="C901" s="3">
        <v>4100000</v>
      </c>
      <c r="D901" s="3">
        <v>0</v>
      </c>
      <c r="E901" s="3">
        <v>1</v>
      </c>
      <c r="F901" s="3">
        <v>98</v>
      </c>
      <c r="G901" s="3" t="s">
        <v>914</v>
      </c>
      <c r="H901" s="3">
        <v>120</v>
      </c>
      <c r="I901" s="3" t="str">
        <f>VLOOKUP(A901,首领结算奖励!$A$1:$O$122,15,0)</f>
        <v>[{"id":14,"num":90},{"id":5,"num":780},{"id":63,"num":6}]</v>
      </c>
      <c r="J901" s="3" t="s">
        <v>887</v>
      </c>
      <c r="K901" s="3">
        <v>328</v>
      </c>
      <c r="L901" s="3"/>
      <c r="M901" s="3"/>
      <c r="N901" s="3"/>
      <c r="O901" s="3"/>
    </row>
    <row r="902" spans="1:15" x14ac:dyDescent="0.15">
      <c r="A902" s="3">
        <f t="shared" si="783"/>
        <v>1501099</v>
      </c>
      <c r="B902" s="3">
        <v>15</v>
      </c>
      <c r="C902" s="3">
        <v>4150000</v>
      </c>
      <c r="D902" s="3">
        <v>0</v>
      </c>
      <c r="E902" s="3">
        <v>1</v>
      </c>
      <c r="F902" s="3">
        <v>99</v>
      </c>
      <c r="G902" s="3" t="s">
        <v>915</v>
      </c>
      <c r="H902" s="3">
        <v>120</v>
      </c>
      <c r="I902" s="3" t="str">
        <f>VLOOKUP(A902,首领结算奖励!$A$1:$O$122,15,0)</f>
        <v>[{"id":14,"num":90},{"id":5,"num":785},{"id":63,"num":6}]</v>
      </c>
      <c r="J902" s="3" t="s">
        <v>887</v>
      </c>
      <c r="K902" s="3">
        <v>329</v>
      </c>
      <c r="L902" s="3"/>
      <c r="M902" s="3"/>
      <c r="N902" s="3"/>
      <c r="O902" s="3"/>
    </row>
    <row r="903" spans="1:15" x14ac:dyDescent="0.15">
      <c r="A903" s="3">
        <f t="shared" si="783"/>
        <v>1501100</v>
      </c>
      <c r="B903" s="3">
        <v>15</v>
      </c>
      <c r="C903" s="3">
        <v>4200000</v>
      </c>
      <c r="D903" s="3">
        <v>0</v>
      </c>
      <c r="E903" s="3">
        <v>1</v>
      </c>
      <c r="F903" s="3">
        <v>100</v>
      </c>
      <c r="G903" s="3" t="s">
        <v>916</v>
      </c>
      <c r="H903" s="3">
        <v>120</v>
      </c>
      <c r="I903" s="3" t="str">
        <f>VLOOKUP(A903,首领结算奖励!$A$1:$O$122,15,0)</f>
        <v>[{"id":14,"num":90},{"id":5,"num":790},{"id":63,"num":6}]</v>
      </c>
      <c r="J903" s="3" t="s">
        <v>887</v>
      </c>
      <c r="K903" s="3">
        <v>330</v>
      </c>
      <c r="L903" s="3"/>
      <c r="M903" s="3"/>
      <c r="N903" s="3"/>
      <c r="O903" s="3"/>
    </row>
    <row r="904" spans="1:15" x14ac:dyDescent="0.15">
      <c r="A904" s="3">
        <f t="shared" si="783"/>
        <v>1501101</v>
      </c>
      <c r="B904" s="3">
        <v>15</v>
      </c>
      <c r="C904" s="3">
        <v>4250000</v>
      </c>
      <c r="D904" s="3">
        <v>0</v>
      </c>
      <c r="E904" s="3">
        <v>1</v>
      </c>
      <c r="F904" s="3">
        <v>101</v>
      </c>
      <c r="G904" s="3" t="s">
        <v>917</v>
      </c>
      <c r="H904" s="3">
        <v>120</v>
      </c>
      <c r="I904" s="3" t="str">
        <f>VLOOKUP(A904,首领结算奖励!$A$1:$O$122,15,0)</f>
        <v>[{"id":14,"num":100},{"id":5,"num":795},{"id":63,"num":7}]</v>
      </c>
      <c r="J904" s="3" t="s">
        <v>887</v>
      </c>
      <c r="K904" s="3">
        <v>331</v>
      </c>
      <c r="L904" s="3"/>
      <c r="M904" s="3"/>
      <c r="N904" s="3"/>
      <c r="O904" s="3"/>
    </row>
    <row r="905" spans="1:15" x14ac:dyDescent="0.15">
      <c r="A905" s="3">
        <f t="shared" si="783"/>
        <v>1501102</v>
      </c>
      <c r="B905" s="3">
        <v>15</v>
      </c>
      <c r="C905" s="3">
        <v>4300000</v>
      </c>
      <c r="D905" s="3">
        <v>0</v>
      </c>
      <c r="E905" s="3">
        <v>1</v>
      </c>
      <c r="F905" s="3">
        <v>102</v>
      </c>
      <c r="G905" s="3" t="s">
        <v>918</v>
      </c>
      <c r="H905" s="3">
        <v>120</v>
      </c>
      <c r="I905" s="3" t="str">
        <f>VLOOKUP(A905,首领结算奖励!$A$1:$O$122,15,0)</f>
        <v>[{"id":14,"num":100},{"id":5,"num":800},{"id":63,"num":7}]</v>
      </c>
      <c r="J905" s="3" t="s">
        <v>887</v>
      </c>
      <c r="K905" s="3">
        <v>332</v>
      </c>
      <c r="L905" s="3"/>
      <c r="M905" s="3"/>
      <c r="N905" s="3"/>
      <c r="O905" s="3"/>
    </row>
    <row r="906" spans="1:15" x14ac:dyDescent="0.15">
      <c r="A906" s="3">
        <f t="shared" si="783"/>
        <v>1501103</v>
      </c>
      <c r="B906" s="3">
        <v>15</v>
      </c>
      <c r="C906" s="3">
        <v>4350000</v>
      </c>
      <c r="D906" s="3">
        <v>0</v>
      </c>
      <c r="E906" s="3">
        <v>1</v>
      </c>
      <c r="F906" s="3">
        <v>103</v>
      </c>
      <c r="G906" s="3" t="s">
        <v>919</v>
      </c>
      <c r="H906" s="3">
        <v>120</v>
      </c>
      <c r="I906" s="3" t="str">
        <f>VLOOKUP(A906,首领结算奖励!$A$1:$O$122,15,0)</f>
        <v>[{"id":14,"num":100},{"id":5,"num":805},{"id":63,"num":7}]</v>
      </c>
      <c r="J906" s="3" t="s">
        <v>887</v>
      </c>
      <c r="K906" s="3">
        <v>333</v>
      </c>
      <c r="L906" s="3"/>
      <c r="M906" s="3"/>
      <c r="N906" s="3"/>
      <c r="O906" s="3"/>
    </row>
    <row r="907" spans="1:15" x14ac:dyDescent="0.15">
      <c r="A907" s="3">
        <f t="shared" si="783"/>
        <v>1501104</v>
      </c>
      <c r="B907" s="3">
        <v>15</v>
      </c>
      <c r="C907" s="3">
        <v>4400000</v>
      </c>
      <c r="D907" s="3">
        <v>0</v>
      </c>
      <c r="E907" s="3">
        <v>1</v>
      </c>
      <c r="F907" s="3">
        <v>104</v>
      </c>
      <c r="G907" s="3" t="s">
        <v>920</v>
      </c>
      <c r="H907" s="3">
        <v>120</v>
      </c>
      <c r="I907" s="3" t="str">
        <f>VLOOKUP(A907,首领结算奖励!$A$1:$O$122,15,0)</f>
        <v>[{"id":14,"num":100},{"id":5,"num":810},{"id":63,"num":7}]</v>
      </c>
      <c r="J907" s="3" t="s">
        <v>887</v>
      </c>
      <c r="K907" s="3">
        <v>334</v>
      </c>
      <c r="L907" s="3"/>
      <c r="M907" s="3"/>
      <c r="N907" s="3"/>
      <c r="O907" s="3"/>
    </row>
    <row r="908" spans="1:15" x14ac:dyDescent="0.15">
      <c r="A908" s="3">
        <f t="shared" si="783"/>
        <v>1501105</v>
      </c>
      <c r="B908" s="3">
        <v>15</v>
      </c>
      <c r="C908" s="3">
        <v>4450000</v>
      </c>
      <c r="D908" s="3">
        <v>0</v>
      </c>
      <c r="E908" s="3">
        <v>1</v>
      </c>
      <c r="F908" s="3">
        <v>105</v>
      </c>
      <c r="G908" s="3" t="s">
        <v>921</v>
      </c>
      <c r="H908" s="3">
        <v>120</v>
      </c>
      <c r="I908" s="3" t="str">
        <f>VLOOKUP(A908,首领结算奖励!$A$1:$O$122,15,0)</f>
        <v>[{"id":14,"num":100},{"id":5,"num":815},{"id":63,"num":7}]</v>
      </c>
      <c r="J908" s="3" t="s">
        <v>887</v>
      </c>
      <c r="K908" s="3">
        <v>335</v>
      </c>
      <c r="L908" s="3"/>
      <c r="M908" s="3"/>
      <c r="N908" s="3"/>
      <c r="O908" s="3"/>
    </row>
    <row r="909" spans="1:15" x14ac:dyDescent="0.15">
      <c r="A909" s="3">
        <f t="shared" si="783"/>
        <v>1501106</v>
      </c>
      <c r="B909" s="3">
        <v>15</v>
      </c>
      <c r="C909" s="3">
        <v>4500000</v>
      </c>
      <c r="D909" s="3">
        <v>0</v>
      </c>
      <c r="E909" s="3">
        <v>1</v>
      </c>
      <c r="F909" s="3">
        <v>106</v>
      </c>
      <c r="G909" s="3" t="s">
        <v>922</v>
      </c>
      <c r="H909" s="3">
        <v>120</v>
      </c>
      <c r="I909" s="3" t="str">
        <f>VLOOKUP(A909,首领结算奖励!$A$1:$O$122,15,0)</f>
        <v>[{"id":14,"num":100},{"id":5,"num":820},{"id":63,"num":8}]</v>
      </c>
      <c r="J909" s="3" t="s">
        <v>887</v>
      </c>
      <c r="K909" s="3">
        <v>336</v>
      </c>
      <c r="L909" s="3"/>
      <c r="M909" s="3"/>
      <c r="N909" s="3"/>
      <c r="O909" s="3"/>
    </row>
    <row r="910" spans="1:15" x14ac:dyDescent="0.15">
      <c r="A910" s="3">
        <f t="shared" si="783"/>
        <v>1501107</v>
      </c>
      <c r="B910" s="3">
        <v>15</v>
      </c>
      <c r="C910" s="3">
        <v>4550000</v>
      </c>
      <c r="D910" s="3">
        <v>0</v>
      </c>
      <c r="E910" s="3">
        <v>1</v>
      </c>
      <c r="F910" s="3">
        <v>107</v>
      </c>
      <c r="G910" s="3" t="s">
        <v>923</v>
      </c>
      <c r="H910" s="3">
        <v>120</v>
      </c>
      <c r="I910" s="3" t="str">
        <f>VLOOKUP(A910,首领结算奖励!$A$1:$O$122,15,0)</f>
        <v>[{"id":14,"num":100},{"id":5,"num":825},{"id":63,"num":8}]</v>
      </c>
      <c r="J910" s="3" t="s">
        <v>887</v>
      </c>
      <c r="K910" s="3">
        <v>337</v>
      </c>
      <c r="L910" s="3"/>
      <c r="M910" s="3"/>
      <c r="N910" s="3"/>
      <c r="O910" s="3"/>
    </row>
    <row r="911" spans="1:15" x14ac:dyDescent="0.15">
      <c r="A911" s="3">
        <f t="shared" si="783"/>
        <v>1501108</v>
      </c>
      <c r="B911" s="3">
        <v>15</v>
      </c>
      <c r="C911" s="3">
        <v>4600000</v>
      </c>
      <c r="D911" s="3">
        <v>0</v>
      </c>
      <c r="E911" s="3">
        <v>1</v>
      </c>
      <c r="F911" s="3">
        <v>108</v>
      </c>
      <c r="G911" s="3" t="s">
        <v>924</v>
      </c>
      <c r="H911" s="3">
        <v>120</v>
      </c>
      <c r="I911" s="3" t="str">
        <f>VLOOKUP(A911,首领结算奖励!$A$1:$O$122,15,0)</f>
        <v>[{"id":14,"num":100},{"id":5,"num":830},{"id":63,"num":8}]</v>
      </c>
      <c r="J911" s="3" t="s">
        <v>887</v>
      </c>
      <c r="K911" s="3">
        <v>338</v>
      </c>
      <c r="L911" s="3"/>
      <c r="M911" s="3"/>
      <c r="N911" s="3"/>
      <c r="O911" s="3"/>
    </row>
    <row r="912" spans="1:15" x14ac:dyDescent="0.15">
      <c r="A912" s="3">
        <f t="shared" si="783"/>
        <v>1501109</v>
      </c>
      <c r="B912" s="3">
        <v>15</v>
      </c>
      <c r="C912" s="3">
        <v>4650000</v>
      </c>
      <c r="D912" s="3">
        <v>0</v>
      </c>
      <c r="E912" s="3">
        <v>1</v>
      </c>
      <c r="F912" s="3">
        <v>109</v>
      </c>
      <c r="G912" s="3" t="s">
        <v>925</v>
      </c>
      <c r="H912" s="3">
        <v>120</v>
      </c>
      <c r="I912" s="3" t="str">
        <f>VLOOKUP(A912,首领结算奖励!$A$1:$O$122,15,0)</f>
        <v>[{"id":14,"num":100},{"id":5,"num":835},{"id":63,"num":8}]</v>
      </c>
      <c r="J912" s="3" t="s">
        <v>887</v>
      </c>
      <c r="K912" s="3">
        <v>339</v>
      </c>
      <c r="L912" s="3"/>
      <c r="M912" s="3"/>
      <c r="N912" s="3"/>
      <c r="O912" s="3"/>
    </row>
    <row r="913" spans="1:15" x14ac:dyDescent="0.15">
      <c r="A913" s="3">
        <f t="shared" si="783"/>
        <v>1501110</v>
      </c>
      <c r="B913" s="3">
        <v>15</v>
      </c>
      <c r="C913" s="3">
        <v>4700000</v>
      </c>
      <c r="D913" s="3">
        <v>0</v>
      </c>
      <c r="E913" s="3">
        <v>1</v>
      </c>
      <c r="F913" s="3">
        <v>110</v>
      </c>
      <c r="G913" s="3" t="s">
        <v>926</v>
      </c>
      <c r="H913" s="3">
        <v>120</v>
      </c>
      <c r="I913" s="3" t="str">
        <f>VLOOKUP(A913,首领结算奖励!$A$1:$O$122,15,0)</f>
        <v>[{"id":14,"num":100},{"id":5,"num":840},{"id":63,"num":8}]</v>
      </c>
      <c r="J913" s="3" t="s">
        <v>887</v>
      </c>
      <c r="K913" s="3">
        <v>340</v>
      </c>
      <c r="L913" s="3"/>
      <c r="M913" s="3"/>
      <c r="N913" s="3"/>
      <c r="O913" s="3"/>
    </row>
    <row r="914" spans="1:15" x14ac:dyDescent="0.15">
      <c r="A914" s="3">
        <f t="shared" si="783"/>
        <v>1501111</v>
      </c>
      <c r="B914" s="3">
        <v>15</v>
      </c>
      <c r="C914" s="3">
        <v>4750000</v>
      </c>
      <c r="D914" s="3">
        <v>0</v>
      </c>
      <c r="E914" s="3">
        <v>1</v>
      </c>
      <c r="F914" s="3">
        <v>111</v>
      </c>
      <c r="G914" s="3" t="s">
        <v>927</v>
      </c>
      <c r="H914" s="3">
        <v>120</v>
      </c>
      <c r="I914" s="3" t="str">
        <f>VLOOKUP(A914,首领结算奖励!$A$1:$O$122,15,0)</f>
        <v>[{"id":14,"num":100},{"id":5,"num":845},{"id":63,"num":9}]</v>
      </c>
      <c r="J914" s="3" t="s">
        <v>887</v>
      </c>
      <c r="K914" s="3">
        <v>341</v>
      </c>
      <c r="L914" s="3"/>
      <c r="M914" s="3"/>
      <c r="N914" s="3"/>
      <c r="O914" s="3"/>
    </row>
    <row r="915" spans="1:15" x14ac:dyDescent="0.15">
      <c r="A915" s="3">
        <f t="shared" si="783"/>
        <v>1501112</v>
      </c>
      <c r="B915" s="3">
        <v>15</v>
      </c>
      <c r="C915" s="3">
        <v>4800000</v>
      </c>
      <c r="D915" s="3">
        <v>0</v>
      </c>
      <c r="E915" s="3">
        <v>1</v>
      </c>
      <c r="F915" s="3">
        <v>112</v>
      </c>
      <c r="G915" s="3" t="s">
        <v>928</v>
      </c>
      <c r="H915" s="3">
        <v>120</v>
      </c>
      <c r="I915" s="3" t="str">
        <f>VLOOKUP(A915,首领结算奖励!$A$1:$O$122,15,0)</f>
        <v>[{"id":14,"num":100},{"id":5,"num":850},{"id":63,"num":9}]</v>
      </c>
      <c r="J915" s="3" t="s">
        <v>887</v>
      </c>
      <c r="K915" s="3">
        <v>342</v>
      </c>
      <c r="L915" s="3"/>
      <c r="M915" s="3"/>
      <c r="N915" s="3"/>
      <c r="O915" s="3"/>
    </row>
    <row r="916" spans="1:15" x14ac:dyDescent="0.15">
      <c r="A916" s="3">
        <f t="shared" si="783"/>
        <v>1501113</v>
      </c>
      <c r="B916" s="3">
        <v>15</v>
      </c>
      <c r="C916" s="3">
        <v>4850000</v>
      </c>
      <c r="D916" s="3">
        <v>0</v>
      </c>
      <c r="E916" s="3">
        <v>1</v>
      </c>
      <c r="F916" s="3">
        <v>113</v>
      </c>
      <c r="G916" s="3" t="s">
        <v>929</v>
      </c>
      <c r="H916" s="3">
        <v>120</v>
      </c>
      <c r="I916" s="3" t="str">
        <f>VLOOKUP(A916,首领结算奖励!$A$1:$O$122,15,0)</f>
        <v>[{"id":14,"num":100},{"id":5,"num":855},{"id":63,"num":9}]</v>
      </c>
      <c r="J916" s="3" t="s">
        <v>887</v>
      </c>
      <c r="K916" s="3">
        <v>343</v>
      </c>
      <c r="L916" s="3"/>
      <c r="M916" s="3"/>
      <c r="N916" s="3"/>
      <c r="O916" s="3"/>
    </row>
    <row r="917" spans="1:15" x14ac:dyDescent="0.15">
      <c r="A917" s="3">
        <f t="shared" si="783"/>
        <v>1501114</v>
      </c>
      <c r="B917" s="3">
        <v>15</v>
      </c>
      <c r="C917" s="3">
        <v>4900000</v>
      </c>
      <c r="D917" s="3">
        <v>0</v>
      </c>
      <c r="E917" s="3">
        <v>1</v>
      </c>
      <c r="F917" s="3">
        <v>114</v>
      </c>
      <c r="G917" s="3" t="s">
        <v>930</v>
      </c>
      <c r="H917" s="3">
        <v>120</v>
      </c>
      <c r="I917" s="3" t="str">
        <f>VLOOKUP(A917,首领结算奖励!$A$1:$O$122,15,0)</f>
        <v>[{"id":14,"num":100},{"id":5,"num":860},{"id":63,"num":9}]</v>
      </c>
      <c r="J917" s="3" t="s">
        <v>887</v>
      </c>
      <c r="K917" s="3">
        <v>344</v>
      </c>
      <c r="L917" s="3"/>
      <c r="M917" s="3"/>
      <c r="N917" s="3"/>
      <c r="O917" s="3"/>
    </row>
    <row r="918" spans="1:15" x14ac:dyDescent="0.15">
      <c r="A918" s="3">
        <f t="shared" si="783"/>
        <v>1501115</v>
      </c>
      <c r="B918" s="3">
        <v>15</v>
      </c>
      <c r="C918" s="3">
        <v>4950000</v>
      </c>
      <c r="D918" s="3">
        <v>0</v>
      </c>
      <c r="E918" s="3">
        <v>1</v>
      </c>
      <c r="F918" s="3">
        <v>115</v>
      </c>
      <c r="G918" s="3" t="s">
        <v>931</v>
      </c>
      <c r="H918" s="3">
        <v>120</v>
      </c>
      <c r="I918" s="3" t="str">
        <f>VLOOKUP(A918,首领结算奖励!$A$1:$O$122,15,0)</f>
        <v>[{"id":14,"num":100},{"id":5,"num":865},{"id":63,"num":9}]</v>
      </c>
      <c r="J918" s="3" t="s">
        <v>887</v>
      </c>
      <c r="K918" s="3">
        <v>345</v>
      </c>
      <c r="L918" s="3"/>
      <c r="M918" s="3"/>
      <c r="N918" s="3"/>
      <c r="O918" s="3"/>
    </row>
    <row r="919" spans="1:15" x14ac:dyDescent="0.15">
      <c r="A919" s="3">
        <f t="shared" si="783"/>
        <v>1501116</v>
      </c>
      <c r="B919" s="3">
        <v>15</v>
      </c>
      <c r="C919" s="3">
        <v>5000000</v>
      </c>
      <c r="D919" s="3">
        <v>0</v>
      </c>
      <c r="E919" s="3">
        <v>1</v>
      </c>
      <c r="F919" s="3">
        <v>116</v>
      </c>
      <c r="G919" s="3" t="s">
        <v>932</v>
      </c>
      <c r="H919" s="3">
        <v>120</v>
      </c>
      <c r="I919" s="3" t="str">
        <f>VLOOKUP(A919,首领结算奖励!$A$1:$O$122,15,0)</f>
        <v>[{"id":14,"num":100},{"id":5,"num":870},{"id":63,"num":10}]</v>
      </c>
      <c r="J919" s="3" t="s">
        <v>887</v>
      </c>
      <c r="K919" s="3">
        <v>346</v>
      </c>
      <c r="L919" s="3"/>
      <c r="M919" s="3"/>
      <c r="N919" s="3"/>
      <c r="O919" s="3"/>
    </row>
    <row r="920" spans="1:15" x14ac:dyDescent="0.15">
      <c r="A920" s="3">
        <f t="shared" si="783"/>
        <v>1501117</v>
      </c>
      <c r="B920" s="3">
        <v>15</v>
      </c>
      <c r="C920" s="3">
        <v>5050000</v>
      </c>
      <c r="D920" s="3">
        <v>0</v>
      </c>
      <c r="E920" s="3">
        <v>1</v>
      </c>
      <c r="F920" s="3">
        <v>117</v>
      </c>
      <c r="G920" s="3" t="s">
        <v>933</v>
      </c>
      <c r="H920" s="3">
        <v>120</v>
      </c>
      <c r="I920" s="3" t="str">
        <f>VLOOKUP(A920,首领结算奖励!$A$1:$O$122,15,0)</f>
        <v>[{"id":14,"num":100},{"id":5,"num":875},{"id":63,"num":10}]</v>
      </c>
      <c r="J920" s="3" t="s">
        <v>887</v>
      </c>
      <c r="K920" s="3">
        <v>347</v>
      </c>
      <c r="L920" s="3"/>
      <c r="M920" s="3"/>
      <c r="N920" s="3"/>
      <c r="O920" s="3"/>
    </row>
    <row r="921" spans="1:15" x14ac:dyDescent="0.15">
      <c r="A921" s="3">
        <f t="shared" si="783"/>
        <v>1501118</v>
      </c>
      <c r="B921" s="3">
        <v>15</v>
      </c>
      <c r="C921" s="3">
        <v>5100000</v>
      </c>
      <c r="D921" s="3">
        <v>0</v>
      </c>
      <c r="E921" s="3">
        <v>1</v>
      </c>
      <c r="F921" s="3">
        <v>118</v>
      </c>
      <c r="G921" s="3" t="s">
        <v>934</v>
      </c>
      <c r="H921" s="3">
        <v>120</v>
      </c>
      <c r="I921" s="3" t="str">
        <f>VLOOKUP(A921,首领结算奖励!$A$1:$O$122,15,0)</f>
        <v>[{"id":14,"num":100},{"id":5,"num":880},{"id":63,"num":10}]</v>
      </c>
      <c r="J921" s="3" t="s">
        <v>887</v>
      </c>
      <c r="K921" s="3">
        <v>348</v>
      </c>
      <c r="L921" s="3"/>
      <c r="M921" s="3"/>
      <c r="N921" s="3"/>
      <c r="O921" s="3"/>
    </row>
    <row r="922" spans="1:15" x14ac:dyDescent="0.15">
      <c r="A922" s="3">
        <f t="shared" si="783"/>
        <v>1501119</v>
      </c>
      <c r="B922" s="3">
        <v>15</v>
      </c>
      <c r="C922" s="3">
        <v>5150000</v>
      </c>
      <c r="D922" s="3">
        <v>0</v>
      </c>
      <c r="E922" s="3">
        <v>1</v>
      </c>
      <c r="F922" s="3">
        <v>119</v>
      </c>
      <c r="G922" s="3" t="s">
        <v>935</v>
      </c>
      <c r="H922" s="3">
        <v>120</v>
      </c>
      <c r="I922" s="3" t="str">
        <f>VLOOKUP(A922,首领结算奖励!$A$1:$O$122,15,0)</f>
        <v>[{"id":14,"num":100},{"id":5,"num":885},{"id":63,"num":10}]</v>
      </c>
      <c r="J922" s="3" t="s">
        <v>887</v>
      </c>
      <c r="K922" s="3">
        <v>349</v>
      </c>
      <c r="L922" s="3"/>
      <c r="M922" s="3"/>
      <c r="N922" s="3"/>
      <c r="O922" s="3"/>
    </row>
    <row r="923" spans="1:15" x14ac:dyDescent="0.15">
      <c r="A923" s="3">
        <f t="shared" si="783"/>
        <v>1501120</v>
      </c>
      <c r="B923" s="3">
        <v>15</v>
      </c>
      <c r="C923" s="3">
        <v>5200000</v>
      </c>
      <c r="D923" s="3">
        <v>0</v>
      </c>
      <c r="E923" s="3">
        <v>1</v>
      </c>
      <c r="F923" s="3">
        <v>120</v>
      </c>
      <c r="G923" s="3" t="s">
        <v>936</v>
      </c>
      <c r="H923" s="3">
        <v>120</v>
      </c>
      <c r="I923" s="3" t="str">
        <f>VLOOKUP(A923,首领结算奖励!$A$1:$O$122,15,0)</f>
        <v>[{"id":14,"num":100},{"id":5,"num":890},{"id":63,"num":10}]</v>
      </c>
      <c r="J923" s="3" t="s">
        <v>887</v>
      </c>
      <c r="K923" s="3">
        <v>350</v>
      </c>
      <c r="L923" s="3"/>
      <c r="M923" s="3"/>
      <c r="N923" s="3"/>
      <c r="O923" s="3"/>
    </row>
    <row r="924" spans="1:15" x14ac:dyDescent="0.15">
      <c r="A924" s="3">
        <f t="shared" ref="A924:A943" si="784">B924*100000+E924*1000+F924</f>
        <v>1601001</v>
      </c>
      <c r="B924" s="3">
        <v>16</v>
      </c>
      <c r="C924" s="3">
        <v>3000</v>
      </c>
      <c r="D924" s="3">
        <v>0</v>
      </c>
      <c r="E924" s="3">
        <v>1</v>
      </c>
      <c r="F924" s="3">
        <v>1</v>
      </c>
      <c r="G924" s="3" t="s">
        <v>937</v>
      </c>
      <c r="H924" s="3">
        <v>120</v>
      </c>
      <c r="I924" s="3" t="str">
        <f>VLOOKUP(A924,试炼塔结算奖励!$A$1:$O$63,15,0)</f>
        <v>[{"id":8,"num":150},{"id":1,"num":75000},{"id":11,"num":1}]</v>
      </c>
      <c r="J924" s="3" t="s">
        <v>938</v>
      </c>
      <c r="K924" s="3">
        <v>61</v>
      </c>
      <c r="L924" s="3"/>
      <c r="M924" s="3"/>
      <c r="N924" s="3">
        <v>9</v>
      </c>
      <c r="O924" s="3"/>
    </row>
    <row r="925" spans="1:15" x14ac:dyDescent="0.15">
      <c r="A925" s="3">
        <f t="shared" si="784"/>
        <v>1601002</v>
      </c>
      <c r="B925" s="3">
        <v>16</v>
      </c>
      <c r="C925" s="3">
        <v>4000</v>
      </c>
      <c r="D925" s="3">
        <v>0</v>
      </c>
      <c r="E925" s="3">
        <v>1</v>
      </c>
      <c r="F925" s="3">
        <v>2</v>
      </c>
      <c r="G925" s="3" t="s">
        <v>939</v>
      </c>
      <c r="H925" s="3">
        <v>120</v>
      </c>
      <c r="I925" s="3" t="str">
        <f>VLOOKUP(A925,试炼塔结算奖励!$A$1:$O$63,15,0)</f>
        <v>[{"id":8,"num":160},{"id":1,"num":80000},{"id":11,"num":2}]</v>
      </c>
      <c r="J925" s="3" t="s">
        <v>938</v>
      </c>
      <c r="K925" s="3">
        <v>62</v>
      </c>
      <c r="L925" s="3"/>
      <c r="M925" s="3"/>
      <c r="N925" s="3">
        <v>9</v>
      </c>
      <c r="O925" s="3"/>
    </row>
    <row r="926" spans="1:15" x14ac:dyDescent="0.15">
      <c r="A926" s="3">
        <f t="shared" si="784"/>
        <v>1601003</v>
      </c>
      <c r="B926" s="3">
        <v>16</v>
      </c>
      <c r="C926" s="3">
        <v>5000</v>
      </c>
      <c r="D926" s="3">
        <v>0</v>
      </c>
      <c r="E926" s="3">
        <v>1</v>
      </c>
      <c r="F926" s="3">
        <v>3</v>
      </c>
      <c r="G926" s="3" t="s">
        <v>940</v>
      </c>
      <c r="H926" s="3">
        <v>120</v>
      </c>
      <c r="I926" s="3" t="str">
        <f>VLOOKUP(A926,试炼塔结算奖励!$A$1:$O$63,15,0)</f>
        <v>[{"id":8,"num":170},{"id":1,"num":85000},{"id":11,"num":3}]</v>
      </c>
      <c r="J926" s="3" t="s">
        <v>938</v>
      </c>
      <c r="K926" s="3">
        <v>63</v>
      </c>
      <c r="L926" s="3"/>
      <c r="M926" s="3"/>
      <c r="N926" s="3">
        <v>9</v>
      </c>
      <c r="O926" s="3"/>
    </row>
    <row r="927" spans="1:15" x14ac:dyDescent="0.15">
      <c r="A927" s="3">
        <f t="shared" si="784"/>
        <v>1601004</v>
      </c>
      <c r="B927" s="3">
        <v>16</v>
      </c>
      <c r="C927" s="3">
        <v>6000</v>
      </c>
      <c r="D927" s="3">
        <v>0</v>
      </c>
      <c r="E927" s="3">
        <v>1</v>
      </c>
      <c r="F927" s="3">
        <v>4</v>
      </c>
      <c r="G927" s="3" t="s">
        <v>941</v>
      </c>
      <c r="H927" s="3">
        <v>120</v>
      </c>
      <c r="I927" s="3" t="str">
        <f>VLOOKUP(A927,试炼塔结算奖励!$A$1:$O$63,15,0)</f>
        <v>[{"id":8,"num":180},{"id":1,"num":90000},{"id":11,"num":4}]</v>
      </c>
      <c r="J927" s="3" t="s">
        <v>938</v>
      </c>
      <c r="K927" s="3">
        <v>64</v>
      </c>
      <c r="L927" s="3"/>
      <c r="M927" s="3"/>
      <c r="N927" s="3">
        <v>9</v>
      </c>
      <c r="O927" s="3"/>
    </row>
    <row r="928" spans="1:15" x14ac:dyDescent="0.15">
      <c r="A928" s="3">
        <f t="shared" si="784"/>
        <v>1601005</v>
      </c>
      <c r="B928" s="3">
        <v>16</v>
      </c>
      <c r="C928" s="3">
        <v>7000</v>
      </c>
      <c r="D928" s="3">
        <v>0</v>
      </c>
      <c r="E928" s="3">
        <v>1</v>
      </c>
      <c r="F928" s="3">
        <v>5</v>
      </c>
      <c r="G928" s="3" t="s">
        <v>942</v>
      </c>
      <c r="H928" s="3">
        <v>120</v>
      </c>
      <c r="I928" s="3" t="str">
        <f>VLOOKUP(A928,试炼塔结算奖励!$A$1:$O$63,15,0)</f>
        <v>[{"id":8,"num":190},{"id":1,"num":95000},{"id":11,"num":5}]</v>
      </c>
      <c r="J928" s="3" t="s">
        <v>938</v>
      </c>
      <c r="K928" s="3">
        <v>65</v>
      </c>
      <c r="L928" s="3"/>
      <c r="M928" s="3"/>
      <c r="N928" s="3">
        <v>9</v>
      </c>
      <c r="O928" s="3"/>
    </row>
    <row r="929" spans="1:15" x14ac:dyDescent="0.15">
      <c r="A929" s="3">
        <f t="shared" si="784"/>
        <v>1601006</v>
      </c>
      <c r="B929" s="3">
        <v>16</v>
      </c>
      <c r="C929" s="3">
        <v>8000</v>
      </c>
      <c r="D929" s="3">
        <v>0</v>
      </c>
      <c r="E929" s="3">
        <v>1</v>
      </c>
      <c r="F929" s="3">
        <v>6</v>
      </c>
      <c r="G929" s="3" t="s">
        <v>943</v>
      </c>
      <c r="H929" s="3">
        <v>120</v>
      </c>
      <c r="I929" s="3" t="str">
        <f>VLOOKUP(A929,试炼塔结算奖励!$A$1:$O$63,15,0)</f>
        <v>[{"id":8,"num":200},{"id":1,"num":100000},{"id":11,"num":6}]</v>
      </c>
      <c r="J929" s="3" t="s">
        <v>938</v>
      </c>
      <c r="K929" s="3">
        <v>66</v>
      </c>
      <c r="L929" s="3"/>
      <c r="M929" s="3"/>
      <c r="N929" s="3">
        <v>9</v>
      </c>
      <c r="O929" s="3"/>
    </row>
    <row r="930" spans="1:15" x14ac:dyDescent="0.15">
      <c r="A930" s="3">
        <f t="shared" si="784"/>
        <v>1601007</v>
      </c>
      <c r="B930" s="3">
        <v>16</v>
      </c>
      <c r="C930" s="3">
        <v>10000</v>
      </c>
      <c r="D930" s="3">
        <v>0</v>
      </c>
      <c r="E930" s="3">
        <v>1</v>
      </c>
      <c r="F930" s="3">
        <v>7</v>
      </c>
      <c r="G930" s="3" t="s">
        <v>944</v>
      </c>
      <c r="H930" s="3">
        <v>120</v>
      </c>
      <c r="I930" s="3" t="str">
        <f>VLOOKUP(A930,试炼塔结算奖励!$A$1:$O$63,15,0)</f>
        <v>[{"id":8,"num":210},{"id":1,"num":105000},{"id":11,"num":7}]</v>
      </c>
      <c r="J930" s="3" t="s">
        <v>938</v>
      </c>
      <c r="K930" s="3">
        <v>67</v>
      </c>
      <c r="L930" s="3"/>
      <c r="M930" s="3"/>
      <c r="N930" s="3">
        <v>9</v>
      </c>
      <c r="O930" s="3"/>
    </row>
    <row r="931" spans="1:15" x14ac:dyDescent="0.15">
      <c r="A931" s="3">
        <f t="shared" si="784"/>
        <v>1601008</v>
      </c>
      <c r="B931" s="3">
        <v>16</v>
      </c>
      <c r="C931" s="3">
        <v>15000</v>
      </c>
      <c r="D931" s="3">
        <v>0</v>
      </c>
      <c r="E931" s="3">
        <v>1</v>
      </c>
      <c r="F931" s="3">
        <v>8</v>
      </c>
      <c r="G931" s="3" t="s">
        <v>945</v>
      </c>
      <c r="H931" s="3">
        <v>120</v>
      </c>
      <c r="I931" s="3" t="str">
        <f>VLOOKUP(A931,试炼塔结算奖励!$A$1:$O$63,15,0)</f>
        <v>[{"id":8,"num":220},{"id":1,"num":110000},{"id":11,"num":8}]</v>
      </c>
      <c r="J931" s="3" t="s">
        <v>938</v>
      </c>
      <c r="K931" s="3">
        <v>68</v>
      </c>
      <c r="L931" s="3"/>
      <c r="M931" s="3"/>
      <c r="N931" s="3">
        <v>9</v>
      </c>
      <c r="O931" s="3"/>
    </row>
    <row r="932" spans="1:15" x14ac:dyDescent="0.15">
      <c r="A932" s="3">
        <f t="shared" si="784"/>
        <v>1601009</v>
      </c>
      <c r="B932" s="3">
        <v>16</v>
      </c>
      <c r="C932" s="3">
        <v>20000</v>
      </c>
      <c r="D932" s="3">
        <v>0</v>
      </c>
      <c r="E932" s="3">
        <v>1</v>
      </c>
      <c r="F932" s="3">
        <v>9</v>
      </c>
      <c r="G932" s="3" t="s">
        <v>946</v>
      </c>
      <c r="H932" s="3">
        <v>120</v>
      </c>
      <c r="I932" s="3" t="str">
        <f>VLOOKUP(A932,试炼塔结算奖励!$A$1:$O$63,15,0)</f>
        <v>[{"id":8,"num":230},{"id":1,"num":115000},{"id":11,"num":9}]</v>
      </c>
      <c r="J932" s="3" t="s">
        <v>938</v>
      </c>
      <c r="K932" s="3">
        <v>69</v>
      </c>
      <c r="L932" s="3"/>
      <c r="M932" s="3"/>
      <c r="N932" s="3">
        <v>9</v>
      </c>
      <c r="O932" s="3"/>
    </row>
    <row r="933" spans="1:15" x14ac:dyDescent="0.15">
      <c r="A933" s="3">
        <f t="shared" si="784"/>
        <v>1601010</v>
      </c>
      <c r="B933" s="3">
        <v>16</v>
      </c>
      <c r="C933" s="3">
        <v>30000</v>
      </c>
      <c r="D933" s="3">
        <v>0</v>
      </c>
      <c r="E933" s="3">
        <v>1</v>
      </c>
      <c r="F933" s="3">
        <v>10</v>
      </c>
      <c r="G933" s="3" t="s">
        <v>947</v>
      </c>
      <c r="H933" s="3">
        <v>120</v>
      </c>
      <c r="I933" s="3" t="str">
        <f>VLOOKUP(A933,试炼塔结算奖励!$A$1:$O$63,15,0)</f>
        <v>[{"id":8,"num":240},{"id":1,"num":120000},{"id":11,"num":10}]</v>
      </c>
      <c r="J933" s="3" t="s">
        <v>938</v>
      </c>
      <c r="K933" s="3">
        <v>70</v>
      </c>
      <c r="L933" s="3"/>
      <c r="M933" s="3"/>
      <c r="N933" s="3">
        <v>9</v>
      </c>
      <c r="O933" s="3"/>
    </row>
    <row r="934" spans="1:15" x14ac:dyDescent="0.15">
      <c r="A934" s="3">
        <f t="shared" si="784"/>
        <v>1601011</v>
      </c>
      <c r="B934" s="3">
        <v>16</v>
      </c>
      <c r="C934" s="3">
        <v>50000</v>
      </c>
      <c r="D934" s="3">
        <v>0</v>
      </c>
      <c r="E934" s="3">
        <v>1</v>
      </c>
      <c r="F934" s="3">
        <v>11</v>
      </c>
      <c r="G934" s="3" t="s">
        <v>948</v>
      </c>
      <c r="H934" s="3">
        <v>120</v>
      </c>
      <c r="I934" s="3" t="str">
        <f>VLOOKUP(A934,试炼塔结算奖励!$A$1:$O$63,15,0)</f>
        <v>[{"id":8,"num":250},{"id":1,"num":125000},{"id":11,"num":11}]</v>
      </c>
      <c r="J934" s="3" t="s">
        <v>938</v>
      </c>
      <c r="K934" s="3">
        <v>71</v>
      </c>
      <c r="L934" s="3"/>
      <c r="M934" s="3"/>
      <c r="N934" s="3">
        <v>9</v>
      </c>
      <c r="O934" s="3"/>
    </row>
    <row r="935" spans="1:15" x14ac:dyDescent="0.15">
      <c r="A935" s="3">
        <f t="shared" si="784"/>
        <v>1601012</v>
      </c>
      <c r="B935" s="3">
        <v>16</v>
      </c>
      <c r="C935" s="3">
        <v>70000</v>
      </c>
      <c r="D935" s="3">
        <v>0</v>
      </c>
      <c r="E935" s="3">
        <v>1</v>
      </c>
      <c r="F935" s="3">
        <v>12</v>
      </c>
      <c r="G935" s="3" t="s">
        <v>949</v>
      </c>
      <c r="H935" s="3">
        <v>120</v>
      </c>
      <c r="I935" s="3" t="str">
        <f>VLOOKUP(A935,试炼塔结算奖励!$A$1:$O$63,15,0)</f>
        <v>[{"id":8,"num":260},{"id":1,"num":130000},{"id":11,"num":12}]</v>
      </c>
      <c r="J935" s="3" t="s">
        <v>938</v>
      </c>
      <c r="K935" s="3">
        <v>72</v>
      </c>
      <c r="L935" s="3"/>
      <c r="M935" s="3"/>
      <c r="N935" s="3">
        <v>9</v>
      </c>
      <c r="O935" s="3"/>
    </row>
    <row r="936" spans="1:15" x14ac:dyDescent="0.15">
      <c r="A936" s="3">
        <f t="shared" si="784"/>
        <v>1601013</v>
      </c>
      <c r="B936" s="3">
        <v>16</v>
      </c>
      <c r="C936" s="3">
        <v>100000</v>
      </c>
      <c r="D936" s="3">
        <v>0</v>
      </c>
      <c r="E936" s="3">
        <v>1</v>
      </c>
      <c r="F936" s="3">
        <v>13</v>
      </c>
      <c r="G936" s="3" t="s">
        <v>950</v>
      </c>
      <c r="H936" s="3">
        <v>120</v>
      </c>
      <c r="I936" s="3" t="str">
        <f>VLOOKUP(A936,试炼塔结算奖励!$A$1:$O$63,15,0)</f>
        <v>[{"id":8,"num":270},{"id":1,"num":135000},{"id":11,"num":13}]</v>
      </c>
      <c r="J936" s="3" t="s">
        <v>938</v>
      </c>
      <c r="K936" s="3">
        <v>73</v>
      </c>
      <c r="L936" s="3"/>
      <c r="M936" s="3"/>
      <c r="N936" s="3">
        <v>9</v>
      </c>
      <c r="O936" s="3"/>
    </row>
    <row r="937" spans="1:15" x14ac:dyDescent="0.15">
      <c r="A937" s="3">
        <f t="shared" si="784"/>
        <v>1601014</v>
      </c>
      <c r="B937" s="3">
        <v>16</v>
      </c>
      <c r="C937" s="3">
        <v>150000</v>
      </c>
      <c r="D937" s="3">
        <v>0</v>
      </c>
      <c r="E937" s="3">
        <v>1</v>
      </c>
      <c r="F937" s="3">
        <v>14</v>
      </c>
      <c r="G937" s="3" t="s">
        <v>951</v>
      </c>
      <c r="H937" s="3">
        <v>120</v>
      </c>
      <c r="I937" s="3" t="str">
        <f>VLOOKUP(A937,试炼塔结算奖励!$A$1:$O$63,15,0)</f>
        <v>[{"id":8,"num":280},{"id":1,"num":140000},{"id":11,"num":14}]</v>
      </c>
      <c r="J937" s="3" t="s">
        <v>938</v>
      </c>
      <c r="K937" s="3">
        <v>74</v>
      </c>
      <c r="L937" s="3"/>
      <c r="M937" s="3"/>
      <c r="N937" s="3">
        <v>9</v>
      </c>
      <c r="O937" s="3"/>
    </row>
    <row r="938" spans="1:15" x14ac:dyDescent="0.15">
      <c r="A938" s="3">
        <f t="shared" si="784"/>
        <v>1601015</v>
      </c>
      <c r="B938" s="3">
        <v>16</v>
      </c>
      <c r="C938" s="3">
        <v>170000</v>
      </c>
      <c r="D938" s="3">
        <v>0</v>
      </c>
      <c r="E938" s="3">
        <v>1</v>
      </c>
      <c r="F938" s="3">
        <v>15</v>
      </c>
      <c r="G938" s="3" t="s">
        <v>952</v>
      </c>
      <c r="H938" s="3">
        <v>120</v>
      </c>
      <c r="I938" s="3" t="str">
        <f>VLOOKUP(A938,试炼塔结算奖励!$A$1:$O$63,15,0)</f>
        <v>[{"id":8,"num":290},{"id":1,"num":145000},{"id":11,"num":15}]</v>
      </c>
      <c r="J938" s="3" t="s">
        <v>938</v>
      </c>
      <c r="K938" s="3">
        <v>75</v>
      </c>
      <c r="L938" s="3"/>
      <c r="M938" s="3"/>
      <c r="N938" s="3">
        <v>9</v>
      </c>
      <c r="O938" s="3"/>
    </row>
    <row r="939" spans="1:15" x14ac:dyDescent="0.15">
      <c r="A939" s="3">
        <f t="shared" si="784"/>
        <v>1601016</v>
      </c>
      <c r="B939" s="3">
        <v>16</v>
      </c>
      <c r="C939" s="3">
        <v>180000</v>
      </c>
      <c r="D939" s="3">
        <v>0</v>
      </c>
      <c r="E939" s="3">
        <v>1</v>
      </c>
      <c r="F939" s="3">
        <v>16</v>
      </c>
      <c r="G939" s="3" t="s">
        <v>953</v>
      </c>
      <c r="H939" s="3">
        <v>120</v>
      </c>
      <c r="I939" s="3" t="str">
        <f>VLOOKUP(A939,试炼塔结算奖励!$A$1:$O$63,15,0)</f>
        <v>[{"id":8,"num":300},{"id":1,"num":150000},{"id":22,"num":100}]</v>
      </c>
      <c r="J939" s="3" t="s">
        <v>954</v>
      </c>
      <c r="K939" s="3">
        <v>76</v>
      </c>
      <c r="L939" s="3"/>
      <c r="M939" s="3"/>
      <c r="N939" s="3">
        <v>9</v>
      </c>
      <c r="O939" s="3"/>
    </row>
    <row r="940" spans="1:15" x14ac:dyDescent="0.15">
      <c r="A940" s="3">
        <f t="shared" si="784"/>
        <v>1601017</v>
      </c>
      <c r="B940" s="3">
        <v>16</v>
      </c>
      <c r="C940" s="3">
        <v>190000</v>
      </c>
      <c r="D940" s="3">
        <v>0</v>
      </c>
      <c r="E940" s="3">
        <v>1</v>
      </c>
      <c r="F940" s="3">
        <v>17</v>
      </c>
      <c r="G940" s="3" t="s">
        <v>955</v>
      </c>
      <c r="H940" s="3">
        <v>120</v>
      </c>
      <c r="I940" s="3" t="str">
        <f>VLOOKUP(A940,试炼塔结算奖励!$A$1:$O$63,15,0)</f>
        <v>[{"id":8,"num":310},{"id":1,"num":155000},{"id":22,"num":150}]</v>
      </c>
      <c r="J940" s="3" t="s">
        <v>954</v>
      </c>
      <c r="K940" s="3">
        <v>77</v>
      </c>
      <c r="L940" s="3"/>
      <c r="M940" s="3"/>
      <c r="N940" s="3">
        <v>9</v>
      </c>
      <c r="O940" s="3"/>
    </row>
    <row r="941" spans="1:15" x14ac:dyDescent="0.15">
      <c r="A941" s="3">
        <f t="shared" si="784"/>
        <v>1601018</v>
      </c>
      <c r="B941" s="3">
        <v>16</v>
      </c>
      <c r="C941" s="3">
        <v>200000</v>
      </c>
      <c r="D941" s="3">
        <v>0</v>
      </c>
      <c r="E941" s="3">
        <v>1</v>
      </c>
      <c r="F941" s="3">
        <v>18</v>
      </c>
      <c r="G941" s="3" t="s">
        <v>956</v>
      </c>
      <c r="H941" s="3">
        <v>120</v>
      </c>
      <c r="I941" s="3" t="str">
        <f>VLOOKUP(A941,试炼塔结算奖励!$A$1:$O$63,15,0)</f>
        <v>[{"id":8,"num":320},{"id":1,"num":160000},{"id":22,"num":200}]</v>
      </c>
      <c r="J941" s="3" t="s">
        <v>954</v>
      </c>
      <c r="K941" s="3">
        <v>78</v>
      </c>
      <c r="L941" s="3"/>
      <c r="M941" s="3"/>
      <c r="N941" s="3">
        <v>9</v>
      </c>
      <c r="O941" s="3"/>
    </row>
    <row r="942" spans="1:15" x14ac:dyDescent="0.15">
      <c r="A942" s="3">
        <f t="shared" si="784"/>
        <v>1601019</v>
      </c>
      <c r="B942" s="3">
        <v>16</v>
      </c>
      <c r="C942" s="3">
        <v>210000</v>
      </c>
      <c r="D942" s="3">
        <v>0</v>
      </c>
      <c r="E942" s="3">
        <v>1</v>
      </c>
      <c r="F942" s="3">
        <v>19</v>
      </c>
      <c r="G942" s="3" t="s">
        <v>957</v>
      </c>
      <c r="H942" s="3">
        <v>120</v>
      </c>
      <c r="I942" s="3" t="str">
        <f>VLOOKUP(A942,试炼塔结算奖励!$A$1:$O$63,15,0)</f>
        <v>[{"id":8,"num":330},{"id":1,"num":165000},{"id":22,"num":250}]</v>
      </c>
      <c r="J942" s="3" t="s">
        <v>954</v>
      </c>
      <c r="K942" s="3">
        <v>79</v>
      </c>
      <c r="L942" s="3"/>
      <c r="M942" s="3"/>
      <c r="N942" s="3">
        <v>9</v>
      </c>
      <c r="O942" s="3"/>
    </row>
    <row r="943" spans="1:15" x14ac:dyDescent="0.15">
      <c r="A943" s="3">
        <f t="shared" si="784"/>
        <v>1601020</v>
      </c>
      <c r="B943" s="3">
        <v>16</v>
      </c>
      <c r="C943" s="3">
        <v>220000</v>
      </c>
      <c r="D943" s="3">
        <v>0</v>
      </c>
      <c r="E943" s="3">
        <v>1</v>
      </c>
      <c r="F943" s="3">
        <v>20</v>
      </c>
      <c r="G943" s="3" t="s">
        <v>958</v>
      </c>
      <c r="H943" s="3">
        <v>120</v>
      </c>
      <c r="I943" s="3" t="str">
        <f>VLOOKUP(A943,试炼塔结算奖励!$A$1:$O$63,15,0)</f>
        <v>[{"id":8,"num":340},{"id":1,"num":170000},{"id":64,"num":12}]</v>
      </c>
      <c r="J943" s="3" t="s">
        <v>959</v>
      </c>
      <c r="K943" s="3">
        <v>80</v>
      </c>
      <c r="L943" s="3"/>
      <c r="M943" s="3"/>
      <c r="N943" s="3">
        <v>9</v>
      </c>
      <c r="O943" s="3"/>
    </row>
    <row r="944" spans="1:15" x14ac:dyDescent="0.15">
      <c r="A944" s="3">
        <f t="shared" ref="A944:A953" si="785">B944*100000+E944*1000+F944</f>
        <v>1601021</v>
      </c>
      <c r="B944" s="3">
        <v>16</v>
      </c>
      <c r="C944" s="3">
        <v>230000</v>
      </c>
      <c r="D944" s="3">
        <v>0</v>
      </c>
      <c r="E944" s="3">
        <v>1</v>
      </c>
      <c r="F944" s="3">
        <v>21</v>
      </c>
      <c r="G944" s="3" t="s">
        <v>960</v>
      </c>
      <c r="H944" s="3">
        <v>120</v>
      </c>
      <c r="I944" s="3" t="str">
        <f>VLOOKUP(A944,试炼塔结算奖励!$A$1:$O$63,15,0)</f>
        <v>[{"id":8,"num":350},{"id":1,"num":175000},{"id":22,"num":300}]</v>
      </c>
      <c r="J944" s="3" t="s">
        <v>954</v>
      </c>
      <c r="K944" s="3">
        <v>81</v>
      </c>
      <c r="L944" s="3"/>
      <c r="M944" s="3"/>
      <c r="N944" s="3">
        <v>9</v>
      </c>
      <c r="O944" s="3"/>
    </row>
    <row r="945" spans="1:15" x14ac:dyDescent="0.15">
      <c r="A945" s="3">
        <f t="shared" si="785"/>
        <v>1601022</v>
      </c>
      <c r="B945" s="3">
        <v>16</v>
      </c>
      <c r="C945" s="3">
        <v>240000</v>
      </c>
      <c r="D945" s="3">
        <v>0</v>
      </c>
      <c r="E945" s="3">
        <v>1</v>
      </c>
      <c r="F945" s="3">
        <v>22</v>
      </c>
      <c r="G945" s="3" t="s">
        <v>961</v>
      </c>
      <c r="H945" s="3">
        <v>120</v>
      </c>
      <c r="I945" s="3" t="str">
        <f>VLOOKUP(A945,试炼塔结算奖励!$A$1:$O$63,15,0)</f>
        <v>[{"id":8,"num":360},{"id":1,"num":180000},{"id":22,"num":350}]</v>
      </c>
      <c r="J945" s="3" t="s">
        <v>954</v>
      </c>
      <c r="K945" s="3">
        <v>82</v>
      </c>
      <c r="L945" s="3"/>
      <c r="M945" s="3"/>
      <c r="N945" s="3">
        <v>9</v>
      </c>
      <c r="O945" s="3"/>
    </row>
    <row r="946" spans="1:15" x14ac:dyDescent="0.15">
      <c r="A946" s="3">
        <f t="shared" si="785"/>
        <v>1601023</v>
      </c>
      <c r="B946" s="3">
        <v>16</v>
      </c>
      <c r="C946" s="3">
        <v>250000</v>
      </c>
      <c r="D946" s="3">
        <v>0</v>
      </c>
      <c r="E946" s="3">
        <v>1</v>
      </c>
      <c r="F946" s="3">
        <v>23</v>
      </c>
      <c r="G946" s="3" t="s">
        <v>962</v>
      </c>
      <c r="H946" s="3">
        <v>120</v>
      </c>
      <c r="I946" s="3" t="str">
        <f>VLOOKUP(A946,试炼塔结算奖励!$A$1:$O$63,15,0)</f>
        <v>[{"id":8,"num":370},{"id":1,"num":185000},{"id":22,"num":400}]</v>
      </c>
      <c r="J946" s="3" t="s">
        <v>954</v>
      </c>
      <c r="K946" s="3">
        <v>83</v>
      </c>
      <c r="L946" s="3"/>
      <c r="M946" s="3"/>
      <c r="N946" s="3">
        <v>9</v>
      </c>
      <c r="O946" s="3"/>
    </row>
    <row r="947" spans="1:15" x14ac:dyDescent="0.15">
      <c r="A947" s="3">
        <f t="shared" si="785"/>
        <v>1601024</v>
      </c>
      <c r="B947" s="3">
        <v>16</v>
      </c>
      <c r="C947" s="3">
        <v>260000</v>
      </c>
      <c r="D947" s="3">
        <v>0</v>
      </c>
      <c r="E947" s="3">
        <v>1</v>
      </c>
      <c r="F947" s="3">
        <v>24</v>
      </c>
      <c r="G947" s="3" t="s">
        <v>963</v>
      </c>
      <c r="H947" s="3">
        <v>120</v>
      </c>
      <c r="I947" s="3" t="str">
        <f>VLOOKUP(A947,试炼塔结算奖励!$A$1:$O$63,15,0)</f>
        <v>[{"id":8,"num":380},{"id":1,"num":190000},{"id":22,"num":450}]</v>
      </c>
      <c r="J947" s="3" t="s">
        <v>954</v>
      </c>
      <c r="K947" s="3">
        <v>84</v>
      </c>
      <c r="L947" s="3"/>
      <c r="M947" s="3"/>
      <c r="N947" s="3">
        <v>9</v>
      </c>
      <c r="O947" s="3"/>
    </row>
    <row r="948" spans="1:15" x14ac:dyDescent="0.15">
      <c r="A948" s="3">
        <f t="shared" si="785"/>
        <v>1601025</v>
      </c>
      <c r="B948" s="3">
        <v>16</v>
      </c>
      <c r="C948" s="3">
        <v>270000</v>
      </c>
      <c r="D948" s="3">
        <v>0</v>
      </c>
      <c r="E948" s="3">
        <v>1</v>
      </c>
      <c r="F948" s="3">
        <v>25</v>
      </c>
      <c r="G948" s="3" t="s">
        <v>964</v>
      </c>
      <c r="H948" s="3">
        <v>120</v>
      </c>
      <c r="I948" s="3" t="str">
        <f>VLOOKUP(A948,试炼塔结算奖励!$A$1:$O$63,15,0)</f>
        <v>[{"id":8,"num":390},{"id":1,"num":195000},{"id":65,"num":12}]</v>
      </c>
      <c r="J948" s="3" t="s">
        <v>965</v>
      </c>
      <c r="K948" s="3">
        <v>85</v>
      </c>
      <c r="L948" s="3"/>
      <c r="M948" s="3"/>
      <c r="N948" s="3">
        <v>9</v>
      </c>
      <c r="O948" s="3"/>
    </row>
    <row r="949" spans="1:15" x14ac:dyDescent="0.15">
      <c r="A949" s="3">
        <f t="shared" si="785"/>
        <v>1601026</v>
      </c>
      <c r="B949" s="3">
        <v>16</v>
      </c>
      <c r="C949" s="3">
        <v>280000</v>
      </c>
      <c r="D949" s="3">
        <v>0</v>
      </c>
      <c r="E949" s="3">
        <v>1</v>
      </c>
      <c r="F949" s="3">
        <v>26</v>
      </c>
      <c r="G949" s="3" t="s">
        <v>966</v>
      </c>
      <c r="H949" s="3">
        <v>120</v>
      </c>
      <c r="I949" s="3" t="str">
        <f>VLOOKUP(A949,试炼塔结算奖励!$A$1:$O$63,15,0)</f>
        <v>[{"id":8,"num":400},{"id":1,"num":200000},{"id":22,"num":500}]</v>
      </c>
      <c r="J949" s="3" t="s">
        <v>954</v>
      </c>
      <c r="K949" s="3">
        <v>86</v>
      </c>
      <c r="L949" s="3"/>
      <c r="M949" s="3"/>
      <c r="N949" s="3">
        <v>9</v>
      </c>
      <c r="O949" s="3"/>
    </row>
    <row r="950" spans="1:15" x14ac:dyDescent="0.15">
      <c r="A950" s="3">
        <f t="shared" si="785"/>
        <v>1601027</v>
      </c>
      <c r="B950" s="3">
        <v>16</v>
      </c>
      <c r="C950" s="3">
        <v>290000</v>
      </c>
      <c r="D950" s="3">
        <v>0</v>
      </c>
      <c r="E950" s="3">
        <v>1</v>
      </c>
      <c r="F950" s="3">
        <v>27</v>
      </c>
      <c r="G950" s="3" t="s">
        <v>967</v>
      </c>
      <c r="H950" s="3">
        <v>120</v>
      </c>
      <c r="I950" s="3" t="str">
        <f>VLOOKUP(A950,试炼塔结算奖励!$A$1:$O$63,15,0)</f>
        <v>[{"id":8,"num":410},{"id":1,"num":205000},{"id":22,"num":550}]</v>
      </c>
      <c r="J950" s="3" t="s">
        <v>954</v>
      </c>
      <c r="K950" s="3">
        <v>87</v>
      </c>
      <c r="L950" s="3"/>
      <c r="M950" s="3"/>
      <c r="N950" s="3">
        <v>9</v>
      </c>
      <c r="O950" s="3"/>
    </row>
    <row r="951" spans="1:15" x14ac:dyDescent="0.15">
      <c r="A951" s="3">
        <f t="shared" si="785"/>
        <v>1601028</v>
      </c>
      <c r="B951" s="3">
        <v>16</v>
      </c>
      <c r="C951" s="3">
        <v>300000</v>
      </c>
      <c r="D951" s="3">
        <v>0</v>
      </c>
      <c r="E951" s="3">
        <v>1</v>
      </c>
      <c r="F951" s="3">
        <v>28</v>
      </c>
      <c r="G951" s="3" t="s">
        <v>968</v>
      </c>
      <c r="H951" s="3">
        <v>120</v>
      </c>
      <c r="I951" s="3" t="str">
        <f>VLOOKUP(A951,试炼塔结算奖励!$A$1:$O$63,15,0)</f>
        <v>[{"id":8,"num":420},{"id":1,"num":210000},{"id":22,"num":600}]</v>
      </c>
      <c r="J951" s="3" t="s">
        <v>954</v>
      </c>
      <c r="K951" s="3">
        <v>88</v>
      </c>
      <c r="L951" s="3"/>
      <c r="M951" s="3"/>
      <c r="N951" s="3">
        <v>9</v>
      </c>
      <c r="O951" s="3"/>
    </row>
    <row r="952" spans="1:15" x14ac:dyDescent="0.15">
      <c r="A952" s="3">
        <f t="shared" si="785"/>
        <v>1601029</v>
      </c>
      <c r="B952" s="3">
        <v>16</v>
      </c>
      <c r="C952" s="3">
        <v>310000</v>
      </c>
      <c r="D952" s="3">
        <v>0</v>
      </c>
      <c r="E952" s="3">
        <v>1</v>
      </c>
      <c r="F952" s="3">
        <v>29</v>
      </c>
      <c r="G952" s="3" t="s">
        <v>969</v>
      </c>
      <c r="H952" s="3">
        <v>120</v>
      </c>
      <c r="I952" s="3" t="str">
        <f>VLOOKUP(A952,试炼塔结算奖励!$A$1:$O$63,15,0)</f>
        <v>[{"id":8,"num":430},{"id":1,"num":215000},{"id":22,"num":650}]</v>
      </c>
      <c r="J952" s="3" t="s">
        <v>954</v>
      </c>
      <c r="K952" s="3">
        <v>89</v>
      </c>
      <c r="L952" s="3"/>
      <c r="M952" s="3"/>
      <c r="N952" s="3">
        <v>9</v>
      </c>
      <c r="O952" s="3"/>
    </row>
    <row r="953" spans="1:15" x14ac:dyDescent="0.15">
      <c r="A953" s="3">
        <f t="shared" si="785"/>
        <v>1601030</v>
      </c>
      <c r="B953" s="3">
        <v>16</v>
      </c>
      <c r="C953" s="3">
        <v>320000</v>
      </c>
      <c r="D953" s="3">
        <v>0</v>
      </c>
      <c r="E953" s="3">
        <v>1</v>
      </c>
      <c r="F953" s="3">
        <v>30</v>
      </c>
      <c r="G953" s="3" t="s">
        <v>970</v>
      </c>
      <c r="H953" s="3">
        <v>120</v>
      </c>
      <c r="I953" s="3" t="str">
        <f>VLOOKUP(A953,试炼塔结算奖励!$A$1:$O$63,15,0)</f>
        <v>[{"id":8,"num":440},{"id":1,"num":220000},{"id":66,"num":12}]</v>
      </c>
      <c r="J953" s="3" t="s">
        <v>971</v>
      </c>
      <c r="K953" s="3">
        <v>90</v>
      </c>
      <c r="L953" s="3"/>
      <c r="M953" s="3"/>
      <c r="N953" s="3">
        <v>9</v>
      </c>
      <c r="O953" s="3"/>
    </row>
    <row r="954" spans="1:15" x14ac:dyDescent="0.15">
      <c r="A954" s="3">
        <f t="shared" ref="A954:A987" si="786">B954*100000+E954*1000+F954</f>
        <v>1601031</v>
      </c>
      <c r="B954" s="3">
        <v>16</v>
      </c>
      <c r="C954" s="3">
        <v>330000</v>
      </c>
      <c r="D954" s="3">
        <v>0</v>
      </c>
      <c r="E954" s="3">
        <v>1</v>
      </c>
      <c r="F954" s="3">
        <v>31</v>
      </c>
      <c r="G954" s="3" t="s">
        <v>972</v>
      </c>
      <c r="H954" s="3">
        <v>120</v>
      </c>
      <c r="I954" s="3" t="str">
        <f>VLOOKUP(A954,试炼塔结算奖励!$A$1:$O$63,15,0)</f>
        <v>[{"id":8,"num":450},{"id":1,"num":225000},{"id":22,"num":700}]</v>
      </c>
      <c r="J954" s="3" t="s">
        <v>954</v>
      </c>
      <c r="K954" s="3">
        <v>261</v>
      </c>
      <c r="L954" s="3"/>
      <c r="M954" s="3"/>
      <c r="N954" s="3"/>
      <c r="O954" s="3"/>
    </row>
    <row r="955" spans="1:15" x14ac:dyDescent="0.15">
      <c r="A955" s="3">
        <f t="shared" si="786"/>
        <v>1601032</v>
      </c>
      <c r="B955" s="3">
        <v>16</v>
      </c>
      <c r="C955" s="3">
        <v>340000</v>
      </c>
      <c r="D955" s="3">
        <v>0</v>
      </c>
      <c r="E955" s="3">
        <v>1</v>
      </c>
      <c r="F955" s="3">
        <v>32</v>
      </c>
      <c r="G955" s="3" t="s">
        <v>973</v>
      </c>
      <c r="H955" s="3">
        <v>120</v>
      </c>
      <c r="I955" s="3" t="str">
        <f>VLOOKUP(A955,试炼塔结算奖励!$A$1:$O$63,15,0)</f>
        <v>[{"id":8,"num":460},{"id":1,"num":230000},{"id":22,"num":750}]</v>
      </c>
      <c r="J955" s="3" t="s">
        <v>954</v>
      </c>
      <c r="K955" s="3">
        <v>262</v>
      </c>
      <c r="L955" s="3"/>
      <c r="M955" s="3"/>
      <c r="N955" s="3"/>
      <c r="O955" s="3"/>
    </row>
    <row r="956" spans="1:15" x14ac:dyDescent="0.15">
      <c r="A956" s="3">
        <f t="shared" si="786"/>
        <v>1601033</v>
      </c>
      <c r="B956" s="3">
        <v>16</v>
      </c>
      <c r="C956" s="3">
        <v>350000</v>
      </c>
      <c r="D956" s="3">
        <v>0</v>
      </c>
      <c r="E956" s="3">
        <v>1</v>
      </c>
      <c r="F956" s="3">
        <v>33</v>
      </c>
      <c r="G956" s="3" t="s">
        <v>974</v>
      </c>
      <c r="H956" s="3">
        <v>120</v>
      </c>
      <c r="I956" s="3" t="str">
        <f>VLOOKUP(A956,试炼塔结算奖励!$A$1:$O$63,15,0)</f>
        <v>[{"id":8,"num":470},{"id":1,"num":235000},{"id":22,"num":800}]</v>
      </c>
      <c r="J956" s="3" t="s">
        <v>954</v>
      </c>
      <c r="K956" s="3">
        <v>263</v>
      </c>
      <c r="L956" s="3"/>
      <c r="M956" s="3"/>
      <c r="N956" s="3"/>
      <c r="O956" s="3"/>
    </row>
    <row r="957" spans="1:15" x14ac:dyDescent="0.15">
      <c r="A957" s="3">
        <f t="shared" si="786"/>
        <v>1601034</v>
      </c>
      <c r="B957" s="3">
        <v>16</v>
      </c>
      <c r="C957" s="3">
        <v>360000</v>
      </c>
      <c r="D957" s="3">
        <v>0</v>
      </c>
      <c r="E957" s="3">
        <v>1</v>
      </c>
      <c r="F957" s="3">
        <v>34</v>
      </c>
      <c r="G957" s="3" t="s">
        <v>975</v>
      </c>
      <c r="H957" s="3">
        <v>120</v>
      </c>
      <c r="I957" s="3" t="str">
        <f>VLOOKUP(A957,试炼塔结算奖励!$A$1:$O$63,15,0)</f>
        <v>[{"id":8,"num":480},{"id":1,"num":240000},{"id":22,"num":850}]</v>
      </c>
      <c r="J957" s="3" t="s">
        <v>954</v>
      </c>
      <c r="K957" s="3">
        <v>264</v>
      </c>
      <c r="L957" s="3"/>
      <c r="M957" s="3"/>
      <c r="N957" s="3"/>
      <c r="O957" s="3"/>
    </row>
    <row r="958" spans="1:15" x14ac:dyDescent="0.15">
      <c r="A958" s="3">
        <f t="shared" si="786"/>
        <v>1601035</v>
      </c>
      <c r="B958" s="3">
        <v>16</v>
      </c>
      <c r="C958" s="3">
        <v>370000</v>
      </c>
      <c r="D958" s="3">
        <v>0</v>
      </c>
      <c r="E958" s="3">
        <v>1</v>
      </c>
      <c r="F958" s="3">
        <v>35</v>
      </c>
      <c r="G958" s="3" t="s">
        <v>976</v>
      </c>
      <c r="H958" s="3">
        <v>120</v>
      </c>
      <c r="I958" s="3" t="str">
        <f>VLOOKUP(A958,试炼塔结算奖励!$A$1:$O$63,15,0)</f>
        <v>[{"id":8,"num":490},{"id":1,"num":245000},{"id":67,"num":12}]</v>
      </c>
      <c r="J958" s="3" t="s">
        <v>977</v>
      </c>
      <c r="K958" s="3">
        <v>265</v>
      </c>
      <c r="L958" s="3"/>
      <c r="M958" s="3"/>
      <c r="N958" s="3"/>
      <c r="O958" s="3"/>
    </row>
    <row r="959" spans="1:15" x14ac:dyDescent="0.15">
      <c r="A959" s="3">
        <f t="shared" si="786"/>
        <v>1601036</v>
      </c>
      <c r="B959" s="3">
        <v>16</v>
      </c>
      <c r="C959" s="3">
        <v>380000</v>
      </c>
      <c r="D959" s="3">
        <v>0</v>
      </c>
      <c r="E959" s="3">
        <v>1</v>
      </c>
      <c r="F959" s="3">
        <v>36</v>
      </c>
      <c r="G959" s="3" t="s">
        <v>978</v>
      </c>
      <c r="H959" s="3">
        <v>120</v>
      </c>
      <c r="I959" s="3" t="str">
        <f>VLOOKUP(A959,试炼塔结算奖励!$A$1:$O$63,15,0)</f>
        <v>[{"id":8,"num":500},{"id":1,"num":250000},{"id":22,"num":900}]</v>
      </c>
      <c r="J959" s="3" t="s">
        <v>954</v>
      </c>
      <c r="K959" s="3">
        <v>266</v>
      </c>
      <c r="L959" s="3"/>
      <c r="M959" s="3"/>
      <c r="N959" s="3"/>
      <c r="O959" s="3"/>
    </row>
    <row r="960" spans="1:15" x14ac:dyDescent="0.15">
      <c r="A960" s="3">
        <f t="shared" si="786"/>
        <v>1601037</v>
      </c>
      <c r="B960" s="3">
        <v>16</v>
      </c>
      <c r="C960" s="3">
        <v>390000</v>
      </c>
      <c r="D960" s="3">
        <v>0</v>
      </c>
      <c r="E960" s="3">
        <v>1</v>
      </c>
      <c r="F960" s="3">
        <v>37</v>
      </c>
      <c r="G960" s="3" t="s">
        <v>979</v>
      </c>
      <c r="H960" s="3">
        <v>120</v>
      </c>
      <c r="I960" s="3" t="str">
        <f>VLOOKUP(A960,试炼塔结算奖励!$A$1:$O$63,15,0)</f>
        <v>[{"id":8,"num":510},{"id":1,"num":255000},{"id":22,"num":950}]</v>
      </c>
      <c r="J960" s="3" t="s">
        <v>954</v>
      </c>
      <c r="K960" s="3">
        <v>267</v>
      </c>
      <c r="L960" s="3"/>
      <c r="M960" s="3"/>
      <c r="N960" s="3"/>
      <c r="O960" s="3"/>
    </row>
    <row r="961" spans="1:15" x14ac:dyDescent="0.15">
      <c r="A961" s="3">
        <f t="shared" si="786"/>
        <v>1601038</v>
      </c>
      <c r="B961" s="3">
        <v>16</v>
      </c>
      <c r="C961" s="3">
        <v>400000</v>
      </c>
      <c r="D961" s="3">
        <v>0</v>
      </c>
      <c r="E961" s="3">
        <v>1</v>
      </c>
      <c r="F961" s="3">
        <v>38</v>
      </c>
      <c r="G961" s="3" t="s">
        <v>980</v>
      </c>
      <c r="H961" s="3">
        <v>120</v>
      </c>
      <c r="I961" s="3" t="str">
        <f>VLOOKUP(A961,试炼塔结算奖励!$A$1:$O$63,15,0)</f>
        <v>[{"id":8,"num":520},{"id":1,"num":260000},{"id":22,"num":1000}]</v>
      </c>
      <c r="J961" s="3" t="s">
        <v>954</v>
      </c>
      <c r="K961" s="3">
        <v>268</v>
      </c>
      <c r="L961" s="3"/>
      <c r="M961" s="3"/>
      <c r="N961" s="3"/>
      <c r="O961" s="3"/>
    </row>
    <row r="962" spans="1:15" x14ac:dyDescent="0.15">
      <c r="A962" s="3">
        <f t="shared" si="786"/>
        <v>1601039</v>
      </c>
      <c r="B962" s="3">
        <v>16</v>
      </c>
      <c r="C962" s="3">
        <v>410000</v>
      </c>
      <c r="D962" s="3">
        <v>0</v>
      </c>
      <c r="E962" s="3">
        <v>1</v>
      </c>
      <c r="F962" s="3">
        <v>39</v>
      </c>
      <c r="G962" s="3" t="s">
        <v>981</v>
      </c>
      <c r="H962" s="3">
        <v>120</v>
      </c>
      <c r="I962" s="3" t="str">
        <f>VLOOKUP(A962,试炼塔结算奖励!$A$1:$O$63,15,0)</f>
        <v>[{"id":8,"num":530},{"id":1,"num":265000},{"id":22,"num":1050}]</v>
      </c>
      <c r="J962" s="3" t="s">
        <v>954</v>
      </c>
      <c r="K962" s="3">
        <v>269</v>
      </c>
      <c r="L962" s="3"/>
      <c r="M962" s="3"/>
      <c r="N962" s="3"/>
      <c r="O962" s="3"/>
    </row>
    <row r="963" spans="1:15" x14ac:dyDescent="0.15">
      <c r="A963" s="3">
        <f t="shared" si="786"/>
        <v>1601040</v>
      </c>
      <c r="B963" s="3">
        <v>16</v>
      </c>
      <c r="C963" s="3">
        <v>420000</v>
      </c>
      <c r="D963" s="3">
        <v>0</v>
      </c>
      <c r="E963" s="3">
        <v>1</v>
      </c>
      <c r="F963" s="3">
        <v>40</v>
      </c>
      <c r="G963" s="3" t="s">
        <v>982</v>
      </c>
      <c r="H963" s="3">
        <v>120</v>
      </c>
      <c r="I963" s="3" t="str">
        <f>VLOOKUP(A963,试炼塔结算奖励!$A$1:$O$63,15,0)</f>
        <v>[{"id":8,"num":540},{"id":1,"num":270000},{"id":68,"num":12}]</v>
      </c>
      <c r="J963" s="3" t="s">
        <v>983</v>
      </c>
      <c r="K963" s="3">
        <v>270</v>
      </c>
      <c r="L963" s="3"/>
      <c r="M963" s="3"/>
      <c r="N963" s="3"/>
      <c r="O963" s="3"/>
    </row>
    <row r="964" spans="1:15" x14ac:dyDescent="0.15">
      <c r="A964" s="3">
        <f t="shared" si="786"/>
        <v>1601041</v>
      </c>
      <c r="B964" s="3">
        <v>16</v>
      </c>
      <c r="C964" s="3">
        <v>430000</v>
      </c>
      <c r="D964" s="3">
        <v>0</v>
      </c>
      <c r="E964" s="3">
        <v>1</v>
      </c>
      <c r="F964" s="3">
        <v>41</v>
      </c>
      <c r="G964" s="3" t="s">
        <v>984</v>
      </c>
      <c r="H964" s="3">
        <v>120</v>
      </c>
      <c r="I964" s="3" t="str">
        <f>VLOOKUP(A964,试炼塔结算奖励!$A$1:$O$63,15,0)</f>
        <v>[{"id":8,"num":550},{"id":1,"num":275000},{"id":22,"num":1100}]</v>
      </c>
      <c r="J964" s="3" t="s">
        <v>954</v>
      </c>
      <c r="K964" s="3">
        <v>271</v>
      </c>
      <c r="L964" s="3"/>
      <c r="M964" s="3"/>
      <c r="N964" s="3"/>
      <c r="O964" s="3"/>
    </row>
    <row r="965" spans="1:15" x14ac:dyDescent="0.15">
      <c r="A965" s="3">
        <f t="shared" si="786"/>
        <v>1601042</v>
      </c>
      <c r="B965" s="3">
        <v>16</v>
      </c>
      <c r="C965" s="3">
        <v>440000</v>
      </c>
      <c r="D965" s="3">
        <v>0</v>
      </c>
      <c r="E965" s="3">
        <v>1</v>
      </c>
      <c r="F965" s="3">
        <v>42</v>
      </c>
      <c r="G965" s="3" t="s">
        <v>985</v>
      </c>
      <c r="H965" s="3">
        <v>120</v>
      </c>
      <c r="I965" s="3" t="str">
        <f>VLOOKUP(A965,试炼塔结算奖励!$A$1:$O$63,15,0)</f>
        <v>[{"id":8,"num":560},{"id":1,"num":280000},{"id":22,"num":1150}]</v>
      </c>
      <c r="J965" s="3" t="s">
        <v>954</v>
      </c>
      <c r="K965" s="3">
        <v>272</v>
      </c>
      <c r="L965" s="3"/>
      <c r="M965" s="3"/>
      <c r="N965" s="3"/>
      <c r="O965" s="3"/>
    </row>
    <row r="966" spans="1:15" x14ac:dyDescent="0.15">
      <c r="A966" s="3">
        <f t="shared" si="786"/>
        <v>1601043</v>
      </c>
      <c r="B966" s="3">
        <v>16</v>
      </c>
      <c r="C966" s="3">
        <v>450000</v>
      </c>
      <c r="D966" s="3">
        <v>0</v>
      </c>
      <c r="E966" s="3">
        <v>1</v>
      </c>
      <c r="F966" s="3">
        <v>43</v>
      </c>
      <c r="G966" s="3" t="s">
        <v>986</v>
      </c>
      <c r="H966" s="3">
        <v>120</v>
      </c>
      <c r="I966" s="3" t="str">
        <f>VLOOKUP(A966,试炼塔结算奖励!$A$1:$O$63,15,0)</f>
        <v>[{"id":8,"num":570},{"id":1,"num":285000},{"id":22,"num":1200}]</v>
      </c>
      <c r="J966" s="3" t="s">
        <v>954</v>
      </c>
      <c r="K966" s="3">
        <v>273</v>
      </c>
      <c r="L966" s="3"/>
      <c r="M966" s="3"/>
      <c r="N966" s="3"/>
      <c r="O966" s="3"/>
    </row>
    <row r="967" spans="1:15" x14ac:dyDescent="0.15">
      <c r="A967" s="3">
        <f t="shared" si="786"/>
        <v>1601044</v>
      </c>
      <c r="B967" s="3">
        <v>16</v>
      </c>
      <c r="C967" s="3">
        <v>460000</v>
      </c>
      <c r="D967" s="3">
        <v>0</v>
      </c>
      <c r="E967" s="3">
        <v>1</v>
      </c>
      <c r="F967" s="3">
        <v>44</v>
      </c>
      <c r="G967" s="3" t="s">
        <v>987</v>
      </c>
      <c r="H967" s="3">
        <v>120</v>
      </c>
      <c r="I967" s="3" t="str">
        <f>VLOOKUP(A967,试炼塔结算奖励!$A$1:$O$63,15,0)</f>
        <v>[{"id":8,"num":580},{"id":1,"num":290000},{"id":22,"num":1250}]</v>
      </c>
      <c r="J967" s="3" t="s">
        <v>954</v>
      </c>
      <c r="K967" s="3">
        <v>274</v>
      </c>
      <c r="L967" s="3"/>
      <c r="M967" s="3"/>
      <c r="N967" s="3"/>
      <c r="O967" s="3"/>
    </row>
    <row r="968" spans="1:15" x14ac:dyDescent="0.15">
      <c r="A968" s="3">
        <f t="shared" si="786"/>
        <v>1601045</v>
      </c>
      <c r="B968" s="3">
        <v>16</v>
      </c>
      <c r="C968" s="3">
        <v>470000</v>
      </c>
      <c r="D968" s="3">
        <v>0</v>
      </c>
      <c r="E968" s="3">
        <v>1</v>
      </c>
      <c r="F968" s="3">
        <v>45</v>
      </c>
      <c r="G968" s="3" t="s">
        <v>988</v>
      </c>
      <c r="H968" s="3">
        <v>120</v>
      </c>
      <c r="I968" s="3" t="str">
        <f>VLOOKUP(A968,试炼塔结算奖励!$A$1:$O$63,15,0)</f>
        <v>[{"id":8,"num":590},{"id":1,"num":295000},{"id":69,"num":12}]</v>
      </c>
      <c r="J968" s="3" t="s">
        <v>989</v>
      </c>
      <c r="K968" s="3">
        <v>275</v>
      </c>
      <c r="L968" s="3"/>
      <c r="M968" s="3"/>
      <c r="N968" s="3"/>
      <c r="O968" s="3"/>
    </row>
    <row r="969" spans="1:15" x14ac:dyDescent="0.15">
      <c r="A969" s="3">
        <f t="shared" si="786"/>
        <v>1601046</v>
      </c>
      <c r="B969" s="3">
        <v>16</v>
      </c>
      <c r="C969" s="3">
        <v>480000</v>
      </c>
      <c r="D969" s="3">
        <v>0</v>
      </c>
      <c r="E969" s="3">
        <v>1</v>
      </c>
      <c r="F969" s="3">
        <v>46</v>
      </c>
      <c r="G969" s="3" t="s">
        <v>990</v>
      </c>
      <c r="H969" s="3">
        <v>120</v>
      </c>
      <c r="I969" s="3" t="str">
        <f>VLOOKUP(A969,试炼塔结算奖励!$A$1:$O$63,15,0)</f>
        <v>[{"id":8,"num":600},{"id":1,"num":300000},{"id":22,"num":1300}]</v>
      </c>
      <c r="J969" s="3" t="s">
        <v>954</v>
      </c>
      <c r="K969" s="3">
        <v>276</v>
      </c>
      <c r="L969" s="3"/>
      <c r="M969" s="3"/>
      <c r="N969" s="3"/>
      <c r="O969" s="3"/>
    </row>
    <row r="970" spans="1:15" x14ac:dyDescent="0.15">
      <c r="A970" s="3">
        <f t="shared" si="786"/>
        <v>1601047</v>
      </c>
      <c r="B970" s="3">
        <v>16</v>
      </c>
      <c r="C970" s="3">
        <v>490000</v>
      </c>
      <c r="D970" s="3">
        <v>0</v>
      </c>
      <c r="E970" s="3">
        <v>1</v>
      </c>
      <c r="F970" s="3">
        <v>47</v>
      </c>
      <c r="G970" s="3" t="s">
        <v>991</v>
      </c>
      <c r="H970" s="3">
        <v>120</v>
      </c>
      <c r="I970" s="3" t="str">
        <f>VLOOKUP(A970,试炼塔结算奖励!$A$1:$O$63,15,0)</f>
        <v>[{"id":8,"num":610},{"id":1,"num":305000},{"id":22,"num":1350}]</v>
      </c>
      <c r="J970" s="3" t="s">
        <v>954</v>
      </c>
      <c r="K970" s="3">
        <v>277</v>
      </c>
      <c r="L970" s="3"/>
      <c r="M970" s="3"/>
      <c r="N970" s="3"/>
      <c r="O970" s="3"/>
    </row>
    <row r="971" spans="1:15" x14ac:dyDescent="0.15">
      <c r="A971" s="3">
        <f t="shared" si="786"/>
        <v>1601048</v>
      </c>
      <c r="B971" s="3">
        <v>16</v>
      </c>
      <c r="C971" s="3">
        <v>500000</v>
      </c>
      <c r="D971" s="3">
        <v>0</v>
      </c>
      <c r="E971" s="3">
        <v>1</v>
      </c>
      <c r="F971" s="3">
        <v>48</v>
      </c>
      <c r="G971" s="3" t="s">
        <v>992</v>
      </c>
      <c r="H971" s="3">
        <v>120</v>
      </c>
      <c r="I971" s="3" t="str">
        <f>VLOOKUP(A971,试炼塔结算奖励!$A$1:$O$63,15,0)</f>
        <v>[{"id":8,"num":620},{"id":1,"num":310000},{"id":22,"num":1400}]</v>
      </c>
      <c r="J971" s="3" t="s">
        <v>954</v>
      </c>
      <c r="K971" s="3">
        <v>278</v>
      </c>
      <c r="L971" s="3"/>
      <c r="M971" s="3"/>
      <c r="N971" s="3"/>
      <c r="O971" s="3"/>
    </row>
    <row r="972" spans="1:15" x14ac:dyDescent="0.15">
      <c r="A972" s="3">
        <f t="shared" si="786"/>
        <v>1601049</v>
      </c>
      <c r="B972" s="3">
        <v>16</v>
      </c>
      <c r="C972" s="3">
        <v>510000</v>
      </c>
      <c r="D972" s="3">
        <v>0</v>
      </c>
      <c r="E972" s="3">
        <v>1</v>
      </c>
      <c r="F972" s="3">
        <v>49</v>
      </c>
      <c r="G972" s="3" t="s">
        <v>993</v>
      </c>
      <c r="H972" s="3">
        <v>120</v>
      </c>
      <c r="I972" s="3" t="str">
        <f>VLOOKUP(A972,试炼塔结算奖励!$A$1:$O$63,15,0)</f>
        <v>[{"id":8,"num":630},{"id":1,"num":315000},{"id":22,"num":1450}]</v>
      </c>
      <c r="J972" s="3" t="s">
        <v>954</v>
      </c>
      <c r="K972" s="3">
        <v>279</v>
      </c>
      <c r="L972" s="3"/>
      <c r="M972" s="3"/>
      <c r="N972" s="3"/>
      <c r="O972" s="3"/>
    </row>
    <row r="973" spans="1:15" x14ac:dyDescent="0.15">
      <c r="A973" s="3">
        <f t="shared" si="786"/>
        <v>1601050</v>
      </c>
      <c r="B973" s="3">
        <v>16</v>
      </c>
      <c r="C973" s="3">
        <v>520000</v>
      </c>
      <c r="D973" s="3">
        <v>0</v>
      </c>
      <c r="E973" s="3">
        <v>1</v>
      </c>
      <c r="F973" s="3">
        <v>50</v>
      </c>
      <c r="G973" s="3" t="s">
        <v>994</v>
      </c>
      <c r="H973" s="3">
        <v>120</v>
      </c>
      <c r="I973" s="3" t="str">
        <f>VLOOKUP(A973,试炼塔结算奖励!$A$1:$O$63,15,0)</f>
        <v>[{"id":8,"num":640},{"id":1,"num":320000},{"id":70,"num":12}]</v>
      </c>
      <c r="J973" s="3" t="s">
        <v>995</v>
      </c>
      <c r="K973" s="3">
        <v>280</v>
      </c>
      <c r="L973" s="3"/>
      <c r="M973" s="3"/>
      <c r="N973" s="3"/>
      <c r="O973" s="3"/>
    </row>
    <row r="974" spans="1:15" x14ac:dyDescent="0.15">
      <c r="A974" s="3">
        <f t="shared" si="786"/>
        <v>1601051</v>
      </c>
      <c r="B974" s="3">
        <v>16</v>
      </c>
      <c r="C974" s="3">
        <v>530000</v>
      </c>
      <c r="D974" s="3">
        <v>0</v>
      </c>
      <c r="E974" s="3">
        <v>1</v>
      </c>
      <c r="F974" s="3">
        <v>51</v>
      </c>
      <c r="G974" s="3" t="s">
        <v>996</v>
      </c>
      <c r="H974" s="3">
        <v>120</v>
      </c>
      <c r="I974" s="3" t="str">
        <f>VLOOKUP(A974,试炼塔结算奖励!$A$1:$O$63,15,0)</f>
        <v>[{"id":8,"num":650},{"id":1,"num":325000},{"id":22,"num":1500}]</v>
      </c>
      <c r="J974" s="3" t="s">
        <v>954</v>
      </c>
      <c r="K974" s="3">
        <v>281</v>
      </c>
      <c r="L974" s="3"/>
      <c r="M974" s="3"/>
      <c r="N974" s="3"/>
      <c r="O974" s="3"/>
    </row>
    <row r="975" spans="1:15" x14ac:dyDescent="0.15">
      <c r="A975" s="3">
        <f t="shared" si="786"/>
        <v>1601052</v>
      </c>
      <c r="B975" s="3">
        <v>16</v>
      </c>
      <c r="C975" s="3">
        <v>540000</v>
      </c>
      <c r="D975" s="3">
        <v>0</v>
      </c>
      <c r="E975" s="3">
        <v>1</v>
      </c>
      <c r="F975" s="3">
        <v>52</v>
      </c>
      <c r="G975" s="3" t="s">
        <v>997</v>
      </c>
      <c r="H975" s="3">
        <v>120</v>
      </c>
      <c r="I975" s="3" t="str">
        <f>VLOOKUP(A975,试炼塔结算奖励!$A$1:$O$63,15,0)</f>
        <v>[{"id":8,"num":660},{"id":1,"num":330000},{"id":22,"num":1550}]</v>
      </c>
      <c r="J975" s="3" t="s">
        <v>954</v>
      </c>
      <c r="K975" s="3">
        <v>282</v>
      </c>
      <c r="L975" s="3"/>
      <c r="M975" s="3"/>
      <c r="N975" s="3"/>
      <c r="O975" s="3"/>
    </row>
    <row r="976" spans="1:15" x14ac:dyDescent="0.15">
      <c r="A976" s="3">
        <f t="shared" si="786"/>
        <v>1601053</v>
      </c>
      <c r="B976" s="3">
        <v>16</v>
      </c>
      <c r="C976" s="3">
        <v>550000</v>
      </c>
      <c r="D976" s="3">
        <v>0</v>
      </c>
      <c r="E976" s="3">
        <v>1</v>
      </c>
      <c r="F976" s="3">
        <v>53</v>
      </c>
      <c r="G976" s="3" t="s">
        <v>998</v>
      </c>
      <c r="H976" s="3">
        <v>120</v>
      </c>
      <c r="I976" s="3" t="str">
        <f>VLOOKUP(A976,试炼塔结算奖励!$A$1:$O$63,15,0)</f>
        <v>[{"id":8,"num":670},{"id":1,"num":335000},{"id":22,"num":1600}]</v>
      </c>
      <c r="J976" s="3" t="s">
        <v>954</v>
      </c>
      <c r="K976" s="3">
        <v>283</v>
      </c>
      <c r="L976" s="3"/>
      <c r="M976" s="3"/>
      <c r="N976" s="3"/>
      <c r="O976" s="3"/>
    </row>
    <row r="977" spans="1:15" x14ac:dyDescent="0.15">
      <c r="A977" s="3">
        <f t="shared" si="786"/>
        <v>1601054</v>
      </c>
      <c r="B977" s="3">
        <v>16</v>
      </c>
      <c r="C977" s="3">
        <v>560000</v>
      </c>
      <c r="D977" s="3">
        <v>0</v>
      </c>
      <c r="E977" s="3">
        <v>1</v>
      </c>
      <c r="F977" s="3">
        <v>54</v>
      </c>
      <c r="G977" s="3" t="s">
        <v>999</v>
      </c>
      <c r="H977" s="3">
        <v>120</v>
      </c>
      <c r="I977" s="3" t="str">
        <f>VLOOKUP(A977,试炼塔结算奖励!$A$1:$O$63,15,0)</f>
        <v>[{"id":8,"num":680},{"id":1,"num":340000},{"id":22,"num":1650}]</v>
      </c>
      <c r="J977" s="3" t="s">
        <v>954</v>
      </c>
      <c r="K977" s="3">
        <v>284</v>
      </c>
      <c r="L977" s="3"/>
      <c r="M977" s="3"/>
      <c r="N977" s="3"/>
      <c r="O977" s="3"/>
    </row>
    <row r="978" spans="1:15" x14ac:dyDescent="0.15">
      <c r="A978" s="3">
        <f t="shared" si="786"/>
        <v>1601055</v>
      </c>
      <c r="B978" s="3">
        <v>16</v>
      </c>
      <c r="C978" s="3">
        <v>570000</v>
      </c>
      <c r="D978" s="3">
        <v>0</v>
      </c>
      <c r="E978" s="3">
        <v>1</v>
      </c>
      <c r="F978" s="3">
        <v>55</v>
      </c>
      <c r="G978" s="3" t="s">
        <v>1000</v>
      </c>
      <c r="H978" s="3">
        <v>120</v>
      </c>
      <c r="I978" s="3" t="str">
        <f>VLOOKUP(A978,试炼塔结算奖励!$A$1:$O$63,15,0)</f>
        <v>[{"id":8,"num":690},{"id":1,"num":345000},{"id":88,"num":12}]</v>
      </c>
      <c r="J978" s="3" t="s">
        <v>1001</v>
      </c>
      <c r="K978" s="3">
        <v>285</v>
      </c>
      <c r="L978" s="3"/>
      <c r="M978" s="3"/>
      <c r="N978" s="3"/>
      <c r="O978" s="3"/>
    </row>
    <row r="979" spans="1:15" x14ac:dyDescent="0.15">
      <c r="A979" s="3">
        <f t="shared" si="786"/>
        <v>1601056</v>
      </c>
      <c r="B979" s="3">
        <v>16</v>
      </c>
      <c r="C979" s="3">
        <v>580000</v>
      </c>
      <c r="D979" s="3">
        <v>0</v>
      </c>
      <c r="E979" s="3">
        <v>1</v>
      </c>
      <c r="F979" s="3">
        <v>56</v>
      </c>
      <c r="G979" s="3" t="s">
        <v>1002</v>
      </c>
      <c r="H979" s="3">
        <v>120</v>
      </c>
      <c r="I979" s="3" t="str">
        <f>VLOOKUP(A979,试炼塔结算奖励!$A$1:$O$63,15,0)</f>
        <v>[{"id":8,"num":700},{"id":1,"num":350000},{"id":22,"num":1700}]</v>
      </c>
      <c r="J979" s="3" t="s">
        <v>954</v>
      </c>
      <c r="K979" s="3">
        <v>286</v>
      </c>
      <c r="L979" s="3"/>
      <c r="M979" s="3"/>
      <c r="N979" s="3"/>
      <c r="O979" s="3"/>
    </row>
    <row r="980" spans="1:15" x14ac:dyDescent="0.15">
      <c r="A980" s="3">
        <f t="shared" si="786"/>
        <v>1601057</v>
      </c>
      <c r="B980" s="3">
        <v>16</v>
      </c>
      <c r="C980" s="3">
        <v>590000</v>
      </c>
      <c r="D980" s="3">
        <v>0</v>
      </c>
      <c r="E980" s="3">
        <v>1</v>
      </c>
      <c r="F980" s="3">
        <v>57</v>
      </c>
      <c r="G980" s="3" t="s">
        <v>1003</v>
      </c>
      <c r="H980" s="3">
        <v>120</v>
      </c>
      <c r="I980" s="3" t="str">
        <f>VLOOKUP(A980,试炼塔结算奖励!$A$1:$O$63,15,0)</f>
        <v>[{"id":8,"num":710},{"id":1,"num":355000},{"id":22,"num":1750}]</v>
      </c>
      <c r="J980" s="3" t="s">
        <v>954</v>
      </c>
      <c r="K980" s="3">
        <v>287</v>
      </c>
      <c r="L980" s="3"/>
      <c r="M980" s="3"/>
      <c r="N980" s="3"/>
      <c r="O980" s="3"/>
    </row>
    <row r="981" spans="1:15" x14ac:dyDescent="0.15">
      <c r="A981" s="3">
        <f t="shared" si="786"/>
        <v>1601058</v>
      </c>
      <c r="B981" s="3">
        <v>16</v>
      </c>
      <c r="C981" s="3">
        <v>600000</v>
      </c>
      <c r="D981" s="3">
        <v>0</v>
      </c>
      <c r="E981" s="3">
        <v>1</v>
      </c>
      <c r="F981" s="3">
        <v>58</v>
      </c>
      <c r="G981" s="3" t="s">
        <v>1004</v>
      </c>
      <c r="H981" s="3">
        <v>120</v>
      </c>
      <c r="I981" s="3" t="str">
        <f>VLOOKUP(A981,试炼塔结算奖励!$A$1:$O$63,15,0)</f>
        <v>[{"id":8,"num":720},{"id":1,"num":360000},{"id":22,"num":1800}]</v>
      </c>
      <c r="J981" s="3" t="s">
        <v>954</v>
      </c>
      <c r="K981" s="3">
        <v>288</v>
      </c>
      <c r="L981" s="3"/>
      <c r="M981" s="3"/>
      <c r="N981" s="3"/>
      <c r="O981" s="3"/>
    </row>
    <row r="982" spans="1:15" x14ac:dyDescent="0.15">
      <c r="A982" s="3">
        <f t="shared" si="786"/>
        <v>1601059</v>
      </c>
      <c r="B982" s="3">
        <v>16</v>
      </c>
      <c r="C982" s="3">
        <v>610000</v>
      </c>
      <c r="D982" s="3">
        <v>0</v>
      </c>
      <c r="E982" s="3">
        <v>1</v>
      </c>
      <c r="F982" s="3">
        <v>59</v>
      </c>
      <c r="G982" s="3" t="s">
        <v>1005</v>
      </c>
      <c r="H982" s="3">
        <v>120</v>
      </c>
      <c r="I982" s="3" t="str">
        <f>VLOOKUP(A982,试炼塔结算奖励!$A$1:$O$63,15,0)</f>
        <v>[{"id":8,"num":730},{"id":1,"num":365000},{"id":22,"num":1850}]</v>
      </c>
      <c r="J982" s="3" t="s">
        <v>954</v>
      </c>
      <c r="K982" s="3">
        <v>289</v>
      </c>
      <c r="L982" s="3"/>
      <c r="M982" s="3"/>
      <c r="N982" s="3"/>
      <c r="O982" s="3"/>
    </row>
    <row r="983" spans="1:15" x14ac:dyDescent="0.15">
      <c r="A983" s="3">
        <f t="shared" si="786"/>
        <v>1601060</v>
      </c>
      <c r="B983" s="3">
        <v>16</v>
      </c>
      <c r="C983" s="3">
        <v>620000</v>
      </c>
      <c r="D983" s="3">
        <v>0</v>
      </c>
      <c r="E983" s="3">
        <v>1</v>
      </c>
      <c r="F983" s="3">
        <v>60</v>
      </c>
      <c r="G983" s="3" t="s">
        <v>1006</v>
      </c>
      <c r="H983" s="3">
        <v>120</v>
      </c>
      <c r="I983" s="3" t="str">
        <f>VLOOKUP(A983,试炼塔结算奖励!$A$1:$O$63,15,0)</f>
        <v>[{"id":8,"num":740},{"id":1,"num":370000},{"id":89,"num":12}]</v>
      </c>
      <c r="J983" s="3" t="s">
        <v>1007</v>
      </c>
      <c r="K983" s="3">
        <v>290</v>
      </c>
      <c r="L983" s="3"/>
      <c r="M983" s="3"/>
      <c r="N983" s="3"/>
      <c r="O983" s="3"/>
    </row>
    <row r="984" spans="1:15" x14ac:dyDescent="0.15">
      <c r="A984" s="3">
        <f t="shared" si="786"/>
        <v>1601061</v>
      </c>
      <c r="B984" s="3">
        <v>16</v>
      </c>
      <c r="C984" s="3">
        <v>630000</v>
      </c>
      <c r="D984" s="3">
        <v>0</v>
      </c>
      <c r="E984" s="3">
        <v>1</v>
      </c>
      <c r="F984" s="3">
        <v>61</v>
      </c>
      <c r="G984" s="3" t="s">
        <v>1008</v>
      </c>
      <c r="H984" s="3">
        <v>120</v>
      </c>
      <c r="I984" s="3" t="str">
        <f>VLOOKUP(A984,试炼塔结算奖励!$A$1:$O$63,15,0)</f>
        <v>[{"id":8,"num":750},{"id":1,"num":375000},{"id":22,"num":1900}]</v>
      </c>
      <c r="J984" s="3" t="s">
        <v>954</v>
      </c>
      <c r="K984" s="3">
        <v>291</v>
      </c>
      <c r="L984" s="3"/>
      <c r="M984" s="3"/>
      <c r="N984" s="3"/>
      <c r="O984" s="3"/>
    </row>
    <row r="985" spans="1:15" x14ac:dyDescent="0.15">
      <c r="A985" s="3">
        <f t="shared" si="786"/>
        <v>1701001</v>
      </c>
      <c r="B985" s="3">
        <v>17</v>
      </c>
      <c r="C985" s="3">
        <v>0</v>
      </c>
      <c r="D985" s="3">
        <v>0</v>
      </c>
      <c r="E985" s="3">
        <v>1</v>
      </c>
      <c r="F985" s="3">
        <v>1</v>
      </c>
      <c r="G985" s="3" t="s">
        <v>1009</v>
      </c>
      <c r="H985" s="3">
        <v>90</v>
      </c>
      <c r="I985" s="3" t="str">
        <f>VLOOKUP(A985,遗迹结算奖励!$A$1:$O$132,15,0)</f>
        <v>[{"id":2,"num":10600},{"id":1,"num":10000},{"id":84,"num":1}]</v>
      </c>
      <c r="J985" s="3" t="s">
        <v>1010</v>
      </c>
      <c r="K985" s="3"/>
      <c r="L985" s="3"/>
      <c r="M985" s="3"/>
      <c r="N985" s="3">
        <v>1</v>
      </c>
      <c r="O985" s="3"/>
    </row>
    <row r="986" spans="1:15" x14ac:dyDescent="0.15">
      <c r="A986" s="3">
        <f t="shared" si="786"/>
        <v>1701002</v>
      </c>
      <c r="B986" s="3">
        <v>17</v>
      </c>
      <c r="C986" s="3">
        <v>0</v>
      </c>
      <c r="D986" s="3">
        <v>0</v>
      </c>
      <c r="E986" s="3">
        <v>1</v>
      </c>
      <c r="F986" s="3">
        <v>2</v>
      </c>
      <c r="G986" s="3" t="s">
        <v>1009</v>
      </c>
      <c r="H986" s="3">
        <v>90</v>
      </c>
      <c r="I986" s="3" t="str">
        <f>VLOOKUP(A986,遗迹结算奖励!$A$1:$O$132,15,0)</f>
        <v>[{"id":2,"num":10600},{"id":1,"num":10000},{"id":84,"num":1}]</v>
      </c>
      <c r="J986" s="3" t="s">
        <v>1010</v>
      </c>
      <c r="K986" s="3"/>
      <c r="L986" s="3"/>
      <c r="M986" s="3"/>
      <c r="N986" s="3">
        <v>1</v>
      </c>
      <c r="O986" s="3"/>
    </row>
    <row r="987" spans="1:15" x14ac:dyDescent="0.15">
      <c r="A987" s="3">
        <f t="shared" si="786"/>
        <v>1701003</v>
      </c>
      <c r="B987" s="3">
        <v>17</v>
      </c>
      <c r="C987" s="3">
        <v>0</v>
      </c>
      <c r="D987" s="3">
        <v>0</v>
      </c>
      <c r="E987" s="3">
        <v>1</v>
      </c>
      <c r="F987" s="3">
        <v>3</v>
      </c>
      <c r="G987" s="3" t="s">
        <v>1009</v>
      </c>
      <c r="H987" s="3">
        <v>90</v>
      </c>
      <c r="I987" s="3" t="str">
        <f>VLOOKUP(A987,遗迹结算奖励!$A$1:$O$132,15,0)</f>
        <v>[{"id":2,"num":10600},{"id":1,"num":10000},{"id":84,"num":1}]</v>
      </c>
      <c r="J987" s="3" t="s">
        <v>1010</v>
      </c>
      <c r="K987" s="3"/>
      <c r="L987" s="3"/>
      <c r="M987" s="3"/>
      <c r="N987" s="3">
        <v>1</v>
      </c>
      <c r="O987" s="3"/>
    </row>
    <row r="988" spans="1:15" x14ac:dyDescent="0.15">
      <c r="A988" s="3">
        <f t="shared" ref="A988:A1051" si="787">B988*100000+E988*1000+F988</f>
        <v>1701004</v>
      </c>
      <c r="B988" s="3">
        <v>17</v>
      </c>
      <c r="C988" s="3">
        <v>0</v>
      </c>
      <c r="D988" s="3">
        <v>0</v>
      </c>
      <c r="E988" s="3">
        <v>1</v>
      </c>
      <c r="F988" s="3">
        <v>4</v>
      </c>
      <c r="G988" s="3" t="s">
        <v>1009</v>
      </c>
      <c r="H988" s="3">
        <v>90</v>
      </c>
      <c r="I988" s="3" t="str">
        <f>VLOOKUP(A988,遗迹结算奖励!$A$1:$O$132,15,0)</f>
        <v>[{"id":2,"num":10600},{"id":1,"num":10000},{"id":84,"num":1}]</v>
      </c>
      <c r="J988" s="3" t="s">
        <v>1010</v>
      </c>
      <c r="K988" s="3"/>
      <c r="L988" s="3"/>
      <c r="M988" s="3"/>
      <c r="N988" s="3">
        <v>1</v>
      </c>
      <c r="O988" s="3"/>
    </row>
    <row r="989" spans="1:15" x14ac:dyDescent="0.15">
      <c r="A989" s="3">
        <f t="shared" si="787"/>
        <v>1701005</v>
      </c>
      <c r="B989" s="3">
        <v>17</v>
      </c>
      <c r="C989" s="3">
        <v>0</v>
      </c>
      <c r="D989" s="3">
        <v>0</v>
      </c>
      <c r="E989" s="3">
        <v>1</v>
      </c>
      <c r="F989" s="3">
        <v>5</v>
      </c>
      <c r="G989" s="3" t="s">
        <v>1009</v>
      </c>
      <c r="H989" s="3">
        <v>90</v>
      </c>
      <c r="I989" s="3" t="str">
        <f>VLOOKUP(A989,遗迹结算奖励!$A$1:$O$132,15,0)</f>
        <v>[{"id":2,"num":10600},{"id":1,"num":10000},{"id":84,"num":1}]</v>
      </c>
      <c r="J989" s="3" t="s">
        <v>1010</v>
      </c>
      <c r="K989" s="3"/>
      <c r="L989" s="3"/>
      <c r="M989" s="3"/>
      <c r="N989" s="3">
        <v>1</v>
      </c>
      <c r="O989" s="3"/>
    </row>
    <row r="990" spans="1:15" x14ac:dyDescent="0.15">
      <c r="A990" s="3">
        <f t="shared" si="787"/>
        <v>1701006</v>
      </c>
      <c r="B990" s="3">
        <v>17</v>
      </c>
      <c r="C990" s="3">
        <v>0</v>
      </c>
      <c r="D990" s="3">
        <v>0</v>
      </c>
      <c r="E990" s="3">
        <v>1</v>
      </c>
      <c r="F990" s="3">
        <v>6</v>
      </c>
      <c r="G990" s="3" t="s">
        <v>1011</v>
      </c>
      <c r="H990" s="3">
        <v>90</v>
      </c>
      <c r="I990" s="3" t="str">
        <f>VLOOKUP(A990,遗迹结算奖励!$A$1:$O$132,15,0)</f>
        <v>[{"id":2,"num":10600},{"id":1,"num":10000},{"id":84,"num":1}]</v>
      </c>
      <c r="J990" s="3" t="s">
        <v>1010</v>
      </c>
      <c r="K990" s="3"/>
      <c r="L990" s="3"/>
      <c r="M990" s="3"/>
      <c r="N990" s="3">
        <v>1</v>
      </c>
      <c r="O990" s="3"/>
    </row>
    <row r="991" spans="1:15" x14ac:dyDescent="0.15">
      <c r="A991" s="3">
        <f t="shared" si="787"/>
        <v>1701007</v>
      </c>
      <c r="B991" s="3">
        <v>17</v>
      </c>
      <c r="C991" s="3">
        <v>0</v>
      </c>
      <c r="D991" s="3">
        <v>0</v>
      </c>
      <c r="E991" s="3">
        <v>1</v>
      </c>
      <c r="F991" s="3">
        <v>7</v>
      </c>
      <c r="G991" s="3" t="s">
        <v>1011</v>
      </c>
      <c r="H991" s="3">
        <v>90</v>
      </c>
      <c r="I991" s="3" t="str">
        <f>VLOOKUP(A991,遗迹结算奖励!$A$1:$O$132,15,0)</f>
        <v>[{"id":2,"num":10600},{"id":1,"num":10000},{"id":84,"num":1}]</v>
      </c>
      <c r="J991" s="3" t="s">
        <v>1010</v>
      </c>
      <c r="K991" s="3"/>
      <c r="L991" s="3"/>
      <c r="M991" s="3"/>
      <c r="N991" s="3">
        <v>1</v>
      </c>
      <c r="O991" s="3"/>
    </row>
    <row r="992" spans="1:15" x14ac:dyDescent="0.15">
      <c r="A992" s="3">
        <f t="shared" si="787"/>
        <v>1701008</v>
      </c>
      <c r="B992" s="3">
        <v>17</v>
      </c>
      <c r="C992" s="3">
        <v>0</v>
      </c>
      <c r="D992" s="3">
        <v>0</v>
      </c>
      <c r="E992" s="3">
        <v>1</v>
      </c>
      <c r="F992" s="3">
        <v>8</v>
      </c>
      <c r="G992" s="3" t="s">
        <v>1011</v>
      </c>
      <c r="H992" s="3">
        <v>90</v>
      </c>
      <c r="I992" s="3" t="str">
        <f>VLOOKUP(A992,遗迹结算奖励!$A$1:$O$132,15,0)</f>
        <v>[{"id":2,"num":10600},{"id":1,"num":10000},{"id":84,"num":1}]</v>
      </c>
      <c r="J992" s="3" t="s">
        <v>1010</v>
      </c>
      <c r="K992" s="3"/>
      <c r="L992" s="3"/>
      <c r="M992" s="3"/>
      <c r="N992" s="3">
        <v>1</v>
      </c>
      <c r="O992" s="3"/>
    </row>
    <row r="993" spans="1:15" x14ac:dyDescent="0.15">
      <c r="A993" s="3">
        <f t="shared" si="787"/>
        <v>1701009</v>
      </c>
      <c r="B993" s="3">
        <v>17</v>
      </c>
      <c r="C993" s="3">
        <v>0</v>
      </c>
      <c r="D993" s="3">
        <v>0</v>
      </c>
      <c r="E993" s="3">
        <v>1</v>
      </c>
      <c r="F993" s="3">
        <v>9</v>
      </c>
      <c r="G993" s="3" t="s">
        <v>1011</v>
      </c>
      <c r="H993" s="3">
        <v>90</v>
      </c>
      <c r="I993" s="3" t="str">
        <f>VLOOKUP(A993,遗迹结算奖励!$A$1:$O$132,15,0)</f>
        <v>[{"id":2,"num":10600},{"id":1,"num":10000},{"id":84,"num":1}]</v>
      </c>
      <c r="J993" s="3" t="s">
        <v>1010</v>
      </c>
      <c r="K993" s="3"/>
      <c r="L993" s="3"/>
      <c r="M993" s="3"/>
      <c r="N993" s="3">
        <v>1</v>
      </c>
      <c r="O993" s="3"/>
    </row>
    <row r="994" spans="1:15" x14ac:dyDescent="0.15">
      <c r="A994" s="3">
        <f t="shared" si="787"/>
        <v>1701010</v>
      </c>
      <c r="B994" s="3">
        <v>17</v>
      </c>
      <c r="C994" s="3">
        <v>0</v>
      </c>
      <c r="D994" s="3">
        <v>0</v>
      </c>
      <c r="E994" s="3">
        <v>1</v>
      </c>
      <c r="F994" s="3">
        <v>10</v>
      </c>
      <c r="G994" s="3" t="s">
        <v>1012</v>
      </c>
      <c r="H994" s="3">
        <v>90</v>
      </c>
      <c r="I994" s="3" t="str">
        <f>VLOOKUP(A994,遗迹结算奖励!$A$1:$O$132,15,0)</f>
        <v>[{"id":2,"num":10600},{"id":1,"num":10000},{"id":84,"num":1}]</v>
      </c>
      <c r="J994" s="3" t="s">
        <v>1010</v>
      </c>
      <c r="K994" s="3"/>
      <c r="L994" s="3"/>
      <c r="M994" s="3" t="s">
        <v>1013</v>
      </c>
      <c r="N994" s="3">
        <v>1</v>
      </c>
      <c r="O994" s="3">
        <v>1</v>
      </c>
    </row>
    <row r="995" spans="1:15" x14ac:dyDescent="0.15">
      <c r="A995" s="3">
        <f t="shared" si="787"/>
        <v>1702001</v>
      </c>
      <c r="B995" s="3">
        <v>17</v>
      </c>
      <c r="C995" s="3">
        <v>0</v>
      </c>
      <c r="D995" s="3">
        <v>0</v>
      </c>
      <c r="E995" s="3">
        <f t="shared" ref="E995:E1014" si="788">E985+1</f>
        <v>2</v>
      </c>
      <c r="F995" s="3">
        <f t="shared" ref="F995:F1014" si="789">F985</f>
        <v>1</v>
      </c>
      <c r="G995" s="3" t="s">
        <v>1014</v>
      </c>
      <c r="H995" s="3">
        <v>90</v>
      </c>
      <c r="I995" s="3" t="str">
        <f>VLOOKUP(A995,遗迹结算奖励!$A$1:$O$132,15,0)</f>
        <v>[{"id":2,"num":22400},{"id":1,"num":20000},{"id":85,"num":1}]</v>
      </c>
      <c r="J995" s="3" t="s">
        <v>1015</v>
      </c>
      <c r="K995" s="3"/>
      <c r="L995" s="3"/>
      <c r="M995" s="3" t="s">
        <v>514</v>
      </c>
      <c r="N995" s="3">
        <f>N985+1</f>
        <v>2</v>
      </c>
      <c r="O995" s="3"/>
    </row>
    <row r="996" spans="1:15" x14ac:dyDescent="0.15">
      <c r="A996" s="3">
        <f t="shared" si="787"/>
        <v>1702002</v>
      </c>
      <c r="B996" s="3">
        <v>17</v>
      </c>
      <c r="C996" s="3">
        <v>0</v>
      </c>
      <c r="D996" s="3">
        <v>0</v>
      </c>
      <c r="E996" s="3">
        <f t="shared" si="788"/>
        <v>2</v>
      </c>
      <c r="F996" s="3">
        <f t="shared" si="789"/>
        <v>2</v>
      </c>
      <c r="G996" s="3" t="s">
        <v>1014</v>
      </c>
      <c r="H996" s="3">
        <v>90</v>
      </c>
      <c r="I996" s="3" t="str">
        <f>VLOOKUP(A996,遗迹结算奖励!$A$1:$O$132,15,0)</f>
        <v>[{"id":2,"num":22400},{"id":1,"num":20000},{"id":85,"num":1}]</v>
      </c>
      <c r="J996" s="3" t="s">
        <v>1015</v>
      </c>
      <c r="K996" s="3"/>
      <c r="L996" s="3"/>
      <c r="M996" s="3" t="s">
        <v>514</v>
      </c>
      <c r="N996" s="3">
        <f t="shared" ref="N996:N1027" si="790">N986+1</f>
        <v>2</v>
      </c>
      <c r="O996" s="3"/>
    </row>
    <row r="997" spans="1:15" x14ac:dyDescent="0.15">
      <c r="A997" s="3">
        <f t="shared" si="787"/>
        <v>1702003</v>
      </c>
      <c r="B997" s="3">
        <v>17</v>
      </c>
      <c r="C997" s="3">
        <v>0</v>
      </c>
      <c r="D997" s="3">
        <v>0</v>
      </c>
      <c r="E997" s="3">
        <f t="shared" si="788"/>
        <v>2</v>
      </c>
      <c r="F997" s="3">
        <f t="shared" si="789"/>
        <v>3</v>
      </c>
      <c r="G997" s="3" t="s">
        <v>1014</v>
      </c>
      <c r="H997" s="3">
        <v>90</v>
      </c>
      <c r="I997" s="3" t="str">
        <f>VLOOKUP(A997,遗迹结算奖励!$A$1:$O$132,15,0)</f>
        <v>[{"id":2,"num":22400},{"id":1,"num":20000},{"id":85,"num":1}]</v>
      </c>
      <c r="J997" s="3" t="s">
        <v>1015</v>
      </c>
      <c r="K997" s="3"/>
      <c r="L997" s="3"/>
      <c r="M997" s="3" t="s">
        <v>514</v>
      </c>
      <c r="N997" s="3">
        <f t="shared" si="790"/>
        <v>2</v>
      </c>
      <c r="O997" s="3"/>
    </row>
    <row r="998" spans="1:15" x14ac:dyDescent="0.15">
      <c r="A998" s="3">
        <f t="shared" si="787"/>
        <v>1702004</v>
      </c>
      <c r="B998" s="3">
        <v>17</v>
      </c>
      <c r="C998" s="3">
        <v>0</v>
      </c>
      <c r="D998" s="3">
        <v>0</v>
      </c>
      <c r="E998" s="3">
        <f t="shared" si="788"/>
        <v>2</v>
      </c>
      <c r="F998" s="3">
        <f t="shared" si="789"/>
        <v>4</v>
      </c>
      <c r="G998" s="3" t="s">
        <v>1014</v>
      </c>
      <c r="H998" s="3">
        <v>90</v>
      </c>
      <c r="I998" s="3" t="str">
        <f>VLOOKUP(A998,遗迹结算奖励!$A$1:$O$132,15,0)</f>
        <v>[{"id":2,"num":22400},{"id":1,"num":20000},{"id":85,"num":1}]</v>
      </c>
      <c r="J998" s="3" t="s">
        <v>1015</v>
      </c>
      <c r="K998" s="3"/>
      <c r="L998" s="3"/>
      <c r="M998" s="3" t="s">
        <v>514</v>
      </c>
      <c r="N998" s="3">
        <f t="shared" si="790"/>
        <v>2</v>
      </c>
      <c r="O998" s="3"/>
    </row>
    <row r="999" spans="1:15" x14ac:dyDescent="0.15">
      <c r="A999" s="3">
        <f t="shared" si="787"/>
        <v>1702005</v>
      </c>
      <c r="B999" s="3">
        <v>17</v>
      </c>
      <c r="C999" s="3">
        <v>0</v>
      </c>
      <c r="D999" s="3">
        <v>0</v>
      </c>
      <c r="E999" s="3">
        <f t="shared" si="788"/>
        <v>2</v>
      </c>
      <c r="F999" s="3">
        <f t="shared" si="789"/>
        <v>5</v>
      </c>
      <c r="G999" s="3" t="s">
        <v>1014</v>
      </c>
      <c r="H999" s="3">
        <v>90</v>
      </c>
      <c r="I999" s="3" t="str">
        <f>VLOOKUP(A999,遗迹结算奖励!$A$1:$O$132,15,0)</f>
        <v>[{"id":2,"num":22400},{"id":1,"num":20000},{"id":85,"num":1}]</v>
      </c>
      <c r="J999" s="3" t="s">
        <v>1015</v>
      </c>
      <c r="K999" s="3"/>
      <c r="L999" s="3"/>
      <c r="M999" s="3" t="s">
        <v>514</v>
      </c>
      <c r="N999" s="3">
        <f t="shared" si="790"/>
        <v>2</v>
      </c>
      <c r="O999" s="3"/>
    </row>
    <row r="1000" spans="1:15" x14ac:dyDescent="0.15">
      <c r="A1000" s="3">
        <f t="shared" si="787"/>
        <v>1702006</v>
      </c>
      <c r="B1000" s="3">
        <v>17</v>
      </c>
      <c r="C1000" s="3">
        <v>0</v>
      </c>
      <c r="D1000" s="3">
        <v>0</v>
      </c>
      <c r="E1000" s="3">
        <f t="shared" si="788"/>
        <v>2</v>
      </c>
      <c r="F1000" s="3">
        <f t="shared" si="789"/>
        <v>6</v>
      </c>
      <c r="G1000" s="3" t="s">
        <v>1016</v>
      </c>
      <c r="H1000" s="3">
        <v>90</v>
      </c>
      <c r="I1000" s="3" t="str">
        <f>VLOOKUP(A1000,遗迹结算奖励!$A$1:$O$132,15,0)</f>
        <v>[{"id":2,"num":23000},{"id":1,"num":20000},{"id":85,"num":1}]</v>
      </c>
      <c r="J1000" s="3" t="s">
        <v>1015</v>
      </c>
      <c r="K1000" s="3"/>
      <c r="L1000" s="3"/>
      <c r="M1000" s="3" t="s">
        <v>514</v>
      </c>
      <c r="N1000" s="3">
        <f t="shared" si="790"/>
        <v>2</v>
      </c>
      <c r="O1000" s="3"/>
    </row>
    <row r="1001" spans="1:15" x14ac:dyDescent="0.15">
      <c r="A1001" s="3">
        <f t="shared" si="787"/>
        <v>1702007</v>
      </c>
      <c r="B1001" s="3">
        <v>17</v>
      </c>
      <c r="C1001" s="3">
        <v>0</v>
      </c>
      <c r="D1001" s="3">
        <v>0</v>
      </c>
      <c r="E1001" s="3">
        <f t="shared" si="788"/>
        <v>2</v>
      </c>
      <c r="F1001" s="3">
        <f t="shared" si="789"/>
        <v>7</v>
      </c>
      <c r="G1001" s="3" t="s">
        <v>1016</v>
      </c>
      <c r="H1001" s="3">
        <v>90</v>
      </c>
      <c r="I1001" s="3" t="str">
        <f>VLOOKUP(A1001,遗迹结算奖励!$A$1:$O$132,15,0)</f>
        <v>[{"id":2,"num":23000},{"id":1,"num":20000},{"id":85,"num":1}]</v>
      </c>
      <c r="J1001" s="3" t="s">
        <v>1015</v>
      </c>
      <c r="K1001" s="3"/>
      <c r="L1001" s="3"/>
      <c r="M1001" s="3" t="s">
        <v>514</v>
      </c>
      <c r="N1001" s="3">
        <f t="shared" si="790"/>
        <v>2</v>
      </c>
      <c r="O1001" s="3"/>
    </row>
    <row r="1002" spans="1:15" x14ac:dyDescent="0.15">
      <c r="A1002" s="3">
        <f t="shared" si="787"/>
        <v>1702008</v>
      </c>
      <c r="B1002" s="3">
        <v>17</v>
      </c>
      <c r="C1002" s="3">
        <v>0</v>
      </c>
      <c r="D1002" s="3">
        <v>0</v>
      </c>
      <c r="E1002" s="3">
        <f t="shared" si="788"/>
        <v>2</v>
      </c>
      <c r="F1002" s="3">
        <f t="shared" si="789"/>
        <v>8</v>
      </c>
      <c r="G1002" s="3" t="s">
        <v>1016</v>
      </c>
      <c r="H1002" s="3">
        <v>90</v>
      </c>
      <c r="I1002" s="3" t="str">
        <f>VLOOKUP(A1002,遗迹结算奖励!$A$1:$O$132,15,0)</f>
        <v>[{"id":2,"num":23000},{"id":1,"num":20000},{"id":85,"num":1}]</v>
      </c>
      <c r="J1002" s="3" t="s">
        <v>1015</v>
      </c>
      <c r="K1002" s="3"/>
      <c r="L1002" s="3"/>
      <c r="M1002" s="3" t="s">
        <v>514</v>
      </c>
      <c r="N1002" s="3">
        <f t="shared" si="790"/>
        <v>2</v>
      </c>
      <c r="O1002" s="3"/>
    </row>
    <row r="1003" spans="1:15" x14ac:dyDescent="0.15">
      <c r="A1003" s="3">
        <f t="shared" si="787"/>
        <v>1702009</v>
      </c>
      <c r="B1003" s="3">
        <v>17</v>
      </c>
      <c r="C1003" s="3">
        <v>0</v>
      </c>
      <c r="D1003" s="3">
        <v>0</v>
      </c>
      <c r="E1003" s="3">
        <f t="shared" si="788"/>
        <v>2</v>
      </c>
      <c r="F1003" s="3">
        <f t="shared" si="789"/>
        <v>9</v>
      </c>
      <c r="G1003" s="3" t="s">
        <v>1017</v>
      </c>
      <c r="H1003" s="3">
        <v>90</v>
      </c>
      <c r="I1003" s="3" t="str">
        <f>VLOOKUP(A1003,遗迹结算奖励!$A$1:$O$132,15,0)</f>
        <v>[{"id":2,"num":23000},{"id":1,"num":20000},{"id":85,"num":1}]</v>
      </c>
      <c r="J1003" s="3" t="s">
        <v>1015</v>
      </c>
      <c r="K1003" s="3"/>
      <c r="L1003" s="3"/>
      <c r="M1003" s="3" t="s">
        <v>514</v>
      </c>
      <c r="N1003" s="3">
        <f t="shared" si="790"/>
        <v>2</v>
      </c>
      <c r="O1003" s="3"/>
    </row>
    <row r="1004" spans="1:15" x14ac:dyDescent="0.15">
      <c r="A1004" s="3">
        <f t="shared" si="787"/>
        <v>1702010</v>
      </c>
      <c r="B1004" s="3">
        <v>17</v>
      </c>
      <c r="C1004" s="3">
        <v>0</v>
      </c>
      <c r="D1004" s="3">
        <v>0</v>
      </c>
      <c r="E1004" s="3">
        <f t="shared" si="788"/>
        <v>2</v>
      </c>
      <c r="F1004" s="3">
        <f t="shared" si="789"/>
        <v>10</v>
      </c>
      <c r="G1004" s="3" t="s">
        <v>1018</v>
      </c>
      <c r="H1004" s="3">
        <v>90</v>
      </c>
      <c r="I1004" s="3" t="str">
        <f>VLOOKUP(A1004,遗迹结算奖励!$A$1:$O$132,15,0)</f>
        <v>[{"id":2,"num":23000},{"id":1,"num":20000},{"id":85,"num":1}]</v>
      </c>
      <c r="J1004" s="3" t="s">
        <v>1015</v>
      </c>
      <c r="K1004" s="3"/>
      <c r="L1004" s="3"/>
      <c r="M1004" s="3" t="s">
        <v>1019</v>
      </c>
      <c r="N1004" s="3">
        <f t="shared" si="790"/>
        <v>2</v>
      </c>
      <c r="O1004" s="3">
        <v>1</v>
      </c>
    </row>
    <row r="1005" spans="1:15" x14ac:dyDescent="0.15">
      <c r="A1005" s="3">
        <f t="shared" si="787"/>
        <v>1703001</v>
      </c>
      <c r="B1005" s="3">
        <v>17</v>
      </c>
      <c r="C1005" s="3">
        <v>0</v>
      </c>
      <c r="D1005" s="3">
        <v>0</v>
      </c>
      <c r="E1005" s="3">
        <f t="shared" si="788"/>
        <v>3</v>
      </c>
      <c r="F1005" s="3">
        <f t="shared" si="789"/>
        <v>1</v>
      </c>
      <c r="G1005" s="3" t="s">
        <v>1020</v>
      </c>
      <c r="H1005" s="3">
        <v>90</v>
      </c>
      <c r="I1005" s="3" t="str">
        <f>VLOOKUP(A1005,遗迹结算奖励!$A$1:$O$132,15,0)</f>
        <v>[{"id":2,"num":36600},{"id":1,"num":30000},{"id":85,"num":2}]</v>
      </c>
      <c r="J1005" s="3" t="s">
        <v>1015</v>
      </c>
      <c r="K1005" s="3"/>
      <c r="L1005" s="3"/>
      <c r="M1005" s="3" t="s">
        <v>514</v>
      </c>
      <c r="N1005" s="3">
        <f t="shared" si="790"/>
        <v>3</v>
      </c>
      <c r="O1005" s="3"/>
    </row>
    <row r="1006" spans="1:15" x14ac:dyDescent="0.15">
      <c r="A1006" s="3">
        <f t="shared" si="787"/>
        <v>1703002</v>
      </c>
      <c r="B1006" s="3">
        <v>17</v>
      </c>
      <c r="C1006" s="3">
        <v>0</v>
      </c>
      <c r="D1006" s="3">
        <v>0</v>
      </c>
      <c r="E1006" s="3">
        <f t="shared" si="788"/>
        <v>3</v>
      </c>
      <c r="F1006" s="3">
        <f t="shared" si="789"/>
        <v>2</v>
      </c>
      <c r="G1006" s="3" t="s">
        <v>1020</v>
      </c>
      <c r="H1006" s="3">
        <v>90</v>
      </c>
      <c r="I1006" s="3" t="str">
        <f>VLOOKUP(A1006,遗迹结算奖励!$A$1:$O$132,15,0)</f>
        <v>[{"id":2,"num":36600},{"id":1,"num":30000},{"id":85,"num":2}]</v>
      </c>
      <c r="J1006" s="3" t="s">
        <v>1015</v>
      </c>
      <c r="K1006" s="3"/>
      <c r="L1006" s="3"/>
      <c r="M1006" s="3" t="s">
        <v>514</v>
      </c>
      <c r="N1006" s="3">
        <f t="shared" si="790"/>
        <v>3</v>
      </c>
      <c r="O1006" s="3"/>
    </row>
    <row r="1007" spans="1:15" x14ac:dyDescent="0.15">
      <c r="A1007" s="3">
        <f t="shared" si="787"/>
        <v>1703003</v>
      </c>
      <c r="B1007" s="3">
        <v>17</v>
      </c>
      <c r="C1007" s="3">
        <v>0</v>
      </c>
      <c r="D1007" s="3">
        <v>0</v>
      </c>
      <c r="E1007" s="3">
        <f t="shared" si="788"/>
        <v>3</v>
      </c>
      <c r="F1007" s="3">
        <f t="shared" si="789"/>
        <v>3</v>
      </c>
      <c r="G1007" s="3" t="s">
        <v>1020</v>
      </c>
      <c r="H1007" s="3">
        <v>90</v>
      </c>
      <c r="I1007" s="3" t="str">
        <f>VLOOKUP(A1007,遗迹结算奖励!$A$1:$O$132,15,0)</f>
        <v>[{"id":2,"num":36600},{"id":1,"num":30000},{"id":85,"num":2}]</v>
      </c>
      <c r="J1007" s="3" t="s">
        <v>1015</v>
      </c>
      <c r="K1007" s="3"/>
      <c r="L1007" s="3"/>
      <c r="M1007" s="3" t="s">
        <v>514</v>
      </c>
      <c r="N1007" s="3">
        <f t="shared" si="790"/>
        <v>3</v>
      </c>
      <c r="O1007" s="3"/>
    </row>
    <row r="1008" spans="1:15" x14ac:dyDescent="0.15">
      <c r="A1008" s="3">
        <f t="shared" si="787"/>
        <v>1703004</v>
      </c>
      <c r="B1008" s="3">
        <v>17</v>
      </c>
      <c r="C1008" s="3">
        <v>0</v>
      </c>
      <c r="D1008" s="3">
        <v>0</v>
      </c>
      <c r="E1008" s="3">
        <f t="shared" si="788"/>
        <v>3</v>
      </c>
      <c r="F1008" s="3">
        <f t="shared" si="789"/>
        <v>4</v>
      </c>
      <c r="G1008" s="3" t="s">
        <v>1020</v>
      </c>
      <c r="H1008" s="3">
        <v>90</v>
      </c>
      <c r="I1008" s="3" t="str">
        <f>VLOOKUP(A1008,遗迹结算奖励!$A$1:$O$132,15,0)</f>
        <v>[{"id":2,"num":36600},{"id":1,"num":30000},{"id":85,"num":2}]</v>
      </c>
      <c r="J1008" s="3" t="s">
        <v>1015</v>
      </c>
      <c r="K1008" s="3"/>
      <c r="L1008" s="3"/>
      <c r="M1008" s="3" t="s">
        <v>514</v>
      </c>
      <c r="N1008" s="3">
        <f t="shared" si="790"/>
        <v>3</v>
      </c>
      <c r="O1008" s="3"/>
    </row>
    <row r="1009" spans="1:15" x14ac:dyDescent="0.15">
      <c r="A1009" s="3">
        <f t="shared" si="787"/>
        <v>1703005</v>
      </c>
      <c r="B1009" s="3">
        <v>17</v>
      </c>
      <c r="C1009" s="3">
        <v>0</v>
      </c>
      <c r="D1009" s="3">
        <v>0</v>
      </c>
      <c r="E1009" s="3">
        <f t="shared" si="788"/>
        <v>3</v>
      </c>
      <c r="F1009" s="3">
        <f t="shared" si="789"/>
        <v>5</v>
      </c>
      <c r="G1009" s="3" t="s">
        <v>1020</v>
      </c>
      <c r="H1009" s="3">
        <v>90</v>
      </c>
      <c r="I1009" s="3" t="str">
        <f>VLOOKUP(A1009,遗迹结算奖励!$A$1:$O$132,15,0)</f>
        <v>[{"id":2,"num":36600},{"id":1,"num":30000},{"id":85,"num":2}]</v>
      </c>
      <c r="J1009" s="3" t="s">
        <v>1015</v>
      </c>
      <c r="K1009" s="3"/>
      <c r="L1009" s="3"/>
      <c r="M1009" s="3" t="s">
        <v>514</v>
      </c>
      <c r="N1009" s="3">
        <f t="shared" si="790"/>
        <v>3</v>
      </c>
      <c r="O1009" s="3"/>
    </row>
    <row r="1010" spans="1:15" x14ac:dyDescent="0.15">
      <c r="A1010" s="3">
        <f t="shared" si="787"/>
        <v>1703006</v>
      </c>
      <c r="B1010" s="3">
        <v>17</v>
      </c>
      <c r="C1010" s="3">
        <v>0</v>
      </c>
      <c r="D1010" s="3">
        <v>0</v>
      </c>
      <c r="E1010" s="3">
        <f t="shared" si="788"/>
        <v>3</v>
      </c>
      <c r="F1010" s="3">
        <f t="shared" si="789"/>
        <v>6</v>
      </c>
      <c r="G1010" s="3" t="s">
        <v>1021</v>
      </c>
      <c r="H1010" s="3">
        <v>90</v>
      </c>
      <c r="I1010" s="3" t="str">
        <f>VLOOKUP(A1010,遗迹结算奖励!$A$1:$O$132,15,0)</f>
        <v>[{"id":2,"num":62200},{"id":1,"num":60000},{"id":85,"num":2}]</v>
      </c>
      <c r="J1010" s="3" t="s">
        <v>1015</v>
      </c>
      <c r="K1010" s="3"/>
      <c r="L1010" s="3"/>
      <c r="M1010" s="3" t="s">
        <v>514</v>
      </c>
      <c r="N1010" s="3">
        <f t="shared" si="790"/>
        <v>3</v>
      </c>
      <c r="O1010" s="3"/>
    </row>
    <row r="1011" spans="1:15" x14ac:dyDescent="0.15">
      <c r="A1011" s="3">
        <f t="shared" si="787"/>
        <v>1703007</v>
      </c>
      <c r="B1011" s="3">
        <v>17</v>
      </c>
      <c r="C1011" s="3">
        <v>0</v>
      </c>
      <c r="D1011" s="3">
        <v>0</v>
      </c>
      <c r="E1011" s="3">
        <f t="shared" si="788"/>
        <v>3</v>
      </c>
      <c r="F1011" s="3">
        <f t="shared" si="789"/>
        <v>7</v>
      </c>
      <c r="G1011" s="3" t="s">
        <v>1021</v>
      </c>
      <c r="H1011" s="3">
        <v>90</v>
      </c>
      <c r="I1011" s="3" t="str">
        <f>VLOOKUP(A1011,遗迹结算奖励!$A$1:$O$132,15,0)</f>
        <v>[{"id":2,"num":62200},{"id":1,"num":60000},{"id":85,"num":2}]</v>
      </c>
      <c r="J1011" s="3" t="s">
        <v>1015</v>
      </c>
      <c r="K1011" s="3"/>
      <c r="L1011" s="3"/>
      <c r="M1011" s="3" t="s">
        <v>514</v>
      </c>
      <c r="N1011" s="3">
        <f t="shared" si="790"/>
        <v>3</v>
      </c>
      <c r="O1011" s="3"/>
    </row>
    <row r="1012" spans="1:15" x14ac:dyDescent="0.15">
      <c r="A1012" s="3">
        <f t="shared" si="787"/>
        <v>1703008</v>
      </c>
      <c r="B1012" s="3">
        <v>17</v>
      </c>
      <c r="C1012" s="3">
        <v>0</v>
      </c>
      <c r="D1012" s="3">
        <v>0</v>
      </c>
      <c r="E1012" s="3">
        <f t="shared" si="788"/>
        <v>3</v>
      </c>
      <c r="F1012" s="3">
        <f t="shared" si="789"/>
        <v>8</v>
      </c>
      <c r="G1012" s="3" t="s">
        <v>1021</v>
      </c>
      <c r="H1012" s="3">
        <v>90</v>
      </c>
      <c r="I1012" s="3" t="str">
        <f>VLOOKUP(A1012,遗迹结算奖励!$A$1:$O$132,15,0)</f>
        <v>[{"id":2,"num":62200},{"id":1,"num":60000},{"id":85,"num":2}]</v>
      </c>
      <c r="J1012" s="3" t="s">
        <v>1015</v>
      </c>
      <c r="K1012" s="3"/>
      <c r="L1012" s="3"/>
      <c r="M1012" s="3" t="s">
        <v>514</v>
      </c>
      <c r="N1012" s="3">
        <f t="shared" si="790"/>
        <v>3</v>
      </c>
      <c r="O1012" s="3"/>
    </row>
    <row r="1013" spans="1:15" x14ac:dyDescent="0.15">
      <c r="A1013" s="3">
        <f t="shared" si="787"/>
        <v>1703009</v>
      </c>
      <c r="B1013" s="3">
        <v>17</v>
      </c>
      <c r="C1013" s="3">
        <v>0</v>
      </c>
      <c r="D1013" s="3">
        <v>0</v>
      </c>
      <c r="E1013" s="3">
        <f t="shared" si="788"/>
        <v>3</v>
      </c>
      <c r="F1013" s="3">
        <f t="shared" si="789"/>
        <v>9</v>
      </c>
      <c r="G1013" s="3" t="s">
        <v>1022</v>
      </c>
      <c r="H1013" s="3">
        <v>90</v>
      </c>
      <c r="I1013" s="3" t="str">
        <f>VLOOKUP(A1013,遗迹结算奖励!$A$1:$O$132,15,0)</f>
        <v>[{"id":2,"num":62200},{"id":1,"num":60000},{"id":85,"num":2}]</v>
      </c>
      <c r="J1013" s="3" t="s">
        <v>1015</v>
      </c>
      <c r="K1013" s="3"/>
      <c r="L1013" s="3"/>
      <c r="M1013" s="3" t="s">
        <v>514</v>
      </c>
      <c r="N1013" s="3">
        <f t="shared" si="790"/>
        <v>3</v>
      </c>
      <c r="O1013" s="3"/>
    </row>
    <row r="1014" spans="1:15" x14ac:dyDescent="0.15">
      <c r="A1014" s="3">
        <f t="shared" si="787"/>
        <v>1703010</v>
      </c>
      <c r="B1014" s="3">
        <v>17</v>
      </c>
      <c r="C1014" s="3">
        <v>0</v>
      </c>
      <c r="D1014" s="3">
        <v>0</v>
      </c>
      <c r="E1014" s="3">
        <f t="shared" si="788"/>
        <v>3</v>
      </c>
      <c r="F1014" s="3">
        <f t="shared" si="789"/>
        <v>10</v>
      </c>
      <c r="G1014" s="3" t="s">
        <v>1023</v>
      </c>
      <c r="H1014" s="3">
        <v>90</v>
      </c>
      <c r="I1014" s="3" t="str">
        <f>VLOOKUP(A1014,遗迹结算奖励!$A$1:$O$132,15,0)</f>
        <v>[{"id":2,"num":62200},{"id":1,"num":60000},{"id":85,"num":2}]</v>
      </c>
      <c r="J1014" s="3" t="s">
        <v>1015</v>
      </c>
      <c r="K1014" s="3"/>
      <c r="L1014" s="3"/>
      <c r="M1014" s="3" t="s">
        <v>1024</v>
      </c>
      <c r="N1014" s="3">
        <f t="shared" si="790"/>
        <v>3</v>
      </c>
      <c r="O1014" s="3">
        <v>1</v>
      </c>
    </row>
    <row r="1015" spans="1:15" x14ac:dyDescent="0.15">
      <c r="A1015" s="3">
        <f t="shared" si="787"/>
        <v>1704001</v>
      </c>
      <c r="B1015" s="3">
        <v>17</v>
      </c>
      <c r="C1015" s="3">
        <v>0</v>
      </c>
      <c r="D1015" s="3">
        <v>0</v>
      </c>
      <c r="E1015" s="3">
        <f t="shared" ref="E1015:E1044" si="791">E1005+1</f>
        <v>4</v>
      </c>
      <c r="F1015" s="3">
        <f t="shared" ref="F1015:F1044" si="792">F1005</f>
        <v>1</v>
      </c>
      <c r="G1015" s="3" t="s">
        <v>1025</v>
      </c>
      <c r="H1015" s="3">
        <v>90</v>
      </c>
      <c r="I1015" s="3" t="str">
        <f>VLOOKUP(A1015,遗迹结算奖励!$A$1:$O$132,15,0)</f>
        <v>[{"id":2,"num":122000},{"id":1,"num":120000},{"id":85,"num":3}]</v>
      </c>
      <c r="J1015" s="3" t="s">
        <v>1015</v>
      </c>
      <c r="K1015" s="3"/>
      <c r="L1015" s="3"/>
      <c r="M1015" s="3" t="s">
        <v>514</v>
      </c>
      <c r="N1015" s="3">
        <f t="shared" si="790"/>
        <v>4</v>
      </c>
      <c r="O1015" s="3"/>
    </row>
    <row r="1016" spans="1:15" x14ac:dyDescent="0.15">
      <c r="A1016" s="3">
        <f t="shared" si="787"/>
        <v>1704002</v>
      </c>
      <c r="B1016" s="3">
        <v>17</v>
      </c>
      <c r="C1016" s="3">
        <v>0</v>
      </c>
      <c r="D1016" s="3">
        <v>0</v>
      </c>
      <c r="E1016" s="3">
        <f t="shared" si="791"/>
        <v>4</v>
      </c>
      <c r="F1016" s="3">
        <f t="shared" si="792"/>
        <v>2</v>
      </c>
      <c r="G1016" s="3" t="s">
        <v>1025</v>
      </c>
      <c r="H1016" s="3">
        <v>90</v>
      </c>
      <c r="I1016" s="3" t="str">
        <f>VLOOKUP(A1016,遗迹结算奖励!$A$1:$O$132,15,0)</f>
        <v>[{"id":2,"num":122000},{"id":1,"num":120000},{"id":85,"num":3}]</v>
      </c>
      <c r="J1016" s="3" t="s">
        <v>1015</v>
      </c>
      <c r="K1016" s="3"/>
      <c r="L1016" s="3"/>
      <c r="M1016" s="3" t="s">
        <v>514</v>
      </c>
      <c r="N1016" s="3">
        <f t="shared" si="790"/>
        <v>4</v>
      </c>
      <c r="O1016" s="3"/>
    </row>
    <row r="1017" spans="1:15" x14ac:dyDescent="0.15">
      <c r="A1017" s="3">
        <f t="shared" si="787"/>
        <v>1704003</v>
      </c>
      <c r="B1017" s="3">
        <v>17</v>
      </c>
      <c r="C1017" s="3">
        <v>0</v>
      </c>
      <c r="D1017" s="3">
        <v>0</v>
      </c>
      <c r="E1017" s="3">
        <f t="shared" si="791"/>
        <v>4</v>
      </c>
      <c r="F1017" s="3">
        <f t="shared" si="792"/>
        <v>3</v>
      </c>
      <c r="G1017" s="3" t="s">
        <v>1025</v>
      </c>
      <c r="H1017" s="3">
        <v>90</v>
      </c>
      <c r="I1017" s="3" t="str">
        <f>VLOOKUP(A1017,遗迹结算奖励!$A$1:$O$132,15,0)</f>
        <v>[{"id":2,"num":122000},{"id":1,"num":120000},{"id":85,"num":3}]</v>
      </c>
      <c r="J1017" s="3" t="s">
        <v>1015</v>
      </c>
      <c r="K1017" s="3"/>
      <c r="L1017" s="3"/>
      <c r="M1017" s="3" t="s">
        <v>514</v>
      </c>
      <c r="N1017" s="3">
        <f t="shared" si="790"/>
        <v>4</v>
      </c>
      <c r="O1017" s="3"/>
    </row>
    <row r="1018" spans="1:15" x14ac:dyDescent="0.15">
      <c r="A1018" s="3">
        <f t="shared" si="787"/>
        <v>1704004</v>
      </c>
      <c r="B1018" s="3">
        <v>17</v>
      </c>
      <c r="C1018" s="3">
        <v>0</v>
      </c>
      <c r="D1018" s="3">
        <v>0</v>
      </c>
      <c r="E1018" s="3">
        <f t="shared" si="791"/>
        <v>4</v>
      </c>
      <c r="F1018" s="3">
        <f t="shared" si="792"/>
        <v>4</v>
      </c>
      <c r="G1018" s="3" t="s">
        <v>1025</v>
      </c>
      <c r="H1018" s="3">
        <v>90</v>
      </c>
      <c r="I1018" s="3" t="str">
        <f>VLOOKUP(A1018,遗迹结算奖励!$A$1:$O$132,15,0)</f>
        <v>[{"id":2,"num":122000},{"id":1,"num":120000},{"id":85,"num":3}]</v>
      </c>
      <c r="J1018" s="3" t="s">
        <v>1015</v>
      </c>
      <c r="K1018" s="3"/>
      <c r="L1018" s="3"/>
      <c r="M1018" s="3" t="s">
        <v>514</v>
      </c>
      <c r="N1018" s="3">
        <f t="shared" si="790"/>
        <v>4</v>
      </c>
      <c r="O1018" s="3"/>
    </row>
    <row r="1019" spans="1:15" x14ac:dyDescent="0.15">
      <c r="A1019" s="3">
        <f t="shared" si="787"/>
        <v>1704005</v>
      </c>
      <c r="B1019" s="3">
        <v>17</v>
      </c>
      <c r="C1019" s="3">
        <v>0</v>
      </c>
      <c r="D1019" s="3">
        <v>0</v>
      </c>
      <c r="E1019" s="3">
        <f t="shared" si="791"/>
        <v>4</v>
      </c>
      <c r="F1019" s="3">
        <f t="shared" si="792"/>
        <v>5</v>
      </c>
      <c r="G1019" s="3" t="s">
        <v>1025</v>
      </c>
      <c r="H1019" s="3">
        <v>90</v>
      </c>
      <c r="I1019" s="3" t="str">
        <f>VLOOKUP(A1019,遗迹结算奖励!$A$1:$O$132,15,0)</f>
        <v>[{"id":2,"num":122000},{"id":1,"num":120000},{"id":85,"num":3}]</v>
      </c>
      <c r="J1019" s="3" t="s">
        <v>1015</v>
      </c>
      <c r="K1019" s="3"/>
      <c r="L1019" s="3"/>
      <c r="M1019" s="3" t="s">
        <v>514</v>
      </c>
      <c r="N1019" s="3">
        <f t="shared" si="790"/>
        <v>4</v>
      </c>
      <c r="O1019" s="3"/>
    </row>
    <row r="1020" spans="1:15" x14ac:dyDescent="0.15">
      <c r="A1020" s="3">
        <f t="shared" si="787"/>
        <v>1704006</v>
      </c>
      <c r="B1020" s="3">
        <v>17</v>
      </c>
      <c r="C1020" s="3">
        <v>0</v>
      </c>
      <c r="D1020" s="3">
        <v>0</v>
      </c>
      <c r="E1020" s="3">
        <f t="shared" si="791"/>
        <v>4</v>
      </c>
      <c r="F1020" s="3">
        <f t="shared" si="792"/>
        <v>6</v>
      </c>
      <c r="G1020" s="3" t="s">
        <v>1026</v>
      </c>
      <c r="H1020" s="3">
        <v>90</v>
      </c>
      <c r="I1020" s="3" t="str">
        <f>VLOOKUP(A1020,遗迹结算奖励!$A$1:$O$132,15,0)</f>
        <v>[{"id":2,"num":187800},{"id":1,"num":180000},{"id":85,"num":3}]</v>
      </c>
      <c r="J1020" s="3" t="s">
        <v>1015</v>
      </c>
      <c r="K1020" s="3"/>
      <c r="L1020" s="3"/>
      <c r="M1020" s="3" t="s">
        <v>514</v>
      </c>
      <c r="N1020" s="3">
        <f t="shared" si="790"/>
        <v>4</v>
      </c>
      <c r="O1020" s="3"/>
    </row>
    <row r="1021" spans="1:15" x14ac:dyDescent="0.15">
      <c r="A1021" s="3">
        <f t="shared" si="787"/>
        <v>1704007</v>
      </c>
      <c r="B1021" s="3">
        <v>17</v>
      </c>
      <c r="C1021" s="3">
        <v>0</v>
      </c>
      <c r="D1021" s="3">
        <v>0</v>
      </c>
      <c r="E1021" s="3">
        <f t="shared" si="791"/>
        <v>4</v>
      </c>
      <c r="F1021" s="3">
        <f t="shared" si="792"/>
        <v>7</v>
      </c>
      <c r="G1021" s="3" t="s">
        <v>1026</v>
      </c>
      <c r="H1021" s="3">
        <v>90</v>
      </c>
      <c r="I1021" s="3" t="str">
        <f>VLOOKUP(A1021,遗迹结算奖励!$A$1:$O$132,15,0)</f>
        <v>[{"id":2,"num":187800},{"id":1,"num":180000},{"id":85,"num":3}]</v>
      </c>
      <c r="J1021" s="3" t="s">
        <v>1015</v>
      </c>
      <c r="K1021" s="3"/>
      <c r="L1021" s="3"/>
      <c r="M1021" s="3" t="s">
        <v>514</v>
      </c>
      <c r="N1021" s="3">
        <f t="shared" si="790"/>
        <v>4</v>
      </c>
      <c r="O1021" s="3"/>
    </row>
    <row r="1022" spans="1:15" x14ac:dyDescent="0.15">
      <c r="A1022" s="3">
        <f t="shared" si="787"/>
        <v>1704008</v>
      </c>
      <c r="B1022" s="3">
        <v>17</v>
      </c>
      <c r="C1022" s="3">
        <v>0</v>
      </c>
      <c r="D1022" s="3">
        <v>0</v>
      </c>
      <c r="E1022" s="3">
        <f t="shared" si="791"/>
        <v>4</v>
      </c>
      <c r="F1022" s="3">
        <f t="shared" si="792"/>
        <v>8</v>
      </c>
      <c r="G1022" s="3" t="s">
        <v>1026</v>
      </c>
      <c r="H1022" s="3">
        <v>90</v>
      </c>
      <c r="I1022" s="3" t="str">
        <f>VLOOKUP(A1022,遗迹结算奖励!$A$1:$O$132,15,0)</f>
        <v>[{"id":2,"num":187800},{"id":1,"num":180000},{"id":85,"num":3}]</v>
      </c>
      <c r="J1022" s="3" t="s">
        <v>1015</v>
      </c>
      <c r="K1022" s="3"/>
      <c r="L1022" s="3"/>
      <c r="M1022" s="3" t="s">
        <v>514</v>
      </c>
      <c r="N1022" s="3">
        <f t="shared" si="790"/>
        <v>4</v>
      </c>
      <c r="O1022" s="3"/>
    </row>
    <row r="1023" spans="1:15" x14ac:dyDescent="0.15">
      <c r="A1023" s="3">
        <f t="shared" si="787"/>
        <v>1704009</v>
      </c>
      <c r="B1023" s="3">
        <v>17</v>
      </c>
      <c r="C1023" s="3">
        <v>0</v>
      </c>
      <c r="D1023" s="3">
        <v>0</v>
      </c>
      <c r="E1023" s="3">
        <f t="shared" si="791"/>
        <v>4</v>
      </c>
      <c r="F1023" s="3">
        <f t="shared" si="792"/>
        <v>9</v>
      </c>
      <c r="G1023" s="3" t="s">
        <v>1027</v>
      </c>
      <c r="H1023" s="3">
        <v>90</v>
      </c>
      <c r="I1023" s="3" t="str">
        <f>VLOOKUP(A1023,遗迹结算奖励!$A$1:$O$132,15,0)</f>
        <v>[{"id":2,"num":187800},{"id":1,"num":180000},{"id":85,"num":3}]</v>
      </c>
      <c r="J1023" s="3" t="s">
        <v>1015</v>
      </c>
      <c r="K1023" s="3"/>
      <c r="L1023" s="3"/>
      <c r="M1023" s="3" t="s">
        <v>514</v>
      </c>
      <c r="N1023" s="3">
        <f t="shared" si="790"/>
        <v>4</v>
      </c>
      <c r="O1023" s="3"/>
    </row>
    <row r="1024" spans="1:15" x14ac:dyDescent="0.15">
      <c r="A1024" s="3">
        <f t="shared" si="787"/>
        <v>1704010</v>
      </c>
      <c r="B1024" s="3">
        <v>17</v>
      </c>
      <c r="C1024" s="3">
        <v>0</v>
      </c>
      <c r="D1024" s="3">
        <v>0</v>
      </c>
      <c r="E1024" s="3">
        <f t="shared" si="791"/>
        <v>4</v>
      </c>
      <c r="F1024" s="3">
        <f t="shared" si="792"/>
        <v>10</v>
      </c>
      <c r="G1024" s="3" t="s">
        <v>1028</v>
      </c>
      <c r="H1024" s="3">
        <v>90</v>
      </c>
      <c r="I1024" s="3" t="str">
        <f>VLOOKUP(A1024,遗迹结算奖励!$A$1:$O$132,15,0)</f>
        <v>[{"id":2,"num":187800},{"id":1,"num":180000},{"id":85,"num":3}]</v>
      </c>
      <c r="J1024" s="3" t="s">
        <v>1015</v>
      </c>
      <c r="K1024" s="3"/>
      <c r="L1024" s="3"/>
      <c r="M1024" s="3" t="s">
        <v>1029</v>
      </c>
      <c r="N1024" s="3">
        <f t="shared" si="790"/>
        <v>4</v>
      </c>
      <c r="O1024" s="3">
        <v>1</v>
      </c>
    </row>
    <row r="1025" spans="1:15" x14ac:dyDescent="0.15">
      <c r="A1025" s="3">
        <f t="shared" si="787"/>
        <v>1705001</v>
      </c>
      <c r="B1025" s="3">
        <v>17</v>
      </c>
      <c r="C1025" s="3">
        <v>0</v>
      </c>
      <c r="D1025" s="3">
        <v>0</v>
      </c>
      <c r="E1025" s="3">
        <f t="shared" si="791"/>
        <v>5</v>
      </c>
      <c r="F1025" s="3">
        <f t="shared" si="792"/>
        <v>1</v>
      </c>
      <c r="G1025" s="3" t="s">
        <v>1030</v>
      </c>
      <c r="H1025" s="3">
        <v>90</v>
      </c>
      <c r="I1025" s="3" t="str">
        <f>VLOOKUP(A1025,遗迹结算奖励!$A$1:$O$132,15,0)</f>
        <v>[{"id":2,"num":463200},{"id":1,"num":460000},{"id":85,"num":4}]</v>
      </c>
      <c r="J1025" s="3" t="s">
        <v>1015</v>
      </c>
      <c r="K1025" s="3"/>
      <c r="L1025" s="3"/>
      <c r="M1025" s="3" t="s">
        <v>514</v>
      </c>
      <c r="N1025" s="3">
        <f t="shared" si="790"/>
        <v>5</v>
      </c>
      <c r="O1025" s="3"/>
    </row>
    <row r="1026" spans="1:15" x14ac:dyDescent="0.15">
      <c r="A1026" s="3">
        <f t="shared" si="787"/>
        <v>1705002</v>
      </c>
      <c r="B1026" s="3">
        <v>17</v>
      </c>
      <c r="C1026" s="3">
        <v>0</v>
      </c>
      <c r="D1026" s="3">
        <v>0</v>
      </c>
      <c r="E1026" s="3">
        <f t="shared" si="791"/>
        <v>5</v>
      </c>
      <c r="F1026" s="3">
        <f t="shared" si="792"/>
        <v>2</v>
      </c>
      <c r="G1026" s="3" t="s">
        <v>1030</v>
      </c>
      <c r="H1026" s="3">
        <v>90</v>
      </c>
      <c r="I1026" s="3" t="str">
        <f>VLOOKUP(A1026,遗迹结算奖励!$A$1:$O$132,15,0)</f>
        <v>[{"id":2,"num":463200},{"id":1,"num":460000},{"id":85,"num":4}]</v>
      </c>
      <c r="J1026" s="3" t="s">
        <v>1015</v>
      </c>
      <c r="K1026" s="3"/>
      <c r="L1026" s="3"/>
      <c r="M1026" s="3" t="s">
        <v>514</v>
      </c>
      <c r="N1026" s="3">
        <f t="shared" si="790"/>
        <v>5</v>
      </c>
      <c r="O1026" s="3"/>
    </row>
    <row r="1027" spans="1:15" x14ac:dyDescent="0.15">
      <c r="A1027" s="3">
        <f t="shared" si="787"/>
        <v>1705003</v>
      </c>
      <c r="B1027" s="3">
        <v>17</v>
      </c>
      <c r="C1027" s="3">
        <v>0</v>
      </c>
      <c r="D1027" s="3">
        <v>0</v>
      </c>
      <c r="E1027" s="3">
        <f t="shared" si="791"/>
        <v>5</v>
      </c>
      <c r="F1027" s="3">
        <f t="shared" si="792"/>
        <v>3</v>
      </c>
      <c r="G1027" s="3" t="s">
        <v>1030</v>
      </c>
      <c r="H1027" s="3">
        <v>90</v>
      </c>
      <c r="I1027" s="3" t="str">
        <f>VLOOKUP(A1027,遗迹结算奖励!$A$1:$O$132,15,0)</f>
        <v>[{"id":2,"num":463200},{"id":1,"num":460000},{"id":85,"num":4}]</v>
      </c>
      <c r="J1027" s="3" t="s">
        <v>1015</v>
      </c>
      <c r="K1027" s="3"/>
      <c r="L1027" s="3"/>
      <c r="M1027" s="3" t="s">
        <v>514</v>
      </c>
      <c r="N1027" s="3">
        <f t="shared" si="790"/>
        <v>5</v>
      </c>
      <c r="O1027" s="3"/>
    </row>
    <row r="1028" spans="1:15" x14ac:dyDescent="0.15">
      <c r="A1028" s="3">
        <f t="shared" si="787"/>
        <v>1705004</v>
      </c>
      <c r="B1028" s="3">
        <v>17</v>
      </c>
      <c r="C1028" s="3">
        <v>0</v>
      </c>
      <c r="D1028" s="3">
        <v>0</v>
      </c>
      <c r="E1028" s="3">
        <f t="shared" si="791"/>
        <v>5</v>
      </c>
      <c r="F1028" s="3">
        <f t="shared" si="792"/>
        <v>4</v>
      </c>
      <c r="G1028" s="3" t="s">
        <v>1030</v>
      </c>
      <c r="H1028" s="3">
        <v>90</v>
      </c>
      <c r="I1028" s="3" t="str">
        <f>VLOOKUP(A1028,遗迹结算奖励!$A$1:$O$132,15,0)</f>
        <v>[{"id":2,"num":463200},{"id":1,"num":460000},{"id":85,"num":4}]</v>
      </c>
      <c r="J1028" s="3" t="s">
        <v>1015</v>
      </c>
      <c r="K1028" s="3"/>
      <c r="L1028" s="3"/>
      <c r="M1028" s="3" t="s">
        <v>514</v>
      </c>
      <c r="N1028" s="3">
        <f t="shared" ref="N1028:N1055" si="793">N1018+1</f>
        <v>5</v>
      </c>
      <c r="O1028" s="3"/>
    </row>
    <row r="1029" spans="1:15" x14ac:dyDescent="0.15">
      <c r="A1029" s="3">
        <f t="shared" si="787"/>
        <v>1705005</v>
      </c>
      <c r="B1029" s="3">
        <v>17</v>
      </c>
      <c r="C1029" s="3">
        <v>0</v>
      </c>
      <c r="D1029" s="3">
        <v>0</v>
      </c>
      <c r="E1029" s="3">
        <f t="shared" si="791"/>
        <v>5</v>
      </c>
      <c r="F1029" s="3">
        <f t="shared" si="792"/>
        <v>5</v>
      </c>
      <c r="G1029" s="3" t="s">
        <v>1030</v>
      </c>
      <c r="H1029" s="3">
        <v>90</v>
      </c>
      <c r="I1029" s="3" t="str">
        <f>VLOOKUP(A1029,遗迹结算奖励!$A$1:$O$132,15,0)</f>
        <v>[{"id":2,"num":463200},{"id":1,"num":460000},{"id":85,"num":4}]</v>
      </c>
      <c r="J1029" s="3" t="s">
        <v>1015</v>
      </c>
      <c r="K1029" s="3"/>
      <c r="L1029" s="3"/>
      <c r="M1029" s="3" t="s">
        <v>514</v>
      </c>
      <c r="N1029" s="3">
        <f t="shared" si="793"/>
        <v>5</v>
      </c>
      <c r="O1029" s="3"/>
    </row>
    <row r="1030" spans="1:15" x14ac:dyDescent="0.15">
      <c r="A1030" s="3">
        <f t="shared" si="787"/>
        <v>1705006</v>
      </c>
      <c r="B1030" s="3">
        <v>17</v>
      </c>
      <c r="C1030" s="3">
        <v>0</v>
      </c>
      <c r="D1030" s="3">
        <v>0</v>
      </c>
      <c r="E1030" s="3">
        <f t="shared" si="791"/>
        <v>5</v>
      </c>
      <c r="F1030" s="3">
        <f t="shared" si="792"/>
        <v>6</v>
      </c>
      <c r="G1030" s="3" t="s">
        <v>1031</v>
      </c>
      <c r="H1030" s="3">
        <v>90</v>
      </c>
      <c r="I1030" s="3" t="str">
        <f>VLOOKUP(A1030,遗迹结算奖励!$A$1:$O$132,15,0)</f>
        <v>[{"id":2,"num":1232400},{"id":1,"num":1230000},{"id":85,"num":4}]</v>
      </c>
      <c r="J1030" s="3" t="s">
        <v>1015</v>
      </c>
      <c r="K1030" s="3"/>
      <c r="L1030" s="3"/>
      <c r="M1030" s="3" t="s">
        <v>514</v>
      </c>
      <c r="N1030" s="3">
        <f t="shared" si="793"/>
        <v>5</v>
      </c>
      <c r="O1030" s="3"/>
    </row>
    <row r="1031" spans="1:15" x14ac:dyDescent="0.15">
      <c r="A1031" s="3">
        <f t="shared" si="787"/>
        <v>1705007</v>
      </c>
      <c r="B1031" s="3">
        <v>17</v>
      </c>
      <c r="C1031" s="3">
        <v>0</v>
      </c>
      <c r="D1031" s="3">
        <v>0</v>
      </c>
      <c r="E1031" s="3">
        <f t="shared" si="791"/>
        <v>5</v>
      </c>
      <c r="F1031" s="3">
        <f t="shared" si="792"/>
        <v>7</v>
      </c>
      <c r="G1031" s="3" t="s">
        <v>1031</v>
      </c>
      <c r="H1031" s="3">
        <v>90</v>
      </c>
      <c r="I1031" s="3" t="str">
        <f>VLOOKUP(A1031,遗迹结算奖励!$A$1:$O$132,15,0)</f>
        <v>[{"id":2,"num":1232400},{"id":1,"num":1230000},{"id":85,"num":4}]</v>
      </c>
      <c r="J1031" s="3" t="s">
        <v>1015</v>
      </c>
      <c r="K1031" s="3"/>
      <c r="L1031" s="3"/>
      <c r="M1031" s="3" t="s">
        <v>514</v>
      </c>
      <c r="N1031" s="3">
        <f t="shared" si="793"/>
        <v>5</v>
      </c>
      <c r="O1031" s="3"/>
    </row>
    <row r="1032" spans="1:15" x14ac:dyDescent="0.15">
      <c r="A1032" s="3">
        <f t="shared" si="787"/>
        <v>1705008</v>
      </c>
      <c r="B1032" s="3">
        <v>17</v>
      </c>
      <c r="C1032" s="3">
        <v>0</v>
      </c>
      <c r="D1032" s="3">
        <v>0</v>
      </c>
      <c r="E1032" s="3">
        <f t="shared" si="791"/>
        <v>5</v>
      </c>
      <c r="F1032" s="3">
        <f t="shared" si="792"/>
        <v>8</v>
      </c>
      <c r="G1032" s="3" t="s">
        <v>1031</v>
      </c>
      <c r="H1032" s="3">
        <v>90</v>
      </c>
      <c r="I1032" s="3" t="str">
        <f>VLOOKUP(A1032,遗迹结算奖励!$A$1:$O$132,15,0)</f>
        <v>[{"id":2,"num":1232400},{"id":1,"num":1230000},{"id":85,"num":4}]</v>
      </c>
      <c r="J1032" s="3" t="s">
        <v>1015</v>
      </c>
      <c r="K1032" s="3"/>
      <c r="L1032" s="3"/>
      <c r="M1032" s="3" t="s">
        <v>514</v>
      </c>
      <c r="N1032" s="3">
        <f t="shared" si="793"/>
        <v>5</v>
      </c>
      <c r="O1032" s="3"/>
    </row>
    <row r="1033" spans="1:15" x14ac:dyDescent="0.15">
      <c r="A1033" s="3">
        <f t="shared" si="787"/>
        <v>1705009</v>
      </c>
      <c r="B1033" s="3">
        <v>17</v>
      </c>
      <c r="C1033" s="3">
        <v>0</v>
      </c>
      <c r="D1033" s="3">
        <v>0</v>
      </c>
      <c r="E1033" s="3">
        <f t="shared" si="791"/>
        <v>5</v>
      </c>
      <c r="F1033" s="3">
        <f t="shared" si="792"/>
        <v>9</v>
      </c>
      <c r="G1033" s="3" t="s">
        <v>1032</v>
      </c>
      <c r="H1033" s="3">
        <v>90</v>
      </c>
      <c r="I1033" s="3" t="str">
        <f>VLOOKUP(A1033,遗迹结算奖励!$A$1:$O$132,15,0)</f>
        <v>[{"id":2,"num":1232400},{"id":1,"num":1230000},{"id":85,"num":4}]</v>
      </c>
      <c r="J1033" s="3" t="s">
        <v>1015</v>
      </c>
      <c r="K1033" s="3"/>
      <c r="L1033" s="3"/>
      <c r="M1033" s="3" t="s">
        <v>514</v>
      </c>
      <c r="N1033" s="3">
        <f t="shared" si="793"/>
        <v>5</v>
      </c>
      <c r="O1033" s="3"/>
    </row>
    <row r="1034" spans="1:15" x14ac:dyDescent="0.15">
      <c r="A1034" s="3">
        <f t="shared" si="787"/>
        <v>1705010</v>
      </c>
      <c r="B1034" s="3">
        <v>17</v>
      </c>
      <c r="C1034" s="3">
        <v>0</v>
      </c>
      <c r="D1034" s="3">
        <v>0</v>
      </c>
      <c r="E1034" s="3">
        <f t="shared" si="791"/>
        <v>5</v>
      </c>
      <c r="F1034" s="3">
        <f t="shared" si="792"/>
        <v>10</v>
      </c>
      <c r="G1034" s="3" t="s">
        <v>1033</v>
      </c>
      <c r="H1034" s="3">
        <v>90</v>
      </c>
      <c r="I1034" s="3" t="str">
        <f>VLOOKUP(A1034,遗迹结算奖励!$A$1:$O$132,15,0)</f>
        <v>[{"id":2,"num":1232400},{"id":1,"num":1230000},{"id":85,"num":4}]</v>
      </c>
      <c r="J1034" s="3" t="s">
        <v>1015</v>
      </c>
      <c r="K1034" s="3"/>
      <c r="L1034" s="3"/>
      <c r="M1034" s="3" t="s">
        <v>1034</v>
      </c>
      <c r="N1034" s="3">
        <f t="shared" si="793"/>
        <v>5</v>
      </c>
      <c r="O1034" s="3">
        <v>1</v>
      </c>
    </row>
    <row r="1035" spans="1:15" x14ac:dyDescent="0.15">
      <c r="A1035" s="3">
        <f t="shared" si="787"/>
        <v>1706001</v>
      </c>
      <c r="B1035" s="3">
        <v>17</v>
      </c>
      <c r="C1035" s="3">
        <v>0</v>
      </c>
      <c r="D1035" s="3">
        <v>0</v>
      </c>
      <c r="E1035" s="3">
        <f t="shared" si="791"/>
        <v>6</v>
      </c>
      <c r="F1035" s="3">
        <f t="shared" si="792"/>
        <v>1</v>
      </c>
      <c r="G1035" s="3" t="s">
        <v>1035</v>
      </c>
      <c r="H1035" s="3">
        <v>90</v>
      </c>
      <c r="I1035" s="3" t="str">
        <f>VLOOKUP(A1035,遗迹结算奖励!$A$1:$O$132,15,0)</f>
        <v>[{"id":2,"num":1698800},{"id":1,"num":1690000},{"id":86,"num":1}]</v>
      </c>
      <c r="J1035" s="3" t="s">
        <v>1036</v>
      </c>
      <c r="K1035" s="3"/>
      <c r="L1035" s="3"/>
      <c r="M1035" s="3" t="s">
        <v>514</v>
      </c>
      <c r="N1035" s="3">
        <f t="shared" si="793"/>
        <v>6</v>
      </c>
      <c r="O1035" s="3"/>
    </row>
    <row r="1036" spans="1:15" x14ac:dyDescent="0.15">
      <c r="A1036" s="3">
        <f t="shared" si="787"/>
        <v>1706002</v>
      </c>
      <c r="B1036" s="3">
        <v>17</v>
      </c>
      <c r="C1036" s="3">
        <v>0</v>
      </c>
      <c r="D1036" s="3">
        <v>0</v>
      </c>
      <c r="E1036" s="3">
        <f t="shared" si="791"/>
        <v>6</v>
      </c>
      <c r="F1036" s="3">
        <f t="shared" si="792"/>
        <v>2</v>
      </c>
      <c r="G1036" s="3" t="s">
        <v>1035</v>
      </c>
      <c r="H1036" s="3">
        <v>90</v>
      </c>
      <c r="I1036" s="3" t="str">
        <f>VLOOKUP(A1036,遗迹结算奖励!$A$1:$O$132,15,0)</f>
        <v>[{"id":2,"num":1698800},{"id":1,"num":1690000},{"id":86,"num":1}]</v>
      </c>
      <c r="J1036" s="3" t="s">
        <v>1036</v>
      </c>
      <c r="K1036" s="3"/>
      <c r="L1036" s="3"/>
      <c r="M1036" s="3" t="s">
        <v>514</v>
      </c>
      <c r="N1036" s="3">
        <f t="shared" si="793"/>
        <v>6</v>
      </c>
      <c r="O1036" s="3"/>
    </row>
    <row r="1037" spans="1:15" x14ac:dyDescent="0.15">
      <c r="A1037" s="3">
        <f t="shared" si="787"/>
        <v>1706003</v>
      </c>
      <c r="B1037" s="3">
        <v>17</v>
      </c>
      <c r="C1037" s="3">
        <v>0</v>
      </c>
      <c r="D1037" s="3">
        <v>0</v>
      </c>
      <c r="E1037" s="3">
        <f t="shared" si="791"/>
        <v>6</v>
      </c>
      <c r="F1037" s="3">
        <f t="shared" si="792"/>
        <v>3</v>
      </c>
      <c r="G1037" s="3" t="s">
        <v>1035</v>
      </c>
      <c r="H1037" s="3">
        <v>90</v>
      </c>
      <c r="I1037" s="3" t="str">
        <f>VLOOKUP(A1037,遗迹结算奖励!$A$1:$O$132,15,0)</f>
        <v>[{"id":2,"num":1698800},{"id":1,"num":1690000},{"id":86,"num":1}]</v>
      </c>
      <c r="J1037" s="3" t="s">
        <v>1036</v>
      </c>
      <c r="K1037" s="3"/>
      <c r="L1037" s="3"/>
      <c r="M1037" s="3" t="s">
        <v>514</v>
      </c>
      <c r="N1037" s="3">
        <f t="shared" si="793"/>
        <v>6</v>
      </c>
      <c r="O1037" s="3"/>
    </row>
    <row r="1038" spans="1:15" x14ac:dyDescent="0.15">
      <c r="A1038" s="3">
        <f t="shared" si="787"/>
        <v>1706004</v>
      </c>
      <c r="B1038" s="3">
        <v>17</v>
      </c>
      <c r="C1038" s="3">
        <v>0</v>
      </c>
      <c r="D1038" s="3">
        <v>0</v>
      </c>
      <c r="E1038" s="3">
        <f t="shared" si="791"/>
        <v>6</v>
      </c>
      <c r="F1038" s="3">
        <f t="shared" si="792"/>
        <v>4</v>
      </c>
      <c r="G1038" s="3" t="s">
        <v>1035</v>
      </c>
      <c r="H1038" s="3">
        <v>90</v>
      </c>
      <c r="I1038" s="3" t="str">
        <f>VLOOKUP(A1038,遗迹结算奖励!$A$1:$O$132,15,0)</f>
        <v>[{"id":2,"num":1698800},{"id":1,"num":1690000},{"id":86,"num":1}]</v>
      </c>
      <c r="J1038" s="3" t="s">
        <v>1036</v>
      </c>
      <c r="K1038" s="3"/>
      <c r="L1038" s="3"/>
      <c r="M1038" s="3" t="s">
        <v>514</v>
      </c>
      <c r="N1038" s="3">
        <f t="shared" si="793"/>
        <v>6</v>
      </c>
      <c r="O1038" s="3"/>
    </row>
    <row r="1039" spans="1:15" x14ac:dyDescent="0.15">
      <c r="A1039" s="3">
        <f t="shared" si="787"/>
        <v>1706005</v>
      </c>
      <c r="B1039" s="3">
        <v>17</v>
      </c>
      <c r="C1039" s="3">
        <v>0</v>
      </c>
      <c r="D1039" s="3">
        <v>0</v>
      </c>
      <c r="E1039" s="3">
        <f t="shared" si="791"/>
        <v>6</v>
      </c>
      <c r="F1039" s="3">
        <f t="shared" si="792"/>
        <v>5</v>
      </c>
      <c r="G1039" s="3" t="s">
        <v>1035</v>
      </c>
      <c r="H1039" s="3">
        <v>90</v>
      </c>
      <c r="I1039" s="3" t="str">
        <f>VLOOKUP(A1039,遗迹结算奖励!$A$1:$O$132,15,0)</f>
        <v>[{"id":2,"num":1698800},{"id":1,"num":1690000},{"id":86,"num":1}]</v>
      </c>
      <c r="J1039" s="3" t="s">
        <v>1036</v>
      </c>
      <c r="K1039" s="3"/>
      <c r="L1039" s="3"/>
      <c r="M1039" s="3" t="s">
        <v>514</v>
      </c>
      <c r="N1039" s="3">
        <f t="shared" si="793"/>
        <v>6</v>
      </c>
      <c r="O1039" s="3"/>
    </row>
    <row r="1040" spans="1:15" x14ac:dyDescent="0.15">
      <c r="A1040" s="3">
        <f t="shared" si="787"/>
        <v>1706006</v>
      </c>
      <c r="B1040" s="3">
        <v>17</v>
      </c>
      <c r="C1040" s="3">
        <v>0</v>
      </c>
      <c r="D1040" s="3">
        <v>0</v>
      </c>
      <c r="E1040" s="3">
        <f t="shared" si="791"/>
        <v>6</v>
      </c>
      <c r="F1040" s="3">
        <f t="shared" si="792"/>
        <v>6</v>
      </c>
      <c r="G1040" s="3" t="s">
        <v>1037</v>
      </c>
      <c r="H1040" s="3">
        <v>90</v>
      </c>
      <c r="I1040" s="3" t="str">
        <f>VLOOKUP(A1040,遗迹结算奖励!$A$1:$O$132,15,0)</f>
        <v>[{"id":2,"num":1698800},{"id":1,"num":1690000},{"id":86,"num":1}]</v>
      </c>
      <c r="J1040" s="3" t="s">
        <v>1036</v>
      </c>
      <c r="K1040" s="3"/>
      <c r="L1040" s="3"/>
      <c r="M1040" s="3" t="s">
        <v>514</v>
      </c>
      <c r="N1040" s="3">
        <f t="shared" si="793"/>
        <v>6</v>
      </c>
      <c r="O1040" s="3"/>
    </row>
    <row r="1041" spans="1:15" x14ac:dyDescent="0.15">
      <c r="A1041" s="3">
        <f t="shared" si="787"/>
        <v>1706007</v>
      </c>
      <c r="B1041" s="3">
        <v>17</v>
      </c>
      <c r="C1041" s="3">
        <v>0</v>
      </c>
      <c r="D1041" s="3">
        <v>0</v>
      </c>
      <c r="E1041" s="3">
        <f t="shared" si="791"/>
        <v>6</v>
      </c>
      <c r="F1041" s="3">
        <f t="shared" si="792"/>
        <v>7</v>
      </c>
      <c r="G1041" s="3" t="s">
        <v>1037</v>
      </c>
      <c r="H1041" s="3">
        <v>90</v>
      </c>
      <c r="I1041" s="3" t="str">
        <f>VLOOKUP(A1041,遗迹结算奖励!$A$1:$O$132,15,0)</f>
        <v>[{"id":2,"num":1698800},{"id":1,"num":1690000},{"id":86,"num":1}]</v>
      </c>
      <c r="J1041" s="3" t="s">
        <v>1036</v>
      </c>
      <c r="K1041" s="3"/>
      <c r="L1041" s="3"/>
      <c r="M1041" s="3" t="s">
        <v>514</v>
      </c>
      <c r="N1041" s="3">
        <f t="shared" si="793"/>
        <v>6</v>
      </c>
      <c r="O1041" s="3"/>
    </row>
    <row r="1042" spans="1:15" x14ac:dyDescent="0.15">
      <c r="A1042" s="3">
        <f t="shared" si="787"/>
        <v>1706008</v>
      </c>
      <c r="B1042" s="3">
        <v>17</v>
      </c>
      <c r="C1042" s="3">
        <v>0</v>
      </c>
      <c r="D1042" s="3">
        <v>0</v>
      </c>
      <c r="E1042" s="3">
        <f t="shared" si="791"/>
        <v>6</v>
      </c>
      <c r="F1042" s="3">
        <f t="shared" si="792"/>
        <v>8</v>
      </c>
      <c r="G1042" s="3" t="s">
        <v>1037</v>
      </c>
      <c r="H1042" s="3">
        <v>90</v>
      </c>
      <c r="I1042" s="3" t="str">
        <f>VLOOKUP(A1042,遗迹结算奖励!$A$1:$O$132,15,0)</f>
        <v>[{"id":2,"num":1698800},{"id":1,"num":1690000},{"id":86,"num":1}]</v>
      </c>
      <c r="J1042" s="3" t="s">
        <v>1036</v>
      </c>
      <c r="K1042" s="3"/>
      <c r="L1042" s="3"/>
      <c r="M1042" s="3" t="s">
        <v>514</v>
      </c>
      <c r="N1042" s="3">
        <f t="shared" si="793"/>
        <v>6</v>
      </c>
      <c r="O1042" s="3"/>
    </row>
    <row r="1043" spans="1:15" x14ac:dyDescent="0.15">
      <c r="A1043" s="3">
        <f t="shared" si="787"/>
        <v>1706009</v>
      </c>
      <c r="B1043" s="3">
        <v>17</v>
      </c>
      <c r="C1043" s="3">
        <v>0</v>
      </c>
      <c r="D1043" s="3">
        <v>0</v>
      </c>
      <c r="E1043" s="3">
        <f t="shared" si="791"/>
        <v>6</v>
      </c>
      <c r="F1043" s="3">
        <f t="shared" si="792"/>
        <v>9</v>
      </c>
      <c r="G1043" s="3" t="s">
        <v>1037</v>
      </c>
      <c r="H1043" s="3">
        <v>90</v>
      </c>
      <c r="I1043" s="3" t="str">
        <f>VLOOKUP(A1043,遗迹结算奖励!$A$1:$O$132,15,0)</f>
        <v>[{"id":2,"num":1698800},{"id":1,"num":1690000},{"id":86,"num":1}]</v>
      </c>
      <c r="J1043" s="3" t="s">
        <v>1036</v>
      </c>
      <c r="K1043" s="3"/>
      <c r="L1043" s="3"/>
      <c r="M1043" s="3" t="s">
        <v>514</v>
      </c>
      <c r="N1043" s="3">
        <f t="shared" si="793"/>
        <v>6</v>
      </c>
      <c r="O1043" s="3"/>
    </row>
    <row r="1044" spans="1:15" x14ac:dyDescent="0.15">
      <c r="A1044" s="3">
        <f t="shared" si="787"/>
        <v>1706010</v>
      </c>
      <c r="B1044" s="3">
        <v>17</v>
      </c>
      <c r="C1044" s="3">
        <v>0</v>
      </c>
      <c r="D1044" s="3">
        <v>0</v>
      </c>
      <c r="E1044" s="3">
        <f t="shared" si="791"/>
        <v>6</v>
      </c>
      <c r="F1044" s="3">
        <f t="shared" si="792"/>
        <v>10</v>
      </c>
      <c r="G1044" s="3" t="s">
        <v>1038</v>
      </c>
      <c r="H1044" s="3">
        <v>90</v>
      </c>
      <c r="I1044" s="3" t="str">
        <f>VLOOKUP(A1044,遗迹结算奖励!$A$1:$O$132,15,0)</f>
        <v>[{"id":2,"num":1698800},{"id":1,"num":1690000},{"id":86,"num":1}]</v>
      </c>
      <c r="J1044" s="3" t="s">
        <v>1036</v>
      </c>
      <c r="K1044" s="3"/>
      <c r="L1044" s="3"/>
      <c r="M1044" s="3" t="s">
        <v>1039</v>
      </c>
      <c r="N1044" s="3">
        <f t="shared" si="793"/>
        <v>6</v>
      </c>
      <c r="O1044" s="3">
        <v>1</v>
      </c>
    </row>
    <row r="1045" spans="1:15" x14ac:dyDescent="0.15">
      <c r="A1045" s="3">
        <f t="shared" si="787"/>
        <v>1707001</v>
      </c>
      <c r="B1045" s="3">
        <v>17</v>
      </c>
      <c r="C1045" s="3">
        <v>0</v>
      </c>
      <c r="D1045" s="3">
        <v>0</v>
      </c>
      <c r="E1045" s="3">
        <f t="shared" ref="E1045:E1064" si="794">E1035+1</f>
        <v>7</v>
      </c>
      <c r="F1045" s="3">
        <f t="shared" ref="F1045:F1064" si="795">F1035</f>
        <v>1</v>
      </c>
      <c r="G1045" s="3" t="s">
        <v>1040</v>
      </c>
      <c r="H1045" s="3">
        <v>90</v>
      </c>
      <c r="I1045" s="3" t="str">
        <f>VLOOKUP(A1045,遗迹结算奖励!$A$1:$O$132,15,0)</f>
        <v>[{"id":2,"num":1698800},{"id":1,"num":1690000},{"id":86,"num":2}]</v>
      </c>
      <c r="J1045" s="3" t="s">
        <v>1036</v>
      </c>
      <c r="K1045" s="3"/>
      <c r="L1045" s="3"/>
      <c r="M1045" s="3" t="s">
        <v>514</v>
      </c>
      <c r="N1045" s="3">
        <f t="shared" si="793"/>
        <v>7</v>
      </c>
      <c r="O1045" s="3"/>
    </row>
    <row r="1046" spans="1:15" x14ac:dyDescent="0.15">
      <c r="A1046" s="3">
        <f t="shared" si="787"/>
        <v>1707002</v>
      </c>
      <c r="B1046" s="3">
        <v>17</v>
      </c>
      <c r="C1046" s="3">
        <v>0</v>
      </c>
      <c r="D1046" s="3">
        <v>0</v>
      </c>
      <c r="E1046" s="3">
        <f t="shared" si="794"/>
        <v>7</v>
      </c>
      <c r="F1046" s="3">
        <f t="shared" si="795"/>
        <v>2</v>
      </c>
      <c r="G1046" s="3" t="s">
        <v>1040</v>
      </c>
      <c r="H1046" s="3">
        <v>90</v>
      </c>
      <c r="I1046" s="3" t="str">
        <f>VLOOKUP(A1046,遗迹结算奖励!$A$1:$O$132,15,0)</f>
        <v>[{"id":2,"num":1698800},{"id":1,"num":1690000},{"id":86,"num":2}]</v>
      </c>
      <c r="J1046" s="3" t="s">
        <v>1036</v>
      </c>
      <c r="K1046" s="3"/>
      <c r="L1046" s="3"/>
      <c r="M1046" s="3" t="s">
        <v>514</v>
      </c>
      <c r="N1046" s="3">
        <f t="shared" si="793"/>
        <v>7</v>
      </c>
      <c r="O1046" s="3"/>
    </row>
    <row r="1047" spans="1:15" x14ac:dyDescent="0.15">
      <c r="A1047" s="3">
        <f t="shared" si="787"/>
        <v>1707003</v>
      </c>
      <c r="B1047" s="3">
        <v>17</v>
      </c>
      <c r="C1047" s="3">
        <v>0</v>
      </c>
      <c r="D1047" s="3">
        <v>0</v>
      </c>
      <c r="E1047" s="3">
        <f t="shared" si="794"/>
        <v>7</v>
      </c>
      <c r="F1047" s="3">
        <f t="shared" si="795"/>
        <v>3</v>
      </c>
      <c r="G1047" s="3" t="s">
        <v>1040</v>
      </c>
      <c r="H1047" s="3">
        <v>90</v>
      </c>
      <c r="I1047" s="3" t="str">
        <f>VLOOKUP(A1047,遗迹结算奖励!$A$1:$O$132,15,0)</f>
        <v>[{"id":2,"num":1698800},{"id":1,"num":1690000},{"id":86,"num":2}]</v>
      </c>
      <c r="J1047" s="3" t="s">
        <v>1036</v>
      </c>
      <c r="K1047" s="3"/>
      <c r="L1047" s="3"/>
      <c r="M1047" s="3" t="s">
        <v>514</v>
      </c>
      <c r="N1047" s="3">
        <f t="shared" si="793"/>
        <v>7</v>
      </c>
      <c r="O1047" s="3"/>
    </row>
    <row r="1048" spans="1:15" x14ac:dyDescent="0.15">
      <c r="A1048" s="3">
        <f t="shared" si="787"/>
        <v>1707004</v>
      </c>
      <c r="B1048" s="3">
        <v>17</v>
      </c>
      <c r="C1048" s="3">
        <v>0</v>
      </c>
      <c r="D1048" s="3">
        <v>0</v>
      </c>
      <c r="E1048" s="3">
        <f t="shared" si="794"/>
        <v>7</v>
      </c>
      <c r="F1048" s="3">
        <f t="shared" si="795"/>
        <v>4</v>
      </c>
      <c r="G1048" s="3" t="s">
        <v>1040</v>
      </c>
      <c r="H1048" s="3">
        <v>90</v>
      </c>
      <c r="I1048" s="3" t="str">
        <f>VLOOKUP(A1048,遗迹结算奖励!$A$1:$O$132,15,0)</f>
        <v>[{"id":2,"num":1698800},{"id":1,"num":1690000},{"id":86,"num":2}]</v>
      </c>
      <c r="J1048" s="3" t="s">
        <v>1036</v>
      </c>
      <c r="K1048" s="3"/>
      <c r="L1048" s="3"/>
      <c r="M1048" s="3" t="s">
        <v>514</v>
      </c>
      <c r="N1048" s="3">
        <f t="shared" si="793"/>
        <v>7</v>
      </c>
      <c r="O1048" s="3"/>
    </row>
    <row r="1049" spans="1:15" x14ac:dyDescent="0.15">
      <c r="A1049" s="3">
        <f t="shared" si="787"/>
        <v>1707005</v>
      </c>
      <c r="B1049" s="3">
        <v>17</v>
      </c>
      <c r="C1049" s="3">
        <v>0</v>
      </c>
      <c r="D1049" s="3">
        <v>0</v>
      </c>
      <c r="E1049" s="3">
        <f t="shared" si="794"/>
        <v>7</v>
      </c>
      <c r="F1049" s="3">
        <f t="shared" si="795"/>
        <v>5</v>
      </c>
      <c r="G1049" s="3" t="s">
        <v>1040</v>
      </c>
      <c r="H1049" s="3">
        <v>90</v>
      </c>
      <c r="I1049" s="3" t="str">
        <f>VLOOKUP(A1049,遗迹结算奖励!$A$1:$O$132,15,0)</f>
        <v>[{"id":2,"num":1698800},{"id":1,"num":1690000},{"id":86,"num":2}]</v>
      </c>
      <c r="J1049" s="3" t="s">
        <v>1036</v>
      </c>
      <c r="K1049" s="3"/>
      <c r="L1049" s="3"/>
      <c r="M1049" s="3" t="s">
        <v>514</v>
      </c>
      <c r="N1049" s="3">
        <f t="shared" si="793"/>
        <v>7</v>
      </c>
      <c r="O1049" s="3"/>
    </row>
    <row r="1050" spans="1:15" x14ac:dyDescent="0.15">
      <c r="A1050" s="3">
        <f t="shared" si="787"/>
        <v>1707006</v>
      </c>
      <c r="B1050" s="3">
        <v>17</v>
      </c>
      <c r="C1050" s="3">
        <v>0</v>
      </c>
      <c r="D1050" s="3">
        <v>0</v>
      </c>
      <c r="E1050" s="3">
        <f t="shared" si="794"/>
        <v>7</v>
      </c>
      <c r="F1050" s="3">
        <f t="shared" si="795"/>
        <v>6</v>
      </c>
      <c r="G1050" s="3" t="s">
        <v>1041</v>
      </c>
      <c r="H1050" s="3">
        <v>90</v>
      </c>
      <c r="I1050" s="3" t="str">
        <f>VLOOKUP(A1050,遗迹结算奖励!$A$1:$O$132,15,0)</f>
        <v>[{"id":2,"num":1698800},{"id":1,"num":1690000},{"id":86,"num":2}]</v>
      </c>
      <c r="J1050" s="3" t="s">
        <v>1036</v>
      </c>
      <c r="K1050" s="3"/>
      <c r="L1050" s="3"/>
      <c r="M1050" s="3" t="s">
        <v>514</v>
      </c>
      <c r="N1050" s="3">
        <f t="shared" si="793"/>
        <v>7</v>
      </c>
      <c r="O1050" s="3"/>
    </row>
    <row r="1051" spans="1:15" x14ac:dyDescent="0.15">
      <c r="A1051" s="3">
        <f t="shared" si="787"/>
        <v>1707007</v>
      </c>
      <c r="B1051" s="3">
        <v>17</v>
      </c>
      <c r="C1051" s="3">
        <v>0</v>
      </c>
      <c r="D1051" s="3">
        <v>0</v>
      </c>
      <c r="E1051" s="3">
        <f t="shared" si="794"/>
        <v>7</v>
      </c>
      <c r="F1051" s="3">
        <f t="shared" si="795"/>
        <v>7</v>
      </c>
      <c r="G1051" s="3" t="s">
        <v>1041</v>
      </c>
      <c r="H1051" s="3">
        <v>90</v>
      </c>
      <c r="I1051" s="3" t="str">
        <f>VLOOKUP(A1051,遗迹结算奖励!$A$1:$O$132,15,0)</f>
        <v>[{"id":2,"num":1698800},{"id":1,"num":1690000},{"id":86,"num":2}]</v>
      </c>
      <c r="J1051" s="3" t="s">
        <v>1036</v>
      </c>
      <c r="K1051" s="3"/>
      <c r="L1051" s="3"/>
      <c r="M1051" s="3" t="s">
        <v>514</v>
      </c>
      <c r="N1051" s="3">
        <f t="shared" si="793"/>
        <v>7</v>
      </c>
      <c r="O1051" s="3"/>
    </row>
    <row r="1052" spans="1:15" x14ac:dyDescent="0.15">
      <c r="A1052" s="3">
        <f t="shared" ref="A1052:A1064" si="796">B1052*100000+E1052*1000+F1052</f>
        <v>1707008</v>
      </c>
      <c r="B1052" s="3">
        <v>17</v>
      </c>
      <c r="C1052" s="3">
        <v>0</v>
      </c>
      <c r="D1052" s="3">
        <v>0</v>
      </c>
      <c r="E1052" s="3">
        <f t="shared" si="794"/>
        <v>7</v>
      </c>
      <c r="F1052" s="3">
        <f t="shared" si="795"/>
        <v>8</v>
      </c>
      <c r="G1052" s="3" t="s">
        <v>1041</v>
      </c>
      <c r="H1052" s="3">
        <v>90</v>
      </c>
      <c r="I1052" s="3" t="str">
        <f>VLOOKUP(A1052,遗迹结算奖励!$A$1:$O$132,15,0)</f>
        <v>[{"id":2,"num":1698800},{"id":1,"num":1690000},{"id":86,"num":2}]</v>
      </c>
      <c r="J1052" s="3" t="s">
        <v>1036</v>
      </c>
      <c r="K1052" s="3"/>
      <c r="L1052" s="3"/>
      <c r="M1052" s="3" t="s">
        <v>514</v>
      </c>
      <c r="N1052" s="3">
        <f t="shared" si="793"/>
        <v>7</v>
      </c>
      <c r="O1052" s="3"/>
    </row>
    <row r="1053" spans="1:15" x14ac:dyDescent="0.15">
      <c r="A1053" s="3">
        <f t="shared" si="796"/>
        <v>1707009</v>
      </c>
      <c r="B1053" s="3">
        <v>17</v>
      </c>
      <c r="C1053" s="3">
        <v>0</v>
      </c>
      <c r="D1053" s="3">
        <v>0</v>
      </c>
      <c r="E1053" s="3">
        <f t="shared" si="794"/>
        <v>7</v>
      </c>
      <c r="F1053" s="3">
        <f t="shared" si="795"/>
        <v>9</v>
      </c>
      <c r="G1053" s="3" t="s">
        <v>1041</v>
      </c>
      <c r="H1053" s="3">
        <v>90</v>
      </c>
      <c r="I1053" s="3" t="str">
        <f>VLOOKUP(A1053,遗迹结算奖励!$A$1:$O$132,15,0)</f>
        <v>[{"id":2,"num":1698800},{"id":1,"num":1690000},{"id":86,"num":2}]</v>
      </c>
      <c r="J1053" s="3" t="s">
        <v>1036</v>
      </c>
      <c r="K1053" s="3"/>
      <c r="L1053" s="3"/>
      <c r="M1053" s="3" t="s">
        <v>514</v>
      </c>
      <c r="N1053" s="3">
        <f t="shared" si="793"/>
        <v>7</v>
      </c>
      <c r="O1053" s="3"/>
    </row>
    <row r="1054" spans="1:15" x14ac:dyDescent="0.15">
      <c r="A1054" s="3">
        <f t="shared" si="796"/>
        <v>1707010</v>
      </c>
      <c r="B1054" s="3">
        <v>17</v>
      </c>
      <c r="C1054" s="3">
        <v>0</v>
      </c>
      <c r="D1054" s="3">
        <v>0</v>
      </c>
      <c r="E1054" s="3">
        <f t="shared" si="794"/>
        <v>7</v>
      </c>
      <c r="F1054" s="3">
        <f t="shared" si="795"/>
        <v>10</v>
      </c>
      <c r="G1054" s="3" t="s">
        <v>1042</v>
      </c>
      <c r="H1054" s="3">
        <v>90</v>
      </c>
      <c r="I1054" s="3" t="str">
        <f>VLOOKUP(A1054,遗迹结算奖励!$A$1:$O$132,15,0)</f>
        <v>[{"id":2,"num":1698800},{"id":1,"num":1690000},{"id":86,"num":2}]</v>
      </c>
      <c r="J1054" s="3" t="s">
        <v>1036</v>
      </c>
      <c r="K1054" s="3"/>
      <c r="L1054" s="3"/>
      <c r="M1054" s="3" t="s">
        <v>1043</v>
      </c>
      <c r="N1054" s="3">
        <f t="shared" si="793"/>
        <v>7</v>
      </c>
      <c r="O1054" s="3">
        <v>1</v>
      </c>
    </row>
    <row r="1055" spans="1:15" x14ac:dyDescent="0.15">
      <c r="A1055" s="3">
        <f t="shared" si="796"/>
        <v>1708001</v>
      </c>
      <c r="B1055" s="3">
        <v>17</v>
      </c>
      <c r="C1055" s="3">
        <v>0</v>
      </c>
      <c r="D1055" s="3">
        <v>0</v>
      </c>
      <c r="E1055" s="3">
        <f t="shared" si="794"/>
        <v>8</v>
      </c>
      <c r="F1055" s="3">
        <f t="shared" si="795"/>
        <v>1</v>
      </c>
      <c r="G1055" s="3" t="s">
        <v>1044</v>
      </c>
      <c r="H1055" s="3">
        <v>90</v>
      </c>
      <c r="I1055" s="3" t="str">
        <f>VLOOKUP(A1055,遗迹结算奖励!$A$1:$O$132,15,0)</f>
        <v>[{"id":2,"num":1698800},{"id":1,"num":1690000},{"id":86,"num":3}]</v>
      </c>
      <c r="J1055" s="3" t="s">
        <v>1036</v>
      </c>
      <c r="K1055" s="3"/>
      <c r="L1055" s="3"/>
      <c r="M1055" s="3" t="s">
        <v>514</v>
      </c>
      <c r="N1055" s="3">
        <f t="shared" si="793"/>
        <v>8</v>
      </c>
      <c r="O1055" s="3"/>
    </row>
    <row r="1056" spans="1:15" x14ac:dyDescent="0.15">
      <c r="A1056" s="3">
        <f t="shared" si="796"/>
        <v>1708002</v>
      </c>
      <c r="B1056" s="3">
        <v>17</v>
      </c>
      <c r="C1056" s="3">
        <v>0</v>
      </c>
      <c r="D1056" s="3">
        <v>0</v>
      </c>
      <c r="E1056" s="3">
        <f t="shared" si="794"/>
        <v>8</v>
      </c>
      <c r="F1056" s="3">
        <f t="shared" si="795"/>
        <v>2</v>
      </c>
      <c r="G1056" s="3" t="s">
        <v>1044</v>
      </c>
      <c r="H1056" s="3">
        <v>90</v>
      </c>
      <c r="I1056" s="3" t="str">
        <f>VLOOKUP(A1056,遗迹结算奖励!$A$1:$O$132,15,0)</f>
        <v>[{"id":2,"num":1698800},{"id":1,"num":1690000},{"id":86,"num":3}]</v>
      </c>
      <c r="J1056" s="3" t="s">
        <v>1036</v>
      </c>
      <c r="K1056" s="3"/>
      <c r="L1056" s="3"/>
      <c r="M1056" s="3" t="s">
        <v>514</v>
      </c>
      <c r="N1056" s="3">
        <f t="shared" ref="N1056:N1064" si="797">N1046+1</f>
        <v>8</v>
      </c>
      <c r="O1056" s="3"/>
    </row>
    <row r="1057" spans="1:15" x14ac:dyDescent="0.15">
      <c r="A1057" s="3">
        <f t="shared" si="796"/>
        <v>1708003</v>
      </c>
      <c r="B1057" s="3">
        <v>17</v>
      </c>
      <c r="C1057" s="3">
        <v>0</v>
      </c>
      <c r="D1057" s="3">
        <v>0</v>
      </c>
      <c r="E1057" s="3">
        <f t="shared" si="794"/>
        <v>8</v>
      </c>
      <c r="F1057" s="3">
        <f t="shared" si="795"/>
        <v>3</v>
      </c>
      <c r="G1057" s="3" t="s">
        <v>1044</v>
      </c>
      <c r="H1057" s="3">
        <v>90</v>
      </c>
      <c r="I1057" s="3" t="str">
        <f>VLOOKUP(A1057,遗迹结算奖励!$A$1:$O$132,15,0)</f>
        <v>[{"id":2,"num":1698800},{"id":1,"num":1690000},{"id":86,"num":3}]</v>
      </c>
      <c r="J1057" s="3" t="s">
        <v>1036</v>
      </c>
      <c r="K1057" s="3"/>
      <c r="L1057" s="3"/>
      <c r="M1057" s="3" t="s">
        <v>514</v>
      </c>
      <c r="N1057" s="3">
        <f t="shared" si="797"/>
        <v>8</v>
      </c>
      <c r="O1057" s="3"/>
    </row>
    <row r="1058" spans="1:15" x14ac:dyDescent="0.15">
      <c r="A1058" s="3">
        <f t="shared" si="796"/>
        <v>1708004</v>
      </c>
      <c r="B1058" s="3">
        <v>17</v>
      </c>
      <c r="C1058" s="3">
        <v>0</v>
      </c>
      <c r="D1058" s="3">
        <v>0</v>
      </c>
      <c r="E1058" s="3">
        <f t="shared" si="794"/>
        <v>8</v>
      </c>
      <c r="F1058" s="3">
        <f t="shared" si="795"/>
        <v>4</v>
      </c>
      <c r="G1058" s="3" t="s">
        <v>1044</v>
      </c>
      <c r="H1058" s="3">
        <v>90</v>
      </c>
      <c r="I1058" s="3" t="str">
        <f>VLOOKUP(A1058,遗迹结算奖励!$A$1:$O$132,15,0)</f>
        <v>[{"id":2,"num":1698800},{"id":1,"num":1690000},{"id":86,"num":3}]</v>
      </c>
      <c r="J1058" s="3" t="s">
        <v>1036</v>
      </c>
      <c r="K1058" s="3"/>
      <c r="L1058" s="3"/>
      <c r="M1058" s="3" t="s">
        <v>514</v>
      </c>
      <c r="N1058" s="3">
        <f t="shared" si="797"/>
        <v>8</v>
      </c>
      <c r="O1058" s="3"/>
    </row>
    <row r="1059" spans="1:15" x14ac:dyDescent="0.15">
      <c r="A1059" s="3">
        <f t="shared" si="796"/>
        <v>1708005</v>
      </c>
      <c r="B1059" s="3">
        <v>17</v>
      </c>
      <c r="C1059" s="3">
        <v>0</v>
      </c>
      <c r="D1059" s="3">
        <v>0</v>
      </c>
      <c r="E1059" s="3">
        <f t="shared" si="794"/>
        <v>8</v>
      </c>
      <c r="F1059" s="3">
        <f t="shared" si="795"/>
        <v>5</v>
      </c>
      <c r="G1059" s="3" t="s">
        <v>1044</v>
      </c>
      <c r="H1059" s="3">
        <v>90</v>
      </c>
      <c r="I1059" s="3" t="str">
        <f>VLOOKUP(A1059,遗迹结算奖励!$A$1:$O$132,15,0)</f>
        <v>[{"id":2,"num":1698800},{"id":1,"num":1690000},{"id":86,"num":3}]</v>
      </c>
      <c r="J1059" s="3" t="s">
        <v>1036</v>
      </c>
      <c r="K1059" s="3"/>
      <c r="L1059" s="3"/>
      <c r="M1059" s="3" t="s">
        <v>514</v>
      </c>
      <c r="N1059" s="3">
        <f t="shared" si="797"/>
        <v>8</v>
      </c>
      <c r="O1059" s="3"/>
    </row>
    <row r="1060" spans="1:15" x14ac:dyDescent="0.15">
      <c r="A1060" s="3">
        <f t="shared" si="796"/>
        <v>1708006</v>
      </c>
      <c r="B1060" s="3">
        <v>17</v>
      </c>
      <c r="C1060" s="3">
        <v>0</v>
      </c>
      <c r="D1060" s="3">
        <v>0</v>
      </c>
      <c r="E1060" s="3">
        <f t="shared" si="794"/>
        <v>8</v>
      </c>
      <c r="F1060" s="3">
        <f t="shared" si="795"/>
        <v>6</v>
      </c>
      <c r="G1060" s="3" t="s">
        <v>1045</v>
      </c>
      <c r="H1060" s="3">
        <v>90</v>
      </c>
      <c r="I1060" s="3" t="str">
        <f>VLOOKUP(A1060,遗迹结算奖励!$A$1:$O$132,15,0)</f>
        <v>[{"id":2,"num":1698800},{"id":1,"num":1690000},{"id":86,"num":3}]</v>
      </c>
      <c r="J1060" s="3" t="s">
        <v>1036</v>
      </c>
      <c r="K1060" s="3"/>
      <c r="L1060" s="3"/>
      <c r="M1060" s="3" t="s">
        <v>514</v>
      </c>
      <c r="N1060" s="3">
        <f t="shared" si="797"/>
        <v>8</v>
      </c>
      <c r="O1060" s="3"/>
    </row>
    <row r="1061" spans="1:15" x14ac:dyDescent="0.15">
      <c r="A1061" s="3">
        <f t="shared" si="796"/>
        <v>1708007</v>
      </c>
      <c r="B1061" s="3">
        <v>17</v>
      </c>
      <c r="C1061" s="3">
        <v>0</v>
      </c>
      <c r="D1061" s="3">
        <v>0</v>
      </c>
      <c r="E1061" s="3">
        <f t="shared" si="794"/>
        <v>8</v>
      </c>
      <c r="F1061" s="3">
        <f t="shared" si="795"/>
        <v>7</v>
      </c>
      <c r="G1061" s="3" t="s">
        <v>1045</v>
      </c>
      <c r="H1061" s="3">
        <v>90</v>
      </c>
      <c r="I1061" s="3" t="str">
        <f>VLOOKUP(A1061,遗迹结算奖励!$A$1:$O$132,15,0)</f>
        <v>[{"id":2,"num":1698800},{"id":1,"num":1690000},{"id":86,"num":3}]</v>
      </c>
      <c r="J1061" s="3" t="s">
        <v>1036</v>
      </c>
      <c r="K1061" s="3"/>
      <c r="L1061" s="3"/>
      <c r="M1061" s="3" t="s">
        <v>514</v>
      </c>
      <c r="N1061" s="3">
        <f t="shared" si="797"/>
        <v>8</v>
      </c>
      <c r="O1061" s="3"/>
    </row>
    <row r="1062" spans="1:15" x14ac:dyDescent="0.15">
      <c r="A1062" s="3">
        <f t="shared" si="796"/>
        <v>1708008</v>
      </c>
      <c r="B1062" s="3">
        <v>17</v>
      </c>
      <c r="C1062" s="3">
        <v>0</v>
      </c>
      <c r="D1062" s="3">
        <v>0</v>
      </c>
      <c r="E1062" s="3">
        <f t="shared" si="794"/>
        <v>8</v>
      </c>
      <c r="F1062" s="3">
        <f t="shared" si="795"/>
        <v>8</v>
      </c>
      <c r="G1062" s="3" t="s">
        <v>1045</v>
      </c>
      <c r="H1062" s="3">
        <v>90</v>
      </c>
      <c r="I1062" s="3" t="str">
        <f>VLOOKUP(A1062,遗迹结算奖励!$A$1:$O$132,15,0)</f>
        <v>[{"id":2,"num":1698800},{"id":1,"num":1690000},{"id":86,"num":3}]</v>
      </c>
      <c r="J1062" s="3" t="s">
        <v>1036</v>
      </c>
      <c r="K1062" s="3"/>
      <c r="L1062" s="3"/>
      <c r="M1062" s="3" t="s">
        <v>514</v>
      </c>
      <c r="N1062" s="3">
        <f t="shared" si="797"/>
        <v>8</v>
      </c>
      <c r="O1062" s="3"/>
    </row>
    <row r="1063" spans="1:15" x14ac:dyDescent="0.15">
      <c r="A1063" s="3">
        <f t="shared" si="796"/>
        <v>1708009</v>
      </c>
      <c r="B1063" s="3">
        <v>17</v>
      </c>
      <c r="C1063" s="3">
        <v>0</v>
      </c>
      <c r="D1063" s="3">
        <v>0</v>
      </c>
      <c r="E1063" s="3">
        <f t="shared" si="794"/>
        <v>8</v>
      </c>
      <c r="F1063" s="3">
        <f t="shared" si="795"/>
        <v>9</v>
      </c>
      <c r="G1063" s="3" t="s">
        <v>1045</v>
      </c>
      <c r="H1063" s="3">
        <v>90</v>
      </c>
      <c r="I1063" s="3" t="str">
        <f>VLOOKUP(A1063,遗迹结算奖励!$A$1:$O$132,15,0)</f>
        <v>[{"id":2,"num":1698800},{"id":1,"num":1690000},{"id":86,"num":3}]</v>
      </c>
      <c r="J1063" s="3" t="s">
        <v>1036</v>
      </c>
      <c r="K1063" s="3"/>
      <c r="L1063" s="3"/>
      <c r="M1063" s="3" t="s">
        <v>514</v>
      </c>
      <c r="N1063" s="3">
        <f t="shared" si="797"/>
        <v>8</v>
      </c>
      <c r="O1063" s="3"/>
    </row>
    <row r="1064" spans="1:15" x14ac:dyDescent="0.15">
      <c r="A1064" s="3">
        <f t="shared" si="796"/>
        <v>1708010</v>
      </c>
      <c r="B1064" s="3">
        <v>17</v>
      </c>
      <c r="C1064" s="3">
        <v>0</v>
      </c>
      <c r="D1064" s="3">
        <v>0</v>
      </c>
      <c r="E1064" s="3">
        <f t="shared" si="794"/>
        <v>8</v>
      </c>
      <c r="F1064" s="3">
        <f t="shared" si="795"/>
        <v>10</v>
      </c>
      <c r="G1064" s="3" t="s">
        <v>1046</v>
      </c>
      <c r="H1064" s="3">
        <v>90</v>
      </c>
      <c r="I1064" s="3" t="str">
        <f>VLOOKUP(A1064,遗迹结算奖励!$A$1:$O$132,15,0)</f>
        <v>[{"id":2,"num":1698800},{"id":1,"num":1690000},{"id":86,"num":3}]</v>
      </c>
      <c r="J1064" s="3" t="s">
        <v>1036</v>
      </c>
      <c r="K1064" s="3"/>
      <c r="L1064" s="3"/>
      <c r="M1064" s="3" t="s">
        <v>1047</v>
      </c>
      <c r="N1064" s="3">
        <f t="shared" si="797"/>
        <v>8</v>
      </c>
      <c r="O1064" s="3">
        <v>1</v>
      </c>
    </row>
    <row r="1065" spans="1:15" x14ac:dyDescent="0.15">
      <c r="A1065" s="3">
        <f t="shared" ref="A1065:A1096" si="798">B1065*100000+E1065*1000+F1065</f>
        <v>1709001</v>
      </c>
      <c r="B1065" s="3">
        <v>17</v>
      </c>
      <c r="C1065" s="3">
        <v>0</v>
      </c>
      <c r="D1065" s="3">
        <v>0</v>
      </c>
      <c r="E1065" s="3">
        <f t="shared" ref="E1065:E1083" si="799">E1055+1</f>
        <v>9</v>
      </c>
      <c r="F1065" s="3">
        <f t="shared" ref="F1065:F1128" si="800">F1055</f>
        <v>1</v>
      </c>
      <c r="G1065" s="3" t="s">
        <v>1048</v>
      </c>
      <c r="H1065" s="3">
        <v>90</v>
      </c>
      <c r="I1065" s="3" t="str">
        <f>VLOOKUP(A1065,遗迹结算奖励!$A$1:$O$132,15,0)</f>
        <v>[{"id":2,"num":1698800},{"id":1,"num":1690000},{"id":86,"num":4}]</v>
      </c>
      <c r="J1065" s="3" t="s">
        <v>1036</v>
      </c>
      <c r="K1065" s="3"/>
      <c r="M1065" s="3" t="s">
        <v>514</v>
      </c>
      <c r="N1065" s="3">
        <f t="shared" ref="N1065:N1103" si="801">N1055+1</f>
        <v>9</v>
      </c>
      <c r="O1065" s="3"/>
    </row>
    <row r="1066" spans="1:15" x14ac:dyDescent="0.15">
      <c r="A1066" s="3">
        <f t="shared" si="798"/>
        <v>1709002</v>
      </c>
      <c r="B1066" s="3">
        <v>17</v>
      </c>
      <c r="C1066" s="3">
        <v>0</v>
      </c>
      <c r="D1066" s="3">
        <v>0</v>
      </c>
      <c r="E1066" s="3">
        <f t="shared" si="799"/>
        <v>9</v>
      </c>
      <c r="F1066" s="3">
        <f t="shared" si="800"/>
        <v>2</v>
      </c>
      <c r="G1066" s="3" t="s">
        <v>1048</v>
      </c>
      <c r="H1066" s="3">
        <v>90</v>
      </c>
      <c r="I1066" s="3" t="str">
        <f>VLOOKUP(A1066,遗迹结算奖励!$A$1:$O$132,15,0)</f>
        <v>[{"id":2,"num":1698800},{"id":1,"num":1690000},{"id":86,"num":4}]</v>
      </c>
      <c r="J1066" s="3" t="s">
        <v>1036</v>
      </c>
      <c r="K1066" s="3"/>
      <c r="M1066" s="3" t="s">
        <v>514</v>
      </c>
      <c r="N1066" s="3">
        <f t="shared" si="801"/>
        <v>9</v>
      </c>
      <c r="O1066" s="3"/>
    </row>
    <row r="1067" spans="1:15" x14ac:dyDescent="0.15">
      <c r="A1067" s="3">
        <f t="shared" si="798"/>
        <v>1709003</v>
      </c>
      <c r="B1067" s="3">
        <v>17</v>
      </c>
      <c r="C1067" s="3">
        <v>0</v>
      </c>
      <c r="D1067" s="3">
        <v>0</v>
      </c>
      <c r="E1067" s="3">
        <f t="shared" si="799"/>
        <v>9</v>
      </c>
      <c r="F1067" s="3">
        <f t="shared" si="800"/>
        <v>3</v>
      </c>
      <c r="G1067" s="3" t="s">
        <v>1048</v>
      </c>
      <c r="H1067" s="3">
        <v>90</v>
      </c>
      <c r="I1067" s="3" t="str">
        <f>VLOOKUP(A1067,遗迹结算奖励!$A$1:$O$132,15,0)</f>
        <v>[{"id":2,"num":1698800},{"id":1,"num":1690000},{"id":86,"num":4}]</v>
      </c>
      <c r="J1067" s="3" t="s">
        <v>1036</v>
      </c>
      <c r="K1067" s="3"/>
      <c r="M1067" s="3" t="s">
        <v>514</v>
      </c>
      <c r="N1067" s="3">
        <f t="shared" si="801"/>
        <v>9</v>
      </c>
      <c r="O1067" s="3"/>
    </row>
    <row r="1068" spans="1:15" x14ac:dyDescent="0.15">
      <c r="A1068" s="3">
        <f t="shared" si="798"/>
        <v>1709004</v>
      </c>
      <c r="B1068" s="3">
        <v>17</v>
      </c>
      <c r="C1068" s="3">
        <v>0</v>
      </c>
      <c r="D1068" s="3">
        <v>0</v>
      </c>
      <c r="E1068" s="3">
        <f t="shared" si="799"/>
        <v>9</v>
      </c>
      <c r="F1068" s="3">
        <f t="shared" si="800"/>
        <v>4</v>
      </c>
      <c r="G1068" s="3" t="s">
        <v>1048</v>
      </c>
      <c r="H1068" s="3">
        <v>90</v>
      </c>
      <c r="I1068" s="3" t="str">
        <f>VLOOKUP(A1068,遗迹结算奖励!$A$1:$O$132,15,0)</f>
        <v>[{"id":2,"num":1698800},{"id":1,"num":1690000},{"id":86,"num":4}]</v>
      </c>
      <c r="J1068" s="3" t="s">
        <v>1036</v>
      </c>
      <c r="K1068" s="3"/>
      <c r="M1068" s="3" t="s">
        <v>514</v>
      </c>
      <c r="N1068" s="3">
        <f t="shared" si="801"/>
        <v>9</v>
      </c>
      <c r="O1068" s="3"/>
    </row>
    <row r="1069" spans="1:15" x14ac:dyDescent="0.15">
      <c r="A1069" s="3">
        <f t="shared" si="798"/>
        <v>1709005</v>
      </c>
      <c r="B1069" s="3">
        <v>17</v>
      </c>
      <c r="C1069" s="3">
        <v>0</v>
      </c>
      <c r="D1069" s="3">
        <v>0</v>
      </c>
      <c r="E1069" s="3">
        <f t="shared" si="799"/>
        <v>9</v>
      </c>
      <c r="F1069" s="3">
        <f t="shared" si="800"/>
        <v>5</v>
      </c>
      <c r="G1069" s="3" t="s">
        <v>1049</v>
      </c>
      <c r="H1069" s="3">
        <v>90</v>
      </c>
      <c r="I1069" s="3" t="str">
        <f>VLOOKUP(A1069,遗迹结算奖励!$A$1:$O$132,15,0)</f>
        <v>[{"id":2,"num":1698800},{"id":1,"num":1690000},{"id":86,"num":4}]</v>
      </c>
      <c r="J1069" s="3" t="s">
        <v>1036</v>
      </c>
      <c r="K1069" s="3"/>
      <c r="M1069" s="3" t="s">
        <v>514</v>
      </c>
      <c r="N1069" s="3">
        <f t="shared" si="801"/>
        <v>9</v>
      </c>
      <c r="O1069" s="3"/>
    </row>
    <row r="1070" spans="1:15" x14ac:dyDescent="0.15">
      <c r="A1070" s="3">
        <f t="shared" si="798"/>
        <v>1709006</v>
      </c>
      <c r="B1070" s="3">
        <v>17</v>
      </c>
      <c r="C1070" s="3">
        <v>0</v>
      </c>
      <c r="D1070" s="3">
        <v>0</v>
      </c>
      <c r="E1070" s="3">
        <f t="shared" si="799"/>
        <v>9</v>
      </c>
      <c r="F1070" s="3">
        <f t="shared" si="800"/>
        <v>6</v>
      </c>
      <c r="G1070" s="3" t="s">
        <v>1050</v>
      </c>
      <c r="H1070" s="3">
        <v>90</v>
      </c>
      <c r="I1070" s="3" t="str">
        <f>VLOOKUP(A1070,遗迹结算奖励!$A$1:$O$132,15,0)</f>
        <v>[{"id":2,"num":1698800},{"id":1,"num":1690000},{"id":86,"num":4}]</v>
      </c>
      <c r="J1070" s="3" t="s">
        <v>1036</v>
      </c>
      <c r="K1070" s="3"/>
      <c r="M1070" s="3" t="s">
        <v>514</v>
      </c>
      <c r="N1070" s="3">
        <f t="shared" si="801"/>
        <v>9</v>
      </c>
      <c r="O1070" s="3"/>
    </row>
    <row r="1071" spans="1:15" x14ac:dyDescent="0.15">
      <c r="A1071" s="3">
        <f t="shared" si="798"/>
        <v>1709007</v>
      </c>
      <c r="B1071" s="3">
        <v>17</v>
      </c>
      <c r="C1071" s="3">
        <v>0</v>
      </c>
      <c r="D1071" s="3">
        <v>0</v>
      </c>
      <c r="E1071" s="3">
        <f t="shared" si="799"/>
        <v>9</v>
      </c>
      <c r="F1071" s="3">
        <f t="shared" si="800"/>
        <v>7</v>
      </c>
      <c r="G1071" s="3" t="s">
        <v>1050</v>
      </c>
      <c r="H1071" s="3">
        <v>90</v>
      </c>
      <c r="I1071" s="3" t="str">
        <f>VLOOKUP(A1071,遗迹结算奖励!$A$1:$O$132,15,0)</f>
        <v>[{"id":2,"num":1698800},{"id":1,"num":1690000},{"id":86,"num":4}]</v>
      </c>
      <c r="J1071" s="3" t="s">
        <v>1036</v>
      </c>
      <c r="K1071" s="3"/>
      <c r="M1071" s="3" t="s">
        <v>514</v>
      </c>
      <c r="N1071" s="3">
        <f t="shared" si="801"/>
        <v>9</v>
      </c>
      <c r="O1071" s="3"/>
    </row>
    <row r="1072" spans="1:15" x14ac:dyDescent="0.15">
      <c r="A1072" s="3">
        <f t="shared" si="798"/>
        <v>1709008</v>
      </c>
      <c r="B1072" s="3">
        <v>17</v>
      </c>
      <c r="C1072" s="3">
        <v>0</v>
      </c>
      <c r="D1072" s="3">
        <v>0</v>
      </c>
      <c r="E1072" s="3">
        <f t="shared" si="799"/>
        <v>9</v>
      </c>
      <c r="F1072" s="3">
        <f t="shared" si="800"/>
        <v>8</v>
      </c>
      <c r="G1072" s="3" t="s">
        <v>1050</v>
      </c>
      <c r="H1072" s="3">
        <v>90</v>
      </c>
      <c r="I1072" s="3" t="str">
        <f>VLOOKUP(A1072,遗迹结算奖励!$A$1:$O$132,15,0)</f>
        <v>[{"id":2,"num":1698800},{"id":1,"num":1690000},{"id":86,"num":4}]</v>
      </c>
      <c r="J1072" s="3" t="s">
        <v>1036</v>
      </c>
      <c r="K1072" s="3"/>
      <c r="M1072" s="3" t="s">
        <v>514</v>
      </c>
      <c r="N1072" s="3">
        <f t="shared" si="801"/>
        <v>9</v>
      </c>
      <c r="O1072" s="3"/>
    </row>
    <row r="1073" spans="1:15" x14ac:dyDescent="0.15">
      <c r="A1073" s="3">
        <f t="shared" si="798"/>
        <v>1709009</v>
      </c>
      <c r="B1073" s="3">
        <v>17</v>
      </c>
      <c r="C1073" s="3">
        <v>0</v>
      </c>
      <c r="D1073" s="3">
        <v>0</v>
      </c>
      <c r="E1073" s="3">
        <f t="shared" si="799"/>
        <v>9</v>
      </c>
      <c r="F1073" s="3">
        <f t="shared" si="800"/>
        <v>9</v>
      </c>
      <c r="G1073" s="3" t="s">
        <v>1050</v>
      </c>
      <c r="H1073" s="3">
        <v>90</v>
      </c>
      <c r="I1073" s="3" t="str">
        <f>VLOOKUP(A1073,遗迹结算奖励!$A$1:$O$132,15,0)</f>
        <v>[{"id":2,"num":1698800},{"id":1,"num":1690000},{"id":86,"num":4}]</v>
      </c>
      <c r="J1073" s="3" t="s">
        <v>1036</v>
      </c>
      <c r="K1073" s="3"/>
      <c r="M1073" s="3" t="s">
        <v>514</v>
      </c>
      <c r="N1073" s="3">
        <f t="shared" si="801"/>
        <v>9</v>
      </c>
      <c r="O1073" s="3"/>
    </row>
    <row r="1074" spans="1:15" x14ac:dyDescent="0.15">
      <c r="A1074" s="3">
        <f t="shared" si="798"/>
        <v>1709010</v>
      </c>
      <c r="B1074" s="3">
        <v>17</v>
      </c>
      <c r="C1074" s="3">
        <v>0</v>
      </c>
      <c r="D1074" s="3">
        <v>0</v>
      </c>
      <c r="E1074" s="3">
        <f t="shared" si="799"/>
        <v>9</v>
      </c>
      <c r="F1074" s="3">
        <f t="shared" si="800"/>
        <v>10</v>
      </c>
      <c r="G1074" s="3" t="s">
        <v>1051</v>
      </c>
      <c r="H1074" s="3">
        <v>90</v>
      </c>
      <c r="I1074" s="3" t="str">
        <f>VLOOKUP(A1074,遗迹结算奖励!$A$1:$O$132,15,0)</f>
        <v>[{"id":2,"num":1698800},{"id":1,"num":1690000},{"id":86,"num":4}]</v>
      </c>
      <c r="J1074" s="3" t="s">
        <v>1036</v>
      </c>
      <c r="K1074" s="3"/>
      <c r="M1074" s="3" t="s">
        <v>1052</v>
      </c>
      <c r="N1074" s="3">
        <f t="shared" si="801"/>
        <v>9</v>
      </c>
      <c r="O1074" s="3">
        <v>1</v>
      </c>
    </row>
    <row r="1075" spans="1:15" x14ac:dyDescent="0.15">
      <c r="A1075" s="3">
        <f t="shared" si="798"/>
        <v>1710001</v>
      </c>
      <c r="B1075" s="3">
        <v>17</v>
      </c>
      <c r="C1075" s="3">
        <v>0</v>
      </c>
      <c r="D1075" s="3">
        <v>0</v>
      </c>
      <c r="E1075" s="3">
        <f t="shared" si="799"/>
        <v>10</v>
      </c>
      <c r="F1075" s="3">
        <f t="shared" si="800"/>
        <v>1</v>
      </c>
      <c r="G1075" s="3" t="s">
        <v>1053</v>
      </c>
      <c r="H1075" s="3">
        <v>90</v>
      </c>
      <c r="I1075" s="3" t="str">
        <f>VLOOKUP(A1075,遗迹结算奖励!$A$1:$O$132,15,0)</f>
        <v>[{"id":2,"num":1698800},{"id":1,"num":1690000},{"id":86,"num":5}]</v>
      </c>
      <c r="J1075" s="3" t="s">
        <v>1036</v>
      </c>
      <c r="K1075" s="3"/>
      <c r="M1075" s="3" t="s">
        <v>514</v>
      </c>
      <c r="N1075" s="3">
        <f t="shared" si="801"/>
        <v>10</v>
      </c>
      <c r="O1075" s="3"/>
    </row>
    <row r="1076" spans="1:15" x14ac:dyDescent="0.15">
      <c r="A1076" s="3">
        <f t="shared" si="798"/>
        <v>1710002</v>
      </c>
      <c r="B1076" s="3">
        <v>17</v>
      </c>
      <c r="C1076" s="3">
        <v>0</v>
      </c>
      <c r="D1076" s="3">
        <v>0</v>
      </c>
      <c r="E1076" s="3">
        <f t="shared" si="799"/>
        <v>10</v>
      </c>
      <c r="F1076" s="3">
        <f t="shared" si="800"/>
        <v>2</v>
      </c>
      <c r="G1076" s="3" t="s">
        <v>1053</v>
      </c>
      <c r="H1076" s="3">
        <v>90</v>
      </c>
      <c r="I1076" s="3" t="str">
        <f>VLOOKUP(A1076,遗迹结算奖励!$A$1:$O$132,15,0)</f>
        <v>[{"id":2,"num":1698800},{"id":1,"num":1690000},{"id":86,"num":5}]</v>
      </c>
      <c r="J1076" s="3" t="s">
        <v>1036</v>
      </c>
      <c r="K1076" s="3"/>
      <c r="M1076" s="3" t="s">
        <v>514</v>
      </c>
      <c r="N1076" s="3">
        <f t="shared" si="801"/>
        <v>10</v>
      </c>
      <c r="O1076" s="3"/>
    </row>
    <row r="1077" spans="1:15" x14ac:dyDescent="0.15">
      <c r="A1077" s="3">
        <f t="shared" si="798"/>
        <v>1710003</v>
      </c>
      <c r="B1077" s="3">
        <v>17</v>
      </c>
      <c r="C1077" s="3">
        <v>0</v>
      </c>
      <c r="D1077" s="3">
        <v>0</v>
      </c>
      <c r="E1077" s="3">
        <f t="shared" si="799"/>
        <v>10</v>
      </c>
      <c r="F1077" s="3">
        <f t="shared" si="800"/>
        <v>3</v>
      </c>
      <c r="G1077" s="3" t="s">
        <v>1053</v>
      </c>
      <c r="H1077" s="3">
        <v>90</v>
      </c>
      <c r="I1077" s="3" t="str">
        <f>VLOOKUP(A1077,遗迹结算奖励!$A$1:$O$132,15,0)</f>
        <v>[{"id":2,"num":1698800},{"id":1,"num":1690000},{"id":86,"num":5}]</v>
      </c>
      <c r="J1077" s="3" t="s">
        <v>1036</v>
      </c>
      <c r="K1077" s="3"/>
      <c r="M1077" s="3" t="s">
        <v>514</v>
      </c>
      <c r="N1077" s="3">
        <f t="shared" si="801"/>
        <v>10</v>
      </c>
      <c r="O1077" s="3"/>
    </row>
    <row r="1078" spans="1:15" x14ac:dyDescent="0.15">
      <c r="A1078" s="3">
        <f t="shared" si="798"/>
        <v>1710004</v>
      </c>
      <c r="B1078" s="3">
        <v>17</v>
      </c>
      <c r="C1078" s="3">
        <v>0</v>
      </c>
      <c r="D1078" s="3">
        <v>0</v>
      </c>
      <c r="E1078" s="3">
        <f t="shared" si="799"/>
        <v>10</v>
      </c>
      <c r="F1078" s="3">
        <f t="shared" si="800"/>
        <v>4</v>
      </c>
      <c r="G1078" s="3" t="s">
        <v>1053</v>
      </c>
      <c r="H1078" s="3">
        <v>90</v>
      </c>
      <c r="I1078" s="3" t="str">
        <f>VLOOKUP(A1078,遗迹结算奖励!$A$1:$O$132,15,0)</f>
        <v>[{"id":2,"num":1698800},{"id":1,"num":1690000},{"id":86,"num":5}]</v>
      </c>
      <c r="J1078" s="3" t="s">
        <v>1036</v>
      </c>
      <c r="K1078" s="3"/>
      <c r="M1078" s="3" t="s">
        <v>514</v>
      </c>
      <c r="N1078" s="3">
        <f t="shared" si="801"/>
        <v>10</v>
      </c>
      <c r="O1078" s="3"/>
    </row>
    <row r="1079" spans="1:15" x14ac:dyDescent="0.15">
      <c r="A1079" s="3">
        <f t="shared" si="798"/>
        <v>1710005</v>
      </c>
      <c r="B1079" s="3">
        <v>17</v>
      </c>
      <c r="C1079" s="3">
        <v>0</v>
      </c>
      <c r="D1079" s="3">
        <v>0</v>
      </c>
      <c r="E1079" s="3">
        <f t="shared" si="799"/>
        <v>10</v>
      </c>
      <c r="F1079" s="3">
        <f t="shared" si="800"/>
        <v>5</v>
      </c>
      <c r="G1079" s="3" t="s">
        <v>1054</v>
      </c>
      <c r="H1079" s="3">
        <v>90</v>
      </c>
      <c r="I1079" s="3" t="str">
        <f>VLOOKUP(A1079,遗迹结算奖励!$A$1:$O$132,15,0)</f>
        <v>[{"id":2,"num":1698800},{"id":1,"num":1690000},{"id":86,"num":5}]</v>
      </c>
      <c r="J1079" s="3" t="s">
        <v>1036</v>
      </c>
      <c r="K1079" s="3"/>
      <c r="M1079" s="3" t="s">
        <v>514</v>
      </c>
      <c r="N1079" s="3">
        <f t="shared" si="801"/>
        <v>10</v>
      </c>
      <c r="O1079" s="3"/>
    </row>
    <row r="1080" spans="1:15" x14ac:dyDescent="0.15">
      <c r="A1080" s="3">
        <f t="shared" si="798"/>
        <v>1710006</v>
      </c>
      <c r="B1080" s="3">
        <v>17</v>
      </c>
      <c r="C1080" s="3">
        <v>0</v>
      </c>
      <c r="D1080" s="3">
        <v>0</v>
      </c>
      <c r="E1080" s="3">
        <f t="shared" si="799"/>
        <v>10</v>
      </c>
      <c r="F1080" s="3">
        <f t="shared" si="800"/>
        <v>6</v>
      </c>
      <c r="G1080" s="3" t="s">
        <v>1055</v>
      </c>
      <c r="H1080" s="3">
        <v>90</v>
      </c>
      <c r="I1080" s="3" t="str">
        <f>VLOOKUP(A1080,遗迹结算奖励!$A$1:$O$132,15,0)</f>
        <v>[{"id":2,"num":1698800},{"id":1,"num":1690000},{"id":86,"num":5}]</v>
      </c>
      <c r="J1080" s="3" t="s">
        <v>1036</v>
      </c>
      <c r="K1080" s="3"/>
      <c r="M1080" s="3" t="s">
        <v>514</v>
      </c>
      <c r="N1080" s="3">
        <f t="shared" si="801"/>
        <v>10</v>
      </c>
      <c r="O1080" s="3"/>
    </row>
    <row r="1081" spans="1:15" x14ac:dyDescent="0.15">
      <c r="A1081" s="3">
        <f t="shared" si="798"/>
        <v>1710007</v>
      </c>
      <c r="B1081" s="3">
        <v>17</v>
      </c>
      <c r="C1081" s="3">
        <v>0</v>
      </c>
      <c r="D1081" s="3">
        <v>0</v>
      </c>
      <c r="E1081" s="3">
        <f t="shared" si="799"/>
        <v>10</v>
      </c>
      <c r="F1081" s="3">
        <f t="shared" si="800"/>
        <v>7</v>
      </c>
      <c r="G1081" s="3" t="s">
        <v>1055</v>
      </c>
      <c r="H1081" s="3">
        <v>90</v>
      </c>
      <c r="I1081" s="3" t="str">
        <f>VLOOKUP(A1081,遗迹结算奖励!$A$1:$O$132,15,0)</f>
        <v>[{"id":2,"num":1698800},{"id":1,"num":1690000},{"id":86,"num":5}]</v>
      </c>
      <c r="J1081" s="3" t="s">
        <v>1036</v>
      </c>
      <c r="K1081" s="3"/>
      <c r="M1081" s="3" t="s">
        <v>514</v>
      </c>
      <c r="N1081" s="3">
        <f t="shared" si="801"/>
        <v>10</v>
      </c>
      <c r="O1081" s="3"/>
    </row>
    <row r="1082" spans="1:15" x14ac:dyDescent="0.15">
      <c r="A1082" s="3">
        <f t="shared" si="798"/>
        <v>1710008</v>
      </c>
      <c r="B1082" s="3">
        <v>17</v>
      </c>
      <c r="C1082" s="3">
        <v>0</v>
      </c>
      <c r="D1082" s="3">
        <v>0</v>
      </c>
      <c r="E1082" s="3">
        <f t="shared" si="799"/>
        <v>10</v>
      </c>
      <c r="F1082" s="3">
        <f t="shared" si="800"/>
        <v>8</v>
      </c>
      <c r="G1082" s="3" t="s">
        <v>1055</v>
      </c>
      <c r="H1082" s="3">
        <v>90</v>
      </c>
      <c r="I1082" s="3" t="str">
        <f>VLOOKUP(A1082,遗迹结算奖励!$A$1:$O$132,15,0)</f>
        <v>[{"id":2,"num":1698800},{"id":1,"num":1690000},{"id":86,"num":5}]</v>
      </c>
      <c r="J1082" s="3" t="s">
        <v>1036</v>
      </c>
      <c r="K1082" s="3"/>
      <c r="M1082" s="3" t="s">
        <v>514</v>
      </c>
      <c r="N1082" s="3">
        <f t="shared" si="801"/>
        <v>10</v>
      </c>
      <c r="O1082" s="3"/>
    </row>
    <row r="1083" spans="1:15" x14ac:dyDescent="0.15">
      <c r="A1083" s="3">
        <f t="shared" si="798"/>
        <v>1710009</v>
      </c>
      <c r="B1083" s="3">
        <v>17</v>
      </c>
      <c r="C1083" s="3">
        <v>0</v>
      </c>
      <c r="D1083" s="3">
        <v>0</v>
      </c>
      <c r="E1083" s="3">
        <f t="shared" si="799"/>
        <v>10</v>
      </c>
      <c r="F1083" s="3">
        <f t="shared" si="800"/>
        <v>9</v>
      </c>
      <c r="G1083" s="3" t="s">
        <v>1055</v>
      </c>
      <c r="H1083" s="3">
        <v>90</v>
      </c>
      <c r="I1083" s="3" t="str">
        <f>VLOOKUP(A1083,遗迹结算奖励!$A$1:$O$132,15,0)</f>
        <v>[{"id":2,"num":1698800},{"id":1,"num":1690000},{"id":86,"num":5}]</v>
      </c>
      <c r="J1083" s="3" t="s">
        <v>1036</v>
      </c>
      <c r="K1083" s="3"/>
      <c r="M1083" s="3" t="s">
        <v>514</v>
      </c>
      <c r="N1083" s="3">
        <f t="shared" si="801"/>
        <v>10</v>
      </c>
      <c r="O1083" s="3"/>
    </row>
    <row r="1084" spans="1:15" x14ac:dyDescent="0.15">
      <c r="A1084" s="3">
        <f t="shared" si="798"/>
        <v>1710010</v>
      </c>
      <c r="B1084" s="3">
        <v>17</v>
      </c>
      <c r="C1084" s="3">
        <v>0</v>
      </c>
      <c r="D1084" s="3">
        <v>0</v>
      </c>
      <c r="E1084" s="3">
        <f t="shared" ref="E1084:E1102" si="802">E1074+1</f>
        <v>10</v>
      </c>
      <c r="F1084" s="3">
        <f t="shared" si="800"/>
        <v>10</v>
      </c>
      <c r="G1084" s="3" t="s">
        <v>1056</v>
      </c>
      <c r="H1084" s="3">
        <v>90</v>
      </c>
      <c r="I1084" s="3" t="str">
        <f>VLOOKUP(A1084,遗迹结算奖励!$A$1:$O$132,15,0)</f>
        <v>[{"id":2,"num":1698800},{"id":1,"num":1690000},{"id":86,"num":5}]</v>
      </c>
      <c r="J1084" s="3" t="s">
        <v>1036</v>
      </c>
      <c r="K1084" s="3"/>
      <c r="M1084" s="3" t="s">
        <v>1057</v>
      </c>
      <c r="N1084" s="3">
        <f t="shared" si="801"/>
        <v>10</v>
      </c>
      <c r="O1084" s="3">
        <v>1</v>
      </c>
    </row>
    <row r="1085" spans="1:15" x14ac:dyDescent="0.15">
      <c r="A1085" s="3">
        <f t="shared" si="798"/>
        <v>1711001</v>
      </c>
      <c r="B1085" s="3">
        <v>17</v>
      </c>
      <c r="C1085" s="3">
        <v>0</v>
      </c>
      <c r="D1085" s="3">
        <v>0</v>
      </c>
      <c r="E1085" s="3">
        <f t="shared" si="802"/>
        <v>11</v>
      </c>
      <c r="F1085" s="3">
        <f t="shared" si="800"/>
        <v>1</v>
      </c>
      <c r="G1085" s="3" t="s">
        <v>1058</v>
      </c>
      <c r="H1085" s="3">
        <v>90</v>
      </c>
      <c r="I1085" s="3" t="str">
        <f>VLOOKUP(A1085,遗迹结算奖励!$A$1:$O$132,15,0)</f>
        <v>[{"id":2,"num":1698800},{"id":1,"num":1690000},{"id":86,"num":6}]</v>
      </c>
      <c r="J1085" s="3" t="s">
        <v>1036</v>
      </c>
      <c r="K1085" s="3"/>
      <c r="M1085" s="3" t="s">
        <v>514</v>
      </c>
      <c r="N1085" s="3">
        <f t="shared" si="801"/>
        <v>11</v>
      </c>
      <c r="O1085" s="3"/>
    </row>
    <row r="1086" spans="1:15" x14ac:dyDescent="0.15">
      <c r="A1086" s="3">
        <f t="shared" si="798"/>
        <v>1711002</v>
      </c>
      <c r="B1086" s="3">
        <v>17</v>
      </c>
      <c r="C1086" s="3">
        <v>0</v>
      </c>
      <c r="D1086" s="3">
        <v>0</v>
      </c>
      <c r="E1086" s="3">
        <f t="shared" si="802"/>
        <v>11</v>
      </c>
      <c r="F1086" s="3">
        <f t="shared" si="800"/>
        <v>2</v>
      </c>
      <c r="G1086" s="3" t="s">
        <v>1058</v>
      </c>
      <c r="H1086" s="3">
        <v>90</v>
      </c>
      <c r="I1086" s="3" t="str">
        <f>VLOOKUP(A1086,遗迹结算奖励!$A$1:$O$132,15,0)</f>
        <v>[{"id":2,"num":1698800},{"id":1,"num":1690000},{"id":86,"num":6}]</v>
      </c>
      <c r="J1086" s="3" t="s">
        <v>1036</v>
      </c>
      <c r="K1086" s="3"/>
      <c r="M1086" s="3" t="s">
        <v>514</v>
      </c>
      <c r="N1086" s="3">
        <f t="shared" si="801"/>
        <v>11</v>
      </c>
      <c r="O1086" s="3"/>
    </row>
    <row r="1087" spans="1:15" x14ac:dyDescent="0.15">
      <c r="A1087" s="3">
        <f t="shared" si="798"/>
        <v>1711003</v>
      </c>
      <c r="B1087" s="3">
        <v>17</v>
      </c>
      <c r="C1087" s="3">
        <v>0</v>
      </c>
      <c r="D1087" s="3">
        <v>0</v>
      </c>
      <c r="E1087" s="3">
        <f t="shared" si="802"/>
        <v>11</v>
      </c>
      <c r="F1087" s="3">
        <f t="shared" si="800"/>
        <v>3</v>
      </c>
      <c r="G1087" s="3" t="s">
        <v>1058</v>
      </c>
      <c r="H1087" s="3">
        <v>90</v>
      </c>
      <c r="I1087" s="3" t="str">
        <f>VLOOKUP(A1087,遗迹结算奖励!$A$1:$O$132,15,0)</f>
        <v>[{"id":2,"num":1698800},{"id":1,"num":1690000},{"id":86,"num":6}]</v>
      </c>
      <c r="J1087" s="3" t="s">
        <v>1036</v>
      </c>
      <c r="K1087" s="3"/>
      <c r="M1087" s="3" t="s">
        <v>514</v>
      </c>
      <c r="N1087" s="3">
        <f t="shared" si="801"/>
        <v>11</v>
      </c>
      <c r="O1087" s="3"/>
    </row>
    <row r="1088" spans="1:15" x14ac:dyDescent="0.15">
      <c r="A1088" s="3">
        <f t="shared" si="798"/>
        <v>1711004</v>
      </c>
      <c r="B1088" s="3">
        <v>17</v>
      </c>
      <c r="C1088" s="3">
        <v>0</v>
      </c>
      <c r="D1088" s="3">
        <v>0</v>
      </c>
      <c r="E1088" s="3">
        <f t="shared" si="802"/>
        <v>11</v>
      </c>
      <c r="F1088" s="3">
        <f t="shared" si="800"/>
        <v>4</v>
      </c>
      <c r="G1088" s="3" t="s">
        <v>1058</v>
      </c>
      <c r="H1088" s="3">
        <v>90</v>
      </c>
      <c r="I1088" s="3" t="str">
        <f>VLOOKUP(A1088,遗迹结算奖励!$A$1:$O$132,15,0)</f>
        <v>[{"id":2,"num":1698800},{"id":1,"num":1690000},{"id":86,"num":6}]</v>
      </c>
      <c r="J1088" s="3" t="s">
        <v>1036</v>
      </c>
      <c r="K1088" s="3"/>
      <c r="M1088" s="3" t="s">
        <v>514</v>
      </c>
      <c r="N1088" s="3">
        <f t="shared" si="801"/>
        <v>11</v>
      </c>
      <c r="O1088" s="3"/>
    </row>
    <row r="1089" spans="1:15" x14ac:dyDescent="0.15">
      <c r="A1089" s="3">
        <f t="shared" si="798"/>
        <v>1711005</v>
      </c>
      <c r="B1089" s="3">
        <v>17</v>
      </c>
      <c r="C1089" s="3">
        <v>0</v>
      </c>
      <c r="D1089" s="3">
        <v>0</v>
      </c>
      <c r="E1089" s="3">
        <f t="shared" si="802"/>
        <v>11</v>
      </c>
      <c r="F1089" s="3">
        <f t="shared" si="800"/>
        <v>5</v>
      </c>
      <c r="G1089" s="3" t="s">
        <v>1059</v>
      </c>
      <c r="H1089" s="3">
        <v>90</v>
      </c>
      <c r="I1089" s="3" t="str">
        <f>VLOOKUP(A1089,遗迹结算奖励!$A$1:$O$132,15,0)</f>
        <v>[{"id":2,"num":1698800},{"id":1,"num":1690000},{"id":86,"num":6}]</v>
      </c>
      <c r="J1089" s="3" t="s">
        <v>1036</v>
      </c>
      <c r="K1089" s="3"/>
      <c r="M1089" s="3" t="s">
        <v>514</v>
      </c>
      <c r="N1089" s="3">
        <f t="shared" si="801"/>
        <v>11</v>
      </c>
      <c r="O1089" s="3"/>
    </row>
    <row r="1090" spans="1:15" x14ac:dyDescent="0.15">
      <c r="A1090" s="3">
        <f t="shared" si="798"/>
        <v>1711006</v>
      </c>
      <c r="B1090" s="3">
        <v>17</v>
      </c>
      <c r="C1090" s="3">
        <v>0</v>
      </c>
      <c r="D1090" s="3">
        <v>0</v>
      </c>
      <c r="E1090" s="3">
        <f t="shared" si="802"/>
        <v>11</v>
      </c>
      <c r="F1090" s="3">
        <f t="shared" si="800"/>
        <v>6</v>
      </c>
      <c r="G1090" s="3" t="s">
        <v>1060</v>
      </c>
      <c r="H1090" s="3">
        <v>90</v>
      </c>
      <c r="I1090" s="3" t="str">
        <f>VLOOKUP(A1090,遗迹结算奖励!$A$1:$O$132,15,0)</f>
        <v>[{"id":2,"num":1698800},{"id":1,"num":1690000},{"id":86,"num":6}]</v>
      </c>
      <c r="J1090" s="3" t="s">
        <v>1036</v>
      </c>
      <c r="K1090" s="3"/>
      <c r="M1090" s="3" t="s">
        <v>514</v>
      </c>
      <c r="N1090" s="3">
        <f t="shared" si="801"/>
        <v>11</v>
      </c>
      <c r="O1090" s="3"/>
    </row>
    <row r="1091" spans="1:15" x14ac:dyDescent="0.15">
      <c r="A1091" s="3">
        <f t="shared" si="798"/>
        <v>1711007</v>
      </c>
      <c r="B1091" s="3">
        <v>17</v>
      </c>
      <c r="C1091" s="3">
        <v>0</v>
      </c>
      <c r="D1091" s="3">
        <v>0</v>
      </c>
      <c r="E1091" s="3">
        <f t="shared" si="802"/>
        <v>11</v>
      </c>
      <c r="F1091" s="3">
        <f t="shared" si="800"/>
        <v>7</v>
      </c>
      <c r="G1091" s="3" t="s">
        <v>1060</v>
      </c>
      <c r="H1091" s="3">
        <v>90</v>
      </c>
      <c r="I1091" s="3" t="str">
        <f>VLOOKUP(A1091,遗迹结算奖励!$A$1:$O$132,15,0)</f>
        <v>[{"id":2,"num":1698800},{"id":1,"num":1690000},{"id":86,"num":6}]</v>
      </c>
      <c r="J1091" s="3" t="s">
        <v>1036</v>
      </c>
      <c r="K1091" s="3"/>
      <c r="M1091" s="3" t="s">
        <v>514</v>
      </c>
      <c r="N1091" s="3">
        <f t="shared" si="801"/>
        <v>11</v>
      </c>
      <c r="O1091" s="3"/>
    </row>
    <row r="1092" spans="1:15" x14ac:dyDescent="0.15">
      <c r="A1092" s="3">
        <f t="shared" si="798"/>
        <v>1711008</v>
      </c>
      <c r="B1092" s="3">
        <v>17</v>
      </c>
      <c r="C1092" s="3">
        <v>0</v>
      </c>
      <c r="D1092" s="3">
        <v>0</v>
      </c>
      <c r="E1092" s="3">
        <f t="shared" si="802"/>
        <v>11</v>
      </c>
      <c r="F1092" s="3">
        <f t="shared" si="800"/>
        <v>8</v>
      </c>
      <c r="G1092" s="3" t="s">
        <v>1060</v>
      </c>
      <c r="H1092" s="3">
        <v>90</v>
      </c>
      <c r="I1092" s="3" t="str">
        <f>VLOOKUP(A1092,遗迹结算奖励!$A$1:$O$132,15,0)</f>
        <v>[{"id":2,"num":1698800},{"id":1,"num":1690000},{"id":86,"num":6}]</v>
      </c>
      <c r="J1092" s="3" t="s">
        <v>1036</v>
      </c>
      <c r="K1092" s="3"/>
      <c r="M1092" s="3" t="s">
        <v>514</v>
      </c>
      <c r="N1092" s="3">
        <f t="shared" si="801"/>
        <v>11</v>
      </c>
      <c r="O1092" s="3"/>
    </row>
    <row r="1093" spans="1:15" x14ac:dyDescent="0.15">
      <c r="A1093" s="3">
        <f t="shared" si="798"/>
        <v>1711009</v>
      </c>
      <c r="B1093" s="3">
        <v>17</v>
      </c>
      <c r="C1093" s="3">
        <v>0</v>
      </c>
      <c r="D1093" s="3">
        <v>0</v>
      </c>
      <c r="E1093" s="3">
        <f t="shared" si="802"/>
        <v>11</v>
      </c>
      <c r="F1093" s="3">
        <f t="shared" si="800"/>
        <v>9</v>
      </c>
      <c r="G1093" s="3" t="s">
        <v>1060</v>
      </c>
      <c r="H1093" s="3">
        <v>90</v>
      </c>
      <c r="I1093" s="3" t="str">
        <f>VLOOKUP(A1093,遗迹结算奖励!$A$1:$O$132,15,0)</f>
        <v>[{"id":2,"num":1698800},{"id":1,"num":1690000},{"id":86,"num":6}]</v>
      </c>
      <c r="J1093" s="3" t="s">
        <v>1036</v>
      </c>
      <c r="K1093" s="3"/>
      <c r="M1093" s="3" t="s">
        <v>514</v>
      </c>
      <c r="N1093" s="3">
        <f t="shared" si="801"/>
        <v>11</v>
      </c>
      <c r="O1093" s="3"/>
    </row>
    <row r="1094" spans="1:15" x14ac:dyDescent="0.15">
      <c r="A1094" s="3">
        <f t="shared" si="798"/>
        <v>1711010</v>
      </c>
      <c r="B1094" s="3">
        <v>17</v>
      </c>
      <c r="C1094" s="3">
        <v>0</v>
      </c>
      <c r="D1094" s="3">
        <v>0</v>
      </c>
      <c r="E1094" s="3">
        <f t="shared" si="802"/>
        <v>11</v>
      </c>
      <c r="F1094" s="3">
        <f t="shared" si="800"/>
        <v>10</v>
      </c>
      <c r="G1094" s="3" t="s">
        <v>1061</v>
      </c>
      <c r="H1094" s="3">
        <v>90</v>
      </c>
      <c r="I1094" s="3" t="str">
        <f>VLOOKUP(A1094,遗迹结算奖励!$A$1:$O$132,15,0)</f>
        <v>[{"id":2,"num":1698800},{"id":1,"num":1690000},{"id":86,"num":6}]</v>
      </c>
      <c r="J1094" s="3" t="s">
        <v>1036</v>
      </c>
      <c r="K1094" s="3"/>
      <c r="M1094" s="3" t="s">
        <v>1062</v>
      </c>
      <c r="N1094" s="3">
        <f t="shared" si="801"/>
        <v>11</v>
      </c>
      <c r="O1094" s="3">
        <v>1</v>
      </c>
    </row>
    <row r="1095" spans="1:15" x14ac:dyDescent="0.15">
      <c r="A1095" s="3">
        <f t="shared" si="798"/>
        <v>1712001</v>
      </c>
      <c r="B1095" s="3">
        <v>17</v>
      </c>
      <c r="C1095" s="3">
        <v>0</v>
      </c>
      <c r="D1095" s="3">
        <v>0</v>
      </c>
      <c r="E1095" s="3">
        <f t="shared" si="802"/>
        <v>12</v>
      </c>
      <c r="F1095" s="3">
        <f t="shared" si="800"/>
        <v>1</v>
      </c>
      <c r="G1095" s="3" t="s">
        <v>1063</v>
      </c>
      <c r="H1095" s="3">
        <v>90</v>
      </c>
      <c r="I1095" s="3" t="str">
        <f>VLOOKUP(A1095,遗迹结算奖励!$A$1:$O$132,15,0)</f>
        <v>[{"id":2,"num":1698800},{"id":1,"num":1690000},{"id":86,"num":7}]</v>
      </c>
      <c r="J1095" s="3" t="s">
        <v>1036</v>
      </c>
      <c r="K1095" s="3"/>
      <c r="M1095" s="3" t="s">
        <v>514</v>
      </c>
      <c r="N1095" s="3">
        <f t="shared" si="801"/>
        <v>12</v>
      </c>
      <c r="O1095" s="3"/>
    </row>
    <row r="1096" spans="1:15" x14ac:dyDescent="0.15">
      <c r="A1096" s="3">
        <f t="shared" si="798"/>
        <v>1712002</v>
      </c>
      <c r="B1096" s="3">
        <v>17</v>
      </c>
      <c r="C1096" s="3">
        <v>0</v>
      </c>
      <c r="D1096" s="3">
        <v>0</v>
      </c>
      <c r="E1096" s="3">
        <f t="shared" si="802"/>
        <v>12</v>
      </c>
      <c r="F1096" s="3">
        <f t="shared" si="800"/>
        <v>2</v>
      </c>
      <c r="G1096" s="3" t="s">
        <v>1063</v>
      </c>
      <c r="H1096" s="3">
        <v>90</v>
      </c>
      <c r="I1096" s="3" t="str">
        <f>VLOOKUP(A1096,遗迹结算奖励!$A$1:$O$132,15,0)</f>
        <v>[{"id":2,"num":1698800},{"id":1,"num":1690000},{"id":86,"num":7}]</v>
      </c>
      <c r="J1096" s="3" t="s">
        <v>1036</v>
      </c>
      <c r="K1096" s="3"/>
      <c r="M1096" s="3" t="s">
        <v>514</v>
      </c>
      <c r="N1096" s="3">
        <f t="shared" si="801"/>
        <v>12</v>
      </c>
      <c r="O1096" s="3"/>
    </row>
    <row r="1097" spans="1:15" x14ac:dyDescent="0.15">
      <c r="A1097" s="3">
        <f t="shared" ref="A1097:A1114" si="803">B1097*100000+E1097*1000+F1097</f>
        <v>1712003</v>
      </c>
      <c r="B1097" s="3">
        <v>17</v>
      </c>
      <c r="C1097" s="3">
        <v>0</v>
      </c>
      <c r="D1097" s="3">
        <v>0</v>
      </c>
      <c r="E1097" s="3">
        <f t="shared" si="802"/>
        <v>12</v>
      </c>
      <c r="F1097" s="3">
        <f t="shared" si="800"/>
        <v>3</v>
      </c>
      <c r="G1097" s="3" t="s">
        <v>1063</v>
      </c>
      <c r="H1097" s="3">
        <v>90</v>
      </c>
      <c r="I1097" s="3" t="str">
        <f>VLOOKUP(A1097,遗迹结算奖励!$A$1:$O$132,15,0)</f>
        <v>[{"id":2,"num":1698800},{"id":1,"num":1690000},{"id":86,"num":7}]</v>
      </c>
      <c r="J1097" s="3" t="s">
        <v>1036</v>
      </c>
      <c r="K1097" s="3"/>
      <c r="M1097" s="3" t="s">
        <v>514</v>
      </c>
      <c r="N1097" s="3">
        <f t="shared" si="801"/>
        <v>12</v>
      </c>
      <c r="O1097" s="3"/>
    </row>
    <row r="1098" spans="1:15" x14ac:dyDescent="0.15">
      <c r="A1098" s="3">
        <f t="shared" si="803"/>
        <v>1712004</v>
      </c>
      <c r="B1098" s="3">
        <v>17</v>
      </c>
      <c r="C1098" s="3">
        <v>0</v>
      </c>
      <c r="D1098" s="3">
        <v>0</v>
      </c>
      <c r="E1098" s="3">
        <f t="shared" si="802"/>
        <v>12</v>
      </c>
      <c r="F1098" s="3">
        <f t="shared" si="800"/>
        <v>4</v>
      </c>
      <c r="G1098" s="3" t="s">
        <v>1063</v>
      </c>
      <c r="H1098" s="3">
        <v>90</v>
      </c>
      <c r="I1098" s="3" t="str">
        <f>VLOOKUP(A1098,遗迹结算奖励!$A$1:$O$132,15,0)</f>
        <v>[{"id":2,"num":1698800},{"id":1,"num":1690000},{"id":86,"num":7}]</v>
      </c>
      <c r="J1098" s="3" t="s">
        <v>1036</v>
      </c>
      <c r="K1098" s="3"/>
      <c r="M1098" s="3" t="s">
        <v>514</v>
      </c>
      <c r="N1098" s="3">
        <f t="shared" si="801"/>
        <v>12</v>
      </c>
      <c r="O1098" s="3"/>
    </row>
    <row r="1099" spans="1:15" x14ac:dyDescent="0.15">
      <c r="A1099" s="3">
        <f t="shared" si="803"/>
        <v>1712005</v>
      </c>
      <c r="B1099" s="3">
        <v>17</v>
      </c>
      <c r="C1099" s="3">
        <v>0</v>
      </c>
      <c r="D1099" s="3">
        <v>0</v>
      </c>
      <c r="E1099" s="3">
        <f t="shared" si="802"/>
        <v>12</v>
      </c>
      <c r="F1099" s="3">
        <f t="shared" si="800"/>
        <v>5</v>
      </c>
      <c r="G1099" s="3" t="s">
        <v>1064</v>
      </c>
      <c r="H1099" s="3">
        <v>90</v>
      </c>
      <c r="I1099" s="3" t="str">
        <f>VLOOKUP(A1099,遗迹结算奖励!$A$1:$O$132,15,0)</f>
        <v>[{"id":2,"num":1698800},{"id":1,"num":1690000},{"id":86,"num":7}]</v>
      </c>
      <c r="J1099" s="3" t="s">
        <v>1036</v>
      </c>
      <c r="K1099" s="3"/>
      <c r="M1099" s="3" t="s">
        <v>514</v>
      </c>
      <c r="N1099" s="3">
        <f t="shared" si="801"/>
        <v>12</v>
      </c>
      <c r="O1099" s="3"/>
    </row>
    <row r="1100" spans="1:15" x14ac:dyDescent="0.15">
      <c r="A1100" s="3">
        <f t="shared" si="803"/>
        <v>1712006</v>
      </c>
      <c r="B1100" s="3">
        <v>17</v>
      </c>
      <c r="C1100" s="3">
        <v>0</v>
      </c>
      <c r="D1100" s="3">
        <v>0</v>
      </c>
      <c r="E1100" s="3">
        <f t="shared" si="802"/>
        <v>12</v>
      </c>
      <c r="F1100" s="3">
        <f t="shared" si="800"/>
        <v>6</v>
      </c>
      <c r="G1100" s="3" t="s">
        <v>1065</v>
      </c>
      <c r="H1100" s="3">
        <v>90</v>
      </c>
      <c r="I1100" s="3" t="str">
        <f>VLOOKUP(A1100,遗迹结算奖励!$A$1:$O$132,15,0)</f>
        <v>[{"id":2,"num":1698800},{"id":1,"num":1690000},{"id":86,"num":7}]</v>
      </c>
      <c r="J1100" s="3" t="s">
        <v>1036</v>
      </c>
      <c r="K1100" s="3"/>
      <c r="M1100" s="3" t="s">
        <v>514</v>
      </c>
      <c r="N1100" s="3">
        <f t="shared" si="801"/>
        <v>12</v>
      </c>
      <c r="O1100" s="3"/>
    </row>
    <row r="1101" spans="1:15" x14ac:dyDescent="0.15">
      <c r="A1101" s="3">
        <f t="shared" si="803"/>
        <v>1712007</v>
      </c>
      <c r="B1101" s="3">
        <v>17</v>
      </c>
      <c r="C1101" s="3">
        <v>0</v>
      </c>
      <c r="D1101" s="3">
        <v>0</v>
      </c>
      <c r="E1101" s="3">
        <f t="shared" si="802"/>
        <v>12</v>
      </c>
      <c r="F1101" s="3">
        <f t="shared" si="800"/>
        <v>7</v>
      </c>
      <c r="G1101" s="3" t="s">
        <v>1065</v>
      </c>
      <c r="H1101" s="3">
        <v>90</v>
      </c>
      <c r="I1101" s="3" t="str">
        <f>VLOOKUP(A1101,遗迹结算奖励!$A$1:$O$132,15,0)</f>
        <v>[{"id":2,"num":1698800},{"id":1,"num":1690000},{"id":86,"num":7}]</v>
      </c>
      <c r="J1101" s="3" t="s">
        <v>1036</v>
      </c>
      <c r="K1101" s="3"/>
      <c r="M1101" s="3" t="s">
        <v>514</v>
      </c>
      <c r="N1101" s="3">
        <f t="shared" si="801"/>
        <v>12</v>
      </c>
      <c r="O1101" s="3"/>
    </row>
    <row r="1102" spans="1:15" x14ac:dyDescent="0.15">
      <c r="A1102" s="3">
        <f t="shared" si="803"/>
        <v>1712008</v>
      </c>
      <c r="B1102" s="3">
        <v>17</v>
      </c>
      <c r="C1102" s="3">
        <v>0</v>
      </c>
      <c r="D1102" s="3">
        <v>0</v>
      </c>
      <c r="E1102" s="3">
        <f t="shared" si="802"/>
        <v>12</v>
      </c>
      <c r="F1102" s="3">
        <f t="shared" si="800"/>
        <v>8</v>
      </c>
      <c r="G1102" s="3" t="s">
        <v>1065</v>
      </c>
      <c r="H1102" s="3">
        <v>90</v>
      </c>
      <c r="I1102" s="3" t="str">
        <f>VLOOKUP(A1102,遗迹结算奖励!$A$1:$O$132,15,0)</f>
        <v>[{"id":2,"num":1698800},{"id":1,"num":1690000},{"id":86,"num":7}]</v>
      </c>
      <c r="J1102" s="3" t="s">
        <v>1036</v>
      </c>
      <c r="K1102" s="3"/>
      <c r="M1102" s="3" t="s">
        <v>514</v>
      </c>
      <c r="N1102" s="3">
        <f t="shared" si="801"/>
        <v>12</v>
      </c>
      <c r="O1102" s="3"/>
    </row>
    <row r="1103" spans="1:15" x14ac:dyDescent="0.15">
      <c r="A1103" s="3">
        <f t="shared" si="803"/>
        <v>1712009</v>
      </c>
      <c r="B1103" s="3">
        <v>17</v>
      </c>
      <c r="C1103" s="3">
        <v>0</v>
      </c>
      <c r="D1103" s="3">
        <v>0</v>
      </c>
      <c r="E1103" s="3">
        <f t="shared" ref="E1103:E1166" si="804">E1093+1</f>
        <v>12</v>
      </c>
      <c r="F1103" s="3">
        <f t="shared" si="800"/>
        <v>9</v>
      </c>
      <c r="G1103" s="3" t="s">
        <v>1065</v>
      </c>
      <c r="H1103" s="3">
        <v>90</v>
      </c>
      <c r="I1103" s="3" t="str">
        <f>VLOOKUP(A1103,遗迹结算奖励!$A$1:$O$132,15,0)</f>
        <v>[{"id":2,"num":1698800},{"id":1,"num":1690000},{"id":86,"num":7}]</v>
      </c>
      <c r="J1103" s="3" t="s">
        <v>1036</v>
      </c>
      <c r="K1103" s="3"/>
      <c r="M1103" s="3" t="s">
        <v>514</v>
      </c>
      <c r="N1103" s="3">
        <f t="shared" si="801"/>
        <v>12</v>
      </c>
      <c r="O1103" s="3"/>
    </row>
    <row r="1104" spans="1:15" x14ac:dyDescent="0.15">
      <c r="A1104" s="3">
        <f t="shared" si="803"/>
        <v>1712010</v>
      </c>
      <c r="B1104" s="3">
        <v>17</v>
      </c>
      <c r="C1104" s="3">
        <v>0</v>
      </c>
      <c r="D1104" s="3">
        <v>0</v>
      </c>
      <c r="E1104" s="3">
        <f t="shared" si="804"/>
        <v>12</v>
      </c>
      <c r="F1104" s="3">
        <f t="shared" si="800"/>
        <v>10</v>
      </c>
      <c r="G1104" s="3" t="s">
        <v>1066</v>
      </c>
      <c r="H1104" s="3">
        <v>90</v>
      </c>
      <c r="I1104" s="3" t="str">
        <f>VLOOKUP(A1104,遗迹结算奖励!$A$1:$O$132,15,0)</f>
        <v>[{"id":2,"num":1698800},{"id":1,"num":1690000},{"id":86,"num":7}]</v>
      </c>
      <c r="J1104" s="3" t="s">
        <v>1036</v>
      </c>
      <c r="K1104" s="3"/>
      <c r="M1104" s="3" t="s">
        <v>1067</v>
      </c>
      <c r="N1104" s="3">
        <f t="shared" ref="N1104:N1114" si="805">N1094+1</f>
        <v>12</v>
      </c>
      <c r="O1104" s="3">
        <v>1</v>
      </c>
    </row>
    <row r="1105" spans="1:15" x14ac:dyDescent="0.15">
      <c r="A1105" s="3">
        <f t="shared" si="803"/>
        <v>1713001</v>
      </c>
      <c r="B1105" s="3">
        <v>17</v>
      </c>
      <c r="C1105" s="3">
        <v>0</v>
      </c>
      <c r="D1105" s="3">
        <v>0</v>
      </c>
      <c r="E1105" s="3">
        <f t="shared" si="804"/>
        <v>13</v>
      </c>
      <c r="F1105" s="3">
        <f t="shared" si="800"/>
        <v>1</v>
      </c>
      <c r="G1105" s="3" t="s">
        <v>1068</v>
      </c>
      <c r="H1105" s="3">
        <v>90</v>
      </c>
      <c r="I1105" s="3" t="str">
        <f>VLOOKUP(A1105,遗迹结算奖励!$A$1:$O$132,15,0)</f>
        <v>[{"id":2,"num":1698800},{"id":1,"num":1690000},{"id":86,"num":8}]</v>
      </c>
      <c r="J1105" s="3" t="s">
        <v>1036</v>
      </c>
      <c r="K1105" s="3"/>
      <c r="M1105" s="3" t="s">
        <v>514</v>
      </c>
      <c r="N1105" s="3">
        <f t="shared" si="805"/>
        <v>13</v>
      </c>
      <c r="O1105" s="3"/>
    </row>
    <row r="1106" spans="1:15" x14ac:dyDescent="0.15">
      <c r="A1106" s="3">
        <f t="shared" si="803"/>
        <v>1713002</v>
      </c>
      <c r="B1106" s="3">
        <v>17</v>
      </c>
      <c r="C1106" s="3">
        <v>0</v>
      </c>
      <c r="D1106" s="3">
        <v>0</v>
      </c>
      <c r="E1106" s="3">
        <f t="shared" si="804"/>
        <v>13</v>
      </c>
      <c r="F1106" s="3">
        <f t="shared" si="800"/>
        <v>2</v>
      </c>
      <c r="G1106" s="3" t="s">
        <v>1068</v>
      </c>
      <c r="H1106" s="3">
        <v>90</v>
      </c>
      <c r="I1106" s="3" t="str">
        <f>VLOOKUP(A1106,遗迹结算奖励!$A$1:$O$132,15,0)</f>
        <v>[{"id":2,"num":1698800},{"id":1,"num":1690000},{"id":86,"num":8}]</v>
      </c>
      <c r="J1106" s="3" t="s">
        <v>1036</v>
      </c>
      <c r="K1106" s="3"/>
      <c r="M1106" s="3" t="s">
        <v>514</v>
      </c>
      <c r="N1106" s="3">
        <f t="shared" si="805"/>
        <v>13</v>
      </c>
      <c r="O1106" s="3"/>
    </row>
    <row r="1107" spans="1:15" x14ac:dyDescent="0.15">
      <c r="A1107" s="3">
        <f t="shared" si="803"/>
        <v>1713003</v>
      </c>
      <c r="B1107" s="3">
        <v>17</v>
      </c>
      <c r="C1107" s="3">
        <v>0</v>
      </c>
      <c r="D1107" s="3">
        <v>0</v>
      </c>
      <c r="E1107" s="3">
        <f t="shared" si="804"/>
        <v>13</v>
      </c>
      <c r="F1107" s="3">
        <f t="shared" si="800"/>
        <v>3</v>
      </c>
      <c r="G1107" s="3" t="s">
        <v>1068</v>
      </c>
      <c r="H1107" s="3">
        <v>90</v>
      </c>
      <c r="I1107" s="3" t="str">
        <f>VLOOKUP(A1107,遗迹结算奖励!$A$1:$O$132,15,0)</f>
        <v>[{"id":2,"num":1698800},{"id":1,"num":1690000},{"id":86,"num":8}]</v>
      </c>
      <c r="J1107" s="3" t="s">
        <v>1036</v>
      </c>
      <c r="K1107" s="3"/>
      <c r="M1107" s="3" t="s">
        <v>514</v>
      </c>
      <c r="N1107" s="3">
        <f t="shared" si="805"/>
        <v>13</v>
      </c>
      <c r="O1107" s="3"/>
    </row>
    <row r="1108" spans="1:15" x14ac:dyDescent="0.15">
      <c r="A1108" s="3">
        <f t="shared" si="803"/>
        <v>1713004</v>
      </c>
      <c r="B1108" s="3">
        <v>17</v>
      </c>
      <c r="C1108" s="3">
        <v>0</v>
      </c>
      <c r="D1108" s="3">
        <v>0</v>
      </c>
      <c r="E1108" s="3">
        <f t="shared" si="804"/>
        <v>13</v>
      </c>
      <c r="F1108" s="3">
        <f t="shared" si="800"/>
        <v>4</v>
      </c>
      <c r="G1108" s="3" t="s">
        <v>1068</v>
      </c>
      <c r="H1108" s="3">
        <v>90</v>
      </c>
      <c r="I1108" s="3" t="str">
        <f>VLOOKUP(A1108,遗迹结算奖励!$A$1:$O$132,15,0)</f>
        <v>[{"id":2,"num":1698800},{"id":1,"num":1690000},{"id":86,"num":8}]</v>
      </c>
      <c r="J1108" s="3" t="s">
        <v>1036</v>
      </c>
      <c r="K1108" s="3"/>
      <c r="M1108" s="3" t="s">
        <v>514</v>
      </c>
      <c r="N1108" s="3">
        <f t="shared" si="805"/>
        <v>13</v>
      </c>
      <c r="O1108" s="3"/>
    </row>
    <row r="1109" spans="1:15" x14ac:dyDescent="0.15">
      <c r="A1109" s="3">
        <f t="shared" si="803"/>
        <v>1713005</v>
      </c>
      <c r="B1109" s="3">
        <v>17</v>
      </c>
      <c r="C1109" s="3">
        <v>0</v>
      </c>
      <c r="D1109" s="3">
        <v>0</v>
      </c>
      <c r="E1109" s="3">
        <f t="shared" si="804"/>
        <v>13</v>
      </c>
      <c r="F1109" s="3">
        <f t="shared" si="800"/>
        <v>5</v>
      </c>
      <c r="G1109" s="3" t="s">
        <v>1069</v>
      </c>
      <c r="H1109" s="3">
        <v>90</v>
      </c>
      <c r="I1109" s="3" t="str">
        <f>VLOOKUP(A1109,遗迹结算奖励!$A$1:$O$132,15,0)</f>
        <v>[{"id":2,"num":1698800},{"id":1,"num":1690000},{"id":86,"num":8}]</v>
      </c>
      <c r="J1109" s="3" t="s">
        <v>1036</v>
      </c>
      <c r="K1109" s="3"/>
      <c r="M1109" s="3" t="s">
        <v>514</v>
      </c>
      <c r="N1109" s="3">
        <f t="shared" si="805"/>
        <v>13</v>
      </c>
      <c r="O1109" s="3"/>
    </row>
    <row r="1110" spans="1:15" x14ac:dyDescent="0.15">
      <c r="A1110" s="3">
        <f t="shared" si="803"/>
        <v>1713006</v>
      </c>
      <c r="B1110" s="3">
        <v>17</v>
      </c>
      <c r="C1110" s="3">
        <v>0</v>
      </c>
      <c r="D1110" s="3">
        <v>0</v>
      </c>
      <c r="E1110" s="3">
        <f t="shared" si="804"/>
        <v>13</v>
      </c>
      <c r="F1110" s="3">
        <f t="shared" si="800"/>
        <v>6</v>
      </c>
      <c r="G1110" s="3" t="s">
        <v>1070</v>
      </c>
      <c r="H1110" s="3">
        <v>90</v>
      </c>
      <c r="I1110" s="3" t="str">
        <f>VLOOKUP(A1110,遗迹结算奖励!$A$1:$O$132,15,0)</f>
        <v>[{"id":2,"num":1698800},{"id":1,"num":1690000},{"id":86,"num":8}]</v>
      </c>
      <c r="J1110" s="3" t="s">
        <v>1036</v>
      </c>
      <c r="K1110" s="3"/>
      <c r="M1110" s="3" t="s">
        <v>514</v>
      </c>
      <c r="N1110" s="3">
        <f t="shared" si="805"/>
        <v>13</v>
      </c>
      <c r="O1110" s="3"/>
    </row>
    <row r="1111" spans="1:15" x14ac:dyDescent="0.15">
      <c r="A1111" s="3">
        <f t="shared" si="803"/>
        <v>1713007</v>
      </c>
      <c r="B1111" s="3">
        <v>17</v>
      </c>
      <c r="C1111" s="3">
        <v>0</v>
      </c>
      <c r="D1111" s="3">
        <v>0</v>
      </c>
      <c r="E1111" s="3">
        <f t="shared" si="804"/>
        <v>13</v>
      </c>
      <c r="F1111" s="3">
        <f t="shared" si="800"/>
        <v>7</v>
      </c>
      <c r="G1111" s="3" t="s">
        <v>1070</v>
      </c>
      <c r="H1111" s="3">
        <v>90</v>
      </c>
      <c r="I1111" s="3" t="str">
        <f>VLOOKUP(A1111,遗迹结算奖励!$A$1:$O$132,15,0)</f>
        <v>[{"id":2,"num":1698800},{"id":1,"num":1690000},{"id":86,"num":8}]</v>
      </c>
      <c r="J1111" s="3" t="s">
        <v>1036</v>
      </c>
      <c r="K1111" s="3"/>
      <c r="M1111" s="3" t="s">
        <v>514</v>
      </c>
      <c r="N1111" s="3">
        <f t="shared" si="805"/>
        <v>13</v>
      </c>
      <c r="O1111" s="3"/>
    </row>
    <row r="1112" spans="1:15" x14ac:dyDescent="0.15">
      <c r="A1112" s="3">
        <f t="shared" si="803"/>
        <v>1713008</v>
      </c>
      <c r="B1112" s="3">
        <v>17</v>
      </c>
      <c r="C1112" s="3">
        <v>0</v>
      </c>
      <c r="D1112" s="3">
        <v>0</v>
      </c>
      <c r="E1112" s="3">
        <f t="shared" si="804"/>
        <v>13</v>
      </c>
      <c r="F1112" s="3">
        <f t="shared" si="800"/>
        <v>8</v>
      </c>
      <c r="G1112" s="3" t="s">
        <v>1070</v>
      </c>
      <c r="H1112" s="3">
        <v>90</v>
      </c>
      <c r="I1112" s="3" t="str">
        <f>VLOOKUP(A1112,遗迹结算奖励!$A$1:$O$132,15,0)</f>
        <v>[{"id":2,"num":1698800},{"id":1,"num":1690000},{"id":86,"num":8}]</v>
      </c>
      <c r="J1112" s="3" t="s">
        <v>1036</v>
      </c>
      <c r="K1112" s="3"/>
      <c r="M1112" s="3" t="s">
        <v>514</v>
      </c>
      <c r="N1112" s="3">
        <f t="shared" si="805"/>
        <v>13</v>
      </c>
      <c r="O1112" s="3"/>
    </row>
    <row r="1113" spans="1:15" x14ac:dyDescent="0.15">
      <c r="A1113" s="3">
        <f t="shared" si="803"/>
        <v>1713009</v>
      </c>
      <c r="B1113" s="3">
        <v>17</v>
      </c>
      <c r="C1113" s="3">
        <v>0</v>
      </c>
      <c r="D1113" s="3">
        <v>0</v>
      </c>
      <c r="E1113" s="3">
        <f t="shared" si="804"/>
        <v>13</v>
      </c>
      <c r="F1113" s="3">
        <f t="shared" si="800"/>
        <v>9</v>
      </c>
      <c r="G1113" s="3" t="s">
        <v>1070</v>
      </c>
      <c r="H1113" s="3">
        <v>90</v>
      </c>
      <c r="I1113" s="3" t="str">
        <f>VLOOKUP(A1113,遗迹结算奖励!$A$1:$O$132,15,0)</f>
        <v>[{"id":2,"num":1698800},{"id":1,"num":1690000},{"id":86,"num":8}]</v>
      </c>
      <c r="J1113" s="3" t="s">
        <v>1036</v>
      </c>
      <c r="K1113" s="3"/>
      <c r="M1113" s="3" t="s">
        <v>514</v>
      </c>
      <c r="N1113" s="3">
        <f t="shared" si="805"/>
        <v>13</v>
      </c>
      <c r="O1113" s="3"/>
    </row>
    <row r="1114" spans="1:15" x14ac:dyDescent="0.15">
      <c r="A1114" s="15">
        <f t="shared" si="803"/>
        <v>1713010</v>
      </c>
      <c r="B1114" s="15">
        <v>17</v>
      </c>
      <c r="C1114" s="15">
        <v>0</v>
      </c>
      <c r="D1114" s="15">
        <v>0</v>
      </c>
      <c r="E1114" s="15">
        <f t="shared" si="804"/>
        <v>13</v>
      </c>
      <c r="F1114" s="15">
        <f t="shared" si="800"/>
        <v>10</v>
      </c>
      <c r="G1114" s="15" t="s">
        <v>1071</v>
      </c>
      <c r="H1114" s="15">
        <v>90</v>
      </c>
      <c r="I1114" s="15" t="str">
        <f>VLOOKUP(A1114,遗迹结算奖励!$A$1:$O$132,15,0)</f>
        <v>[{"id":2,"num":1698800},{"id":1,"num":1690000},{"id":86,"num":8}]</v>
      </c>
      <c r="J1114" s="15" t="s">
        <v>1036</v>
      </c>
      <c r="K1114" s="15"/>
      <c r="M1114" s="3" t="s">
        <v>1072</v>
      </c>
      <c r="N1114" s="15">
        <f t="shared" si="805"/>
        <v>13</v>
      </c>
      <c r="O1114" s="3">
        <v>1</v>
      </c>
    </row>
    <row r="1115" spans="1:15" s="6" customFormat="1" x14ac:dyDescent="0.15">
      <c r="A1115" s="16">
        <f t="shared" ref="A1115" si="806">B1115*100000+E1115*1000+F1115</f>
        <v>1714001</v>
      </c>
      <c r="B1115" s="16">
        <v>17</v>
      </c>
      <c r="C1115" s="16">
        <v>0</v>
      </c>
      <c r="D1115" s="16">
        <v>0</v>
      </c>
      <c r="E1115" s="16">
        <f t="shared" si="804"/>
        <v>14</v>
      </c>
      <c r="F1115" s="16">
        <f t="shared" si="800"/>
        <v>1</v>
      </c>
      <c r="G1115" s="17" t="s">
        <v>1073</v>
      </c>
      <c r="H1115" s="16">
        <f t="shared" ref="H1115:H1116" si="807">H1105</f>
        <v>90</v>
      </c>
      <c r="I1115" s="15" t="str">
        <f>VLOOKUP(A1115,遗迹结算奖励!$A$1:$O$300,15,0)</f>
        <v>[{"id":2,"num":1698800},{"id":1,"num":1690000},{"id":86,"num":9}]</v>
      </c>
      <c r="J1115" s="16" t="str">
        <f t="shared" ref="J1115:J1160" si="808">J1105</f>
        <v>[86,2,1]</v>
      </c>
      <c r="K1115" s="16"/>
      <c r="L1115" s="18"/>
      <c r="M1115" s="3" t="s">
        <v>514</v>
      </c>
      <c r="N1115" s="16">
        <v>13</v>
      </c>
      <c r="O1115" s="16" t="str">
        <f>IF(O1105="","",1)</f>
        <v/>
      </c>
    </row>
    <row r="1116" spans="1:15" x14ac:dyDescent="0.15">
      <c r="A1116" s="15">
        <f t="shared" ref="A1116:A1131" si="809">B1116*100000+E1116*1000+F1116</f>
        <v>1714002</v>
      </c>
      <c r="B1116" s="15">
        <v>17</v>
      </c>
      <c r="C1116" s="15">
        <v>0</v>
      </c>
      <c r="D1116" s="15">
        <v>0</v>
      </c>
      <c r="E1116" s="15">
        <f t="shared" si="804"/>
        <v>14</v>
      </c>
      <c r="F1116" s="15">
        <f t="shared" si="800"/>
        <v>2</v>
      </c>
      <c r="G1116" s="17" t="s">
        <v>1073</v>
      </c>
      <c r="H1116" s="15">
        <f t="shared" si="807"/>
        <v>90</v>
      </c>
      <c r="I1116" s="15" t="str">
        <f>VLOOKUP(A1116,遗迹结算奖励!$A$1:$O$300,15,0)</f>
        <v>[{"id":2,"num":1698800},{"id":1,"num":1690000},{"id":86,"num":9}]</v>
      </c>
      <c r="J1116" s="15" t="str">
        <f t="shared" si="808"/>
        <v>[86,2,1]</v>
      </c>
      <c r="K1116" s="15"/>
      <c r="M1116" s="3" t="s">
        <v>514</v>
      </c>
      <c r="N1116" s="15">
        <v>13</v>
      </c>
      <c r="O1116" s="15" t="str">
        <f t="shared" ref="O1116:O1179" si="810">IF(O1106="","",1)</f>
        <v/>
      </c>
    </row>
    <row r="1117" spans="1:15" x14ac:dyDescent="0.15">
      <c r="A1117" s="15">
        <f t="shared" si="809"/>
        <v>1714003</v>
      </c>
      <c r="B1117" s="15">
        <v>17</v>
      </c>
      <c r="C1117" s="15">
        <v>0</v>
      </c>
      <c r="D1117" s="15">
        <v>0</v>
      </c>
      <c r="E1117" s="15">
        <f t="shared" si="804"/>
        <v>14</v>
      </c>
      <c r="F1117" s="15">
        <f t="shared" si="800"/>
        <v>3</v>
      </c>
      <c r="G1117" s="17" t="s">
        <v>1073</v>
      </c>
      <c r="H1117" s="15">
        <f t="shared" ref="H1117:H1160" si="811">H1107</f>
        <v>90</v>
      </c>
      <c r="I1117" s="15" t="str">
        <f>VLOOKUP(A1117,遗迹结算奖励!$A$1:$O$300,15,0)</f>
        <v>[{"id":2,"num":1698800},{"id":1,"num":1690000},{"id":86,"num":9}]</v>
      </c>
      <c r="J1117" s="15" t="str">
        <f t="shared" si="808"/>
        <v>[86,2,1]</v>
      </c>
      <c r="K1117" s="15"/>
      <c r="M1117" s="3" t="s">
        <v>514</v>
      </c>
      <c r="N1117" s="16">
        <v>13</v>
      </c>
      <c r="O1117" s="15" t="str">
        <f t="shared" si="810"/>
        <v/>
      </c>
    </row>
    <row r="1118" spans="1:15" x14ac:dyDescent="0.15">
      <c r="A1118" s="15">
        <f t="shared" si="809"/>
        <v>1714004</v>
      </c>
      <c r="B1118" s="15">
        <v>17</v>
      </c>
      <c r="C1118" s="15">
        <v>0</v>
      </c>
      <c r="D1118" s="15">
        <v>0</v>
      </c>
      <c r="E1118" s="15">
        <f t="shared" si="804"/>
        <v>14</v>
      </c>
      <c r="F1118" s="15">
        <f t="shared" si="800"/>
        <v>4</v>
      </c>
      <c r="G1118" s="17" t="s">
        <v>1073</v>
      </c>
      <c r="H1118" s="15">
        <f t="shared" si="811"/>
        <v>90</v>
      </c>
      <c r="I1118" s="15" t="str">
        <f>VLOOKUP(A1118,遗迹结算奖励!$A$1:$O$300,15,0)</f>
        <v>[{"id":2,"num":1698800},{"id":1,"num":1690000},{"id":86,"num":9}]</v>
      </c>
      <c r="J1118" s="15" t="str">
        <f t="shared" si="808"/>
        <v>[86,2,1]</v>
      </c>
      <c r="K1118" s="15"/>
      <c r="M1118" s="3" t="s">
        <v>514</v>
      </c>
      <c r="N1118" s="15">
        <v>13</v>
      </c>
      <c r="O1118" s="15" t="str">
        <f t="shared" si="810"/>
        <v/>
      </c>
    </row>
    <row r="1119" spans="1:15" x14ac:dyDescent="0.15">
      <c r="A1119" s="15">
        <f t="shared" si="809"/>
        <v>1714005</v>
      </c>
      <c r="B1119" s="15">
        <v>17</v>
      </c>
      <c r="C1119" s="15">
        <v>0</v>
      </c>
      <c r="D1119" s="15">
        <v>0</v>
      </c>
      <c r="E1119" s="15">
        <f t="shared" si="804"/>
        <v>14</v>
      </c>
      <c r="F1119" s="15">
        <f t="shared" si="800"/>
        <v>5</v>
      </c>
      <c r="G1119" s="17" t="s">
        <v>1074</v>
      </c>
      <c r="H1119" s="15">
        <f t="shared" si="811"/>
        <v>90</v>
      </c>
      <c r="I1119" s="15" t="str">
        <f>VLOOKUP(A1119,遗迹结算奖励!$A$1:$O$300,15,0)</f>
        <v>[{"id":2,"num":1698800},{"id":1,"num":1690000},{"id":86,"num":9}]</v>
      </c>
      <c r="J1119" s="15" t="str">
        <f t="shared" si="808"/>
        <v>[86,2,1]</v>
      </c>
      <c r="K1119" s="15"/>
      <c r="M1119" s="3" t="s">
        <v>514</v>
      </c>
      <c r="N1119" s="16">
        <v>13</v>
      </c>
      <c r="O1119" s="15" t="str">
        <f t="shared" si="810"/>
        <v/>
      </c>
    </row>
    <row r="1120" spans="1:15" x14ac:dyDescent="0.15">
      <c r="A1120" s="15">
        <f t="shared" si="809"/>
        <v>1714006</v>
      </c>
      <c r="B1120" s="15">
        <v>17</v>
      </c>
      <c r="C1120" s="15">
        <v>0</v>
      </c>
      <c r="D1120" s="15">
        <v>0</v>
      </c>
      <c r="E1120" s="15">
        <f t="shared" si="804"/>
        <v>14</v>
      </c>
      <c r="F1120" s="15">
        <f t="shared" si="800"/>
        <v>6</v>
      </c>
      <c r="G1120" s="17" t="s">
        <v>1075</v>
      </c>
      <c r="H1120" s="15">
        <f t="shared" si="811"/>
        <v>90</v>
      </c>
      <c r="I1120" s="15" t="str">
        <f>VLOOKUP(A1120,遗迹结算奖励!$A$1:$O$300,15,0)</f>
        <v>[{"id":2,"num":1698800},{"id":1,"num":1690000},{"id":86,"num":9}]</v>
      </c>
      <c r="J1120" s="15" t="str">
        <f t="shared" si="808"/>
        <v>[86,2,1]</v>
      </c>
      <c r="K1120" s="15"/>
      <c r="M1120" s="3" t="s">
        <v>514</v>
      </c>
      <c r="N1120" s="15">
        <v>13</v>
      </c>
      <c r="O1120" s="15" t="str">
        <f t="shared" si="810"/>
        <v/>
      </c>
    </row>
    <row r="1121" spans="1:15" x14ac:dyDescent="0.15">
      <c r="A1121" s="15">
        <f t="shared" si="809"/>
        <v>1714007</v>
      </c>
      <c r="B1121" s="15">
        <v>17</v>
      </c>
      <c r="C1121" s="15">
        <v>0</v>
      </c>
      <c r="D1121" s="15">
        <v>0</v>
      </c>
      <c r="E1121" s="15">
        <f t="shared" si="804"/>
        <v>14</v>
      </c>
      <c r="F1121" s="15">
        <f t="shared" si="800"/>
        <v>7</v>
      </c>
      <c r="G1121" s="17" t="s">
        <v>1075</v>
      </c>
      <c r="H1121" s="15">
        <f t="shared" si="811"/>
        <v>90</v>
      </c>
      <c r="I1121" s="15" t="str">
        <f>VLOOKUP(A1121,遗迹结算奖励!$A$1:$O$300,15,0)</f>
        <v>[{"id":2,"num":1698800},{"id":1,"num":1690000},{"id":86,"num":9}]</v>
      </c>
      <c r="J1121" s="15" t="str">
        <f t="shared" si="808"/>
        <v>[86,2,1]</v>
      </c>
      <c r="K1121" s="15"/>
      <c r="M1121" s="3" t="s">
        <v>514</v>
      </c>
      <c r="N1121" s="16">
        <v>13</v>
      </c>
      <c r="O1121" s="15" t="str">
        <f t="shared" si="810"/>
        <v/>
      </c>
    </row>
    <row r="1122" spans="1:15" x14ac:dyDescent="0.15">
      <c r="A1122" s="15">
        <f t="shared" si="809"/>
        <v>1714008</v>
      </c>
      <c r="B1122" s="15">
        <v>17</v>
      </c>
      <c r="C1122" s="15">
        <v>0</v>
      </c>
      <c r="D1122" s="15">
        <v>0</v>
      </c>
      <c r="E1122" s="15">
        <f t="shared" si="804"/>
        <v>14</v>
      </c>
      <c r="F1122" s="15">
        <f t="shared" si="800"/>
        <v>8</v>
      </c>
      <c r="G1122" s="17" t="s">
        <v>1075</v>
      </c>
      <c r="H1122" s="15">
        <f t="shared" si="811"/>
        <v>90</v>
      </c>
      <c r="I1122" s="15" t="str">
        <f>VLOOKUP(A1122,遗迹结算奖励!$A$1:$O$300,15,0)</f>
        <v>[{"id":2,"num":1698800},{"id":1,"num":1690000},{"id":86,"num":9}]</v>
      </c>
      <c r="J1122" s="15" t="str">
        <f t="shared" si="808"/>
        <v>[86,2,1]</v>
      </c>
      <c r="K1122" s="15"/>
      <c r="M1122" s="3" t="s">
        <v>514</v>
      </c>
      <c r="N1122" s="15">
        <v>13</v>
      </c>
      <c r="O1122" s="15" t="str">
        <f t="shared" si="810"/>
        <v/>
      </c>
    </row>
    <row r="1123" spans="1:15" x14ac:dyDescent="0.15">
      <c r="A1123" s="15">
        <f t="shared" si="809"/>
        <v>1714009</v>
      </c>
      <c r="B1123" s="15">
        <v>17</v>
      </c>
      <c r="C1123" s="15">
        <v>0</v>
      </c>
      <c r="D1123" s="15">
        <v>0</v>
      </c>
      <c r="E1123" s="15">
        <f t="shared" si="804"/>
        <v>14</v>
      </c>
      <c r="F1123" s="15">
        <f t="shared" si="800"/>
        <v>9</v>
      </c>
      <c r="G1123" s="17" t="s">
        <v>1075</v>
      </c>
      <c r="H1123" s="15">
        <f t="shared" si="811"/>
        <v>90</v>
      </c>
      <c r="I1123" s="15" t="str">
        <f>VLOOKUP(A1123,遗迹结算奖励!$A$1:$O$300,15,0)</f>
        <v>[{"id":2,"num":1698800},{"id":1,"num":1690000},{"id":86,"num":9}]</v>
      </c>
      <c r="J1123" s="15" t="str">
        <f t="shared" si="808"/>
        <v>[86,2,1]</v>
      </c>
      <c r="K1123" s="15"/>
      <c r="M1123" s="3" t="s">
        <v>514</v>
      </c>
      <c r="N1123" s="16">
        <v>13</v>
      </c>
      <c r="O1123" s="15" t="str">
        <f t="shared" si="810"/>
        <v/>
      </c>
    </row>
    <row r="1124" spans="1:15" x14ac:dyDescent="0.15">
      <c r="A1124" s="15">
        <f t="shared" si="809"/>
        <v>1714010</v>
      </c>
      <c r="B1124" s="15">
        <v>17</v>
      </c>
      <c r="C1124" s="15">
        <v>0</v>
      </c>
      <c r="D1124" s="15">
        <v>0</v>
      </c>
      <c r="E1124" s="15">
        <f t="shared" si="804"/>
        <v>14</v>
      </c>
      <c r="F1124" s="15">
        <f t="shared" si="800"/>
        <v>10</v>
      </c>
      <c r="G1124" s="17" t="s">
        <v>1076</v>
      </c>
      <c r="H1124" s="15">
        <f t="shared" si="811"/>
        <v>90</v>
      </c>
      <c r="I1124" s="15" t="str">
        <f>VLOOKUP(A1124,遗迹结算奖励!$A$1:$O$300,15,0)</f>
        <v>[{"id":2,"num":1698800},{"id":1,"num":1690000},{"id":86,"num":9}]</v>
      </c>
      <c r="J1124" s="15" t="str">
        <f t="shared" si="808"/>
        <v>[86,2,1]</v>
      </c>
      <c r="K1124" s="15"/>
      <c r="M1124" s="3" t="s">
        <v>1077</v>
      </c>
      <c r="N1124" s="15">
        <v>13</v>
      </c>
      <c r="O1124" s="15">
        <f t="shared" si="810"/>
        <v>1</v>
      </c>
    </row>
    <row r="1125" spans="1:15" x14ac:dyDescent="0.15">
      <c r="A1125" s="15">
        <f t="shared" si="809"/>
        <v>1715001</v>
      </c>
      <c r="B1125" s="15">
        <v>17</v>
      </c>
      <c r="C1125" s="15">
        <v>0</v>
      </c>
      <c r="D1125" s="15">
        <v>0</v>
      </c>
      <c r="E1125" s="15">
        <f t="shared" si="804"/>
        <v>15</v>
      </c>
      <c r="F1125" s="15">
        <f t="shared" si="800"/>
        <v>1</v>
      </c>
      <c r="G1125" s="17" t="s">
        <v>1078</v>
      </c>
      <c r="H1125" s="15">
        <f t="shared" si="811"/>
        <v>90</v>
      </c>
      <c r="I1125" s="15" t="str">
        <f>VLOOKUP(A1125,遗迹结算奖励!$A$1:$O$300,15,0)</f>
        <v>[{"id":2,"num":1698800},{"id":1,"num":1690000},{"id":86,"num":10}]</v>
      </c>
      <c r="J1125" s="15" t="str">
        <f t="shared" si="808"/>
        <v>[86,2,1]</v>
      </c>
      <c r="K1125" s="15"/>
      <c r="M1125" s="3" t="s">
        <v>514</v>
      </c>
      <c r="N1125" s="16">
        <v>13</v>
      </c>
      <c r="O1125" s="15" t="str">
        <f t="shared" si="810"/>
        <v/>
      </c>
    </row>
    <row r="1126" spans="1:15" x14ac:dyDescent="0.15">
      <c r="A1126" s="15">
        <f t="shared" si="809"/>
        <v>1715002</v>
      </c>
      <c r="B1126" s="15">
        <v>17</v>
      </c>
      <c r="C1126" s="15">
        <v>0</v>
      </c>
      <c r="D1126" s="15">
        <v>0</v>
      </c>
      <c r="E1126" s="15">
        <f t="shared" si="804"/>
        <v>15</v>
      </c>
      <c r="F1126" s="15">
        <f t="shared" si="800"/>
        <v>2</v>
      </c>
      <c r="G1126" s="17" t="s">
        <v>1078</v>
      </c>
      <c r="H1126" s="15">
        <f t="shared" si="811"/>
        <v>90</v>
      </c>
      <c r="I1126" s="15" t="str">
        <f>VLOOKUP(A1126,遗迹结算奖励!$A$1:$O$300,15,0)</f>
        <v>[{"id":2,"num":1698800},{"id":1,"num":1690000},{"id":86,"num":10}]</v>
      </c>
      <c r="J1126" s="15" t="str">
        <f t="shared" si="808"/>
        <v>[86,2,1]</v>
      </c>
      <c r="K1126" s="15"/>
      <c r="M1126" s="3" t="s">
        <v>514</v>
      </c>
      <c r="N1126" s="15">
        <v>13</v>
      </c>
      <c r="O1126" s="15" t="str">
        <f t="shared" si="810"/>
        <v/>
      </c>
    </row>
    <row r="1127" spans="1:15" x14ac:dyDescent="0.15">
      <c r="A1127" s="15">
        <f t="shared" si="809"/>
        <v>1715003</v>
      </c>
      <c r="B1127" s="15">
        <v>17</v>
      </c>
      <c r="C1127" s="15">
        <v>0</v>
      </c>
      <c r="D1127" s="15">
        <v>0</v>
      </c>
      <c r="E1127" s="15">
        <f t="shared" si="804"/>
        <v>15</v>
      </c>
      <c r="F1127" s="15">
        <f t="shared" si="800"/>
        <v>3</v>
      </c>
      <c r="G1127" s="17" t="s">
        <v>1078</v>
      </c>
      <c r="H1127" s="15">
        <f t="shared" si="811"/>
        <v>90</v>
      </c>
      <c r="I1127" s="15" t="str">
        <f>VLOOKUP(A1127,遗迹结算奖励!$A$1:$O$300,15,0)</f>
        <v>[{"id":2,"num":1698800},{"id":1,"num":1690000},{"id":86,"num":10}]</v>
      </c>
      <c r="J1127" s="15" t="str">
        <f t="shared" si="808"/>
        <v>[86,2,1]</v>
      </c>
      <c r="K1127" s="15"/>
      <c r="M1127" s="3" t="s">
        <v>514</v>
      </c>
      <c r="N1127" s="16">
        <v>13</v>
      </c>
      <c r="O1127" s="15" t="str">
        <f t="shared" si="810"/>
        <v/>
      </c>
    </row>
    <row r="1128" spans="1:15" x14ac:dyDescent="0.15">
      <c r="A1128" s="15">
        <f t="shared" si="809"/>
        <v>1715004</v>
      </c>
      <c r="B1128" s="15">
        <v>17</v>
      </c>
      <c r="C1128" s="15">
        <v>0</v>
      </c>
      <c r="D1128" s="15">
        <v>0</v>
      </c>
      <c r="E1128" s="15">
        <f t="shared" si="804"/>
        <v>15</v>
      </c>
      <c r="F1128" s="15">
        <f t="shared" si="800"/>
        <v>4</v>
      </c>
      <c r="G1128" s="17" t="s">
        <v>1078</v>
      </c>
      <c r="H1128" s="15">
        <f t="shared" si="811"/>
        <v>90</v>
      </c>
      <c r="I1128" s="15" t="str">
        <f>VLOOKUP(A1128,遗迹结算奖励!$A$1:$O$300,15,0)</f>
        <v>[{"id":2,"num":1698800},{"id":1,"num":1690000},{"id":86,"num":10}]</v>
      </c>
      <c r="J1128" s="15" t="str">
        <f t="shared" si="808"/>
        <v>[86,2,1]</v>
      </c>
      <c r="K1128" s="15"/>
      <c r="M1128" s="3" t="s">
        <v>514</v>
      </c>
      <c r="N1128" s="15">
        <v>13</v>
      </c>
      <c r="O1128" s="15" t="str">
        <f t="shared" si="810"/>
        <v/>
      </c>
    </row>
    <row r="1129" spans="1:15" x14ac:dyDescent="0.15">
      <c r="A1129" s="15">
        <f t="shared" si="809"/>
        <v>1715005</v>
      </c>
      <c r="B1129" s="15">
        <v>17</v>
      </c>
      <c r="C1129" s="15">
        <v>0</v>
      </c>
      <c r="D1129" s="15">
        <v>0</v>
      </c>
      <c r="E1129" s="15">
        <f t="shared" si="804"/>
        <v>15</v>
      </c>
      <c r="F1129" s="15">
        <f t="shared" ref="F1129:F1160" si="812">F1119</f>
        <v>5</v>
      </c>
      <c r="G1129" s="17" t="s">
        <v>1079</v>
      </c>
      <c r="H1129" s="15">
        <f t="shared" si="811"/>
        <v>90</v>
      </c>
      <c r="I1129" s="15" t="str">
        <f>VLOOKUP(A1129,遗迹结算奖励!$A$1:$O$300,15,0)</f>
        <v>[{"id":2,"num":1698800},{"id":1,"num":1690000},{"id":86,"num":10}]</v>
      </c>
      <c r="J1129" s="15" t="str">
        <f t="shared" si="808"/>
        <v>[86,2,1]</v>
      </c>
      <c r="K1129" s="15"/>
      <c r="M1129" s="3" t="s">
        <v>514</v>
      </c>
      <c r="N1129" s="16">
        <v>13</v>
      </c>
      <c r="O1129" s="15" t="str">
        <f t="shared" si="810"/>
        <v/>
      </c>
    </row>
    <row r="1130" spans="1:15" x14ac:dyDescent="0.15">
      <c r="A1130" s="15">
        <f t="shared" si="809"/>
        <v>1715006</v>
      </c>
      <c r="B1130" s="15">
        <v>17</v>
      </c>
      <c r="C1130" s="15">
        <v>0</v>
      </c>
      <c r="D1130" s="15">
        <v>0</v>
      </c>
      <c r="E1130" s="15">
        <f t="shared" si="804"/>
        <v>15</v>
      </c>
      <c r="F1130" s="15">
        <f t="shared" si="812"/>
        <v>6</v>
      </c>
      <c r="G1130" s="17" t="s">
        <v>1080</v>
      </c>
      <c r="H1130" s="15">
        <f t="shared" si="811"/>
        <v>90</v>
      </c>
      <c r="I1130" s="15" t="str">
        <f>VLOOKUP(A1130,遗迹结算奖励!$A$1:$O$300,15,0)</f>
        <v>[{"id":2,"num":1698800},{"id":1,"num":1690000},{"id":86,"num":10}]</v>
      </c>
      <c r="J1130" s="15" t="str">
        <f t="shared" si="808"/>
        <v>[86,2,1]</v>
      </c>
      <c r="K1130" s="15"/>
      <c r="M1130" s="3" t="s">
        <v>514</v>
      </c>
      <c r="N1130" s="15">
        <v>13</v>
      </c>
      <c r="O1130" s="15" t="str">
        <f t="shared" si="810"/>
        <v/>
      </c>
    </row>
    <row r="1131" spans="1:15" x14ac:dyDescent="0.15">
      <c r="A1131" s="15">
        <f t="shared" si="809"/>
        <v>1715007</v>
      </c>
      <c r="B1131" s="15">
        <v>17</v>
      </c>
      <c r="C1131" s="15">
        <v>0</v>
      </c>
      <c r="D1131" s="15">
        <v>0</v>
      </c>
      <c r="E1131" s="15">
        <f t="shared" si="804"/>
        <v>15</v>
      </c>
      <c r="F1131" s="15">
        <f t="shared" si="812"/>
        <v>7</v>
      </c>
      <c r="G1131" s="17" t="s">
        <v>1080</v>
      </c>
      <c r="H1131" s="15">
        <f t="shared" si="811"/>
        <v>90</v>
      </c>
      <c r="I1131" s="15" t="str">
        <f>VLOOKUP(A1131,遗迹结算奖励!$A$1:$O$300,15,0)</f>
        <v>[{"id":2,"num":1698800},{"id":1,"num":1690000},{"id":86,"num":10}]</v>
      </c>
      <c r="J1131" s="15" t="str">
        <f t="shared" si="808"/>
        <v>[86,2,1]</v>
      </c>
      <c r="K1131" s="15"/>
      <c r="M1131" s="3" t="s">
        <v>514</v>
      </c>
      <c r="N1131" s="16">
        <v>13</v>
      </c>
      <c r="O1131" s="15" t="str">
        <f t="shared" si="810"/>
        <v/>
      </c>
    </row>
    <row r="1132" spans="1:15" x14ac:dyDescent="0.15">
      <c r="A1132" s="15">
        <f t="shared" ref="A1132:A1184" si="813">B1132*100000+E1132*1000+F1132</f>
        <v>1715008</v>
      </c>
      <c r="B1132" s="15">
        <v>17</v>
      </c>
      <c r="C1132" s="15">
        <v>0</v>
      </c>
      <c r="D1132" s="15">
        <v>0</v>
      </c>
      <c r="E1132" s="15">
        <f t="shared" si="804"/>
        <v>15</v>
      </c>
      <c r="F1132" s="15">
        <f t="shared" si="812"/>
        <v>8</v>
      </c>
      <c r="G1132" s="17" t="s">
        <v>1080</v>
      </c>
      <c r="H1132" s="15">
        <f t="shared" si="811"/>
        <v>90</v>
      </c>
      <c r="I1132" s="15" t="str">
        <f>VLOOKUP(A1132,遗迹结算奖励!$A$1:$O$300,15,0)</f>
        <v>[{"id":2,"num":1698800},{"id":1,"num":1690000},{"id":86,"num":10}]</v>
      </c>
      <c r="J1132" s="15" t="str">
        <f t="shared" si="808"/>
        <v>[86,2,1]</v>
      </c>
      <c r="K1132" s="15"/>
      <c r="M1132" s="3" t="s">
        <v>514</v>
      </c>
      <c r="N1132" s="15">
        <v>13</v>
      </c>
      <c r="O1132" s="15" t="str">
        <f t="shared" si="810"/>
        <v/>
      </c>
    </row>
    <row r="1133" spans="1:15" x14ac:dyDescent="0.15">
      <c r="A1133" s="15">
        <f t="shared" si="813"/>
        <v>1715009</v>
      </c>
      <c r="B1133" s="15">
        <v>17</v>
      </c>
      <c r="C1133" s="15">
        <v>0</v>
      </c>
      <c r="D1133" s="15">
        <v>0</v>
      </c>
      <c r="E1133" s="15">
        <f t="shared" si="804"/>
        <v>15</v>
      </c>
      <c r="F1133" s="15">
        <f t="shared" si="812"/>
        <v>9</v>
      </c>
      <c r="G1133" s="17" t="s">
        <v>1080</v>
      </c>
      <c r="H1133" s="15">
        <f t="shared" si="811"/>
        <v>90</v>
      </c>
      <c r="I1133" s="15" t="str">
        <f>VLOOKUP(A1133,遗迹结算奖励!$A$1:$O$300,15,0)</f>
        <v>[{"id":2,"num":1698800},{"id":1,"num":1690000},{"id":86,"num":10}]</v>
      </c>
      <c r="J1133" s="15" t="str">
        <f t="shared" si="808"/>
        <v>[86,2,1]</v>
      </c>
      <c r="K1133" s="15"/>
      <c r="M1133" s="3" t="s">
        <v>514</v>
      </c>
      <c r="N1133" s="16">
        <v>13</v>
      </c>
      <c r="O1133" s="15" t="str">
        <f t="shared" si="810"/>
        <v/>
      </c>
    </row>
    <row r="1134" spans="1:15" x14ac:dyDescent="0.15">
      <c r="A1134" s="15">
        <f t="shared" si="813"/>
        <v>1715010</v>
      </c>
      <c r="B1134" s="15">
        <v>17</v>
      </c>
      <c r="C1134" s="15">
        <v>0</v>
      </c>
      <c r="D1134" s="15">
        <v>0</v>
      </c>
      <c r="E1134" s="15">
        <f t="shared" si="804"/>
        <v>15</v>
      </c>
      <c r="F1134" s="15">
        <f t="shared" si="812"/>
        <v>10</v>
      </c>
      <c r="G1134" s="17" t="s">
        <v>1081</v>
      </c>
      <c r="H1134" s="15">
        <f t="shared" si="811"/>
        <v>90</v>
      </c>
      <c r="I1134" s="15" t="str">
        <f>VLOOKUP(A1134,遗迹结算奖励!$A$1:$O$300,15,0)</f>
        <v>[{"id":2,"num":1698800},{"id":1,"num":1690000},{"id":86,"num":10}]</v>
      </c>
      <c r="J1134" s="15" t="str">
        <f t="shared" si="808"/>
        <v>[86,2,1]</v>
      </c>
      <c r="K1134" s="15"/>
      <c r="M1134" s="3" t="s">
        <v>1082</v>
      </c>
      <c r="N1134" s="15">
        <v>13</v>
      </c>
      <c r="O1134" s="15">
        <f t="shared" si="810"/>
        <v>1</v>
      </c>
    </row>
    <row r="1135" spans="1:15" x14ac:dyDescent="0.15">
      <c r="A1135" s="15">
        <f t="shared" si="813"/>
        <v>1716001</v>
      </c>
      <c r="B1135" s="15">
        <v>17</v>
      </c>
      <c r="C1135" s="15">
        <v>0</v>
      </c>
      <c r="D1135" s="15">
        <v>0</v>
      </c>
      <c r="E1135" s="15">
        <f t="shared" si="804"/>
        <v>16</v>
      </c>
      <c r="F1135" s="15">
        <f t="shared" si="812"/>
        <v>1</v>
      </c>
      <c r="G1135" s="17" t="s">
        <v>1083</v>
      </c>
      <c r="H1135" s="15">
        <f t="shared" si="811"/>
        <v>90</v>
      </c>
      <c r="I1135" s="15" t="str">
        <f>VLOOKUP(A1135,遗迹结算奖励!$A$1:$O$300,15,0)</f>
        <v>[{"id":2,"num":1698800},{"id":1,"num":1690000},{"id":86,"num":11}]</v>
      </c>
      <c r="J1135" s="15" t="str">
        <f t="shared" si="808"/>
        <v>[86,2,1]</v>
      </c>
      <c r="K1135" s="15"/>
      <c r="M1135" s="3" t="s">
        <v>514</v>
      </c>
      <c r="N1135" s="16">
        <v>13</v>
      </c>
      <c r="O1135" s="15" t="str">
        <f t="shared" si="810"/>
        <v/>
      </c>
    </row>
    <row r="1136" spans="1:15" x14ac:dyDescent="0.15">
      <c r="A1136" s="15">
        <f t="shared" si="813"/>
        <v>1716002</v>
      </c>
      <c r="B1136" s="15">
        <v>17</v>
      </c>
      <c r="C1136" s="15">
        <v>0</v>
      </c>
      <c r="D1136" s="15">
        <v>0</v>
      </c>
      <c r="E1136" s="15">
        <f t="shared" si="804"/>
        <v>16</v>
      </c>
      <c r="F1136" s="15">
        <f t="shared" si="812"/>
        <v>2</v>
      </c>
      <c r="G1136" s="17" t="s">
        <v>1083</v>
      </c>
      <c r="H1136" s="15">
        <f t="shared" si="811"/>
        <v>90</v>
      </c>
      <c r="I1136" s="15" t="str">
        <f>VLOOKUP(A1136,遗迹结算奖励!$A$1:$O$300,15,0)</f>
        <v>[{"id":2,"num":1698800},{"id":1,"num":1690000},{"id":86,"num":11}]</v>
      </c>
      <c r="J1136" s="15" t="str">
        <f t="shared" si="808"/>
        <v>[86,2,1]</v>
      </c>
      <c r="K1136" s="15"/>
      <c r="M1136" s="3" t="s">
        <v>514</v>
      </c>
      <c r="N1136" s="15">
        <v>13</v>
      </c>
      <c r="O1136" s="15" t="str">
        <f t="shared" si="810"/>
        <v/>
      </c>
    </row>
    <row r="1137" spans="1:15" x14ac:dyDescent="0.15">
      <c r="A1137" s="15">
        <f t="shared" si="813"/>
        <v>1716003</v>
      </c>
      <c r="B1137" s="15">
        <v>17</v>
      </c>
      <c r="C1137" s="15">
        <v>0</v>
      </c>
      <c r="D1137" s="15">
        <v>0</v>
      </c>
      <c r="E1137" s="15">
        <f t="shared" si="804"/>
        <v>16</v>
      </c>
      <c r="F1137" s="15">
        <f t="shared" si="812"/>
        <v>3</v>
      </c>
      <c r="G1137" s="17" t="s">
        <v>1083</v>
      </c>
      <c r="H1137" s="15">
        <f t="shared" si="811"/>
        <v>90</v>
      </c>
      <c r="I1137" s="15" t="str">
        <f>VLOOKUP(A1137,遗迹结算奖励!$A$1:$O$300,15,0)</f>
        <v>[{"id":2,"num":1698800},{"id":1,"num":1690000},{"id":86,"num":11}]</v>
      </c>
      <c r="J1137" s="15" t="str">
        <f t="shared" si="808"/>
        <v>[86,2,1]</v>
      </c>
      <c r="K1137" s="15"/>
      <c r="M1137" s="3" t="s">
        <v>514</v>
      </c>
      <c r="N1137" s="16">
        <v>13</v>
      </c>
      <c r="O1137" s="15" t="str">
        <f t="shared" si="810"/>
        <v/>
      </c>
    </row>
    <row r="1138" spans="1:15" x14ac:dyDescent="0.15">
      <c r="A1138" s="15">
        <f t="shared" si="813"/>
        <v>1716004</v>
      </c>
      <c r="B1138" s="15">
        <v>17</v>
      </c>
      <c r="C1138" s="15">
        <v>0</v>
      </c>
      <c r="D1138" s="15">
        <v>0</v>
      </c>
      <c r="E1138" s="15">
        <f t="shared" si="804"/>
        <v>16</v>
      </c>
      <c r="F1138" s="15">
        <f t="shared" si="812"/>
        <v>4</v>
      </c>
      <c r="G1138" s="17" t="s">
        <v>1083</v>
      </c>
      <c r="H1138" s="15">
        <f t="shared" si="811"/>
        <v>90</v>
      </c>
      <c r="I1138" s="15" t="str">
        <f>VLOOKUP(A1138,遗迹结算奖励!$A$1:$O$300,15,0)</f>
        <v>[{"id":2,"num":1698800},{"id":1,"num":1690000},{"id":86,"num":11}]</v>
      </c>
      <c r="J1138" s="15" t="str">
        <f t="shared" si="808"/>
        <v>[86,2,1]</v>
      </c>
      <c r="K1138" s="15"/>
      <c r="M1138" s="3" t="s">
        <v>514</v>
      </c>
      <c r="N1138" s="15">
        <v>13</v>
      </c>
      <c r="O1138" s="15" t="str">
        <f t="shared" si="810"/>
        <v/>
      </c>
    </row>
    <row r="1139" spans="1:15" x14ac:dyDescent="0.15">
      <c r="A1139" s="15">
        <f t="shared" si="813"/>
        <v>1716005</v>
      </c>
      <c r="B1139" s="15">
        <v>17</v>
      </c>
      <c r="C1139" s="15">
        <v>0</v>
      </c>
      <c r="D1139" s="15">
        <v>0</v>
      </c>
      <c r="E1139" s="15">
        <f t="shared" si="804"/>
        <v>16</v>
      </c>
      <c r="F1139" s="15">
        <f t="shared" si="812"/>
        <v>5</v>
      </c>
      <c r="G1139" s="17" t="s">
        <v>1084</v>
      </c>
      <c r="H1139" s="15">
        <f t="shared" si="811"/>
        <v>90</v>
      </c>
      <c r="I1139" s="15" t="str">
        <f>VLOOKUP(A1139,遗迹结算奖励!$A$1:$O$300,15,0)</f>
        <v>[{"id":2,"num":1698800},{"id":1,"num":1690000},{"id":86,"num":11}]</v>
      </c>
      <c r="J1139" s="15" t="str">
        <f t="shared" si="808"/>
        <v>[86,2,1]</v>
      </c>
      <c r="K1139" s="15"/>
      <c r="M1139" s="3" t="s">
        <v>514</v>
      </c>
      <c r="N1139" s="16">
        <v>13</v>
      </c>
      <c r="O1139" s="15" t="str">
        <f t="shared" si="810"/>
        <v/>
      </c>
    </row>
    <row r="1140" spans="1:15" x14ac:dyDescent="0.15">
      <c r="A1140" s="15">
        <f t="shared" si="813"/>
        <v>1716006</v>
      </c>
      <c r="B1140" s="15">
        <v>17</v>
      </c>
      <c r="C1140" s="15">
        <v>0</v>
      </c>
      <c r="D1140" s="15">
        <v>0</v>
      </c>
      <c r="E1140" s="15">
        <f t="shared" si="804"/>
        <v>16</v>
      </c>
      <c r="F1140" s="15">
        <f t="shared" si="812"/>
        <v>6</v>
      </c>
      <c r="G1140" s="17" t="s">
        <v>1085</v>
      </c>
      <c r="H1140" s="15">
        <f t="shared" si="811"/>
        <v>90</v>
      </c>
      <c r="I1140" s="15" t="str">
        <f>VLOOKUP(A1140,遗迹结算奖励!$A$1:$O$300,15,0)</f>
        <v>[{"id":2,"num":1698800},{"id":1,"num":1690000},{"id":86,"num":11}]</v>
      </c>
      <c r="J1140" s="15" t="str">
        <f t="shared" si="808"/>
        <v>[86,2,1]</v>
      </c>
      <c r="K1140" s="15"/>
      <c r="M1140" s="3" t="s">
        <v>514</v>
      </c>
      <c r="N1140" s="15">
        <v>13</v>
      </c>
      <c r="O1140" s="15" t="str">
        <f t="shared" si="810"/>
        <v/>
      </c>
    </row>
    <row r="1141" spans="1:15" x14ac:dyDescent="0.15">
      <c r="A1141" s="15">
        <f t="shared" si="813"/>
        <v>1716007</v>
      </c>
      <c r="B1141" s="15">
        <v>17</v>
      </c>
      <c r="C1141" s="15">
        <v>0</v>
      </c>
      <c r="D1141" s="15">
        <v>0</v>
      </c>
      <c r="E1141" s="15">
        <f t="shared" si="804"/>
        <v>16</v>
      </c>
      <c r="F1141" s="15">
        <f t="shared" si="812"/>
        <v>7</v>
      </c>
      <c r="G1141" s="17" t="s">
        <v>1085</v>
      </c>
      <c r="H1141" s="15">
        <f t="shared" si="811"/>
        <v>90</v>
      </c>
      <c r="I1141" s="15" t="str">
        <f>VLOOKUP(A1141,遗迹结算奖励!$A$1:$O$300,15,0)</f>
        <v>[{"id":2,"num":1698800},{"id":1,"num":1690000},{"id":86,"num":11}]</v>
      </c>
      <c r="J1141" s="15" t="str">
        <f t="shared" si="808"/>
        <v>[86,2,1]</v>
      </c>
      <c r="K1141" s="15"/>
      <c r="M1141" s="3" t="s">
        <v>514</v>
      </c>
      <c r="N1141" s="16">
        <v>13</v>
      </c>
      <c r="O1141" s="15" t="str">
        <f t="shared" si="810"/>
        <v/>
      </c>
    </row>
    <row r="1142" spans="1:15" x14ac:dyDescent="0.15">
      <c r="A1142" s="15">
        <f t="shared" si="813"/>
        <v>1716008</v>
      </c>
      <c r="B1142" s="15">
        <v>17</v>
      </c>
      <c r="C1142" s="15">
        <v>0</v>
      </c>
      <c r="D1142" s="15">
        <v>0</v>
      </c>
      <c r="E1142" s="15">
        <f t="shared" si="804"/>
        <v>16</v>
      </c>
      <c r="F1142" s="15">
        <f t="shared" si="812"/>
        <v>8</v>
      </c>
      <c r="G1142" s="17" t="s">
        <v>1085</v>
      </c>
      <c r="H1142" s="15">
        <f t="shared" si="811"/>
        <v>90</v>
      </c>
      <c r="I1142" s="15" t="str">
        <f>VLOOKUP(A1142,遗迹结算奖励!$A$1:$O$300,15,0)</f>
        <v>[{"id":2,"num":1698800},{"id":1,"num":1690000},{"id":86,"num":11}]</v>
      </c>
      <c r="J1142" s="15" t="str">
        <f t="shared" si="808"/>
        <v>[86,2,1]</v>
      </c>
      <c r="K1142" s="15"/>
      <c r="M1142" s="3" t="s">
        <v>514</v>
      </c>
      <c r="N1142" s="15">
        <v>13</v>
      </c>
      <c r="O1142" s="15" t="str">
        <f t="shared" si="810"/>
        <v/>
      </c>
    </row>
    <row r="1143" spans="1:15" x14ac:dyDescent="0.15">
      <c r="A1143" s="15">
        <f t="shared" si="813"/>
        <v>1716009</v>
      </c>
      <c r="B1143" s="15">
        <v>17</v>
      </c>
      <c r="C1143" s="15">
        <v>0</v>
      </c>
      <c r="D1143" s="15">
        <v>0</v>
      </c>
      <c r="E1143" s="15">
        <f t="shared" si="804"/>
        <v>16</v>
      </c>
      <c r="F1143" s="15">
        <f t="shared" si="812"/>
        <v>9</v>
      </c>
      <c r="G1143" s="17" t="s">
        <v>1085</v>
      </c>
      <c r="H1143" s="15">
        <f t="shared" si="811"/>
        <v>90</v>
      </c>
      <c r="I1143" s="15" t="str">
        <f>VLOOKUP(A1143,遗迹结算奖励!$A$1:$O$300,15,0)</f>
        <v>[{"id":2,"num":1698800},{"id":1,"num":1690000},{"id":86,"num":11}]</v>
      </c>
      <c r="J1143" s="15" t="str">
        <f t="shared" si="808"/>
        <v>[86,2,1]</v>
      </c>
      <c r="K1143" s="15"/>
      <c r="M1143" s="3" t="s">
        <v>514</v>
      </c>
      <c r="N1143" s="16">
        <v>13</v>
      </c>
      <c r="O1143" s="15" t="str">
        <f t="shared" si="810"/>
        <v/>
      </c>
    </row>
    <row r="1144" spans="1:15" x14ac:dyDescent="0.15">
      <c r="A1144" s="15">
        <f t="shared" si="813"/>
        <v>1716010</v>
      </c>
      <c r="B1144" s="15">
        <v>17</v>
      </c>
      <c r="C1144" s="15">
        <v>0</v>
      </c>
      <c r="D1144" s="15">
        <v>0</v>
      </c>
      <c r="E1144" s="15">
        <f t="shared" si="804"/>
        <v>16</v>
      </c>
      <c r="F1144" s="15">
        <f t="shared" si="812"/>
        <v>10</v>
      </c>
      <c r="G1144" s="17" t="s">
        <v>1086</v>
      </c>
      <c r="H1144" s="15">
        <f t="shared" si="811"/>
        <v>90</v>
      </c>
      <c r="I1144" s="15" t="str">
        <f>VLOOKUP(A1144,遗迹结算奖励!$A$1:$O$300,15,0)</f>
        <v>[{"id":2,"num":1698800},{"id":1,"num":1690000},{"id":86,"num":11}]</v>
      </c>
      <c r="J1144" s="15" t="str">
        <f t="shared" si="808"/>
        <v>[86,2,1]</v>
      </c>
      <c r="K1144" s="15"/>
      <c r="M1144" s="3" t="s">
        <v>1087</v>
      </c>
      <c r="N1144" s="15">
        <v>13</v>
      </c>
      <c r="O1144" s="15">
        <f t="shared" si="810"/>
        <v>1</v>
      </c>
    </row>
    <row r="1145" spans="1:15" x14ac:dyDescent="0.15">
      <c r="A1145" s="15">
        <f t="shared" si="813"/>
        <v>1717001</v>
      </c>
      <c r="B1145" s="15">
        <v>17</v>
      </c>
      <c r="C1145" s="15">
        <v>0</v>
      </c>
      <c r="D1145" s="15">
        <v>0</v>
      </c>
      <c r="E1145" s="15">
        <f t="shared" si="804"/>
        <v>17</v>
      </c>
      <c r="F1145" s="15">
        <f t="shared" si="812"/>
        <v>1</v>
      </c>
      <c r="G1145" s="17" t="s">
        <v>1088</v>
      </c>
      <c r="H1145" s="15">
        <f t="shared" si="811"/>
        <v>90</v>
      </c>
      <c r="I1145" s="15" t="str">
        <f>VLOOKUP(A1145,遗迹结算奖励!$A$1:$O$300,15,0)</f>
        <v>[{"id":2,"num":1698800},{"id":1,"num":1690000},{"id":86,"num":12}]</v>
      </c>
      <c r="J1145" s="15" t="str">
        <f t="shared" si="808"/>
        <v>[86,2,1]</v>
      </c>
      <c r="K1145" s="15"/>
      <c r="M1145" s="3" t="s">
        <v>514</v>
      </c>
      <c r="N1145" s="16">
        <v>13</v>
      </c>
      <c r="O1145" s="15" t="str">
        <f t="shared" si="810"/>
        <v/>
      </c>
    </row>
    <row r="1146" spans="1:15" x14ac:dyDescent="0.15">
      <c r="A1146" s="15">
        <f t="shared" si="813"/>
        <v>1717002</v>
      </c>
      <c r="B1146" s="15">
        <v>17</v>
      </c>
      <c r="C1146" s="15">
        <v>0</v>
      </c>
      <c r="D1146" s="15">
        <v>0</v>
      </c>
      <c r="E1146" s="15">
        <f t="shared" si="804"/>
        <v>17</v>
      </c>
      <c r="F1146" s="15">
        <f t="shared" si="812"/>
        <v>2</v>
      </c>
      <c r="G1146" s="17" t="s">
        <v>1088</v>
      </c>
      <c r="H1146" s="15">
        <f t="shared" si="811"/>
        <v>90</v>
      </c>
      <c r="I1146" s="15" t="str">
        <f>VLOOKUP(A1146,遗迹结算奖励!$A$1:$O$300,15,0)</f>
        <v>[{"id":2,"num":1698800},{"id":1,"num":1690000},{"id":86,"num":12}]</v>
      </c>
      <c r="J1146" s="15" t="str">
        <f t="shared" si="808"/>
        <v>[86,2,1]</v>
      </c>
      <c r="K1146" s="15"/>
      <c r="M1146" s="3" t="s">
        <v>514</v>
      </c>
      <c r="N1146" s="15">
        <v>13</v>
      </c>
      <c r="O1146" s="15" t="str">
        <f t="shared" si="810"/>
        <v/>
      </c>
    </row>
    <row r="1147" spans="1:15" x14ac:dyDescent="0.15">
      <c r="A1147" s="15">
        <f t="shared" si="813"/>
        <v>1717003</v>
      </c>
      <c r="B1147" s="15">
        <v>17</v>
      </c>
      <c r="C1147" s="15">
        <v>0</v>
      </c>
      <c r="D1147" s="15">
        <v>0</v>
      </c>
      <c r="E1147" s="15">
        <f t="shared" si="804"/>
        <v>17</v>
      </c>
      <c r="F1147" s="15">
        <f t="shared" si="812"/>
        <v>3</v>
      </c>
      <c r="G1147" s="17" t="s">
        <v>1088</v>
      </c>
      <c r="H1147" s="15">
        <f t="shared" si="811"/>
        <v>90</v>
      </c>
      <c r="I1147" s="15" t="str">
        <f>VLOOKUP(A1147,遗迹结算奖励!$A$1:$O$300,15,0)</f>
        <v>[{"id":2,"num":1698800},{"id":1,"num":1690000},{"id":86,"num":12}]</v>
      </c>
      <c r="J1147" s="15" t="str">
        <f t="shared" si="808"/>
        <v>[86,2,1]</v>
      </c>
      <c r="K1147" s="15"/>
      <c r="M1147" s="3" t="s">
        <v>514</v>
      </c>
      <c r="N1147" s="16">
        <v>13</v>
      </c>
      <c r="O1147" s="15" t="str">
        <f t="shared" si="810"/>
        <v/>
      </c>
    </row>
    <row r="1148" spans="1:15" x14ac:dyDescent="0.15">
      <c r="A1148" s="15">
        <f t="shared" si="813"/>
        <v>1717004</v>
      </c>
      <c r="B1148" s="15">
        <v>17</v>
      </c>
      <c r="C1148" s="15">
        <v>0</v>
      </c>
      <c r="D1148" s="15">
        <v>0</v>
      </c>
      <c r="E1148" s="15">
        <f t="shared" si="804"/>
        <v>17</v>
      </c>
      <c r="F1148" s="15">
        <f t="shared" si="812"/>
        <v>4</v>
      </c>
      <c r="G1148" s="17" t="s">
        <v>1088</v>
      </c>
      <c r="H1148" s="15">
        <f t="shared" si="811"/>
        <v>90</v>
      </c>
      <c r="I1148" s="15" t="str">
        <f>VLOOKUP(A1148,遗迹结算奖励!$A$1:$O$300,15,0)</f>
        <v>[{"id":2,"num":1698800},{"id":1,"num":1690000},{"id":86,"num":12}]</v>
      </c>
      <c r="J1148" s="15" t="str">
        <f t="shared" si="808"/>
        <v>[86,2,1]</v>
      </c>
      <c r="K1148" s="15"/>
      <c r="M1148" s="3" t="s">
        <v>514</v>
      </c>
      <c r="N1148" s="16">
        <v>13</v>
      </c>
      <c r="O1148" s="15" t="str">
        <f t="shared" si="810"/>
        <v/>
      </c>
    </row>
    <row r="1149" spans="1:15" x14ac:dyDescent="0.15">
      <c r="A1149" s="15">
        <f t="shared" si="813"/>
        <v>1717005</v>
      </c>
      <c r="B1149" s="15">
        <v>17</v>
      </c>
      <c r="C1149" s="15">
        <v>0</v>
      </c>
      <c r="D1149" s="15">
        <v>0</v>
      </c>
      <c r="E1149" s="15">
        <f t="shared" si="804"/>
        <v>17</v>
      </c>
      <c r="F1149" s="15">
        <f t="shared" si="812"/>
        <v>5</v>
      </c>
      <c r="G1149" s="17" t="s">
        <v>1089</v>
      </c>
      <c r="H1149" s="15">
        <f t="shared" si="811"/>
        <v>90</v>
      </c>
      <c r="I1149" s="15" t="str">
        <f>VLOOKUP(A1149,遗迹结算奖励!$A$1:$O$300,15,0)</f>
        <v>[{"id":2,"num":1698800},{"id":1,"num":1690000},{"id":86,"num":12}]</v>
      </c>
      <c r="J1149" s="15" t="str">
        <f t="shared" si="808"/>
        <v>[86,2,1]</v>
      </c>
      <c r="K1149" s="15"/>
      <c r="M1149" s="3" t="s">
        <v>514</v>
      </c>
      <c r="N1149" s="15">
        <v>13</v>
      </c>
      <c r="O1149" s="15" t="str">
        <f t="shared" si="810"/>
        <v/>
      </c>
    </row>
    <row r="1150" spans="1:15" x14ac:dyDescent="0.15">
      <c r="A1150" s="15">
        <f t="shared" si="813"/>
        <v>1717006</v>
      </c>
      <c r="B1150" s="15">
        <v>17</v>
      </c>
      <c r="C1150" s="15">
        <v>0</v>
      </c>
      <c r="D1150" s="15">
        <v>0</v>
      </c>
      <c r="E1150" s="15">
        <f t="shared" si="804"/>
        <v>17</v>
      </c>
      <c r="F1150" s="15">
        <f t="shared" si="812"/>
        <v>6</v>
      </c>
      <c r="G1150" s="17" t="s">
        <v>1090</v>
      </c>
      <c r="H1150" s="15">
        <f t="shared" si="811"/>
        <v>90</v>
      </c>
      <c r="I1150" s="15" t="str">
        <f>VLOOKUP(A1150,遗迹结算奖励!$A$1:$O$300,15,0)</f>
        <v>[{"id":2,"num":1698800},{"id":1,"num":1690000},{"id":86,"num":12}]</v>
      </c>
      <c r="J1150" s="15" t="str">
        <f t="shared" si="808"/>
        <v>[86,2,1]</v>
      </c>
      <c r="K1150" s="15"/>
      <c r="M1150" s="3" t="s">
        <v>514</v>
      </c>
      <c r="N1150" s="16">
        <v>13</v>
      </c>
      <c r="O1150" s="15" t="str">
        <f t="shared" si="810"/>
        <v/>
      </c>
    </row>
    <row r="1151" spans="1:15" x14ac:dyDescent="0.15">
      <c r="A1151" s="15">
        <f t="shared" si="813"/>
        <v>1717007</v>
      </c>
      <c r="B1151" s="15">
        <v>17</v>
      </c>
      <c r="C1151" s="15">
        <v>0</v>
      </c>
      <c r="D1151" s="15">
        <v>0</v>
      </c>
      <c r="E1151" s="15">
        <f t="shared" si="804"/>
        <v>17</v>
      </c>
      <c r="F1151" s="15">
        <f t="shared" si="812"/>
        <v>7</v>
      </c>
      <c r="G1151" s="17" t="s">
        <v>1090</v>
      </c>
      <c r="H1151" s="15">
        <f t="shared" si="811"/>
        <v>90</v>
      </c>
      <c r="I1151" s="15" t="str">
        <f>VLOOKUP(A1151,遗迹结算奖励!$A$1:$O$300,15,0)</f>
        <v>[{"id":2,"num":1698800},{"id":1,"num":1690000},{"id":86,"num":12}]</v>
      </c>
      <c r="J1151" s="15" t="str">
        <f t="shared" si="808"/>
        <v>[86,2,1]</v>
      </c>
      <c r="K1151" s="15"/>
      <c r="M1151" s="3" t="s">
        <v>514</v>
      </c>
      <c r="N1151" s="15">
        <v>13</v>
      </c>
      <c r="O1151" s="15" t="str">
        <f t="shared" si="810"/>
        <v/>
      </c>
    </row>
    <row r="1152" spans="1:15" x14ac:dyDescent="0.15">
      <c r="A1152" s="15">
        <f t="shared" si="813"/>
        <v>1717008</v>
      </c>
      <c r="B1152" s="15">
        <v>17</v>
      </c>
      <c r="C1152" s="15">
        <v>0</v>
      </c>
      <c r="D1152" s="15">
        <v>0</v>
      </c>
      <c r="E1152" s="15">
        <f t="shared" si="804"/>
        <v>17</v>
      </c>
      <c r="F1152" s="15">
        <f t="shared" si="812"/>
        <v>8</v>
      </c>
      <c r="G1152" s="17" t="s">
        <v>1090</v>
      </c>
      <c r="H1152" s="15">
        <f t="shared" si="811"/>
        <v>90</v>
      </c>
      <c r="I1152" s="15" t="str">
        <f>VLOOKUP(A1152,遗迹结算奖励!$A$1:$O$300,15,0)</f>
        <v>[{"id":2,"num":1698800},{"id":1,"num":1690000},{"id":86,"num":12}]</v>
      </c>
      <c r="J1152" s="15" t="str">
        <f t="shared" si="808"/>
        <v>[86,2,1]</v>
      </c>
      <c r="K1152" s="15"/>
      <c r="M1152" s="3" t="s">
        <v>514</v>
      </c>
      <c r="N1152" s="16">
        <v>13</v>
      </c>
      <c r="O1152" s="15" t="str">
        <f t="shared" si="810"/>
        <v/>
      </c>
    </row>
    <row r="1153" spans="1:15" x14ac:dyDescent="0.15">
      <c r="A1153" s="15">
        <f t="shared" si="813"/>
        <v>1717009</v>
      </c>
      <c r="B1153" s="15">
        <v>17</v>
      </c>
      <c r="C1153" s="15">
        <v>0</v>
      </c>
      <c r="D1153" s="15">
        <v>0</v>
      </c>
      <c r="E1153" s="15">
        <f t="shared" si="804"/>
        <v>17</v>
      </c>
      <c r="F1153" s="15">
        <f t="shared" si="812"/>
        <v>9</v>
      </c>
      <c r="G1153" s="17" t="s">
        <v>1090</v>
      </c>
      <c r="H1153" s="15">
        <f t="shared" si="811"/>
        <v>90</v>
      </c>
      <c r="I1153" s="15" t="str">
        <f>VLOOKUP(A1153,遗迹结算奖励!$A$1:$O$300,15,0)</f>
        <v>[{"id":2,"num":1698800},{"id":1,"num":1690000},{"id":86,"num":12}]</v>
      </c>
      <c r="J1153" s="15" t="str">
        <f t="shared" si="808"/>
        <v>[86,2,1]</v>
      </c>
      <c r="K1153" s="15"/>
      <c r="M1153" s="3" t="s">
        <v>514</v>
      </c>
      <c r="N1153" s="15">
        <v>13</v>
      </c>
      <c r="O1153" s="15" t="str">
        <f t="shared" si="810"/>
        <v/>
      </c>
    </row>
    <row r="1154" spans="1:15" x14ac:dyDescent="0.15">
      <c r="A1154" s="15">
        <f t="shared" si="813"/>
        <v>1717010</v>
      </c>
      <c r="B1154" s="15">
        <v>17</v>
      </c>
      <c r="C1154" s="15">
        <v>0</v>
      </c>
      <c r="D1154" s="15">
        <v>0</v>
      </c>
      <c r="E1154" s="15">
        <f t="shared" si="804"/>
        <v>17</v>
      </c>
      <c r="F1154" s="15">
        <f t="shared" si="812"/>
        <v>10</v>
      </c>
      <c r="G1154" s="17" t="s">
        <v>1091</v>
      </c>
      <c r="H1154" s="15">
        <f t="shared" si="811"/>
        <v>90</v>
      </c>
      <c r="I1154" s="15" t="str">
        <f>VLOOKUP(A1154,遗迹结算奖励!$A$1:$O$300,15,0)</f>
        <v>[{"id":2,"num":1698800},{"id":1,"num":1690000},{"id":86,"num":12}]</v>
      </c>
      <c r="J1154" s="15" t="str">
        <f t="shared" si="808"/>
        <v>[86,2,1]</v>
      </c>
      <c r="K1154" s="15"/>
      <c r="M1154" s="3" t="s">
        <v>1092</v>
      </c>
      <c r="N1154" s="16">
        <v>13</v>
      </c>
      <c r="O1154" s="15">
        <f t="shared" si="810"/>
        <v>1</v>
      </c>
    </row>
    <row r="1155" spans="1:15" x14ac:dyDescent="0.15">
      <c r="A1155" s="15">
        <f t="shared" si="813"/>
        <v>1718001</v>
      </c>
      <c r="B1155" s="15">
        <v>17</v>
      </c>
      <c r="C1155" s="15">
        <v>0</v>
      </c>
      <c r="D1155" s="15">
        <v>0</v>
      </c>
      <c r="E1155" s="15">
        <f t="shared" si="804"/>
        <v>18</v>
      </c>
      <c r="F1155" s="15">
        <f t="shared" si="812"/>
        <v>1</v>
      </c>
      <c r="G1155" s="17" t="s">
        <v>1093</v>
      </c>
      <c r="H1155" s="15">
        <f t="shared" si="811"/>
        <v>90</v>
      </c>
      <c r="I1155" s="15" t="str">
        <f>VLOOKUP(A1155,遗迹结算奖励!$A$1:$O$300,15,0)</f>
        <v>[{"id":2,"num":1698800},{"id":1,"num":1690000},{"id":86,"num":13}]</v>
      </c>
      <c r="J1155" s="15" t="str">
        <f t="shared" si="808"/>
        <v>[86,2,1]</v>
      </c>
      <c r="K1155" s="15"/>
      <c r="M1155" s="3" t="s">
        <v>514</v>
      </c>
      <c r="N1155" s="15">
        <v>13</v>
      </c>
      <c r="O1155" s="15" t="str">
        <f t="shared" si="810"/>
        <v/>
      </c>
    </row>
    <row r="1156" spans="1:15" x14ac:dyDescent="0.15">
      <c r="A1156" s="15">
        <f t="shared" si="813"/>
        <v>1718002</v>
      </c>
      <c r="B1156" s="15">
        <v>17</v>
      </c>
      <c r="C1156" s="15">
        <v>0</v>
      </c>
      <c r="D1156" s="15">
        <v>0</v>
      </c>
      <c r="E1156" s="15">
        <f t="shared" si="804"/>
        <v>18</v>
      </c>
      <c r="F1156" s="15">
        <f t="shared" si="812"/>
        <v>2</v>
      </c>
      <c r="G1156" s="17" t="s">
        <v>1093</v>
      </c>
      <c r="H1156" s="15">
        <f t="shared" si="811"/>
        <v>90</v>
      </c>
      <c r="I1156" s="15" t="str">
        <f>VLOOKUP(A1156,遗迹结算奖励!$A$1:$O$300,15,0)</f>
        <v>[{"id":2,"num":1698800},{"id":1,"num":1690000},{"id":86,"num":13}]</v>
      </c>
      <c r="J1156" s="15" t="str">
        <f t="shared" si="808"/>
        <v>[86,2,1]</v>
      </c>
      <c r="K1156" s="15"/>
      <c r="M1156" s="3" t="s">
        <v>514</v>
      </c>
      <c r="N1156" s="16">
        <v>13</v>
      </c>
      <c r="O1156" s="15" t="str">
        <f t="shared" si="810"/>
        <v/>
      </c>
    </row>
    <row r="1157" spans="1:15" x14ac:dyDescent="0.15">
      <c r="A1157" s="15">
        <f t="shared" si="813"/>
        <v>1718003</v>
      </c>
      <c r="B1157" s="15">
        <v>17</v>
      </c>
      <c r="C1157" s="15">
        <v>0</v>
      </c>
      <c r="D1157" s="15">
        <v>0</v>
      </c>
      <c r="E1157" s="15">
        <f t="shared" si="804"/>
        <v>18</v>
      </c>
      <c r="F1157" s="15">
        <f t="shared" si="812"/>
        <v>3</v>
      </c>
      <c r="G1157" s="17" t="s">
        <v>1094</v>
      </c>
      <c r="H1157" s="15">
        <f t="shared" si="811"/>
        <v>90</v>
      </c>
      <c r="I1157" s="15" t="str">
        <f>VLOOKUP(A1157,遗迹结算奖励!$A$1:$O$300,15,0)</f>
        <v>[{"id":2,"num":1698800},{"id":1,"num":1690000},{"id":86,"num":13}]</v>
      </c>
      <c r="J1157" s="15" t="str">
        <f t="shared" si="808"/>
        <v>[86,2,1]</v>
      </c>
      <c r="K1157" s="15"/>
      <c r="M1157" s="3" t="s">
        <v>514</v>
      </c>
      <c r="N1157" s="15">
        <v>13</v>
      </c>
      <c r="O1157" s="15" t="str">
        <f t="shared" si="810"/>
        <v/>
      </c>
    </row>
    <row r="1158" spans="1:15" x14ac:dyDescent="0.15">
      <c r="A1158" s="15">
        <f t="shared" si="813"/>
        <v>1718004</v>
      </c>
      <c r="B1158" s="15">
        <v>17</v>
      </c>
      <c r="C1158" s="15">
        <v>0</v>
      </c>
      <c r="D1158" s="15">
        <v>0</v>
      </c>
      <c r="E1158" s="15">
        <f t="shared" si="804"/>
        <v>18</v>
      </c>
      <c r="F1158" s="15">
        <f t="shared" si="812"/>
        <v>4</v>
      </c>
      <c r="G1158" s="17" t="s">
        <v>1094</v>
      </c>
      <c r="H1158" s="15">
        <f t="shared" si="811"/>
        <v>90</v>
      </c>
      <c r="I1158" s="15" t="str">
        <f>VLOOKUP(A1158,遗迹结算奖励!$A$1:$O$300,15,0)</f>
        <v>[{"id":2,"num":1698800},{"id":1,"num":1690000},{"id":86,"num":13}]</v>
      </c>
      <c r="J1158" s="15" t="str">
        <f t="shared" si="808"/>
        <v>[86,2,1]</v>
      </c>
      <c r="K1158" s="15"/>
      <c r="M1158" s="3" t="s">
        <v>514</v>
      </c>
      <c r="N1158" s="16">
        <v>13</v>
      </c>
      <c r="O1158" s="15" t="str">
        <f t="shared" si="810"/>
        <v/>
      </c>
    </row>
    <row r="1159" spans="1:15" x14ac:dyDescent="0.15">
      <c r="A1159" s="15">
        <f t="shared" si="813"/>
        <v>1718005</v>
      </c>
      <c r="B1159" s="15">
        <v>17</v>
      </c>
      <c r="C1159" s="15">
        <v>0</v>
      </c>
      <c r="D1159" s="15">
        <v>0</v>
      </c>
      <c r="E1159" s="15">
        <f t="shared" si="804"/>
        <v>18</v>
      </c>
      <c r="F1159" s="15">
        <f t="shared" si="812"/>
        <v>5</v>
      </c>
      <c r="G1159" s="17" t="s">
        <v>1095</v>
      </c>
      <c r="H1159" s="15">
        <f t="shared" si="811"/>
        <v>90</v>
      </c>
      <c r="I1159" s="15" t="str">
        <f>VLOOKUP(A1159,遗迹结算奖励!$A$1:$O$300,15,0)</f>
        <v>[{"id":2,"num":1698800},{"id":1,"num":1690000},{"id":86,"num":13}]</v>
      </c>
      <c r="J1159" s="15" t="str">
        <f t="shared" si="808"/>
        <v>[86,2,1]</v>
      </c>
      <c r="K1159" s="15"/>
      <c r="M1159" s="3" t="s">
        <v>514</v>
      </c>
      <c r="N1159" s="15">
        <v>13</v>
      </c>
      <c r="O1159" s="15" t="str">
        <f t="shared" si="810"/>
        <v/>
      </c>
    </row>
    <row r="1160" spans="1:15" x14ac:dyDescent="0.15">
      <c r="A1160" s="15">
        <f t="shared" si="813"/>
        <v>1718006</v>
      </c>
      <c r="B1160" s="15">
        <v>17</v>
      </c>
      <c r="C1160" s="15">
        <v>0</v>
      </c>
      <c r="D1160" s="15">
        <v>0</v>
      </c>
      <c r="E1160" s="15">
        <f t="shared" si="804"/>
        <v>18</v>
      </c>
      <c r="F1160" s="15">
        <f t="shared" si="812"/>
        <v>6</v>
      </c>
      <c r="G1160" s="17" t="s">
        <v>1096</v>
      </c>
      <c r="H1160" s="15">
        <f t="shared" si="811"/>
        <v>90</v>
      </c>
      <c r="I1160" s="15" t="str">
        <f>VLOOKUP(A1160,遗迹结算奖励!$A$1:$O$300,15,0)</f>
        <v>[{"id":2,"num":1698800},{"id":1,"num":1690000},{"id":86,"num":13}]</v>
      </c>
      <c r="J1160" s="15" t="str">
        <f t="shared" si="808"/>
        <v>[86,2,1]</v>
      </c>
      <c r="K1160" s="15"/>
      <c r="M1160" s="3" t="s">
        <v>514</v>
      </c>
      <c r="N1160" s="16">
        <v>13</v>
      </c>
      <c r="O1160" s="15" t="str">
        <f t="shared" si="810"/>
        <v/>
      </c>
    </row>
    <row r="1161" spans="1:15" x14ac:dyDescent="0.15">
      <c r="A1161" s="15">
        <f t="shared" si="813"/>
        <v>1718007</v>
      </c>
      <c r="B1161" s="15">
        <v>17</v>
      </c>
      <c r="C1161" s="15">
        <v>0</v>
      </c>
      <c r="D1161" s="15">
        <v>0</v>
      </c>
      <c r="E1161" s="15">
        <f t="shared" si="804"/>
        <v>18</v>
      </c>
      <c r="F1161" s="15">
        <f t="shared" ref="F1161:J1184" si="814">F1151</f>
        <v>7</v>
      </c>
      <c r="G1161" s="17" t="s">
        <v>1096</v>
      </c>
      <c r="H1161" s="15">
        <f t="shared" si="814"/>
        <v>90</v>
      </c>
      <c r="I1161" s="15" t="str">
        <f>VLOOKUP(A1161,遗迹结算奖励!$A$1:$O$300,15,0)</f>
        <v>[{"id":2,"num":1698800},{"id":1,"num":1690000},{"id":86,"num":13}]</v>
      </c>
      <c r="J1161" s="15" t="str">
        <f t="shared" si="814"/>
        <v>[86,2,1]</v>
      </c>
      <c r="K1161" s="15"/>
      <c r="M1161" s="3" t="s">
        <v>514</v>
      </c>
      <c r="N1161" s="15">
        <v>13</v>
      </c>
      <c r="O1161" s="15" t="str">
        <f t="shared" si="810"/>
        <v/>
      </c>
    </row>
    <row r="1162" spans="1:15" x14ac:dyDescent="0.15">
      <c r="A1162" s="15">
        <f t="shared" si="813"/>
        <v>1718008</v>
      </c>
      <c r="B1162" s="15">
        <v>17</v>
      </c>
      <c r="C1162" s="15">
        <v>0</v>
      </c>
      <c r="D1162" s="15">
        <v>0</v>
      </c>
      <c r="E1162" s="15">
        <f t="shared" si="804"/>
        <v>18</v>
      </c>
      <c r="F1162" s="15">
        <f t="shared" si="814"/>
        <v>8</v>
      </c>
      <c r="G1162" s="17" t="s">
        <v>1097</v>
      </c>
      <c r="H1162" s="15">
        <f t="shared" si="814"/>
        <v>90</v>
      </c>
      <c r="I1162" s="15" t="str">
        <f>VLOOKUP(A1162,遗迹结算奖励!$A$1:$O$300,15,0)</f>
        <v>[{"id":2,"num":1698800},{"id":1,"num":1690000},{"id":86,"num":13}]</v>
      </c>
      <c r="J1162" s="15" t="str">
        <f t="shared" si="814"/>
        <v>[86,2,1]</v>
      </c>
      <c r="K1162" s="15"/>
      <c r="M1162" s="3" t="s">
        <v>514</v>
      </c>
      <c r="N1162" s="16">
        <v>13</v>
      </c>
      <c r="O1162" s="15" t="str">
        <f t="shared" si="810"/>
        <v/>
      </c>
    </row>
    <row r="1163" spans="1:15" x14ac:dyDescent="0.15">
      <c r="A1163" s="15">
        <f t="shared" si="813"/>
        <v>1718009</v>
      </c>
      <c r="B1163" s="15">
        <v>17</v>
      </c>
      <c r="C1163" s="15">
        <v>0</v>
      </c>
      <c r="D1163" s="15">
        <v>0</v>
      </c>
      <c r="E1163" s="15">
        <f t="shared" si="804"/>
        <v>18</v>
      </c>
      <c r="F1163" s="15">
        <f t="shared" si="814"/>
        <v>9</v>
      </c>
      <c r="G1163" s="17" t="s">
        <v>1097</v>
      </c>
      <c r="H1163" s="15">
        <f t="shared" si="814"/>
        <v>90</v>
      </c>
      <c r="I1163" s="15" t="str">
        <f>VLOOKUP(A1163,遗迹结算奖励!$A$1:$O$300,15,0)</f>
        <v>[{"id":2,"num":1698800},{"id":1,"num":1690000},{"id":86,"num":13}]</v>
      </c>
      <c r="J1163" s="15" t="str">
        <f t="shared" si="814"/>
        <v>[86,2,1]</v>
      </c>
      <c r="K1163" s="15"/>
      <c r="M1163" s="3" t="s">
        <v>514</v>
      </c>
      <c r="N1163" s="15">
        <v>13</v>
      </c>
      <c r="O1163" s="15" t="str">
        <f t="shared" si="810"/>
        <v/>
      </c>
    </row>
    <row r="1164" spans="1:15" x14ac:dyDescent="0.15">
      <c r="A1164" s="15">
        <f t="shared" si="813"/>
        <v>1718010</v>
      </c>
      <c r="B1164" s="15">
        <v>17</v>
      </c>
      <c r="C1164" s="15">
        <v>0</v>
      </c>
      <c r="D1164" s="15">
        <v>0</v>
      </c>
      <c r="E1164" s="15">
        <f t="shared" si="804"/>
        <v>18</v>
      </c>
      <c r="F1164" s="15">
        <f t="shared" si="814"/>
        <v>10</v>
      </c>
      <c r="G1164" s="17" t="s">
        <v>1098</v>
      </c>
      <c r="H1164" s="15">
        <f t="shared" si="814"/>
        <v>90</v>
      </c>
      <c r="I1164" s="15" t="str">
        <f>VLOOKUP(A1164,遗迹结算奖励!$A$1:$O$300,15,0)</f>
        <v>[{"id":2,"num":1698800},{"id":1,"num":1690000},{"id":86,"num":13}]</v>
      </c>
      <c r="J1164" s="15" t="str">
        <f t="shared" si="814"/>
        <v>[86,2,1]</v>
      </c>
      <c r="K1164" s="15"/>
      <c r="M1164" s="3" t="s">
        <v>1099</v>
      </c>
      <c r="N1164" s="16">
        <v>13</v>
      </c>
      <c r="O1164" s="15">
        <f t="shared" si="810"/>
        <v>1</v>
      </c>
    </row>
    <row r="1165" spans="1:15" x14ac:dyDescent="0.15">
      <c r="A1165" s="15">
        <f t="shared" si="813"/>
        <v>1719001</v>
      </c>
      <c r="B1165" s="15">
        <v>17</v>
      </c>
      <c r="C1165" s="15">
        <v>0</v>
      </c>
      <c r="D1165" s="15">
        <v>0</v>
      </c>
      <c r="E1165" s="15">
        <f t="shared" si="804"/>
        <v>19</v>
      </c>
      <c r="F1165" s="15">
        <f t="shared" si="814"/>
        <v>1</v>
      </c>
      <c r="G1165" s="17" t="s">
        <v>1100</v>
      </c>
      <c r="H1165" s="15">
        <f t="shared" si="814"/>
        <v>90</v>
      </c>
      <c r="I1165" s="15" t="str">
        <f>VLOOKUP(A1165,遗迹结算奖励!$A$1:$O$300,15,0)</f>
        <v>[{"id":2,"num":1698800},{"id":1,"num":1690000},{"id":86,"num":14}]</v>
      </c>
      <c r="J1165" s="15" t="str">
        <f t="shared" si="814"/>
        <v>[86,2,1]</v>
      </c>
      <c r="K1165" s="15"/>
      <c r="M1165" s="3" t="s">
        <v>514</v>
      </c>
      <c r="N1165" s="15">
        <v>13</v>
      </c>
      <c r="O1165" s="15" t="str">
        <f t="shared" si="810"/>
        <v/>
      </c>
    </row>
    <row r="1166" spans="1:15" x14ac:dyDescent="0.15">
      <c r="A1166" s="15">
        <f t="shared" si="813"/>
        <v>1719002</v>
      </c>
      <c r="B1166" s="15">
        <v>17</v>
      </c>
      <c r="C1166" s="15">
        <v>0</v>
      </c>
      <c r="D1166" s="15">
        <v>0</v>
      </c>
      <c r="E1166" s="15">
        <f t="shared" si="804"/>
        <v>19</v>
      </c>
      <c r="F1166" s="15">
        <f t="shared" si="814"/>
        <v>2</v>
      </c>
      <c r="G1166" s="17" t="s">
        <v>1100</v>
      </c>
      <c r="H1166" s="15">
        <f t="shared" si="814"/>
        <v>90</v>
      </c>
      <c r="I1166" s="15" t="str">
        <f>VLOOKUP(A1166,遗迹结算奖励!$A$1:$O$300,15,0)</f>
        <v>[{"id":2,"num":1698800},{"id":1,"num":1690000},{"id":86,"num":14}]</v>
      </c>
      <c r="J1166" s="15" t="str">
        <f t="shared" si="814"/>
        <v>[86,2,1]</v>
      </c>
      <c r="K1166" s="15"/>
      <c r="M1166" s="3" t="s">
        <v>514</v>
      </c>
      <c r="N1166" s="16">
        <v>13</v>
      </c>
      <c r="O1166" s="15" t="str">
        <f t="shared" si="810"/>
        <v/>
      </c>
    </row>
    <row r="1167" spans="1:15" x14ac:dyDescent="0.15">
      <c r="A1167" s="15">
        <f t="shared" si="813"/>
        <v>1719003</v>
      </c>
      <c r="B1167" s="15">
        <v>17</v>
      </c>
      <c r="C1167" s="15">
        <v>0</v>
      </c>
      <c r="D1167" s="15">
        <v>0</v>
      </c>
      <c r="E1167" s="15">
        <f t="shared" ref="E1167:E1184" si="815">E1157+1</f>
        <v>19</v>
      </c>
      <c r="F1167" s="15">
        <f t="shared" si="814"/>
        <v>3</v>
      </c>
      <c r="G1167" s="17" t="s">
        <v>1101</v>
      </c>
      <c r="H1167" s="15">
        <f t="shared" si="814"/>
        <v>90</v>
      </c>
      <c r="I1167" s="15" t="str">
        <f>VLOOKUP(A1167,遗迹结算奖励!$A$1:$O$300,15,0)</f>
        <v>[{"id":2,"num":1698800},{"id":1,"num":1690000},{"id":86,"num":14}]</v>
      </c>
      <c r="J1167" s="15" t="str">
        <f t="shared" si="814"/>
        <v>[86,2,1]</v>
      </c>
      <c r="K1167" s="15"/>
      <c r="M1167" s="3" t="s">
        <v>514</v>
      </c>
      <c r="N1167" s="15">
        <v>13</v>
      </c>
      <c r="O1167" s="15" t="str">
        <f t="shared" si="810"/>
        <v/>
      </c>
    </row>
    <row r="1168" spans="1:15" x14ac:dyDescent="0.15">
      <c r="A1168" s="15">
        <f t="shared" si="813"/>
        <v>1719004</v>
      </c>
      <c r="B1168" s="15">
        <v>17</v>
      </c>
      <c r="C1168" s="15">
        <v>0</v>
      </c>
      <c r="D1168" s="15">
        <v>0</v>
      </c>
      <c r="E1168" s="15">
        <f t="shared" si="815"/>
        <v>19</v>
      </c>
      <c r="F1168" s="15">
        <f t="shared" si="814"/>
        <v>4</v>
      </c>
      <c r="G1168" s="17" t="s">
        <v>1101</v>
      </c>
      <c r="H1168" s="15">
        <f t="shared" si="814"/>
        <v>90</v>
      </c>
      <c r="I1168" s="15" t="str">
        <f>VLOOKUP(A1168,遗迹结算奖励!$A$1:$O$300,15,0)</f>
        <v>[{"id":2,"num":1698800},{"id":1,"num":1690000},{"id":86,"num":14}]</v>
      </c>
      <c r="J1168" s="15" t="str">
        <f t="shared" si="814"/>
        <v>[86,2,1]</v>
      </c>
      <c r="K1168" s="15"/>
      <c r="M1168" s="3" t="s">
        <v>514</v>
      </c>
      <c r="N1168" s="16">
        <v>13</v>
      </c>
      <c r="O1168" s="15" t="str">
        <f t="shared" si="810"/>
        <v/>
      </c>
    </row>
    <row r="1169" spans="1:15" x14ac:dyDescent="0.15">
      <c r="A1169" s="15">
        <f t="shared" si="813"/>
        <v>1719005</v>
      </c>
      <c r="B1169" s="15">
        <v>17</v>
      </c>
      <c r="C1169" s="15">
        <v>0</v>
      </c>
      <c r="D1169" s="15">
        <v>0</v>
      </c>
      <c r="E1169" s="15">
        <f t="shared" si="815"/>
        <v>19</v>
      </c>
      <c r="F1169" s="15">
        <f t="shared" si="814"/>
        <v>5</v>
      </c>
      <c r="G1169" s="17" t="s">
        <v>1102</v>
      </c>
      <c r="H1169" s="15">
        <f t="shared" si="814"/>
        <v>90</v>
      </c>
      <c r="I1169" s="15" t="str">
        <f>VLOOKUP(A1169,遗迹结算奖励!$A$1:$O$300,15,0)</f>
        <v>[{"id":2,"num":1698800},{"id":1,"num":1690000},{"id":86,"num":14}]</v>
      </c>
      <c r="J1169" s="15" t="str">
        <f t="shared" si="814"/>
        <v>[86,2,1]</v>
      </c>
      <c r="K1169" s="15"/>
      <c r="M1169" s="3" t="s">
        <v>514</v>
      </c>
      <c r="N1169" s="15">
        <v>13</v>
      </c>
      <c r="O1169" s="15" t="str">
        <f t="shared" si="810"/>
        <v/>
      </c>
    </row>
    <row r="1170" spans="1:15" x14ac:dyDescent="0.15">
      <c r="A1170" s="15">
        <f t="shared" si="813"/>
        <v>1719006</v>
      </c>
      <c r="B1170" s="15">
        <v>17</v>
      </c>
      <c r="C1170" s="15">
        <v>0</v>
      </c>
      <c r="D1170" s="15">
        <v>0</v>
      </c>
      <c r="E1170" s="15">
        <f t="shared" si="815"/>
        <v>19</v>
      </c>
      <c r="F1170" s="15">
        <f t="shared" si="814"/>
        <v>6</v>
      </c>
      <c r="G1170" s="17" t="s">
        <v>1103</v>
      </c>
      <c r="H1170" s="15">
        <f t="shared" si="814"/>
        <v>90</v>
      </c>
      <c r="I1170" s="15" t="str">
        <f>VLOOKUP(A1170,遗迹结算奖励!$A$1:$O$300,15,0)</f>
        <v>[{"id":2,"num":1698800},{"id":1,"num":1690000},{"id":86,"num":14}]</v>
      </c>
      <c r="J1170" s="15" t="str">
        <f t="shared" si="814"/>
        <v>[86,2,1]</v>
      </c>
      <c r="K1170" s="15"/>
      <c r="M1170" s="3" t="s">
        <v>514</v>
      </c>
      <c r="N1170" s="16">
        <v>13</v>
      </c>
      <c r="O1170" s="15" t="str">
        <f t="shared" si="810"/>
        <v/>
      </c>
    </row>
    <row r="1171" spans="1:15" x14ac:dyDescent="0.15">
      <c r="A1171" s="15">
        <f t="shared" si="813"/>
        <v>1719007</v>
      </c>
      <c r="B1171" s="15">
        <v>17</v>
      </c>
      <c r="C1171" s="15">
        <v>0</v>
      </c>
      <c r="D1171" s="15">
        <v>0</v>
      </c>
      <c r="E1171" s="15">
        <f t="shared" si="815"/>
        <v>19</v>
      </c>
      <c r="F1171" s="15">
        <f t="shared" si="814"/>
        <v>7</v>
      </c>
      <c r="G1171" s="17" t="s">
        <v>1103</v>
      </c>
      <c r="H1171" s="15">
        <f t="shared" si="814"/>
        <v>90</v>
      </c>
      <c r="I1171" s="15" t="str">
        <f>VLOOKUP(A1171,遗迹结算奖励!$A$1:$O$300,15,0)</f>
        <v>[{"id":2,"num":1698800},{"id":1,"num":1690000},{"id":86,"num":14}]</v>
      </c>
      <c r="J1171" s="15" t="str">
        <f t="shared" si="814"/>
        <v>[86,2,1]</v>
      </c>
      <c r="K1171" s="15"/>
      <c r="M1171" s="3" t="s">
        <v>514</v>
      </c>
      <c r="N1171" s="15">
        <v>13</v>
      </c>
      <c r="O1171" s="15" t="str">
        <f t="shared" si="810"/>
        <v/>
      </c>
    </row>
    <row r="1172" spans="1:15" x14ac:dyDescent="0.15">
      <c r="A1172" s="15">
        <f t="shared" si="813"/>
        <v>1719008</v>
      </c>
      <c r="B1172" s="15">
        <v>17</v>
      </c>
      <c r="C1172" s="15">
        <v>0</v>
      </c>
      <c r="D1172" s="15">
        <v>0</v>
      </c>
      <c r="E1172" s="15">
        <f t="shared" si="815"/>
        <v>19</v>
      </c>
      <c r="F1172" s="15">
        <f t="shared" si="814"/>
        <v>8</v>
      </c>
      <c r="G1172" s="17" t="s">
        <v>1104</v>
      </c>
      <c r="H1172" s="15">
        <f t="shared" si="814"/>
        <v>90</v>
      </c>
      <c r="I1172" s="15" t="str">
        <f>VLOOKUP(A1172,遗迹结算奖励!$A$1:$O$300,15,0)</f>
        <v>[{"id":2,"num":1698800},{"id":1,"num":1690000},{"id":86,"num":14}]</v>
      </c>
      <c r="J1172" s="15" t="str">
        <f t="shared" si="814"/>
        <v>[86,2,1]</v>
      </c>
      <c r="K1172" s="15"/>
      <c r="M1172" s="3" t="s">
        <v>514</v>
      </c>
      <c r="N1172" s="16">
        <v>13</v>
      </c>
      <c r="O1172" s="15" t="str">
        <f t="shared" si="810"/>
        <v/>
      </c>
    </row>
    <row r="1173" spans="1:15" x14ac:dyDescent="0.15">
      <c r="A1173" s="15">
        <f t="shared" si="813"/>
        <v>1719009</v>
      </c>
      <c r="B1173" s="15">
        <v>17</v>
      </c>
      <c r="C1173" s="15">
        <v>0</v>
      </c>
      <c r="D1173" s="15">
        <v>0</v>
      </c>
      <c r="E1173" s="15">
        <f t="shared" si="815"/>
        <v>19</v>
      </c>
      <c r="F1173" s="15">
        <f t="shared" si="814"/>
        <v>9</v>
      </c>
      <c r="G1173" s="17" t="s">
        <v>1104</v>
      </c>
      <c r="H1173" s="15">
        <f t="shared" si="814"/>
        <v>90</v>
      </c>
      <c r="I1173" s="15" t="str">
        <f>VLOOKUP(A1173,遗迹结算奖励!$A$1:$O$300,15,0)</f>
        <v>[{"id":2,"num":1698800},{"id":1,"num":1690000},{"id":86,"num":14}]</v>
      </c>
      <c r="J1173" s="15" t="str">
        <f t="shared" si="814"/>
        <v>[86,2,1]</v>
      </c>
      <c r="K1173" s="15"/>
      <c r="M1173" s="3" t="s">
        <v>514</v>
      </c>
      <c r="N1173" s="15">
        <v>13</v>
      </c>
      <c r="O1173" s="15" t="str">
        <f t="shared" si="810"/>
        <v/>
      </c>
    </row>
    <row r="1174" spans="1:15" x14ac:dyDescent="0.15">
      <c r="A1174" s="15">
        <f t="shared" si="813"/>
        <v>1719010</v>
      </c>
      <c r="B1174" s="15">
        <v>17</v>
      </c>
      <c r="C1174" s="15">
        <v>0</v>
      </c>
      <c r="D1174" s="15">
        <v>0</v>
      </c>
      <c r="E1174" s="15">
        <f t="shared" si="815"/>
        <v>19</v>
      </c>
      <c r="F1174" s="15">
        <f t="shared" si="814"/>
        <v>10</v>
      </c>
      <c r="G1174" s="17" t="s">
        <v>1105</v>
      </c>
      <c r="H1174" s="15">
        <f t="shared" si="814"/>
        <v>90</v>
      </c>
      <c r="I1174" s="15" t="str">
        <f>VLOOKUP(A1174,遗迹结算奖励!$A$1:$O$300,15,0)</f>
        <v>[{"id":2,"num":1698800},{"id":1,"num":1690000},{"id":86,"num":14}]</v>
      </c>
      <c r="J1174" s="15" t="str">
        <f t="shared" si="814"/>
        <v>[86,2,1]</v>
      </c>
      <c r="K1174" s="15"/>
      <c r="M1174" s="3" t="s">
        <v>1106</v>
      </c>
      <c r="N1174" s="16">
        <v>13</v>
      </c>
      <c r="O1174" s="15">
        <f t="shared" si="810"/>
        <v>1</v>
      </c>
    </row>
    <row r="1175" spans="1:15" x14ac:dyDescent="0.15">
      <c r="A1175" s="15">
        <f t="shared" si="813"/>
        <v>1720001</v>
      </c>
      <c r="B1175" s="15">
        <v>17</v>
      </c>
      <c r="C1175" s="15">
        <v>0</v>
      </c>
      <c r="D1175" s="15">
        <v>0</v>
      </c>
      <c r="E1175" s="15">
        <f t="shared" si="815"/>
        <v>20</v>
      </c>
      <c r="F1175" s="15">
        <f t="shared" si="814"/>
        <v>1</v>
      </c>
      <c r="G1175" s="17" t="s">
        <v>1107</v>
      </c>
      <c r="H1175" s="15">
        <f t="shared" si="814"/>
        <v>90</v>
      </c>
      <c r="I1175" s="15" t="str">
        <f>VLOOKUP(A1175,遗迹结算奖励!$A$1:$O$300,15,0)</f>
        <v>[{"id":2,"num":1698800},{"id":1,"num":1690000},{"id":86,"num":15}]</v>
      </c>
      <c r="J1175" s="15" t="str">
        <f t="shared" si="814"/>
        <v>[86,2,1]</v>
      </c>
      <c r="K1175" s="15"/>
      <c r="M1175" s="3" t="s">
        <v>514</v>
      </c>
      <c r="N1175" s="15">
        <v>13</v>
      </c>
      <c r="O1175" s="15" t="str">
        <f t="shared" si="810"/>
        <v/>
      </c>
    </row>
    <row r="1176" spans="1:15" x14ac:dyDescent="0.15">
      <c r="A1176" s="15">
        <f t="shared" si="813"/>
        <v>1720002</v>
      </c>
      <c r="B1176" s="15">
        <v>17</v>
      </c>
      <c r="C1176" s="15">
        <v>0</v>
      </c>
      <c r="D1176" s="15">
        <v>0</v>
      </c>
      <c r="E1176" s="15">
        <f t="shared" si="815"/>
        <v>20</v>
      </c>
      <c r="F1176" s="15">
        <f t="shared" si="814"/>
        <v>2</v>
      </c>
      <c r="G1176" s="17" t="s">
        <v>1107</v>
      </c>
      <c r="H1176" s="15">
        <f t="shared" si="814"/>
        <v>90</v>
      </c>
      <c r="I1176" s="15" t="str">
        <f>VLOOKUP(A1176,遗迹结算奖励!$A$1:$O$300,15,0)</f>
        <v>[{"id":2,"num":1698800},{"id":1,"num":1690000},{"id":86,"num":15}]</v>
      </c>
      <c r="J1176" s="15" t="str">
        <f t="shared" si="814"/>
        <v>[86,2,1]</v>
      </c>
      <c r="K1176" s="15"/>
      <c r="M1176" s="3" t="s">
        <v>514</v>
      </c>
      <c r="N1176" s="16">
        <v>13</v>
      </c>
      <c r="O1176" s="15" t="str">
        <f t="shared" si="810"/>
        <v/>
      </c>
    </row>
    <row r="1177" spans="1:15" x14ac:dyDescent="0.15">
      <c r="A1177" s="15">
        <f t="shared" si="813"/>
        <v>1720003</v>
      </c>
      <c r="B1177" s="15">
        <v>17</v>
      </c>
      <c r="C1177" s="15">
        <v>0</v>
      </c>
      <c r="D1177" s="15">
        <v>0</v>
      </c>
      <c r="E1177" s="15">
        <f t="shared" si="815"/>
        <v>20</v>
      </c>
      <c r="F1177" s="15">
        <f t="shared" si="814"/>
        <v>3</v>
      </c>
      <c r="G1177" s="17" t="s">
        <v>1107</v>
      </c>
      <c r="H1177" s="15">
        <f t="shared" si="814"/>
        <v>90</v>
      </c>
      <c r="I1177" s="15" t="str">
        <f>VLOOKUP(A1177,遗迹结算奖励!$A$1:$O$300,15,0)</f>
        <v>[{"id":2,"num":1698800},{"id":1,"num":1690000},{"id":86,"num":15}]</v>
      </c>
      <c r="J1177" s="15" t="str">
        <f t="shared" si="814"/>
        <v>[86,2,1]</v>
      </c>
      <c r="K1177" s="15"/>
      <c r="M1177" s="3" t="s">
        <v>514</v>
      </c>
      <c r="N1177" s="15">
        <v>13</v>
      </c>
      <c r="O1177" s="15" t="str">
        <f t="shared" si="810"/>
        <v/>
      </c>
    </row>
    <row r="1178" spans="1:15" x14ac:dyDescent="0.15">
      <c r="A1178" s="15">
        <f t="shared" si="813"/>
        <v>1720004</v>
      </c>
      <c r="B1178" s="15">
        <v>17</v>
      </c>
      <c r="C1178" s="15">
        <v>0</v>
      </c>
      <c r="D1178" s="15">
        <v>0</v>
      </c>
      <c r="E1178" s="15">
        <f t="shared" si="815"/>
        <v>20</v>
      </c>
      <c r="F1178" s="15">
        <f t="shared" si="814"/>
        <v>4</v>
      </c>
      <c r="G1178" s="17" t="s">
        <v>1107</v>
      </c>
      <c r="H1178" s="15">
        <f t="shared" si="814"/>
        <v>90</v>
      </c>
      <c r="I1178" s="15" t="str">
        <f>VLOOKUP(A1178,遗迹结算奖励!$A$1:$O$300,15,0)</f>
        <v>[{"id":2,"num":1698800},{"id":1,"num":1690000},{"id":86,"num":15}]</v>
      </c>
      <c r="J1178" s="15" t="str">
        <f t="shared" si="814"/>
        <v>[86,2,1]</v>
      </c>
      <c r="K1178" s="15"/>
      <c r="M1178" s="3" t="s">
        <v>514</v>
      </c>
      <c r="N1178" s="16">
        <v>13</v>
      </c>
      <c r="O1178" s="15" t="str">
        <f t="shared" si="810"/>
        <v/>
      </c>
    </row>
    <row r="1179" spans="1:15" x14ac:dyDescent="0.15">
      <c r="A1179" s="15">
        <f t="shared" si="813"/>
        <v>1720005</v>
      </c>
      <c r="B1179" s="15">
        <v>17</v>
      </c>
      <c r="C1179" s="15">
        <v>0</v>
      </c>
      <c r="D1179" s="15">
        <v>0</v>
      </c>
      <c r="E1179" s="15">
        <f t="shared" si="815"/>
        <v>20</v>
      </c>
      <c r="F1179" s="15">
        <f t="shared" si="814"/>
        <v>5</v>
      </c>
      <c r="G1179" s="17" t="s">
        <v>1108</v>
      </c>
      <c r="H1179" s="15">
        <f t="shared" si="814"/>
        <v>90</v>
      </c>
      <c r="I1179" s="15" t="str">
        <f>VLOOKUP(A1179,遗迹结算奖励!$A$1:$O$300,15,0)</f>
        <v>[{"id":2,"num":1698800},{"id":1,"num":1690000},{"id":86,"num":15}]</v>
      </c>
      <c r="J1179" s="15" t="str">
        <f t="shared" si="814"/>
        <v>[86,2,1]</v>
      </c>
      <c r="K1179" s="15"/>
      <c r="M1179" s="3" t="s">
        <v>514</v>
      </c>
      <c r="N1179" s="15">
        <v>13</v>
      </c>
      <c r="O1179" s="15" t="str">
        <f t="shared" si="810"/>
        <v/>
      </c>
    </row>
    <row r="1180" spans="1:15" x14ac:dyDescent="0.15">
      <c r="A1180" s="15">
        <f t="shared" si="813"/>
        <v>1720006</v>
      </c>
      <c r="B1180" s="15">
        <v>17</v>
      </c>
      <c r="C1180" s="15">
        <v>0</v>
      </c>
      <c r="D1180" s="15">
        <v>0</v>
      </c>
      <c r="E1180" s="15">
        <f t="shared" si="815"/>
        <v>20</v>
      </c>
      <c r="F1180" s="15">
        <f t="shared" si="814"/>
        <v>6</v>
      </c>
      <c r="G1180" s="17" t="s">
        <v>1109</v>
      </c>
      <c r="H1180" s="15">
        <f t="shared" si="814"/>
        <v>90</v>
      </c>
      <c r="I1180" s="15" t="str">
        <f>VLOOKUP(A1180,遗迹结算奖励!$A$1:$O$300,15,0)</f>
        <v>[{"id":2,"num":1698800},{"id":1,"num":1690000},{"id":86,"num":15}]</v>
      </c>
      <c r="J1180" s="15" t="str">
        <f t="shared" si="814"/>
        <v>[86,2,1]</v>
      </c>
      <c r="K1180" s="15"/>
      <c r="M1180" s="3" t="s">
        <v>514</v>
      </c>
      <c r="N1180" s="16">
        <v>13</v>
      </c>
      <c r="O1180" s="15" t="str">
        <f t="shared" ref="O1180:O1184" si="816">IF(O1170="","",1)</f>
        <v/>
      </c>
    </row>
    <row r="1181" spans="1:15" x14ac:dyDescent="0.15">
      <c r="A1181" s="15">
        <f t="shared" si="813"/>
        <v>1720007</v>
      </c>
      <c r="B1181" s="15">
        <v>17</v>
      </c>
      <c r="C1181" s="15">
        <v>0</v>
      </c>
      <c r="D1181" s="15">
        <v>0</v>
      </c>
      <c r="E1181" s="15">
        <f t="shared" si="815"/>
        <v>20</v>
      </c>
      <c r="F1181" s="15">
        <f t="shared" si="814"/>
        <v>7</v>
      </c>
      <c r="G1181" s="17" t="s">
        <v>1109</v>
      </c>
      <c r="H1181" s="15">
        <f t="shared" si="814"/>
        <v>90</v>
      </c>
      <c r="I1181" s="15" t="str">
        <f>VLOOKUP(A1181,遗迹结算奖励!$A$1:$O$300,15,0)</f>
        <v>[{"id":2,"num":1698800},{"id":1,"num":1690000},{"id":86,"num":15}]</v>
      </c>
      <c r="J1181" s="15" t="str">
        <f t="shared" si="814"/>
        <v>[86,2,1]</v>
      </c>
      <c r="K1181" s="15"/>
      <c r="M1181" s="3" t="s">
        <v>514</v>
      </c>
      <c r="N1181" s="16">
        <v>13</v>
      </c>
      <c r="O1181" s="15" t="str">
        <f t="shared" si="816"/>
        <v/>
      </c>
    </row>
    <row r="1182" spans="1:15" x14ac:dyDescent="0.15">
      <c r="A1182" s="15">
        <f t="shared" si="813"/>
        <v>1720008</v>
      </c>
      <c r="B1182" s="15">
        <v>17</v>
      </c>
      <c r="C1182" s="15">
        <v>0</v>
      </c>
      <c r="D1182" s="15">
        <v>0</v>
      </c>
      <c r="E1182" s="15">
        <f t="shared" si="815"/>
        <v>20</v>
      </c>
      <c r="F1182" s="15">
        <f t="shared" si="814"/>
        <v>8</v>
      </c>
      <c r="G1182" s="17" t="s">
        <v>1109</v>
      </c>
      <c r="H1182" s="15">
        <f t="shared" si="814"/>
        <v>90</v>
      </c>
      <c r="I1182" s="15" t="str">
        <f>VLOOKUP(A1182,遗迹结算奖励!$A$1:$O$300,15,0)</f>
        <v>[{"id":2,"num":1698800},{"id":1,"num":1690000},{"id":86,"num":15}]</v>
      </c>
      <c r="J1182" s="15" t="str">
        <f t="shared" si="814"/>
        <v>[86,2,1]</v>
      </c>
      <c r="K1182" s="15"/>
      <c r="M1182" s="3" t="s">
        <v>514</v>
      </c>
      <c r="N1182" s="15">
        <v>13</v>
      </c>
      <c r="O1182" s="15" t="str">
        <f t="shared" si="816"/>
        <v/>
      </c>
    </row>
    <row r="1183" spans="1:15" x14ac:dyDescent="0.15">
      <c r="A1183" s="15">
        <f t="shared" si="813"/>
        <v>1720009</v>
      </c>
      <c r="B1183" s="15">
        <v>17</v>
      </c>
      <c r="C1183" s="15">
        <v>0</v>
      </c>
      <c r="D1183" s="15">
        <v>0</v>
      </c>
      <c r="E1183" s="15">
        <f t="shared" si="815"/>
        <v>20</v>
      </c>
      <c r="F1183" s="15">
        <f t="shared" si="814"/>
        <v>9</v>
      </c>
      <c r="G1183" s="17" t="s">
        <v>1109</v>
      </c>
      <c r="H1183" s="15">
        <f t="shared" si="814"/>
        <v>90</v>
      </c>
      <c r="I1183" s="15" t="str">
        <f>VLOOKUP(A1183,遗迹结算奖励!$A$1:$O$300,15,0)</f>
        <v>[{"id":2,"num":1698800},{"id":1,"num":1690000},{"id":86,"num":15}]</v>
      </c>
      <c r="J1183" s="15" t="str">
        <f t="shared" si="814"/>
        <v>[86,2,1]</v>
      </c>
      <c r="K1183" s="15"/>
      <c r="M1183" s="3" t="s">
        <v>514</v>
      </c>
      <c r="N1183" s="16">
        <v>13</v>
      </c>
      <c r="O1183" s="15" t="str">
        <f t="shared" si="816"/>
        <v/>
      </c>
    </row>
    <row r="1184" spans="1:15" s="6" customFormat="1" x14ac:dyDescent="0.15">
      <c r="A1184" s="16">
        <f t="shared" si="813"/>
        <v>1720010</v>
      </c>
      <c r="B1184" s="16">
        <v>17</v>
      </c>
      <c r="C1184" s="16">
        <v>0</v>
      </c>
      <c r="D1184" s="16">
        <v>0</v>
      </c>
      <c r="E1184" s="16">
        <f t="shared" si="815"/>
        <v>20</v>
      </c>
      <c r="F1184" s="16">
        <f t="shared" si="814"/>
        <v>10</v>
      </c>
      <c r="G1184" s="16" t="s">
        <v>1110</v>
      </c>
      <c r="H1184" s="16">
        <f t="shared" si="814"/>
        <v>90</v>
      </c>
      <c r="I1184" s="15" t="str">
        <f>VLOOKUP(A1184,遗迹结算奖励!$A$1:$O$300,15,0)</f>
        <v>[{"id":2,"num":1698800},{"id":1,"num":1690000},{"id":86,"num":15}]</v>
      </c>
      <c r="J1184" s="16" t="str">
        <f t="shared" si="814"/>
        <v>[86,2,1]</v>
      </c>
      <c r="K1184" s="16"/>
      <c r="L1184" s="18"/>
      <c r="M1184" s="3" t="s">
        <v>1111</v>
      </c>
      <c r="N1184" s="15">
        <v>13</v>
      </c>
      <c r="O1184" s="16">
        <f t="shared" si="816"/>
        <v>1</v>
      </c>
    </row>
    <row r="1185" spans="1:15" x14ac:dyDescent="0.15">
      <c r="A1185" s="3">
        <f t="shared" ref="A1185:A1194" si="817">B1185*100000+E1185*1000+F1185</f>
        <v>1800001</v>
      </c>
      <c r="B1185" s="3">
        <v>18</v>
      </c>
      <c r="C1185" s="3">
        <v>0</v>
      </c>
      <c r="D1185" s="3">
        <v>0</v>
      </c>
      <c r="E1185" s="3">
        <v>0</v>
      </c>
      <c r="F1185" s="3">
        <v>1</v>
      </c>
      <c r="G1185" s="3" t="s">
        <v>1112</v>
      </c>
      <c r="H1185" s="3"/>
      <c r="I1185" s="3" t="s">
        <v>1113</v>
      </c>
      <c r="J1185" s="3" t="s">
        <v>1114</v>
      </c>
      <c r="K1185" s="3"/>
      <c r="L1185" s="3"/>
      <c r="M1185" s="3"/>
      <c r="N1185" s="3">
        <v>1</v>
      </c>
      <c r="O1185" s="3"/>
    </row>
    <row r="1186" spans="1:15" x14ac:dyDescent="0.15">
      <c r="A1186" s="3">
        <f t="shared" si="817"/>
        <v>1800002</v>
      </c>
      <c r="B1186" s="3">
        <v>18</v>
      </c>
      <c r="C1186" s="3">
        <v>0</v>
      </c>
      <c r="D1186" s="3">
        <v>0</v>
      </c>
      <c r="E1186" s="3">
        <v>0</v>
      </c>
      <c r="F1186" s="3">
        <v>2</v>
      </c>
      <c r="G1186" s="3" t="s">
        <v>1115</v>
      </c>
      <c r="H1186" s="3"/>
      <c r="I1186" s="3" t="s">
        <v>1116</v>
      </c>
      <c r="J1186" s="3" t="s">
        <v>1114</v>
      </c>
      <c r="K1186" s="3"/>
      <c r="L1186" s="3"/>
      <c r="M1186" s="3"/>
      <c r="N1186" s="3">
        <v>1</v>
      </c>
      <c r="O1186" s="3"/>
    </row>
    <row r="1187" spans="1:15" x14ac:dyDescent="0.15">
      <c r="A1187" s="3">
        <f t="shared" si="817"/>
        <v>1800003</v>
      </c>
      <c r="B1187" s="3">
        <v>18</v>
      </c>
      <c r="C1187" s="3">
        <v>0</v>
      </c>
      <c r="D1187" s="3">
        <v>0</v>
      </c>
      <c r="E1187" s="3">
        <v>0</v>
      </c>
      <c r="F1187" s="3">
        <v>3</v>
      </c>
      <c r="G1187" s="3" t="s">
        <v>1117</v>
      </c>
      <c r="H1187" s="3"/>
      <c r="I1187" s="3" t="s">
        <v>1118</v>
      </c>
      <c r="J1187" s="3" t="s">
        <v>1114</v>
      </c>
      <c r="K1187" s="3"/>
      <c r="L1187" s="3"/>
      <c r="M1187" s="3"/>
      <c r="N1187" s="3">
        <v>1</v>
      </c>
      <c r="O1187" s="3"/>
    </row>
    <row r="1188" spans="1:15" x14ac:dyDescent="0.15">
      <c r="A1188" s="3">
        <f t="shared" si="817"/>
        <v>1800004</v>
      </c>
      <c r="B1188" s="3">
        <v>18</v>
      </c>
      <c r="C1188" s="3">
        <v>0</v>
      </c>
      <c r="D1188" s="3">
        <v>0</v>
      </c>
      <c r="E1188" s="3">
        <v>0</v>
      </c>
      <c r="F1188" s="3">
        <v>4</v>
      </c>
      <c r="G1188" s="3" t="s">
        <v>1119</v>
      </c>
      <c r="H1188" s="3"/>
      <c r="I1188" s="3" t="s">
        <v>1120</v>
      </c>
      <c r="J1188" s="3" t="s">
        <v>1114</v>
      </c>
      <c r="K1188" s="3"/>
      <c r="L1188" s="3"/>
      <c r="M1188" s="3"/>
      <c r="N1188" s="3">
        <v>1</v>
      </c>
      <c r="O1188" s="3"/>
    </row>
    <row r="1189" spans="1:15" x14ac:dyDescent="0.15">
      <c r="A1189" s="3">
        <f t="shared" si="817"/>
        <v>1800005</v>
      </c>
      <c r="B1189" s="3">
        <v>18</v>
      </c>
      <c r="C1189" s="3">
        <v>0</v>
      </c>
      <c r="D1189" s="3">
        <v>0</v>
      </c>
      <c r="E1189" s="3">
        <v>0</v>
      </c>
      <c r="F1189" s="3">
        <v>5</v>
      </c>
      <c r="G1189" s="3" t="s">
        <v>1121</v>
      </c>
      <c r="H1189" s="3"/>
      <c r="I1189" s="3" t="s">
        <v>1122</v>
      </c>
      <c r="J1189" s="3" t="s">
        <v>1114</v>
      </c>
      <c r="K1189" s="3"/>
      <c r="L1189" s="3"/>
      <c r="M1189" s="3"/>
      <c r="N1189" s="3">
        <v>1</v>
      </c>
      <c r="O1189" s="3"/>
    </row>
    <row r="1190" spans="1:15" x14ac:dyDescent="0.15">
      <c r="A1190" s="3">
        <f t="shared" si="817"/>
        <v>1800006</v>
      </c>
      <c r="B1190" s="3">
        <v>18</v>
      </c>
      <c r="C1190" s="3">
        <v>0</v>
      </c>
      <c r="D1190" s="3">
        <v>0</v>
      </c>
      <c r="E1190" s="3">
        <v>0</v>
      </c>
      <c r="F1190" s="3">
        <v>6</v>
      </c>
      <c r="G1190" s="3" t="s">
        <v>1123</v>
      </c>
      <c r="H1190" s="3"/>
      <c r="I1190" s="3" t="s">
        <v>1124</v>
      </c>
      <c r="J1190" s="3" t="s">
        <v>1114</v>
      </c>
      <c r="K1190" s="3"/>
      <c r="L1190" s="3"/>
      <c r="M1190" s="3"/>
      <c r="N1190" s="3">
        <v>1</v>
      </c>
      <c r="O1190" s="3"/>
    </row>
    <row r="1191" spans="1:15" x14ac:dyDescent="0.15">
      <c r="A1191" s="3">
        <f t="shared" si="817"/>
        <v>1800007</v>
      </c>
      <c r="B1191" s="3">
        <v>18</v>
      </c>
      <c r="C1191" s="3">
        <v>0</v>
      </c>
      <c r="D1191" s="3">
        <v>0</v>
      </c>
      <c r="E1191" s="3">
        <v>0</v>
      </c>
      <c r="F1191" s="3">
        <v>7</v>
      </c>
      <c r="G1191" s="3" t="s">
        <v>1125</v>
      </c>
      <c r="H1191" s="3"/>
      <c r="I1191" s="3" t="s">
        <v>1126</v>
      </c>
      <c r="J1191" s="3" t="s">
        <v>1114</v>
      </c>
      <c r="K1191" s="3"/>
      <c r="L1191" s="3"/>
      <c r="M1191" s="3"/>
      <c r="N1191" s="3">
        <v>1</v>
      </c>
      <c r="O1191" s="3"/>
    </row>
    <row r="1192" spans="1:15" x14ac:dyDescent="0.15">
      <c r="A1192" s="3">
        <f t="shared" si="817"/>
        <v>1800008</v>
      </c>
      <c r="B1192" s="3">
        <v>18</v>
      </c>
      <c r="C1192" s="3">
        <v>0</v>
      </c>
      <c r="D1192" s="3">
        <v>0</v>
      </c>
      <c r="E1192" s="3">
        <v>0</v>
      </c>
      <c r="F1192" s="3">
        <v>8</v>
      </c>
      <c r="G1192" s="3" t="s">
        <v>1127</v>
      </c>
      <c r="H1192" s="3"/>
      <c r="I1192" s="3" t="s">
        <v>1128</v>
      </c>
      <c r="J1192" s="3" t="s">
        <v>1114</v>
      </c>
      <c r="K1192" s="3"/>
      <c r="L1192" s="3"/>
      <c r="M1192" s="3"/>
      <c r="N1192" s="3">
        <v>1</v>
      </c>
      <c r="O1192" s="3"/>
    </row>
    <row r="1193" spans="1:15" x14ac:dyDescent="0.15">
      <c r="A1193" s="3">
        <f t="shared" si="817"/>
        <v>1800009</v>
      </c>
      <c r="B1193" s="3">
        <v>18</v>
      </c>
      <c r="C1193" s="3">
        <v>0</v>
      </c>
      <c r="D1193" s="3">
        <v>0</v>
      </c>
      <c r="E1193" s="3">
        <v>0</v>
      </c>
      <c r="F1193" s="3">
        <v>9</v>
      </c>
      <c r="G1193" s="3" t="s">
        <v>1129</v>
      </c>
      <c r="H1193" s="3"/>
      <c r="I1193" s="3" t="s">
        <v>1130</v>
      </c>
      <c r="J1193" s="3" t="s">
        <v>1114</v>
      </c>
      <c r="K1193" s="3"/>
      <c r="L1193" s="3"/>
      <c r="M1193" s="3"/>
      <c r="N1193" s="3">
        <v>1</v>
      </c>
      <c r="O1193" s="3"/>
    </row>
    <row r="1194" spans="1:15" x14ac:dyDescent="0.15">
      <c r="A1194" s="3">
        <f t="shared" si="817"/>
        <v>1800010</v>
      </c>
      <c r="B1194" s="3">
        <v>18</v>
      </c>
      <c r="C1194" s="3">
        <v>0</v>
      </c>
      <c r="D1194" s="3">
        <v>0</v>
      </c>
      <c r="E1194" s="3">
        <v>0</v>
      </c>
      <c r="F1194" s="3">
        <v>10</v>
      </c>
      <c r="G1194" s="3" t="s">
        <v>1131</v>
      </c>
      <c r="H1194" s="3"/>
      <c r="I1194" s="3" t="s">
        <v>1132</v>
      </c>
      <c r="J1194" s="3" t="s">
        <v>1114</v>
      </c>
      <c r="K1194" s="3"/>
      <c r="L1194" s="3"/>
      <c r="M1194" s="3"/>
      <c r="N1194" s="3">
        <v>1</v>
      </c>
      <c r="O1194" s="3"/>
    </row>
    <row r="1195" spans="1:15" x14ac:dyDescent="0.15">
      <c r="A1195" s="3">
        <f t="shared" ref="A1195:A1206" si="818">B1195*100000+E1195*1000+F1195</f>
        <v>1900001</v>
      </c>
      <c r="B1195" s="3">
        <v>19</v>
      </c>
      <c r="C1195" s="3">
        <v>0</v>
      </c>
      <c r="D1195" s="3">
        <v>0</v>
      </c>
      <c r="E1195" s="3">
        <v>0</v>
      </c>
      <c r="F1195" s="3">
        <v>1</v>
      </c>
      <c r="G1195" s="3" t="s">
        <v>1133</v>
      </c>
      <c r="H1195" s="3">
        <v>45</v>
      </c>
      <c r="I1195" s="3" t="s">
        <v>1134</v>
      </c>
      <c r="J1195" s="3" t="s">
        <v>1135</v>
      </c>
      <c r="K1195" s="11"/>
      <c r="L1195" s="3"/>
      <c r="M1195" s="11"/>
      <c r="N1195" s="11">
        <v>1</v>
      </c>
      <c r="O1195" s="11"/>
    </row>
    <row r="1196" spans="1:15" x14ac:dyDescent="0.15">
      <c r="A1196" s="3">
        <f t="shared" si="818"/>
        <v>1900002</v>
      </c>
      <c r="B1196" s="3">
        <v>19</v>
      </c>
      <c r="C1196" s="3">
        <v>0</v>
      </c>
      <c r="D1196" s="3">
        <v>0</v>
      </c>
      <c r="E1196" s="3">
        <v>0</v>
      </c>
      <c r="F1196" s="3">
        <v>2</v>
      </c>
      <c r="G1196" s="3" t="s">
        <v>1136</v>
      </c>
      <c r="H1196" s="3">
        <v>45</v>
      </c>
      <c r="I1196" s="3" t="s">
        <v>1137</v>
      </c>
      <c r="J1196" s="3" t="s">
        <v>1135</v>
      </c>
      <c r="K1196" s="11"/>
      <c r="L1196" s="3"/>
      <c r="M1196" s="11"/>
      <c r="N1196" s="11">
        <v>2</v>
      </c>
      <c r="O1196" s="11"/>
    </row>
    <row r="1197" spans="1:15" x14ac:dyDescent="0.15">
      <c r="A1197" s="3">
        <f t="shared" si="818"/>
        <v>1900003</v>
      </c>
      <c r="B1197" s="3">
        <v>19</v>
      </c>
      <c r="C1197" s="3">
        <v>0</v>
      </c>
      <c r="D1197" s="3">
        <v>0</v>
      </c>
      <c r="E1197" s="3">
        <v>0</v>
      </c>
      <c r="F1197" s="3">
        <v>3</v>
      </c>
      <c r="G1197" s="3" t="s">
        <v>1138</v>
      </c>
      <c r="H1197" s="3">
        <v>45</v>
      </c>
      <c r="I1197" s="3" t="s">
        <v>1139</v>
      </c>
      <c r="J1197" s="3" t="s">
        <v>1135</v>
      </c>
      <c r="K1197" s="11"/>
      <c r="L1197" s="3"/>
      <c r="M1197" s="11"/>
      <c r="N1197" s="11">
        <v>3</v>
      </c>
      <c r="O1197" s="11"/>
    </row>
    <row r="1198" spans="1:15" x14ac:dyDescent="0.15">
      <c r="A1198" s="3">
        <f t="shared" si="818"/>
        <v>1900004</v>
      </c>
      <c r="B1198" s="3">
        <v>19</v>
      </c>
      <c r="C1198" s="3">
        <v>0</v>
      </c>
      <c r="D1198" s="3">
        <v>0</v>
      </c>
      <c r="E1198" s="3">
        <v>0</v>
      </c>
      <c r="F1198" s="3">
        <v>4</v>
      </c>
      <c r="G1198" s="3" t="s">
        <v>1140</v>
      </c>
      <c r="H1198" s="3">
        <v>45</v>
      </c>
      <c r="I1198" s="3" t="s">
        <v>1141</v>
      </c>
      <c r="J1198" s="3" t="s">
        <v>1135</v>
      </c>
      <c r="K1198" s="11"/>
      <c r="L1198" s="3"/>
      <c r="M1198" s="11"/>
      <c r="N1198" s="11">
        <v>4</v>
      </c>
      <c r="O1198" s="11"/>
    </row>
    <row r="1199" spans="1:15" x14ac:dyDescent="0.15">
      <c r="A1199" s="3">
        <f t="shared" si="818"/>
        <v>1900005</v>
      </c>
      <c r="B1199" s="3">
        <v>19</v>
      </c>
      <c r="C1199" s="3">
        <v>0</v>
      </c>
      <c r="D1199" s="3">
        <v>0</v>
      </c>
      <c r="E1199" s="3">
        <v>0</v>
      </c>
      <c r="F1199" s="3">
        <v>5</v>
      </c>
      <c r="G1199" s="3" t="s">
        <v>1142</v>
      </c>
      <c r="H1199" s="3">
        <v>45</v>
      </c>
      <c r="I1199" s="3" t="s">
        <v>1143</v>
      </c>
      <c r="J1199" s="3" t="s">
        <v>1135</v>
      </c>
      <c r="K1199" s="11"/>
      <c r="L1199" s="3"/>
      <c r="M1199" s="11"/>
      <c r="N1199" s="11">
        <v>5</v>
      </c>
      <c r="O1199" s="11"/>
    </row>
    <row r="1200" spans="1:15" x14ac:dyDescent="0.15">
      <c r="A1200" s="3">
        <f t="shared" si="818"/>
        <v>1900006</v>
      </c>
      <c r="B1200" s="3">
        <v>19</v>
      </c>
      <c r="C1200" s="3">
        <v>0</v>
      </c>
      <c r="D1200" s="3">
        <v>0</v>
      </c>
      <c r="E1200" s="3">
        <v>0</v>
      </c>
      <c r="F1200" s="3">
        <v>6</v>
      </c>
      <c r="G1200" s="3" t="s">
        <v>1144</v>
      </c>
      <c r="H1200" s="3">
        <v>45</v>
      </c>
      <c r="I1200" s="3" t="s">
        <v>1145</v>
      </c>
      <c r="J1200" s="3" t="s">
        <v>1135</v>
      </c>
      <c r="K1200" s="11"/>
      <c r="L1200" s="3"/>
      <c r="M1200" s="11"/>
      <c r="N1200" s="11">
        <v>6</v>
      </c>
      <c r="O1200" s="11"/>
    </row>
    <row r="1201" spans="1:15" x14ac:dyDescent="0.15">
      <c r="A1201" s="3">
        <f t="shared" si="818"/>
        <v>1900007</v>
      </c>
      <c r="B1201" s="3">
        <v>19</v>
      </c>
      <c r="C1201" s="3">
        <v>0</v>
      </c>
      <c r="D1201" s="3">
        <v>0</v>
      </c>
      <c r="E1201" s="3">
        <v>0</v>
      </c>
      <c r="F1201" s="3">
        <v>7</v>
      </c>
      <c r="G1201" s="3" t="s">
        <v>1146</v>
      </c>
      <c r="H1201" s="3">
        <v>45</v>
      </c>
      <c r="I1201" s="3" t="s">
        <v>1147</v>
      </c>
      <c r="J1201" s="3" t="s">
        <v>1135</v>
      </c>
      <c r="K1201" s="11"/>
      <c r="L1201" s="3"/>
      <c r="M1201" s="11"/>
      <c r="N1201" s="11">
        <v>7</v>
      </c>
      <c r="O1201" s="11"/>
    </row>
    <row r="1202" spans="1:15" x14ac:dyDescent="0.15">
      <c r="A1202" s="3">
        <f t="shared" si="818"/>
        <v>1900008</v>
      </c>
      <c r="B1202" s="3">
        <v>19</v>
      </c>
      <c r="C1202" s="3">
        <v>0</v>
      </c>
      <c r="D1202" s="3">
        <v>0</v>
      </c>
      <c r="E1202" s="3">
        <v>0</v>
      </c>
      <c r="F1202" s="3">
        <v>8</v>
      </c>
      <c r="G1202" s="3" t="s">
        <v>1148</v>
      </c>
      <c r="H1202" s="3">
        <v>45</v>
      </c>
      <c r="I1202" s="3" t="s">
        <v>1149</v>
      </c>
      <c r="J1202" s="3" t="s">
        <v>1135</v>
      </c>
      <c r="K1202" s="11"/>
      <c r="L1202" s="3"/>
      <c r="M1202" s="11"/>
      <c r="N1202" s="11">
        <v>1</v>
      </c>
      <c r="O1202" s="11"/>
    </row>
    <row r="1203" spans="1:15" x14ac:dyDescent="0.15">
      <c r="A1203" s="3">
        <f t="shared" si="818"/>
        <v>1900009</v>
      </c>
      <c r="B1203" s="3">
        <v>19</v>
      </c>
      <c r="C1203" s="3">
        <v>0</v>
      </c>
      <c r="D1203" s="3">
        <v>0</v>
      </c>
      <c r="E1203" s="3">
        <v>0</v>
      </c>
      <c r="F1203" s="3">
        <v>9</v>
      </c>
      <c r="G1203" s="3" t="s">
        <v>1150</v>
      </c>
      <c r="H1203" s="3">
        <v>45</v>
      </c>
      <c r="I1203" s="3" t="s">
        <v>1151</v>
      </c>
      <c r="J1203" s="3" t="s">
        <v>1135</v>
      </c>
      <c r="K1203" s="11"/>
      <c r="L1203" s="3"/>
      <c r="M1203" s="11"/>
      <c r="N1203" s="11">
        <v>2</v>
      </c>
      <c r="O1203" s="11"/>
    </row>
    <row r="1204" spans="1:15" x14ac:dyDescent="0.15">
      <c r="A1204" s="3">
        <f t="shared" si="818"/>
        <v>1900010</v>
      </c>
      <c r="B1204" s="3">
        <v>19</v>
      </c>
      <c r="C1204" s="3">
        <v>0</v>
      </c>
      <c r="D1204" s="3">
        <v>0</v>
      </c>
      <c r="E1204" s="3">
        <v>0</v>
      </c>
      <c r="F1204" s="3">
        <v>10</v>
      </c>
      <c r="G1204" s="3" t="s">
        <v>1152</v>
      </c>
      <c r="H1204" s="3">
        <v>45</v>
      </c>
      <c r="I1204" s="3" t="s">
        <v>1153</v>
      </c>
      <c r="J1204" s="3" t="s">
        <v>1135</v>
      </c>
      <c r="K1204" s="11"/>
      <c r="L1204" s="3"/>
      <c r="M1204" s="11"/>
      <c r="N1204" s="11">
        <v>3</v>
      </c>
      <c r="O1204" s="11"/>
    </row>
    <row r="1205" spans="1:15" x14ac:dyDescent="0.15">
      <c r="A1205" s="3">
        <f t="shared" si="818"/>
        <v>1900011</v>
      </c>
      <c r="B1205" s="3">
        <v>19</v>
      </c>
      <c r="C1205" s="3">
        <v>0</v>
      </c>
      <c r="D1205" s="3">
        <v>0</v>
      </c>
      <c r="E1205" s="3">
        <v>0</v>
      </c>
      <c r="F1205" s="3">
        <v>11</v>
      </c>
      <c r="G1205" s="3" t="s">
        <v>1154</v>
      </c>
      <c r="H1205" s="3">
        <v>45</v>
      </c>
      <c r="I1205" s="3" t="s">
        <v>1155</v>
      </c>
      <c r="J1205" s="3" t="s">
        <v>1135</v>
      </c>
      <c r="K1205" s="11"/>
      <c r="L1205" s="3"/>
      <c r="M1205" s="11"/>
      <c r="N1205" s="11">
        <v>4</v>
      </c>
      <c r="O1205" s="11"/>
    </row>
    <row r="1206" spans="1:15" x14ac:dyDescent="0.15">
      <c r="A1206" s="3">
        <f t="shared" si="818"/>
        <v>1900012</v>
      </c>
      <c r="B1206" s="3">
        <v>19</v>
      </c>
      <c r="C1206" s="3">
        <v>0</v>
      </c>
      <c r="D1206" s="3">
        <v>0</v>
      </c>
      <c r="E1206" s="3">
        <v>0</v>
      </c>
      <c r="F1206" s="3">
        <v>12</v>
      </c>
      <c r="G1206" s="3" t="s">
        <v>1156</v>
      </c>
      <c r="H1206" s="3">
        <v>45</v>
      </c>
      <c r="I1206" s="3" t="s">
        <v>1157</v>
      </c>
      <c r="J1206" s="3" t="s">
        <v>1135</v>
      </c>
      <c r="K1206" s="11"/>
      <c r="L1206" s="3"/>
      <c r="M1206" s="11"/>
      <c r="N1206" s="11">
        <v>5</v>
      </c>
      <c r="O1206" s="11"/>
    </row>
  </sheetData>
  <phoneticPr fontId="4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05"/>
  <sheetViews>
    <sheetView topLeftCell="A755" workbookViewId="0">
      <selection activeCell="O481" sqref="O481:O801"/>
    </sheetView>
  </sheetViews>
  <sheetFormatPr defaultColWidth="9" defaultRowHeight="13.5" x14ac:dyDescent="0.15"/>
  <cols>
    <col min="1" max="1" width="9.25"/>
    <col min="9" max="10" width="9.375"/>
    <col min="13" max="14" width="9.375"/>
    <col min="15" max="15" width="23.5" customWidth="1"/>
  </cols>
  <sheetData>
    <row r="1" spans="1:21" x14ac:dyDescent="0.15">
      <c r="A1" t="s">
        <v>1158</v>
      </c>
      <c r="C1" t="s">
        <v>1159</v>
      </c>
      <c r="E1" t="s">
        <v>1160</v>
      </c>
      <c r="G1" t="s">
        <v>1159</v>
      </c>
      <c r="I1" t="s">
        <v>1160</v>
      </c>
      <c r="K1" t="s">
        <v>1159</v>
      </c>
      <c r="M1" t="s">
        <v>1160</v>
      </c>
      <c r="O1" t="s">
        <v>1161</v>
      </c>
    </row>
    <row r="2" spans="1:21" ht="16.5" x14ac:dyDescent="0.15">
      <c r="A2" s="3">
        <f>Sheet1!A4</f>
        <v>1401001</v>
      </c>
      <c r="B2" t="s">
        <v>1162</v>
      </c>
      <c r="C2">
        <v>14</v>
      </c>
      <c r="D2" t="s">
        <v>1163</v>
      </c>
      <c r="E2">
        <v>12</v>
      </c>
      <c r="F2" t="s">
        <v>1164</v>
      </c>
      <c r="G2">
        <v>2</v>
      </c>
      <c r="H2" t="s">
        <v>1163</v>
      </c>
      <c r="I2">
        <v>20000</v>
      </c>
      <c r="J2" t="s">
        <v>1164</v>
      </c>
      <c r="K2">
        <v>1</v>
      </c>
      <c r="L2" t="s">
        <v>1163</v>
      </c>
      <c r="M2">
        <v>20000</v>
      </c>
      <c r="N2" t="s">
        <v>1165</v>
      </c>
      <c r="O2" t="str">
        <f>_xlfn.TEXTJOIN(,TRUE,B2:N2)</f>
        <v>[{"id":14,"num":12},{"id":2,"num":20000},{"id":1,"num":20000}]</v>
      </c>
      <c r="U2">
        <f>INT(E2*0.4)</f>
        <v>4</v>
      </c>
    </row>
    <row r="3" spans="1:21" ht="16.5" x14ac:dyDescent="0.15">
      <c r="A3" s="3">
        <f>Sheet1!A5</f>
        <v>1401002</v>
      </c>
      <c r="B3" t="s">
        <v>1162</v>
      </c>
      <c r="C3">
        <v>14</v>
      </c>
      <c r="D3" t="s">
        <v>1163</v>
      </c>
      <c r="E3">
        <v>12</v>
      </c>
      <c r="F3" t="s">
        <v>1164</v>
      </c>
      <c r="G3">
        <v>2</v>
      </c>
      <c r="H3" t="s">
        <v>1163</v>
      </c>
      <c r="I3">
        <v>20000</v>
      </c>
      <c r="J3" t="s">
        <v>1164</v>
      </c>
      <c r="K3">
        <v>1</v>
      </c>
      <c r="L3" t="s">
        <v>1163</v>
      </c>
      <c r="M3">
        <v>20000</v>
      </c>
      <c r="N3" t="s">
        <v>1165</v>
      </c>
      <c r="O3" t="str">
        <f t="shared" ref="O3:O23" si="0">_xlfn.TEXTJOIN(,TRUE,B3:N3)</f>
        <v>[{"id":14,"num":12},{"id":2,"num":20000},{"id":1,"num":20000}]</v>
      </c>
      <c r="U3">
        <f t="shared" ref="U3:U34" si="1">INT(E3*0.4)</f>
        <v>4</v>
      </c>
    </row>
    <row r="4" spans="1:21" ht="16.5" x14ac:dyDescent="0.15">
      <c r="A4" s="3">
        <f>Sheet1!A6</f>
        <v>1401003</v>
      </c>
      <c r="B4" t="s">
        <v>1162</v>
      </c>
      <c r="C4">
        <v>14</v>
      </c>
      <c r="D4" t="s">
        <v>1163</v>
      </c>
      <c r="E4">
        <v>12</v>
      </c>
      <c r="F4" t="s">
        <v>1164</v>
      </c>
      <c r="G4">
        <v>2</v>
      </c>
      <c r="H4" t="s">
        <v>1163</v>
      </c>
      <c r="I4">
        <v>20000</v>
      </c>
      <c r="J4" t="s">
        <v>1164</v>
      </c>
      <c r="K4">
        <v>1</v>
      </c>
      <c r="L4" t="s">
        <v>1163</v>
      </c>
      <c r="M4">
        <v>20000</v>
      </c>
      <c r="N4" t="s">
        <v>1165</v>
      </c>
      <c r="O4" t="str">
        <f t="shared" si="0"/>
        <v>[{"id":14,"num":12},{"id":2,"num":20000},{"id":1,"num":20000}]</v>
      </c>
      <c r="U4">
        <f t="shared" si="1"/>
        <v>4</v>
      </c>
    </row>
    <row r="5" spans="1:21" ht="16.5" x14ac:dyDescent="0.15">
      <c r="A5" s="3">
        <f>Sheet1!A7</f>
        <v>1401004</v>
      </c>
      <c r="B5" t="s">
        <v>1162</v>
      </c>
      <c r="C5">
        <v>14</v>
      </c>
      <c r="D5" t="s">
        <v>1163</v>
      </c>
      <c r="E5">
        <v>12</v>
      </c>
      <c r="F5" t="s">
        <v>1164</v>
      </c>
      <c r="G5">
        <v>2</v>
      </c>
      <c r="H5" t="s">
        <v>1163</v>
      </c>
      <c r="I5">
        <v>20000</v>
      </c>
      <c r="J5" t="s">
        <v>1164</v>
      </c>
      <c r="K5">
        <v>1</v>
      </c>
      <c r="L5" t="s">
        <v>1163</v>
      </c>
      <c r="M5">
        <v>20000</v>
      </c>
      <c r="N5" t="s">
        <v>1165</v>
      </c>
      <c r="O5" t="str">
        <f t="shared" si="0"/>
        <v>[{"id":14,"num":12},{"id":2,"num":20000},{"id":1,"num":20000}]</v>
      </c>
      <c r="U5">
        <f t="shared" si="1"/>
        <v>4</v>
      </c>
    </row>
    <row r="6" spans="1:21" ht="16.5" x14ac:dyDescent="0.15">
      <c r="A6" s="3">
        <f>Sheet1!A8</f>
        <v>1401005</v>
      </c>
      <c r="B6" t="s">
        <v>1162</v>
      </c>
      <c r="C6">
        <v>14</v>
      </c>
      <c r="D6" t="s">
        <v>1163</v>
      </c>
      <c r="E6">
        <v>12</v>
      </c>
      <c r="F6" t="s">
        <v>1164</v>
      </c>
      <c r="G6">
        <v>2</v>
      </c>
      <c r="H6" t="s">
        <v>1163</v>
      </c>
      <c r="I6">
        <v>20000</v>
      </c>
      <c r="J6" t="s">
        <v>1164</v>
      </c>
      <c r="K6">
        <v>1</v>
      </c>
      <c r="L6" t="s">
        <v>1163</v>
      </c>
      <c r="M6">
        <v>20000</v>
      </c>
      <c r="N6" t="s">
        <v>1165</v>
      </c>
      <c r="O6" t="str">
        <f t="shared" si="0"/>
        <v>[{"id":14,"num":12},{"id":2,"num":20000},{"id":1,"num":20000}]</v>
      </c>
      <c r="U6">
        <f t="shared" si="1"/>
        <v>4</v>
      </c>
    </row>
    <row r="7" spans="1:21" ht="16.5" x14ac:dyDescent="0.15">
      <c r="A7" s="3">
        <f>Sheet1!A9</f>
        <v>1401006</v>
      </c>
      <c r="B7" t="s">
        <v>1162</v>
      </c>
      <c r="C7">
        <v>14</v>
      </c>
      <c r="D7" t="s">
        <v>1163</v>
      </c>
      <c r="E7">
        <v>12</v>
      </c>
      <c r="F7" t="s">
        <v>1164</v>
      </c>
      <c r="G7">
        <v>2</v>
      </c>
      <c r="H7" t="s">
        <v>1163</v>
      </c>
      <c r="I7">
        <v>20000</v>
      </c>
      <c r="J7" t="s">
        <v>1164</v>
      </c>
      <c r="K7">
        <v>1</v>
      </c>
      <c r="L7" t="s">
        <v>1163</v>
      </c>
      <c r="M7">
        <v>20000</v>
      </c>
      <c r="N7" t="s">
        <v>1165</v>
      </c>
      <c r="O7" t="str">
        <f t="shared" si="0"/>
        <v>[{"id":14,"num":12},{"id":2,"num":20000},{"id":1,"num":20000}]</v>
      </c>
      <c r="U7">
        <f t="shared" si="1"/>
        <v>4</v>
      </c>
    </row>
    <row r="8" spans="1:21" ht="16.5" x14ac:dyDescent="0.15">
      <c r="A8" s="3">
        <f>Sheet1!A10</f>
        <v>1401007</v>
      </c>
      <c r="B8" t="s">
        <v>1162</v>
      </c>
      <c r="C8">
        <v>14</v>
      </c>
      <c r="D8" t="s">
        <v>1163</v>
      </c>
      <c r="E8">
        <v>12</v>
      </c>
      <c r="F8" t="s">
        <v>1164</v>
      </c>
      <c r="G8">
        <v>2</v>
      </c>
      <c r="H8" t="s">
        <v>1163</v>
      </c>
      <c r="I8">
        <v>20000</v>
      </c>
      <c r="J8" t="s">
        <v>1164</v>
      </c>
      <c r="K8">
        <v>1</v>
      </c>
      <c r="L8" t="s">
        <v>1163</v>
      </c>
      <c r="M8">
        <v>20000</v>
      </c>
      <c r="N8" t="s">
        <v>1165</v>
      </c>
      <c r="O8" t="str">
        <f t="shared" si="0"/>
        <v>[{"id":14,"num":12},{"id":2,"num":20000},{"id":1,"num":20000}]</v>
      </c>
      <c r="U8">
        <f t="shared" si="1"/>
        <v>4</v>
      </c>
    </row>
    <row r="9" spans="1:21" ht="16.5" x14ac:dyDescent="0.15">
      <c r="A9" s="3">
        <f>Sheet1!A11</f>
        <v>1401008</v>
      </c>
      <c r="B9" t="s">
        <v>1162</v>
      </c>
      <c r="C9">
        <v>14</v>
      </c>
      <c r="D9" t="s">
        <v>1163</v>
      </c>
      <c r="E9">
        <v>12</v>
      </c>
      <c r="F9" t="s">
        <v>1164</v>
      </c>
      <c r="G9">
        <v>2</v>
      </c>
      <c r="H9" t="s">
        <v>1163</v>
      </c>
      <c r="I9">
        <v>20000</v>
      </c>
      <c r="J9" t="s">
        <v>1164</v>
      </c>
      <c r="K9">
        <v>1</v>
      </c>
      <c r="L9" t="s">
        <v>1163</v>
      </c>
      <c r="M9">
        <v>20000</v>
      </c>
      <c r="N9" t="s">
        <v>1165</v>
      </c>
      <c r="O9" t="str">
        <f t="shared" si="0"/>
        <v>[{"id":14,"num":12},{"id":2,"num":20000},{"id":1,"num":20000}]</v>
      </c>
      <c r="U9">
        <f t="shared" si="1"/>
        <v>4</v>
      </c>
    </row>
    <row r="10" spans="1:21" ht="16.5" x14ac:dyDescent="0.15">
      <c r="A10" s="3">
        <f>Sheet1!A12</f>
        <v>1401009</v>
      </c>
      <c r="B10" t="s">
        <v>1162</v>
      </c>
      <c r="C10">
        <v>14</v>
      </c>
      <c r="D10" t="s">
        <v>1163</v>
      </c>
      <c r="E10">
        <v>12</v>
      </c>
      <c r="F10" t="s">
        <v>1164</v>
      </c>
      <c r="G10">
        <v>2</v>
      </c>
      <c r="H10" t="s">
        <v>1163</v>
      </c>
      <c r="I10">
        <v>20000</v>
      </c>
      <c r="J10" t="s">
        <v>1164</v>
      </c>
      <c r="K10">
        <v>1</v>
      </c>
      <c r="L10" t="s">
        <v>1163</v>
      </c>
      <c r="M10">
        <v>20000</v>
      </c>
      <c r="N10" t="s">
        <v>1165</v>
      </c>
      <c r="O10" t="str">
        <f t="shared" si="0"/>
        <v>[{"id":14,"num":12},{"id":2,"num":20000},{"id":1,"num":20000}]</v>
      </c>
      <c r="U10">
        <f t="shared" si="1"/>
        <v>4</v>
      </c>
    </row>
    <row r="11" spans="1:21" ht="16.5" x14ac:dyDescent="0.15">
      <c r="A11" s="3">
        <f>Sheet1!A13</f>
        <v>1401010</v>
      </c>
      <c r="B11" t="s">
        <v>1162</v>
      </c>
      <c r="C11">
        <v>14</v>
      </c>
      <c r="D11" t="s">
        <v>1163</v>
      </c>
      <c r="E11">
        <v>12</v>
      </c>
      <c r="F11" t="s">
        <v>1164</v>
      </c>
      <c r="G11">
        <v>2</v>
      </c>
      <c r="H11" t="s">
        <v>1163</v>
      </c>
      <c r="I11">
        <v>20000</v>
      </c>
      <c r="J11" t="s">
        <v>1164</v>
      </c>
      <c r="K11">
        <v>1</v>
      </c>
      <c r="L11" t="s">
        <v>1163</v>
      </c>
      <c r="M11">
        <v>20000</v>
      </c>
      <c r="N11" t="s">
        <v>1165</v>
      </c>
      <c r="O11" t="str">
        <f t="shared" si="0"/>
        <v>[{"id":14,"num":12},{"id":2,"num":20000},{"id":1,"num":20000}]</v>
      </c>
      <c r="U11">
        <f t="shared" si="1"/>
        <v>4</v>
      </c>
    </row>
    <row r="12" spans="1:21" ht="16.5" x14ac:dyDescent="0.15">
      <c r="A12" s="3">
        <f>Sheet1!A14</f>
        <v>1401011</v>
      </c>
      <c r="B12" t="s">
        <v>1162</v>
      </c>
      <c r="C12">
        <v>14</v>
      </c>
      <c r="D12" t="s">
        <v>1163</v>
      </c>
      <c r="E12">
        <v>12</v>
      </c>
      <c r="F12" t="s">
        <v>1164</v>
      </c>
      <c r="G12">
        <v>2</v>
      </c>
      <c r="H12" t="s">
        <v>1163</v>
      </c>
      <c r="I12">
        <v>20000</v>
      </c>
      <c r="J12" t="s">
        <v>1164</v>
      </c>
      <c r="K12">
        <v>1</v>
      </c>
      <c r="L12" t="s">
        <v>1163</v>
      </c>
      <c r="M12">
        <v>20000</v>
      </c>
      <c r="N12" t="s">
        <v>1165</v>
      </c>
      <c r="O12" t="str">
        <f t="shared" si="0"/>
        <v>[{"id":14,"num":12},{"id":2,"num":20000},{"id":1,"num":20000}]</v>
      </c>
      <c r="U12">
        <f t="shared" si="1"/>
        <v>4</v>
      </c>
    </row>
    <row r="13" spans="1:21" ht="16.5" x14ac:dyDescent="0.15">
      <c r="A13" s="3">
        <f>Sheet1!A15</f>
        <v>1401012</v>
      </c>
      <c r="B13" t="s">
        <v>1162</v>
      </c>
      <c r="C13">
        <v>14</v>
      </c>
      <c r="D13" t="s">
        <v>1163</v>
      </c>
      <c r="E13">
        <v>12</v>
      </c>
      <c r="F13" t="s">
        <v>1164</v>
      </c>
      <c r="G13">
        <v>2</v>
      </c>
      <c r="H13" t="s">
        <v>1163</v>
      </c>
      <c r="I13">
        <v>20000</v>
      </c>
      <c r="J13" t="s">
        <v>1164</v>
      </c>
      <c r="K13">
        <v>1</v>
      </c>
      <c r="L13" t="s">
        <v>1163</v>
      </c>
      <c r="M13">
        <v>20000</v>
      </c>
      <c r="N13" t="s">
        <v>1165</v>
      </c>
      <c r="O13" t="str">
        <f t="shared" si="0"/>
        <v>[{"id":14,"num":12},{"id":2,"num":20000},{"id":1,"num":20000}]</v>
      </c>
      <c r="U13">
        <f t="shared" si="1"/>
        <v>4</v>
      </c>
    </row>
    <row r="14" spans="1:21" ht="16.5" x14ac:dyDescent="0.15">
      <c r="A14" s="3">
        <f>Sheet1!A16</f>
        <v>1401013</v>
      </c>
      <c r="B14" t="s">
        <v>1162</v>
      </c>
      <c r="C14">
        <v>14</v>
      </c>
      <c r="D14" t="s">
        <v>1163</v>
      </c>
      <c r="E14">
        <v>12</v>
      </c>
      <c r="F14" t="s">
        <v>1164</v>
      </c>
      <c r="G14">
        <v>2</v>
      </c>
      <c r="H14" t="s">
        <v>1163</v>
      </c>
      <c r="I14">
        <v>20000</v>
      </c>
      <c r="J14" t="s">
        <v>1164</v>
      </c>
      <c r="K14">
        <v>1</v>
      </c>
      <c r="L14" t="s">
        <v>1163</v>
      </c>
      <c r="M14">
        <v>20000</v>
      </c>
      <c r="N14" t="s">
        <v>1165</v>
      </c>
      <c r="O14" t="str">
        <f t="shared" si="0"/>
        <v>[{"id":14,"num":12},{"id":2,"num":20000},{"id":1,"num":20000}]</v>
      </c>
      <c r="U14">
        <f t="shared" si="1"/>
        <v>4</v>
      </c>
    </row>
    <row r="15" spans="1:21" ht="16.5" x14ac:dyDescent="0.15">
      <c r="A15" s="3">
        <f>Sheet1!A17</f>
        <v>1401014</v>
      </c>
      <c r="B15" t="s">
        <v>1162</v>
      </c>
      <c r="C15">
        <v>14</v>
      </c>
      <c r="D15" t="s">
        <v>1163</v>
      </c>
      <c r="E15">
        <v>12</v>
      </c>
      <c r="F15" t="s">
        <v>1164</v>
      </c>
      <c r="G15">
        <v>2</v>
      </c>
      <c r="H15" t="s">
        <v>1163</v>
      </c>
      <c r="I15">
        <v>20000</v>
      </c>
      <c r="J15" t="s">
        <v>1164</v>
      </c>
      <c r="K15">
        <v>1</v>
      </c>
      <c r="L15" t="s">
        <v>1163</v>
      </c>
      <c r="M15">
        <v>20000</v>
      </c>
      <c r="N15" t="s">
        <v>1165</v>
      </c>
      <c r="O15" t="str">
        <f t="shared" si="0"/>
        <v>[{"id":14,"num":12},{"id":2,"num":20000},{"id":1,"num":20000}]</v>
      </c>
      <c r="U15">
        <f t="shared" si="1"/>
        <v>4</v>
      </c>
    </row>
    <row r="16" spans="1:21" ht="16.5" x14ac:dyDescent="0.15">
      <c r="A16" s="3">
        <f>Sheet1!A18</f>
        <v>1401015</v>
      </c>
      <c r="B16" t="s">
        <v>1162</v>
      </c>
      <c r="C16">
        <v>14</v>
      </c>
      <c r="D16" t="s">
        <v>1163</v>
      </c>
      <c r="E16">
        <v>12</v>
      </c>
      <c r="F16" t="s">
        <v>1164</v>
      </c>
      <c r="G16">
        <v>2</v>
      </c>
      <c r="H16" t="s">
        <v>1163</v>
      </c>
      <c r="I16">
        <v>20000</v>
      </c>
      <c r="J16" t="s">
        <v>1164</v>
      </c>
      <c r="K16">
        <v>1</v>
      </c>
      <c r="L16" t="s">
        <v>1163</v>
      </c>
      <c r="M16">
        <v>20000</v>
      </c>
      <c r="N16" t="s">
        <v>1165</v>
      </c>
      <c r="O16" t="str">
        <f t="shared" si="0"/>
        <v>[{"id":14,"num":12},{"id":2,"num":20000},{"id":1,"num":20000}]</v>
      </c>
      <c r="U16">
        <f t="shared" si="1"/>
        <v>4</v>
      </c>
    </row>
    <row r="17" spans="1:21" ht="16.5" x14ac:dyDescent="0.15">
      <c r="A17" s="3">
        <f>Sheet1!A19</f>
        <v>1401016</v>
      </c>
      <c r="B17" t="s">
        <v>1162</v>
      </c>
      <c r="C17">
        <v>14</v>
      </c>
      <c r="D17" t="s">
        <v>1163</v>
      </c>
      <c r="E17">
        <v>12</v>
      </c>
      <c r="F17" t="s">
        <v>1164</v>
      </c>
      <c r="G17">
        <v>2</v>
      </c>
      <c r="H17" t="s">
        <v>1163</v>
      </c>
      <c r="I17">
        <v>20000</v>
      </c>
      <c r="J17" t="s">
        <v>1164</v>
      </c>
      <c r="K17">
        <v>1</v>
      </c>
      <c r="L17" t="s">
        <v>1163</v>
      </c>
      <c r="M17">
        <v>20000</v>
      </c>
      <c r="N17" t="s">
        <v>1165</v>
      </c>
      <c r="O17" t="str">
        <f t="shared" si="0"/>
        <v>[{"id":14,"num":12},{"id":2,"num":20000},{"id":1,"num":20000}]</v>
      </c>
      <c r="U17">
        <f t="shared" si="1"/>
        <v>4</v>
      </c>
    </row>
    <row r="18" spans="1:21" ht="16.5" x14ac:dyDescent="0.15">
      <c r="A18" s="3">
        <f>Sheet1!A20</f>
        <v>1401017</v>
      </c>
      <c r="B18" t="s">
        <v>1162</v>
      </c>
      <c r="C18">
        <v>14</v>
      </c>
      <c r="D18" t="s">
        <v>1163</v>
      </c>
      <c r="E18">
        <v>12</v>
      </c>
      <c r="F18" t="s">
        <v>1164</v>
      </c>
      <c r="G18">
        <v>2</v>
      </c>
      <c r="H18" t="s">
        <v>1163</v>
      </c>
      <c r="I18">
        <v>20000</v>
      </c>
      <c r="J18" t="s">
        <v>1164</v>
      </c>
      <c r="K18">
        <v>1</v>
      </c>
      <c r="L18" t="s">
        <v>1163</v>
      </c>
      <c r="M18">
        <v>20000</v>
      </c>
      <c r="N18" t="s">
        <v>1165</v>
      </c>
      <c r="O18" t="str">
        <f t="shared" si="0"/>
        <v>[{"id":14,"num":12},{"id":2,"num":20000},{"id":1,"num":20000}]</v>
      </c>
      <c r="U18">
        <f t="shared" si="1"/>
        <v>4</v>
      </c>
    </row>
    <row r="19" spans="1:21" ht="16.5" x14ac:dyDescent="0.15">
      <c r="A19" s="3">
        <f>Sheet1!A21</f>
        <v>1401018</v>
      </c>
      <c r="B19" t="s">
        <v>1162</v>
      </c>
      <c r="C19">
        <v>14</v>
      </c>
      <c r="D19" t="s">
        <v>1163</v>
      </c>
      <c r="E19">
        <v>12</v>
      </c>
      <c r="F19" t="s">
        <v>1164</v>
      </c>
      <c r="G19">
        <v>2</v>
      </c>
      <c r="H19" t="s">
        <v>1163</v>
      </c>
      <c r="I19">
        <v>20000</v>
      </c>
      <c r="J19" t="s">
        <v>1164</v>
      </c>
      <c r="K19">
        <v>1</v>
      </c>
      <c r="L19" t="s">
        <v>1163</v>
      </c>
      <c r="M19">
        <v>20000</v>
      </c>
      <c r="N19" t="s">
        <v>1165</v>
      </c>
      <c r="O19" t="str">
        <f t="shared" si="0"/>
        <v>[{"id":14,"num":12},{"id":2,"num":20000},{"id":1,"num":20000}]</v>
      </c>
      <c r="U19">
        <f t="shared" si="1"/>
        <v>4</v>
      </c>
    </row>
    <row r="20" spans="1:21" ht="16.5" x14ac:dyDescent="0.15">
      <c r="A20" s="3">
        <f>Sheet1!A22</f>
        <v>1401019</v>
      </c>
      <c r="B20" t="s">
        <v>1162</v>
      </c>
      <c r="C20">
        <v>14</v>
      </c>
      <c r="D20" t="s">
        <v>1163</v>
      </c>
      <c r="E20">
        <v>12</v>
      </c>
      <c r="F20" t="s">
        <v>1164</v>
      </c>
      <c r="G20">
        <v>2</v>
      </c>
      <c r="H20" t="s">
        <v>1163</v>
      </c>
      <c r="I20">
        <v>20000</v>
      </c>
      <c r="J20" t="s">
        <v>1164</v>
      </c>
      <c r="K20">
        <v>1</v>
      </c>
      <c r="L20" t="s">
        <v>1163</v>
      </c>
      <c r="M20">
        <v>20000</v>
      </c>
      <c r="N20" t="s">
        <v>1165</v>
      </c>
      <c r="O20" t="str">
        <f t="shared" si="0"/>
        <v>[{"id":14,"num":12},{"id":2,"num":20000},{"id":1,"num":20000}]</v>
      </c>
      <c r="U20">
        <f t="shared" si="1"/>
        <v>4</v>
      </c>
    </row>
    <row r="21" spans="1:21" ht="16.5" x14ac:dyDescent="0.15">
      <c r="A21" s="3">
        <f>Sheet1!A23</f>
        <v>1401020</v>
      </c>
      <c r="B21" t="s">
        <v>1162</v>
      </c>
      <c r="C21">
        <v>14</v>
      </c>
      <c r="D21" t="s">
        <v>1163</v>
      </c>
      <c r="E21">
        <v>12</v>
      </c>
      <c r="F21" t="s">
        <v>1164</v>
      </c>
      <c r="G21">
        <v>2</v>
      </c>
      <c r="H21" t="s">
        <v>1163</v>
      </c>
      <c r="I21">
        <v>20000</v>
      </c>
      <c r="J21" t="s">
        <v>1164</v>
      </c>
      <c r="K21">
        <v>1</v>
      </c>
      <c r="L21" t="s">
        <v>1163</v>
      </c>
      <c r="M21">
        <v>20000</v>
      </c>
      <c r="N21" t="s">
        <v>1165</v>
      </c>
      <c r="O21" t="str">
        <f t="shared" si="0"/>
        <v>[{"id":14,"num":12},{"id":2,"num":20000},{"id":1,"num":20000}]</v>
      </c>
      <c r="U21">
        <f t="shared" si="1"/>
        <v>4</v>
      </c>
    </row>
    <row r="22" spans="1:21" ht="16.5" x14ac:dyDescent="0.15">
      <c r="A22" s="3">
        <f>Sheet1!A24</f>
        <v>1401021</v>
      </c>
      <c r="B22" t="s">
        <v>1162</v>
      </c>
      <c r="C22">
        <v>14</v>
      </c>
      <c r="D22" t="s">
        <v>1163</v>
      </c>
      <c r="E22">
        <v>16</v>
      </c>
      <c r="F22" t="s">
        <v>1164</v>
      </c>
      <c r="G22">
        <v>2</v>
      </c>
      <c r="H22" t="s">
        <v>1163</v>
      </c>
      <c r="I22">
        <v>20000</v>
      </c>
      <c r="J22" t="s">
        <v>1164</v>
      </c>
      <c r="K22">
        <v>1</v>
      </c>
      <c r="L22" t="s">
        <v>1163</v>
      </c>
      <c r="M22">
        <v>20000</v>
      </c>
      <c r="N22" t="s">
        <v>1165</v>
      </c>
      <c r="O22" t="str">
        <f t="shared" si="0"/>
        <v>[{"id":14,"num":16},{"id":2,"num":20000},{"id":1,"num":20000}]</v>
      </c>
      <c r="U22">
        <f t="shared" si="1"/>
        <v>6</v>
      </c>
    </row>
    <row r="23" spans="1:21" ht="16.5" x14ac:dyDescent="0.15">
      <c r="A23" s="3">
        <f>Sheet1!A25</f>
        <v>1401022</v>
      </c>
      <c r="B23" t="s">
        <v>1162</v>
      </c>
      <c r="C23">
        <v>14</v>
      </c>
      <c r="D23" t="s">
        <v>1163</v>
      </c>
      <c r="E23">
        <v>16</v>
      </c>
      <c r="F23" t="s">
        <v>1164</v>
      </c>
      <c r="G23">
        <v>2</v>
      </c>
      <c r="H23" t="s">
        <v>1163</v>
      </c>
      <c r="I23">
        <v>20000</v>
      </c>
      <c r="J23" t="s">
        <v>1164</v>
      </c>
      <c r="K23">
        <v>1</v>
      </c>
      <c r="L23" t="s">
        <v>1163</v>
      </c>
      <c r="M23">
        <v>20000</v>
      </c>
      <c r="N23" t="s">
        <v>1165</v>
      </c>
      <c r="O23" t="str">
        <f t="shared" si="0"/>
        <v>[{"id":14,"num":16},{"id":2,"num":20000},{"id":1,"num":20000}]</v>
      </c>
      <c r="U23">
        <f t="shared" si="1"/>
        <v>6</v>
      </c>
    </row>
    <row r="24" spans="1:21" ht="16.5" x14ac:dyDescent="0.15">
      <c r="A24" s="3">
        <f>Sheet1!A26</f>
        <v>1401023</v>
      </c>
      <c r="B24" t="s">
        <v>1162</v>
      </c>
      <c r="C24">
        <v>14</v>
      </c>
      <c r="D24" t="s">
        <v>1163</v>
      </c>
      <c r="E24">
        <v>16</v>
      </c>
      <c r="F24" t="s">
        <v>1164</v>
      </c>
      <c r="G24">
        <v>2</v>
      </c>
      <c r="H24" t="s">
        <v>1163</v>
      </c>
      <c r="I24">
        <v>20000</v>
      </c>
      <c r="J24" t="s">
        <v>1164</v>
      </c>
      <c r="K24">
        <v>1</v>
      </c>
      <c r="L24" t="s">
        <v>1163</v>
      </c>
      <c r="M24">
        <v>20000</v>
      </c>
      <c r="N24" t="s">
        <v>1165</v>
      </c>
      <c r="O24" t="str">
        <f t="shared" ref="O24:O58" si="2">_xlfn.TEXTJOIN(,TRUE,B24:N24)</f>
        <v>[{"id":14,"num":16},{"id":2,"num":20000},{"id":1,"num":20000}]</v>
      </c>
      <c r="U24">
        <f t="shared" si="1"/>
        <v>6</v>
      </c>
    </row>
    <row r="25" spans="1:21" ht="16.5" x14ac:dyDescent="0.15">
      <c r="A25" s="3">
        <f>Sheet1!A27</f>
        <v>1401024</v>
      </c>
      <c r="B25" t="s">
        <v>1162</v>
      </c>
      <c r="C25">
        <v>14</v>
      </c>
      <c r="D25" t="s">
        <v>1163</v>
      </c>
      <c r="E25">
        <v>16</v>
      </c>
      <c r="F25" t="s">
        <v>1164</v>
      </c>
      <c r="G25">
        <v>2</v>
      </c>
      <c r="H25" t="s">
        <v>1163</v>
      </c>
      <c r="I25">
        <v>20000</v>
      </c>
      <c r="J25" t="s">
        <v>1164</v>
      </c>
      <c r="K25">
        <v>1</v>
      </c>
      <c r="L25" t="s">
        <v>1163</v>
      </c>
      <c r="M25">
        <v>20000</v>
      </c>
      <c r="N25" t="s">
        <v>1165</v>
      </c>
      <c r="O25" t="str">
        <f t="shared" si="2"/>
        <v>[{"id":14,"num":16},{"id":2,"num":20000},{"id":1,"num":20000}]</v>
      </c>
      <c r="U25">
        <f t="shared" si="1"/>
        <v>6</v>
      </c>
    </row>
    <row r="26" spans="1:21" ht="16.5" x14ac:dyDescent="0.15">
      <c r="A26" s="3">
        <f>Sheet1!A28</f>
        <v>1401025</v>
      </c>
      <c r="B26" t="s">
        <v>1162</v>
      </c>
      <c r="C26">
        <v>14</v>
      </c>
      <c r="D26" t="s">
        <v>1163</v>
      </c>
      <c r="E26">
        <v>16</v>
      </c>
      <c r="F26" t="s">
        <v>1164</v>
      </c>
      <c r="G26">
        <v>2</v>
      </c>
      <c r="H26" t="s">
        <v>1163</v>
      </c>
      <c r="I26">
        <v>20000</v>
      </c>
      <c r="J26" t="s">
        <v>1164</v>
      </c>
      <c r="K26">
        <v>1</v>
      </c>
      <c r="L26" t="s">
        <v>1163</v>
      </c>
      <c r="M26">
        <v>20000</v>
      </c>
      <c r="N26" t="s">
        <v>1165</v>
      </c>
      <c r="O26" t="str">
        <f t="shared" si="2"/>
        <v>[{"id":14,"num":16},{"id":2,"num":20000},{"id":1,"num":20000}]</v>
      </c>
      <c r="U26">
        <f t="shared" si="1"/>
        <v>6</v>
      </c>
    </row>
    <row r="27" spans="1:21" ht="16.5" x14ac:dyDescent="0.15">
      <c r="A27" s="3">
        <f>Sheet1!A29</f>
        <v>1401026</v>
      </c>
      <c r="B27" t="s">
        <v>1162</v>
      </c>
      <c r="C27">
        <v>14</v>
      </c>
      <c r="D27" t="s">
        <v>1163</v>
      </c>
      <c r="E27">
        <v>16</v>
      </c>
      <c r="F27" t="s">
        <v>1164</v>
      </c>
      <c r="G27">
        <v>2</v>
      </c>
      <c r="H27" t="s">
        <v>1163</v>
      </c>
      <c r="I27">
        <v>20000</v>
      </c>
      <c r="J27" t="s">
        <v>1164</v>
      </c>
      <c r="K27">
        <v>1</v>
      </c>
      <c r="L27" t="s">
        <v>1163</v>
      </c>
      <c r="M27">
        <v>20000</v>
      </c>
      <c r="N27" t="s">
        <v>1165</v>
      </c>
      <c r="O27" t="str">
        <f t="shared" si="2"/>
        <v>[{"id":14,"num":16},{"id":2,"num":20000},{"id":1,"num":20000}]</v>
      </c>
      <c r="U27">
        <f t="shared" si="1"/>
        <v>6</v>
      </c>
    </row>
    <row r="28" spans="1:21" ht="16.5" x14ac:dyDescent="0.15">
      <c r="A28" s="3">
        <f>Sheet1!A30</f>
        <v>1401027</v>
      </c>
      <c r="B28" t="s">
        <v>1162</v>
      </c>
      <c r="C28">
        <v>14</v>
      </c>
      <c r="D28" t="s">
        <v>1163</v>
      </c>
      <c r="E28">
        <v>16</v>
      </c>
      <c r="F28" t="s">
        <v>1164</v>
      </c>
      <c r="G28">
        <v>2</v>
      </c>
      <c r="H28" t="s">
        <v>1163</v>
      </c>
      <c r="I28">
        <v>20000</v>
      </c>
      <c r="J28" t="s">
        <v>1164</v>
      </c>
      <c r="K28">
        <v>1</v>
      </c>
      <c r="L28" t="s">
        <v>1163</v>
      </c>
      <c r="M28">
        <v>20000</v>
      </c>
      <c r="N28" t="s">
        <v>1165</v>
      </c>
      <c r="O28" t="str">
        <f t="shared" si="2"/>
        <v>[{"id":14,"num":16},{"id":2,"num":20000},{"id":1,"num":20000}]</v>
      </c>
      <c r="U28">
        <f t="shared" si="1"/>
        <v>6</v>
      </c>
    </row>
    <row r="29" spans="1:21" ht="16.5" x14ac:dyDescent="0.15">
      <c r="A29" s="3">
        <f>Sheet1!A31</f>
        <v>1401028</v>
      </c>
      <c r="B29" t="s">
        <v>1162</v>
      </c>
      <c r="C29">
        <v>14</v>
      </c>
      <c r="D29" t="s">
        <v>1163</v>
      </c>
      <c r="E29">
        <v>16</v>
      </c>
      <c r="F29" t="s">
        <v>1164</v>
      </c>
      <c r="G29">
        <v>2</v>
      </c>
      <c r="H29" t="s">
        <v>1163</v>
      </c>
      <c r="I29">
        <v>20000</v>
      </c>
      <c r="J29" t="s">
        <v>1164</v>
      </c>
      <c r="K29">
        <v>1</v>
      </c>
      <c r="L29" t="s">
        <v>1163</v>
      </c>
      <c r="M29">
        <v>20000</v>
      </c>
      <c r="N29" t="s">
        <v>1165</v>
      </c>
      <c r="O29" t="str">
        <f t="shared" si="2"/>
        <v>[{"id":14,"num":16},{"id":2,"num":20000},{"id":1,"num":20000}]</v>
      </c>
      <c r="U29">
        <f t="shared" si="1"/>
        <v>6</v>
      </c>
    </row>
    <row r="30" spans="1:21" ht="16.5" x14ac:dyDescent="0.15">
      <c r="A30" s="3">
        <f>Sheet1!A32</f>
        <v>1401029</v>
      </c>
      <c r="B30" t="s">
        <v>1162</v>
      </c>
      <c r="C30">
        <v>14</v>
      </c>
      <c r="D30" t="s">
        <v>1163</v>
      </c>
      <c r="E30">
        <v>16</v>
      </c>
      <c r="F30" t="s">
        <v>1164</v>
      </c>
      <c r="G30">
        <v>2</v>
      </c>
      <c r="H30" t="s">
        <v>1163</v>
      </c>
      <c r="I30">
        <v>20000</v>
      </c>
      <c r="J30" t="s">
        <v>1164</v>
      </c>
      <c r="K30">
        <v>1</v>
      </c>
      <c r="L30" t="s">
        <v>1163</v>
      </c>
      <c r="M30">
        <v>20000</v>
      </c>
      <c r="N30" t="s">
        <v>1165</v>
      </c>
      <c r="O30" t="str">
        <f t="shared" si="2"/>
        <v>[{"id":14,"num":16},{"id":2,"num":20000},{"id":1,"num":20000}]</v>
      </c>
      <c r="U30">
        <f t="shared" si="1"/>
        <v>6</v>
      </c>
    </row>
    <row r="31" spans="1:21" ht="16.5" x14ac:dyDescent="0.15">
      <c r="A31" s="3">
        <f>Sheet1!A33</f>
        <v>1401030</v>
      </c>
      <c r="B31" t="s">
        <v>1162</v>
      </c>
      <c r="C31">
        <v>14</v>
      </c>
      <c r="D31" t="s">
        <v>1163</v>
      </c>
      <c r="E31">
        <v>16</v>
      </c>
      <c r="F31" t="s">
        <v>1164</v>
      </c>
      <c r="G31">
        <v>2</v>
      </c>
      <c r="H31" t="s">
        <v>1163</v>
      </c>
      <c r="I31">
        <v>20000</v>
      </c>
      <c r="J31" t="s">
        <v>1164</v>
      </c>
      <c r="K31">
        <v>1</v>
      </c>
      <c r="L31" t="s">
        <v>1163</v>
      </c>
      <c r="M31">
        <v>20000</v>
      </c>
      <c r="N31" t="s">
        <v>1165</v>
      </c>
      <c r="O31" t="str">
        <f t="shared" si="2"/>
        <v>[{"id":14,"num":16},{"id":2,"num":20000},{"id":1,"num":20000}]</v>
      </c>
      <c r="U31">
        <f t="shared" si="1"/>
        <v>6</v>
      </c>
    </row>
    <row r="32" spans="1:21" ht="16.5" x14ac:dyDescent="0.15">
      <c r="A32" s="3">
        <f>Sheet1!A34</f>
        <v>1401031</v>
      </c>
      <c r="B32" t="s">
        <v>1162</v>
      </c>
      <c r="C32">
        <v>14</v>
      </c>
      <c r="D32" t="s">
        <v>1163</v>
      </c>
      <c r="E32">
        <v>16</v>
      </c>
      <c r="F32" t="s">
        <v>1164</v>
      </c>
      <c r="G32">
        <v>2</v>
      </c>
      <c r="H32" t="s">
        <v>1163</v>
      </c>
      <c r="I32">
        <v>20000</v>
      </c>
      <c r="J32" t="s">
        <v>1164</v>
      </c>
      <c r="K32">
        <v>1</v>
      </c>
      <c r="L32" t="s">
        <v>1163</v>
      </c>
      <c r="M32">
        <v>20000</v>
      </c>
      <c r="N32" t="s">
        <v>1165</v>
      </c>
      <c r="O32" t="str">
        <f t="shared" si="2"/>
        <v>[{"id":14,"num":16},{"id":2,"num":20000},{"id":1,"num":20000}]</v>
      </c>
      <c r="U32">
        <f t="shared" si="1"/>
        <v>6</v>
      </c>
    </row>
    <row r="33" spans="1:21" ht="16.5" x14ac:dyDescent="0.15">
      <c r="A33" s="3">
        <f>Sheet1!A35</f>
        <v>1401032</v>
      </c>
      <c r="B33" t="s">
        <v>1162</v>
      </c>
      <c r="C33">
        <v>14</v>
      </c>
      <c r="D33" t="s">
        <v>1163</v>
      </c>
      <c r="E33">
        <v>16</v>
      </c>
      <c r="F33" t="s">
        <v>1164</v>
      </c>
      <c r="G33">
        <v>2</v>
      </c>
      <c r="H33" t="s">
        <v>1163</v>
      </c>
      <c r="I33">
        <v>20000</v>
      </c>
      <c r="J33" t="s">
        <v>1164</v>
      </c>
      <c r="K33">
        <v>1</v>
      </c>
      <c r="L33" t="s">
        <v>1163</v>
      </c>
      <c r="M33">
        <v>20000</v>
      </c>
      <c r="N33" t="s">
        <v>1165</v>
      </c>
      <c r="O33" t="str">
        <f t="shared" si="2"/>
        <v>[{"id":14,"num":16},{"id":2,"num":20000},{"id":1,"num":20000}]</v>
      </c>
      <c r="U33">
        <f t="shared" si="1"/>
        <v>6</v>
      </c>
    </row>
    <row r="34" spans="1:21" ht="16.5" x14ac:dyDescent="0.15">
      <c r="A34" s="3">
        <f>Sheet1!A36</f>
        <v>1401033</v>
      </c>
      <c r="B34" t="s">
        <v>1162</v>
      </c>
      <c r="C34">
        <v>14</v>
      </c>
      <c r="D34" t="s">
        <v>1163</v>
      </c>
      <c r="E34">
        <v>16</v>
      </c>
      <c r="F34" t="s">
        <v>1164</v>
      </c>
      <c r="G34">
        <v>2</v>
      </c>
      <c r="H34" t="s">
        <v>1163</v>
      </c>
      <c r="I34">
        <v>20000</v>
      </c>
      <c r="J34" t="s">
        <v>1164</v>
      </c>
      <c r="K34">
        <v>1</v>
      </c>
      <c r="L34" t="s">
        <v>1163</v>
      </c>
      <c r="M34">
        <v>20000</v>
      </c>
      <c r="N34" t="s">
        <v>1165</v>
      </c>
      <c r="O34" t="str">
        <f t="shared" si="2"/>
        <v>[{"id":14,"num":16},{"id":2,"num":20000},{"id":1,"num":20000}]</v>
      </c>
      <c r="U34">
        <f t="shared" si="1"/>
        <v>6</v>
      </c>
    </row>
    <row r="35" spans="1:21" ht="16.5" x14ac:dyDescent="0.15">
      <c r="A35" s="3">
        <f>Sheet1!A37</f>
        <v>1401034</v>
      </c>
      <c r="B35" t="s">
        <v>1162</v>
      </c>
      <c r="C35">
        <v>14</v>
      </c>
      <c r="D35" t="s">
        <v>1163</v>
      </c>
      <c r="E35">
        <v>16</v>
      </c>
      <c r="F35" t="s">
        <v>1164</v>
      </c>
      <c r="G35">
        <v>2</v>
      </c>
      <c r="H35" t="s">
        <v>1163</v>
      </c>
      <c r="I35">
        <v>20000</v>
      </c>
      <c r="J35" t="s">
        <v>1164</v>
      </c>
      <c r="K35">
        <v>1</v>
      </c>
      <c r="L35" t="s">
        <v>1163</v>
      </c>
      <c r="M35">
        <v>20000</v>
      </c>
      <c r="N35" t="s">
        <v>1165</v>
      </c>
      <c r="O35" t="str">
        <f t="shared" si="2"/>
        <v>[{"id":14,"num":16},{"id":2,"num":20000},{"id":1,"num":20000}]</v>
      </c>
      <c r="U35">
        <f t="shared" ref="U35:U51" si="3">INT(E35*0.4)</f>
        <v>6</v>
      </c>
    </row>
    <row r="36" spans="1:21" ht="16.5" x14ac:dyDescent="0.15">
      <c r="A36" s="3">
        <f>Sheet1!A38</f>
        <v>1401035</v>
      </c>
      <c r="B36" t="s">
        <v>1162</v>
      </c>
      <c r="C36">
        <v>14</v>
      </c>
      <c r="D36" t="s">
        <v>1163</v>
      </c>
      <c r="E36">
        <v>16</v>
      </c>
      <c r="F36" t="s">
        <v>1164</v>
      </c>
      <c r="G36">
        <v>2</v>
      </c>
      <c r="H36" t="s">
        <v>1163</v>
      </c>
      <c r="I36">
        <v>20000</v>
      </c>
      <c r="J36" t="s">
        <v>1164</v>
      </c>
      <c r="K36">
        <v>1</v>
      </c>
      <c r="L36" t="s">
        <v>1163</v>
      </c>
      <c r="M36">
        <v>20000</v>
      </c>
      <c r="N36" t="s">
        <v>1165</v>
      </c>
      <c r="O36" t="str">
        <f t="shared" si="2"/>
        <v>[{"id":14,"num":16},{"id":2,"num":20000},{"id":1,"num":20000}]</v>
      </c>
      <c r="U36">
        <f t="shared" si="3"/>
        <v>6</v>
      </c>
    </row>
    <row r="37" spans="1:21" ht="16.5" x14ac:dyDescent="0.15">
      <c r="A37" s="3">
        <f>Sheet1!A39</f>
        <v>1401036</v>
      </c>
      <c r="B37" t="s">
        <v>1162</v>
      </c>
      <c r="C37">
        <v>14</v>
      </c>
      <c r="D37" t="s">
        <v>1163</v>
      </c>
      <c r="E37">
        <v>16</v>
      </c>
      <c r="F37" t="s">
        <v>1164</v>
      </c>
      <c r="G37">
        <v>2</v>
      </c>
      <c r="H37" t="s">
        <v>1163</v>
      </c>
      <c r="I37">
        <v>20000</v>
      </c>
      <c r="J37" t="s">
        <v>1164</v>
      </c>
      <c r="K37">
        <v>1</v>
      </c>
      <c r="L37" t="s">
        <v>1163</v>
      </c>
      <c r="M37">
        <v>20000</v>
      </c>
      <c r="N37" t="s">
        <v>1165</v>
      </c>
      <c r="O37" t="str">
        <f t="shared" si="2"/>
        <v>[{"id":14,"num":16},{"id":2,"num":20000},{"id":1,"num":20000}]</v>
      </c>
      <c r="U37">
        <f t="shared" si="3"/>
        <v>6</v>
      </c>
    </row>
    <row r="38" spans="1:21" ht="16.5" x14ac:dyDescent="0.15">
      <c r="A38" s="3">
        <f>Sheet1!A40</f>
        <v>1401037</v>
      </c>
      <c r="B38" t="s">
        <v>1162</v>
      </c>
      <c r="C38">
        <v>14</v>
      </c>
      <c r="D38" t="s">
        <v>1163</v>
      </c>
      <c r="E38">
        <v>16</v>
      </c>
      <c r="F38" t="s">
        <v>1164</v>
      </c>
      <c r="G38">
        <v>2</v>
      </c>
      <c r="H38" t="s">
        <v>1163</v>
      </c>
      <c r="I38">
        <v>20000</v>
      </c>
      <c r="J38" t="s">
        <v>1164</v>
      </c>
      <c r="K38">
        <v>1</v>
      </c>
      <c r="L38" t="s">
        <v>1163</v>
      </c>
      <c r="M38">
        <v>20000</v>
      </c>
      <c r="N38" t="s">
        <v>1165</v>
      </c>
      <c r="O38" t="str">
        <f t="shared" si="2"/>
        <v>[{"id":14,"num":16},{"id":2,"num":20000},{"id":1,"num":20000}]</v>
      </c>
      <c r="U38">
        <f t="shared" si="3"/>
        <v>6</v>
      </c>
    </row>
    <row r="39" spans="1:21" ht="16.5" x14ac:dyDescent="0.15">
      <c r="A39" s="3">
        <f>Sheet1!A41</f>
        <v>1401038</v>
      </c>
      <c r="B39" t="s">
        <v>1162</v>
      </c>
      <c r="C39">
        <v>14</v>
      </c>
      <c r="D39" t="s">
        <v>1163</v>
      </c>
      <c r="E39">
        <v>16</v>
      </c>
      <c r="F39" t="s">
        <v>1164</v>
      </c>
      <c r="G39">
        <v>2</v>
      </c>
      <c r="H39" t="s">
        <v>1163</v>
      </c>
      <c r="I39">
        <v>20000</v>
      </c>
      <c r="J39" t="s">
        <v>1164</v>
      </c>
      <c r="K39">
        <v>1</v>
      </c>
      <c r="L39" t="s">
        <v>1163</v>
      </c>
      <c r="M39">
        <v>20000</v>
      </c>
      <c r="N39" t="s">
        <v>1165</v>
      </c>
      <c r="O39" t="str">
        <f t="shared" si="2"/>
        <v>[{"id":14,"num":16},{"id":2,"num":20000},{"id":1,"num":20000}]</v>
      </c>
      <c r="U39">
        <f t="shared" si="3"/>
        <v>6</v>
      </c>
    </row>
    <row r="40" spans="1:21" ht="16.5" x14ac:dyDescent="0.15">
      <c r="A40" s="3">
        <f>Sheet1!A42</f>
        <v>1401039</v>
      </c>
      <c r="B40" t="s">
        <v>1162</v>
      </c>
      <c r="C40">
        <v>14</v>
      </c>
      <c r="D40" t="s">
        <v>1163</v>
      </c>
      <c r="E40">
        <v>16</v>
      </c>
      <c r="F40" t="s">
        <v>1164</v>
      </c>
      <c r="G40">
        <v>2</v>
      </c>
      <c r="H40" t="s">
        <v>1163</v>
      </c>
      <c r="I40">
        <v>20000</v>
      </c>
      <c r="J40" t="s">
        <v>1164</v>
      </c>
      <c r="K40">
        <v>1</v>
      </c>
      <c r="L40" t="s">
        <v>1163</v>
      </c>
      <c r="M40">
        <v>20000</v>
      </c>
      <c r="N40" t="s">
        <v>1165</v>
      </c>
      <c r="O40" t="str">
        <f t="shared" si="2"/>
        <v>[{"id":14,"num":16},{"id":2,"num":20000},{"id":1,"num":20000}]</v>
      </c>
      <c r="U40">
        <f t="shared" si="3"/>
        <v>6</v>
      </c>
    </row>
    <row r="41" spans="1:21" ht="16.5" x14ac:dyDescent="0.15">
      <c r="A41" s="3">
        <f>Sheet1!A43</f>
        <v>1401040</v>
      </c>
      <c r="B41" t="s">
        <v>1162</v>
      </c>
      <c r="C41">
        <v>14</v>
      </c>
      <c r="D41" t="s">
        <v>1163</v>
      </c>
      <c r="E41">
        <v>16</v>
      </c>
      <c r="F41" t="s">
        <v>1164</v>
      </c>
      <c r="G41">
        <v>2</v>
      </c>
      <c r="H41" t="s">
        <v>1163</v>
      </c>
      <c r="I41">
        <v>20000</v>
      </c>
      <c r="J41" t="s">
        <v>1164</v>
      </c>
      <c r="K41">
        <v>1</v>
      </c>
      <c r="L41" t="s">
        <v>1163</v>
      </c>
      <c r="M41">
        <v>20000</v>
      </c>
      <c r="N41" t="s">
        <v>1165</v>
      </c>
      <c r="O41" t="str">
        <f t="shared" si="2"/>
        <v>[{"id":14,"num":16},{"id":2,"num":20000},{"id":1,"num":20000}]</v>
      </c>
      <c r="U41">
        <f t="shared" si="3"/>
        <v>6</v>
      </c>
    </row>
    <row r="42" spans="1:21" ht="16.5" x14ac:dyDescent="0.15">
      <c r="A42" s="3">
        <f>Sheet1!A44</f>
        <v>1402001</v>
      </c>
      <c r="B42" t="s">
        <v>1162</v>
      </c>
      <c r="C42">
        <v>14</v>
      </c>
      <c r="D42" t="s">
        <v>1163</v>
      </c>
      <c r="E42">
        <v>16</v>
      </c>
      <c r="F42" t="s">
        <v>1164</v>
      </c>
      <c r="G42">
        <v>2</v>
      </c>
      <c r="H42" t="s">
        <v>1163</v>
      </c>
      <c r="I42">
        <v>20000</v>
      </c>
      <c r="J42" t="s">
        <v>1164</v>
      </c>
      <c r="K42">
        <v>1</v>
      </c>
      <c r="L42" t="s">
        <v>1163</v>
      </c>
      <c r="M42">
        <v>20000</v>
      </c>
      <c r="N42" t="s">
        <v>1165</v>
      </c>
      <c r="O42" t="str">
        <f t="shared" si="2"/>
        <v>[{"id":14,"num":16},{"id":2,"num":20000},{"id":1,"num":20000}]</v>
      </c>
      <c r="U42">
        <f t="shared" si="3"/>
        <v>6</v>
      </c>
    </row>
    <row r="43" spans="1:21" ht="16.5" x14ac:dyDescent="0.15">
      <c r="A43" s="3">
        <f>Sheet1!A45</f>
        <v>1402002</v>
      </c>
      <c r="B43" t="s">
        <v>1162</v>
      </c>
      <c r="C43">
        <v>14</v>
      </c>
      <c r="D43" t="s">
        <v>1163</v>
      </c>
      <c r="E43">
        <v>16</v>
      </c>
      <c r="F43" t="s">
        <v>1164</v>
      </c>
      <c r="G43">
        <v>2</v>
      </c>
      <c r="H43" t="s">
        <v>1163</v>
      </c>
      <c r="I43">
        <v>20000</v>
      </c>
      <c r="J43" t="s">
        <v>1164</v>
      </c>
      <c r="K43">
        <v>1</v>
      </c>
      <c r="L43" t="s">
        <v>1163</v>
      </c>
      <c r="M43">
        <v>20000</v>
      </c>
      <c r="N43" t="s">
        <v>1165</v>
      </c>
      <c r="O43" t="str">
        <f t="shared" si="2"/>
        <v>[{"id":14,"num":16},{"id":2,"num":20000},{"id":1,"num":20000}]</v>
      </c>
      <c r="U43">
        <f t="shared" si="3"/>
        <v>6</v>
      </c>
    </row>
    <row r="44" spans="1:21" ht="16.5" x14ac:dyDescent="0.15">
      <c r="A44" s="3">
        <f>Sheet1!A46</f>
        <v>1402003</v>
      </c>
      <c r="B44" t="s">
        <v>1162</v>
      </c>
      <c r="C44">
        <v>14</v>
      </c>
      <c r="D44" t="s">
        <v>1163</v>
      </c>
      <c r="E44">
        <v>16</v>
      </c>
      <c r="F44" t="s">
        <v>1164</v>
      </c>
      <c r="G44">
        <v>2</v>
      </c>
      <c r="H44" t="s">
        <v>1163</v>
      </c>
      <c r="I44">
        <v>20000</v>
      </c>
      <c r="J44" t="s">
        <v>1164</v>
      </c>
      <c r="K44">
        <v>1</v>
      </c>
      <c r="L44" t="s">
        <v>1163</v>
      </c>
      <c r="M44">
        <v>20000</v>
      </c>
      <c r="N44" t="s">
        <v>1165</v>
      </c>
      <c r="O44" t="str">
        <f t="shared" si="2"/>
        <v>[{"id":14,"num":16},{"id":2,"num":20000},{"id":1,"num":20000}]</v>
      </c>
      <c r="U44">
        <f t="shared" si="3"/>
        <v>6</v>
      </c>
    </row>
    <row r="45" spans="1:21" ht="16.5" x14ac:dyDescent="0.15">
      <c r="A45" s="3">
        <f>Sheet1!A47</f>
        <v>1402004</v>
      </c>
      <c r="B45" t="s">
        <v>1162</v>
      </c>
      <c r="C45">
        <v>14</v>
      </c>
      <c r="D45" t="s">
        <v>1163</v>
      </c>
      <c r="E45">
        <v>16</v>
      </c>
      <c r="F45" t="s">
        <v>1164</v>
      </c>
      <c r="G45">
        <v>2</v>
      </c>
      <c r="H45" t="s">
        <v>1163</v>
      </c>
      <c r="I45">
        <v>20000</v>
      </c>
      <c r="J45" t="s">
        <v>1164</v>
      </c>
      <c r="K45">
        <v>1</v>
      </c>
      <c r="L45" t="s">
        <v>1163</v>
      </c>
      <c r="M45">
        <v>20000</v>
      </c>
      <c r="N45" t="s">
        <v>1165</v>
      </c>
      <c r="O45" t="str">
        <f t="shared" si="2"/>
        <v>[{"id":14,"num":16},{"id":2,"num":20000},{"id":1,"num":20000}]</v>
      </c>
      <c r="U45">
        <f t="shared" si="3"/>
        <v>6</v>
      </c>
    </row>
    <row r="46" spans="1:21" ht="16.5" x14ac:dyDescent="0.15">
      <c r="A46" s="3">
        <f>Sheet1!A48</f>
        <v>1402005</v>
      </c>
      <c r="B46" t="s">
        <v>1162</v>
      </c>
      <c r="C46">
        <v>14</v>
      </c>
      <c r="D46" t="s">
        <v>1163</v>
      </c>
      <c r="E46">
        <v>16</v>
      </c>
      <c r="F46" t="s">
        <v>1164</v>
      </c>
      <c r="G46">
        <v>2</v>
      </c>
      <c r="H46" t="s">
        <v>1163</v>
      </c>
      <c r="I46">
        <v>20000</v>
      </c>
      <c r="J46" t="s">
        <v>1164</v>
      </c>
      <c r="K46">
        <v>1</v>
      </c>
      <c r="L46" t="s">
        <v>1163</v>
      </c>
      <c r="M46">
        <v>20000</v>
      </c>
      <c r="N46" t="s">
        <v>1165</v>
      </c>
      <c r="O46" t="str">
        <f t="shared" si="2"/>
        <v>[{"id":14,"num":16},{"id":2,"num":20000},{"id":1,"num":20000}]</v>
      </c>
      <c r="U46">
        <f t="shared" si="3"/>
        <v>6</v>
      </c>
    </row>
    <row r="47" spans="1:21" ht="16.5" x14ac:dyDescent="0.15">
      <c r="A47" s="3">
        <f>Sheet1!A49</f>
        <v>1402006</v>
      </c>
      <c r="B47" t="s">
        <v>1162</v>
      </c>
      <c r="C47">
        <v>14</v>
      </c>
      <c r="D47" t="s">
        <v>1163</v>
      </c>
      <c r="E47">
        <v>16</v>
      </c>
      <c r="F47" t="s">
        <v>1164</v>
      </c>
      <c r="G47">
        <v>2</v>
      </c>
      <c r="H47" t="s">
        <v>1163</v>
      </c>
      <c r="I47">
        <v>20000</v>
      </c>
      <c r="J47" t="s">
        <v>1164</v>
      </c>
      <c r="K47">
        <v>1</v>
      </c>
      <c r="L47" t="s">
        <v>1163</v>
      </c>
      <c r="M47">
        <v>20000</v>
      </c>
      <c r="N47" t="s">
        <v>1165</v>
      </c>
      <c r="O47" t="str">
        <f t="shared" si="2"/>
        <v>[{"id":14,"num":16},{"id":2,"num":20000},{"id":1,"num":20000}]</v>
      </c>
      <c r="U47">
        <f t="shared" si="3"/>
        <v>6</v>
      </c>
    </row>
    <row r="48" spans="1:21" ht="16.5" x14ac:dyDescent="0.15">
      <c r="A48" s="3">
        <f>Sheet1!A50</f>
        <v>1402007</v>
      </c>
      <c r="B48" t="s">
        <v>1162</v>
      </c>
      <c r="C48">
        <v>14</v>
      </c>
      <c r="D48" t="s">
        <v>1163</v>
      </c>
      <c r="E48">
        <v>16</v>
      </c>
      <c r="F48" t="s">
        <v>1164</v>
      </c>
      <c r="G48">
        <v>2</v>
      </c>
      <c r="H48" t="s">
        <v>1163</v>
      </c>
      <c r="I48">
        <v>20000</v>
      </c>
      <c r="J48" t="s">
        <v>1164</v>
      </c>
      <c r="K48">
        <v>1</v>
      </c>
      <c r="L48" t="s">
        <v>1163</v>
      </c>
      <c r="M48">
        <v>20000</v>
      </c>
      <c r="N48" t="s">
        <v>1165</v>
      </c>
      <c r="O48" t="str">
        <f t="shared" si="2"/>
        <v>[{"id":14,"num":16},{"id":2,"num":20000},{"id":1,"num":20000}]</v>
      </c>
      <c r="U48">
        <f t="shared" si="3"/>
        <v>6</v>
      </c>
    </row>
    <row r="49" spans="1:21" ht="16.5" x14ac:dyDescent="0.15">
      <c r="A49" s="3">
        <f>Sheet1!A51</f>
        <v>1402008</v>
      </c>
      <c r="B49" t="s">
        <v>1162</v>
      </c>
      <c r="C49">
        <v>14</v>
      </c>
      <c r="D49" t="s">
        <v>1163</v>
      </c>
      <c r="E49">
        <v>16</v>
      </c>
      <c r="F49" t="s">
        <v>1164</v>
      </c>
      <c r="G49">
        <v>2</v>
      </c>
      <c r="H49" t="s">
        <v>1163</v>
      </c>
      <c r="I49">
        <v>20000</v>
      </c>
      <c r="J49" t="s">
        <v>1164</v>
      </c>
      <c r="K49">
        <v>1</v>
      </c>
      <c r="L49" t="s">
        <v>1163</v>
      </c>
      <c r="M49">
        <v>20000</v>
      </c>
      <c r="N49" t="s">
        <v>1165</v>
      </c>
      <c r="O49" t="str">
        <f t="shared" si="2"/>
        <v>[{"id":14,"num":16},{"id":2,"num":20000},{"id":1,"num":20000}]</v>
      </c>
      <c r="U49">
        <f t="shared" si="3"/>
        <v>6</v>
      </c>
    </row>
    <row r="50" spans="1:21" ht="16.5" x14ac:dyDescent="0.15">
      <c r="A50" s="3">
        <f>Sheet1!A52</f>
        <v>1402009</v>
      </c>
      <c r="B50" t="s">
        <v>1162</v>
      </c>
      <c r="C50">
        <v>14</v>
      </c>
      <c r="D50" t="s">
        <v>1163</v>
      </c>
      <c r="E50">
        <v>16</v>
      </c>
      <c r="F50" t="s">
        <v>1164</v>
      </c>
      <c r="G50">
        <v>2</v>
      </c>
      <c r="H50" t="s">
        <v>1163</v>
      </c>
      <c r="I50">
        <v>20000</v>
      </c>
      <c r="J50" t="s">
        <v>1164</v>
      </c>
      <c r="K50">
        <v>1</v>
      </c>
      <c r="L50" t="s">
        <v>1163</v>
      </c>
      <c r="M50">
        <v>20000</v>
      </c>
      <c r="N50" t="s">
        <v>1165</v>
      </c>
      <c r="O50" t="str">
        <f t="shared" si="2"/>
        <v>[{"id":14,"num":16},{"id":2,"num":20000},{"id":1,"num":20000}]</v>
      </c>
      <c r="U50">
        <f t="shared" si="3"/>
        <v>6</v>
      </c>
    </row>
    <row r="51" spans="1:21" ht="16.5" x14ac:dyDescent="0.15">
      <c r="A51" s="3">
        <f>Sheet1!A53</f>
        <v>1402010</v>
      </c>
      <c r="B51" t="s">
        <v>1162</v>
      </c>
      <c r="C51">
        <v>14</v>
      </c>
      <c r="D51" t="s">
        <v>1163</v>
      </c>
      <c r="E51">
        <v>16</v>
      </c>
      <c r="F51" t="s">
        <v>1164</v>
      </c>
      <c r="G51">
        <v>2</v>
      </c>
      <c r="H51" t="s">
        <v>1163</v>
      </c>
      <c r="I51">
        <v>20000</v>
      </c>
      <c r="J51" t="s">
        <v>1164</v>
      </c>
      <c r="K51">
        <v>1</v>
      </c>
      <c r="L51" t="s">
        <v>1163</v>
      </c>
      <c r="M51">
        <v>20000</v>
      </c>
      <c r="N51" t="s">
        <v>1165</v>
      </c>
      <c r="O51" t="str">
        <f t="shared" si="2"/>
        <v>[{"id":14,"num":16},{"id":2,"num":20000},{"id":1,"num":20000}]</v>
      </c>
      <c r="U51">
        <f t="shared" si="3"/>
        <v>6</v>
      </c>
    </row>
    <row r="52" spans="1:21" ht="16.5" x14ac:dyDescent="0.15">
      <c r="A52" s="3">
        <f>Sheet1!A54</f>
        <v>1402011</v>
      </c>
      <c r="B52" t="s">
        <v>1162</v>
      </c>
      <c r="C52">
        <v>14</v>
      </c>
      <c r="D52" t="s">
        <v>1163</v>
      </c>
      <c r="E52">
        <v>16</v>
      </c>
      <c r="F52" t="s">
        <v>1164</v>
      </c>
      <c r="G52">
        <v>2</v>
      </c>
      <c r="H52" t="s">
        <v>1163</v>
      </c>
      <c r="I52">
        <v>20000</v>
      </c>
      <c r="J52" t="s">
        <v>1164</v>
      </c>
      <c r="K52">
        <v>1</v>
      </c>
      <c r="L52" t="s">
        <v>1163</v>
      </c>
      <c r="M52">
        <v>20000</v>
      </c>
      <c r="N52" t="s">
        <v>1165</v>
      </c>
      <c r="O52" t="str">
        <f t="shared" si="2"/>
        <v>[{"id":14,"num":16},{"id":2,"num":20000},{"id":1,"num":20000}]</v>
      </c>
      <c r="U52">
        <f t="shared" ref="U52:U115" si="4">INT(E52*0.4)</f>
        <v>6</v>
      </c>
    </row>
    <row r="53" spans="1:21" ht="16.5" x14ac:dyDescent="0.15">
      <c r="A53" s="3">
        <f>Sheet1!A55</f>
        <v>1402012</v>
      </c>
      <c r="B53" t="s">
        <v>1162</v>
      </c>
      <c r="C53">
        <v>14</v>
      </c>
      <c r="D53" t="s">
        <v>1163</v>
      </c>
      <c r="E53">
        <v>16</v>
      </c>
      <c r="F53" t="s">
        <v>1164</v>
      </c>
      <c r="G53">
        <v>2</v>
      </c>
      <c r="H53" t="s">
        <v>1163</v>
      </c>
      <c r="I53">
        <v>20000</v>
      </c>
      <c r="J53" t="s">
        <v>1164</v>
      </c>
      <c r="K53">
        <v>1</v>
      </c>
      <c r="L53" t="s">
        <v>1163</v>
      </c>
      <c r="M53">
        <v>20000</v>
      </c>
      <c r="N53" t="s">
        <v>1165</v>
      </c>
      <c r="O53" t="str">
        <f t="shared" si="2"/>
        <v>[{"id":14,"num":16},{"id":2,"num":20000},{"id":1,"num":20000}]</v>
      </c>
      <c r="U53">
        <f t="shared" si="4"/>
        <v>6</v>
      </c>
    </row>
    <row r="54" spans="1:21" ht="16.5" x14ac:dyDescent="0.15">
      <c r="A54" s="3">
        <f>Sheet1!A56</f>
        <v>1402013</v>
      </c>
      <c r="B54" t="s">
        <v>1162</v>
      </c>
      <c r="C54">
        <v>14</v>
      </c>
      <c r="D54" t="s">
        <v>1163</v>
      </c>
      <c r="E54">
        <v>16</v>
      </c>
      <c r="F54" t="s">
        <v>1164</v>
      </c>
      <c r="G54">
        <v>2</v>
      </c>
      <c r="H54" t="s">
        <v>1163</v>
      </c>
      <c r="I54">
        <v>20000</v>
      </c>
      <c r="J54" t="s">
        <v>1164</v>
      </c>
      <c r="K54">
        <v>1</v>
      </c>
      <c r="L54" t="s">
        <v>1163</v>
      </c>
      <c r="M54">
        <v>20000</v>
      </c>
      <c r="N54" t="s">
        <v>1165</v>
      </c>
      <c r="O54" t="str">
        <f t="shared" si="2"/>
        <v>[{"id":14,"num":16},{"id":2,"num":20000},{"id":1,"num":20000}]</v>
      </c>
      <c r="U54">
        <f t="shared" si="4"/>
        <v>6</v>
      </c>
    </row>
    <row r="55" spans="1:21" ht="16.5" x14ac:dyDescent="0.15">
      <c r="A55" s="3">
        <f>Sheet1!A57</f>
        <v>1402014</v>
      </c>
      <c r="B55" t="s">
        <v>1162</v>
      </c>
      <c r="C55">
        <v>14</v>
      </c>
      <c r="D55" t="s">
        <v>1163</v>
      </c>
      <c r="E55">
        <v>16</v>
      </c>
      <c r="F55" t="s">
        <v>1164</v>
      </c>
      <c r="G55">
        <v>2</v>
      </c>
      <c r="H55" t="s">
        <v>1163</v>
      </c>
      <c r="I55">
        <v>20000</v>
      </c>
      <c r="J55" t="s">
        <v>1164</v>
      </c>
      <c r="K55">
        <v>1</v>
      </c>
      <c r="L55" t="s">
        <v>1163</v>
      </c>
      <c r="M55">
        <v>20000</v>
      </c>
      <c r="N55" t="s">
        <v>1165</v>
      </c>
      <c r="O55" t="str">
        <f t="shared" si="2"/>
        <v>[{"id":14,"num":16},{"id":2,"num":20000},{"id":1,"num":20000}]</v>
      </c>
      <c r="U55">
        <f t="shared" si="4"/>
        <v>6</v>
      </c>
    </row>
    <row r="56" spans="1:21" ht="16.5" x14ac:dyDescent="0.15">
      <c r="A56" s="3">
        <f>Sheet1!A58</f>
        <v>1402015</v>
      </c>
      <c r="B56" t="s">
        <v>1162</v>
      </c>
      <c r="C56">
        <v>14</v>
      </c>
      <c r="D56" t="s">
        <v>1163</v>
      </c>
      <c r="E56">
        <v>16</v>
      </c>
      <c r="F56" t="s">
        <v>1164</v>
      </c>
      <c r="G56">
        <v>2</v>
      </c>
      <c r="H56" t="s">
        <v>1163</v>
      </c>
      <c r="I56">
        <v>20000</v>
      </c>
      <c r="J56" t="s">
        <v>1164</v>
      </c>
      <c r="K56">
        <v>1</v>
      </c>
      <c r="L56" t="s">
        <v>1163</v>
      </c>
      <c r="M56">
        <v>20000</v>
      </c>
      <c r="N56" t="s">
        <v>1165</v>
      </c>
      <c r="O56" t="str">
        <f t="shared" si="2"/>
        <v>[{"id":14,"num":16},{"id":2,"num":20000},{"id":1,"num":20000}]</v>
      </c>
      <c r="U56">
        <f t="shared" si="4"/>
        <v>6</v>
      </c>
    </row>
    <row r="57" spans="1:21" ht="16.5" x14ac:dyDescent="0.15">
      <c r="A57" s="3">
        <f>Sheet1!A59</f>
        <v>1402016</v>
      </c>
      <c r="B57" t="s">
        <v>1162</v>
      </c>
      <c r="C57">
        <v>14</v>
      </c>
      <c r="D57" t="s">
        <v>1163</v>
      </c>
      <c r="E57">
        <v>16</v>
      </c>
      <c r="F57" t="s">
        <v>1164</v>
      </c>
      <c r="G57">
        <v>2</v>
      </c>
      <c r="H57" t="s">
        <v>1163</v>
      </c>
      <c r="I57">
        <v>20000</v>
      </c>
      <c r="J57" t="s">
        <v>1164</v>
      </c>
      <c r="K57">
        <v>1</v>
      </c>
      <c r="L57" t="s">
        <v>1163</v>
      </c>
      <c r="M57">
        <v>20000</v>
      </c>
      <c r="N57" t="s">
        <v>1165</v>
      </c>
      <c r="O57" t="str">
        <f t="shared" si="2"/>
        <v>[{"id":14,"num":16},{"id":2,"num":20000},{"id":1,"num":20000}]</v>
      </c>
      <c r="U57">
        <f t="shared" si="4"/>
        <v>6</v>
      </c>
    </row>
    <row r="58" spans="1:21" ht="16.5" x14ac:dyDescent="0.15">
      <c r="A58" s="3">
        <f>Sheet1!A60</f>
        <v>1402017</v>
      </c>
      <c r="B58" t="s">
        <v>1162</v>
      </c>
      <c r="C58">
        <v>14</v>
      </c>
      <c r="D58" t="s">
        <v>1163</v>
      </c>
      <c r="E58">
        <v>16</v>
      </c>
      <c r="F58" t="s">
        <v>1164</v>
      </c>
      <c r="G58">
        <v>2</v>
      </c>
      <c r="H58" t="s">
        <v>1163</v>
      </c>
      <c r="I58">
        <v>20000</v>
      </c>
      <c r="J58" t="s">
        <v>1164</v>
      </c>
      <c r="K58">
        <v>1</v>
      </c>
      <c r="L58" t="s">
        <v>1163</v>
      </c>
      <c r="M58">
        <v>20000</v>
      </c>
      <c r="N58" t="s">
        <v>1165</v>
      </c>
      <c r="O58" t="str">
        <f t="shared" si="2"/>
        <v>[{"id":14,"num":16},{"id":2,"num":20000},{"id":1,"num":20000}]</v>
      </c>
      <c r="U58">
        <f t="shared" si="4"/>
        <v>6</v>
      </c>
    </row>
    <row r="59" spans="1:21" ht="16.5" x14ac:dyDescent="0.15">
      <c r="A59" s="3">
        <f>Sheet1!A61</f>
        <v>1402018</v>
      </c>
      <c r="B59" t="s">
        <v>1162</v>
      </c>
      <c r="C59">
        <v>14</v>
      </c>
      <c r="D59" t="s">
        <v>1163</v>
      </c>
      <c r="E59">
        <v>16</v>
      </c>
      <c r="F59" t="s">
        <v>1164</v>
      </c>
      <c r="G59">
        <v>2</v>
      </c>
      <c r="H59" t="s">
        <v>1163</v>
      </c>
      <c r="I59">
        <v>20000</v>
      </c>
      <c r="J59" t="s">
        <v>1164</v>
      </c>
      <c r="K59">
        <v>1</v>
      </c>
      <c r="L59" t="s">
        <v>1163</v>
      </c>
      <c r="M59">
        <v>20000</v>
      </c>
      <c r="N59" t="s">
        <v>1165</v>
      </c>
      <c r="O59" t="str">
        <f t="shared" ref="O59:O122" si="5">_xlfn.TEXTJOIN(,TRUE,B59:N59)</f>
        <v>[{"id":14,"num":16},{"id":2,"num":20000},{"id":1,"num":20000}]</v>
      </c>
      <c r="U59">
        <f t="shared" si="4"/>
        <v>6</v>
      </c>
    </row>
    <row r="60" spans="1:21" ht="16.5" x14ac:dyDescent="0.15">
      <c r="A60" s="3">
        <f>Sheet1!A62</f>
        <v>1402019</v>
      </c>
      <c r="B60" t="s">
        <v>1162</v>
      </c>
      <c r="C60">
        <v>14</v>
      </c>
      <c r="D60" t="s">
        <v>1163</v>
      </c>
      <c r="E60">
        <v>16</v>
      </c>
      <c r="F60" t="s">
        <v>1164</v>
      </c>
      <c r="G60">
        <v>2</v>
      </c>
      <c r="H60" t="s">
        <v>1163</v>
      </c>
      <c r="I60">
        <v>20000</v>
      </c>
      <c r="J60" t="s">
        <v>1164</v>
      </c>
      <c r="K60">
        <v>1</v>
      </c>
      <c r="L60" t="s">
        <v>1163</v>
      </c>
      <c r="M60">
        <v>20000</v>
      </c>
      <c r="N60" t="s">
        <v>1165</v>
      </c>
      <c r="O60" t="str">
        <f t="shared" si="5"/>
        <v>[{"id":14,"num":16},{"id":2,"num":20000},{"id":1,"num":20000}]</v>
      </c>
      <c r="U60">
        <f t="shared" si="4"/>
        <v>6</v>
      </c>
    </row>
    <row r="61" spans="1:21" ht="16.5" x14ac:dyDescent="0.15">
      <c r="A61" s="3">
        <f>Sheet1!A63</f>
        <v>1402020</v>
      </c>
      <c r="B61" t="s">
        <v>1162</v>
      </c>
      <c r="C61">
        <v>14</v>
      </c>
      <c r="D61" t="s">
        <v>1163</v>
      </c>
      <c r="E61">
        <v>16</v>
      </c>
      <c r="F61" t="s">
        <v>1164</v>
      </c>
      <c r="G61">
        <v>2</v>
      </c>
      <c r="H61" t="s">
        <v>1163</v>
      </c>
      <c r="I61">
        <v>20000</v>
      </c>
      <c r="J61" t="s">
        <v>1164</v>
      </c>
      <c r="K61">
        <v>1</v>
      </c>
      <c r="L61" t="s">
        <v>1163</v>
      </c>
      <c r="M61">
        <v>20000</v>
      </c>
      <c r="N61" t="s">
        <v>1165</v>
      </c>
      <c r="O61" t="str">
        <f t="shared" si="5"/>
        <v>[{"id":14,"num":16},{"id":2,"num":20000},{"id":1,"num":20000}]</v>
      </c>
      <c r="U61">
        <f t="shared" si="4"/>
        <v>6</v>
      </c>
    </row>
    <row r="62" spans="1:21" ht="16.5" x14ac:dyDescent="0.15">
      <c r="A62" s="3">
        <f>Sheet1!A64</f>
        <v>1402021</v>
      </c>
      <c r="B62" t="s">
        <v>1162</v>
      </c>
      <c r="C62">
        <v>14</v>
      </c>
      <c r="D62" t="s">
        <v>1163</v>
      </c>
      <c r="E62">
        <v>20</v>
      </c>
      <c r="F62" t="s">
        <v>1164</v>
      </c>
      <c r="G62">
        <v>2</v>
      </c>
      <c r="H62" t="s">
        <v>1163</v>
      </c>
      <c r="I62">
        <v>100000</v>
      </c>
      <c r="J62" t="s">
        <v>1164</v>
      </c>
      <c r="K62">
        <v>1</v>
      </c>
      <c r="L62" t="s">
        <v>1163</v>
      </c>
      <c r="M62">
        <v>100000</v>
      </c>
      <c r="N62" t="s">
        <v>1165</v>
      </c>
      <c r="O62" t="str">
        <f t="shared" si="5"/>
        <v>[{"id":14,"num":20},{"id":2,"num":100000},{"id":1,"num":100000}]</v>
      </c>
      <c r="U62">
        <f t="shared" si="4"/>
        <v>8</v>
      </c>
    </row>
    <row r="63" spans="1:21" ht="16.5" x14ac:dyDescent="0.15">
      <c r="A63" s="3">
        <f>Sheet1!A65</f>
        <v>1402022</v>
      </c>
      <c r="B63" t="s">
        <v>1162</v>
      </c>
      <c r="C63">
        <v>14</v>
      </c>
      <c r="D63" t="s">
        <v>1163</v>
      </c>
      <c r="E63">
        <v>20</v>
      </c>
      <c r="F63" t="s">
        <v>1164</v>
      </c>
      <c r="G63">
        <v>2</v>
      </c>
      <c r="H63" t="s">
        <v>1163</v>
      </c>
      <c r="I63">
        <v>100000</v>
      </c>
      <c r="J63" t="s">
        <v>1164</v>
      </c>
      <c r="K63">
        <v>1</v>
      </c>
      <c r="L63" t="s">
        <v>1163</v>
      </c>
      <c r="M63">
        <v>100000</v>
      </c>
      <c r="N63" t="s">
        <v>1165</v>
      </c>
      <c r="O63" t="str">
        <f t="shared" si="5"/>
        <v>[{"id":14,"num":20},{"id":2,"num":100000},{"id":1,"num":100000}]</v>
      </c>
      <c r="U63">
        <f t="shared" si="4"/>
        <v>8</v>
      </c>
    </row>
    <row r="64" spans="1:21" ht="16.5" x14ac:dyDescent="0.15">
      <c r="A64" s="3">
        <f>Sheet1!A66</f>
        <v>1402023</v>
      </c>
      <c r="B64" t="s">
        <v>1162</v>
      </c>
      <c r="C64">
        <v>14</v>
      </c>
      <c r="D64" t="s">
        <v>1163</v>
      </c>
      <c r="E64">
        <v>20</v>
      </c>
      <c r="F64" t="s">
        <v>1164</v>
      </c>
      <c r="G64">
        <v>2</v>
      </c>
      <c r="H64" t="s">
        <v>1163</v>
      </c>
      <c r="I64">
        <v>100000</v>
      </c>
      <c r="J64" t="s">
        <v>1164</v>
      </c>
      <c r="K64">
        <v>1</v>
      </c>
      <c r="L64" t="s">
        <v>1163</v>
      </c>
      <c r="M64">
        <v>100000</v>
      </c>
      <c r="N64" t="s">
        <v>1165</v>
      </c>
      <c r="O64" t="str">
        <f t="shared" si="5"/>
        <v>[{"id":14,"num":20},{"id":2,"num":100000},{"id":1,"num":100000}]</v>
      </c>
      <c r="U64">
        <f t="shared" si="4"/>
        <v>8</v>
      </c>
    </row>
    <row r="65" spans="1:21" ht="16.5" x14ac:dyDescent="0.15">
      <c r="A65" s="3">
        <f>Sheet1!A67</f>
        <v>1402024</v>
      </c>
      <c r="B65" t="s">
        <v>1162</v>
      </c>
      <c r="C65">
        <v>14</v>
      </c>
      <c r="D65" t="s">
        <v>1163</v>
      </c>
      <c r="E65">
        <v>20</v>
      </c>
      <c r="F65" t="s">
        <v>1164</v>
      </c>
      <c r="G65">
        <v>2</v>
      </c>
      <c r="H65" t="s">
        <v>1163</v>
      </c>
      <c r="I65">
        <v>100000</v>
      </c>
      <c r="J65" t="s">
        <v>1164</v>
      </c>
      <c r="K65">
        <v>1</v>
      </c>
      <c r="L65" t="s">
        <v>1163</v>
      </c>
      <c r="M65">
        <v>100000</v>
      </c>
      <c r="N65" t="s">
        <v>1165</v>
      </c>
      <c r="O65" t="str">
        <f t="shared" si="5"/>
        <v>[{"id":14,"num":20},{"id":2,"num":100000},{"id":1,"num":100000}]</v>
      </c>
      <c r="U65">
        <f t="shared" si="4"/>
        <v>8</v>
      </c>
    </row>
    <row r="66" spans="1:21" ht="16.5" x14ac:dyDescent="0.15">
      <c r="A66" s="3">
        <f>Sheet1!A68</f>
        <v>1402025</v>
      </c>
      <c r="B66" t="s">
        <v>1162</v>
      </c>
      <c r="C66">
        <v>14</v>
      </c>
      <c r="D66" t="s">
        <v>1163</v>
      </c>
      <c r="E66">
        <v>20</v>
      </c>
      <c r="F66" t="s">
        <v>1164</v>
      </c>
      <c r="G66">
        <v>2</v>
      </c>
      <c r="H66" t="s">
        <v>1163</v>
      </c>
      <c r="I66">
        <v>100000</v>
      </c>
      <c r="J66" t="s">
        <v>1164</v>
      </c>
      <c r="K66">
        <v>1</v>
      </c>
      <c r="L66" t="s">
        <v>1163</v>
      </c>
      <c r="M66">
        <v>100000</v>
      </c>
      <c r="N66" t="s">
        <v>1165</v>
      </c>
      <c r="O66" t="str">
        <f t="shared" si="5"/>
        <v>[{"id":14,"num":20},{"id":2,"num":100000},{"id":1,"num":100000}]</v>
      </c>
      <c r="U66">
        <f t="shared" si="4"/>
        <v>8</v>
      </c>
    </row>
    <row r="67" spans="1:21" ht="16.5" x14ac:dyDescent="0.15">
      <c r="A67" s="3">
        <f>Sheet1!A69</f>
        <v>1402026</v>
      </c>
      <c r="B67" t="s">
        <v>1162</v>
      </c>
      <c r="C67">
        <v>14</v>
      </c>
      <c r="D67" t="s">
        <v>1163</v>
      </c>
      <c r="E67">
        <v>20</v>
      </c>
      <c r="F67" t="s">
        <v>1164</v>
      </c>
      <c r="G67">
        <v>2</v>
      </c>
      <c r="H67" t="s">
        <v>1163</v>
      </c>
      <c r="I67">
        <v>100000</v>
      </c>
      <c r="J67" t="s">
        <v>1164</v>
      </c>
      <c r="K67">
        <v>1</v>
      </c>
      <c r="L67" t="s">
        <v>1163</v>
      </c>
      <c r="M67">
        <v>100000</v>
      </c>
      <c r="N67" t="s">
        <v>1165</v>
      </c>
      <c r="O67" t="str">
        <f t="shared" si="5"/>
        <v>[{"id":14,"num":20},{"id":2,"num":100000},{"id":1,"num":100000}]</v>
      </c>
      <c r="U67">
        <f t="shared" si="4"/>
        <v>8</v>
      </c>
    </row>
    <row r="68" spans="1:21" ht="16.5" x14ac:dyDescent="0.15">
      <c r="A68" s="3">
        <f>Sheet1!A70</f>
        <v>1402027</v>
      </c>
      <c r="B68" t="s">
        <v>1162</v>
      </c>
      <c r="C68">
        <v>14</v>
      </c>
      <c r="D68" t="s">
        <v>1163</v>
      </c>
      <c r="E68">
        <v>20</v>
      </c>
      <c r="F68" t="s">
        <v>1164</v>
      </c>
      <c r="G68">
        <v>2</v>
      </c>
      <c r="H68" t="s">
        <v>1163</v>
      </c>
      <c r="I68">
        <v>100000</v>
      </c>
      <c r="J68" t="s">
        <v>1164</v>
      </c>
      <c r="K68">
        <v>1</v>
      </c>
      <c r="L68" t="s">
        <v>1163</v>
      </c>
      <c r="M68">
        <v>100000</v>
      </c>
      <c r="N68" t="s">
        <v>1165</v>
      </c>
      <c r="O68" t="str">
        <f t="shared" si="5"/>
        <v>[{"id":14,"num":20},{"id":2,"num":100000},{"id":1,"num":100000}]</v>
      </c>
      <c r="U68">
        <f t="shared" si="4"/>
        <v>8</v>
      </c>
    </row>
    <row r="69" spans="1:21" ht="16.5" x14ac:dyDescent="0.15">
      <c r="A69" s="3">
        <f>Sheet1!A71</f>
        <v>1402028</v>
      </c>
      <c r="B69" t="s">
        <v>1162</v>
      </c>
      <c r="C69">
        <v>14</v>
      </c>
      <c r="D69" t="s">
        <v>1163</v>
      </c>
      <c r="E69">
        <v>20</v>
      </c>
      <c r="F69" t="s">
        <v>1164</v>
      </c>
      <c r="G69">
        <v>2</v>
      </c>
      <c r="H69" t="s">
        <v>1163</v>
      </c>
      <c r="I69">
        <v>100000</v>
      </c>
      <c r="J69" t="s">
        <v>1164</v>
      </c>
      <c r="K69">
        <v>1</v>
      </c>
      <c r="L69" t="s">
        <v>1163</v>
      </c>
      <c r="M69">
        <v>100000</v>
      </c>
      <c r="N69" t="s">
        <v>1165</v>
      </c>
      <c r="O69" t="str">
        <f t="shared" si="5"/>
        <v>[{"id":14,"num":20},{"id":2,"num":100000},{"id":1,"num":100000}]</v>
      </c>
      <c r="U69">
        <f t="shared" si="4"/>
        <v>8</v>
      </c>
    </row>
    <row r="70" spans="1:21" ht="16.5" x14ac:dyDescent="0.15">
      <c r="A70" s="3">
        <f>Sheet1!A72</f>
        <v>1402029</v>
      </c>
      <c r="B70" t="s">
        <v>1162</v>
      </c>
      <c r="C70">
        <v>14</v>
      </c>
      <c r="D70" t="s">
        <v>1163</v>
      </c>
      <c r="E70">
        <v>20</v>
      </c>
      <c r="F70" t="s">
        <v>1164</v>
      </c>
      <c r="G70">
        <v>2</v>
      </c>
      <c r="H70" t="s">
        <v>1163</v>
      </c>
      <c r="I70">
        <v>100000</v>
      </c>
      <c r="J70" t="s">
        <v>1164</v>
      </c>
      <c r="K70">
        <v>1</v>
      </c>
      <c r="L70" t="s">
        <v>1163</v>
      </c>
      <c r="M70">
        <v>100000</v>
      </c>
      <c r="N70" t="s">
        <v>1165</v>
      </c>
      <c r="O70" t="str">
        <f t="shared" si="5"/>
        <v>[{"id":14,"num":20},{"id":2,"num":100000},{"id":1,"num":100000}]</v>
      </c>
      <c r="U70">
        <f t="shared" si="4"/>
        <v>8</v>
      </c>
    </row>
    <row r="71" spans="1:21" ht="16.5" x14ac:dyDescent="0.15">
      <c r="A71" s="3">
        <f>Sheet1!A73</f>
        <v>1402030</v>
      </c>
      <c r="B71" t="s">
        <v>1162</v>
      </c>
      <c r="C71">
        <v>14</v>
      </c>
      <c r="D71" t="s">
        <v>1163</v>
      </c>
      <c r="E71">
        <v>20</v>
      </c>
      <c r="F71" t="s">
        <v>1164</v>
      </c>
      <c r="G71">
        <v>2</v>
      </c>
      <c r="H71" t="s">
        <v>1163</v>
      </c>
      <c r="I71">
        <v>100000</v>
      </c>
      <c r="J71" t="s">
        <v>1164</v>
      </c>
      <c r="K71">
        <v>1</v>
      </c>
      <c r="L71" t="s">
        <v>1163</v>
      </c>
      <c r="M71">
        <v>100000</v>
      </c>
      <c r="N71" t="s">
        <v>1165</v>
      </c>
      <c r="O71" t="str">
        <f t="shared" si="5"/>
        <v>[{"id":14,"num":20},{"id":2,"num":100000},{"id":1,"num":100000}]</v>
      </c>
      <c r="U71">
        <f t="shared" si="4"/>
        <v>8</v>
      </c>
    </row>
    <row r="72" spans="1:21" ht="16.5" x14ac:dyDescent="0.15">
      <c r="A72" s="3">
        <f>Sheet1!A74</f>
        <v>1402031</v>
      </c>
      <c r="B72" t="s">
        <v>1162</v>
      </c>
      <c r="C72">
        <v>14</v>
      </c>
      <c r="D72" t="s">
        <v>1163</v>
      </c>
      <c r="E72">
        <v>20</v>
      </c>
      <c r="F72" t="s">
        <v>1164</v>
      </c>
      <c r="G72">
        <v>2</v>
      </c>
      <c r="H72" t="s">
        <v>1163</v>
      </c>
      <c r="I72">
        <v>220000</v>
      </c>
      <c r="J72" t="s">
        <v>1164</v>
      </c>
      <c r="K72">
        <v>1</v>
      </c>
      <c r="L72" t="s">
        <v>1163</v>
      </c>
      <c r="M72">
        <v>220000</v>
      </c>
      <c r="N72" t="s">
        <v>1165</v>
      </c>
      <c r="O72" t="str">
        <f t="shared" si="5"/>
        <v>[{"id":14,"num":20},{"id":2,"num":220000},{"id":1,"num":220000}]</v>
      </c>
      <c r="U72">
        <f t="shared" si="4"/>
        <v>8</v>
      </c>
    </row>
    <row r="73" spans="1:21" ht="16.5" x14ac:dyDescent="0.15">
      <c r="A73" s="3">
        <f>Sheet1!A75</f>
        <v>1402032</v>
      </c>
      <c r="B73" t="s">
        <v>1162</v>
      </c>
      <c r="C73">
        <v>14</v>
      </c>
      <c r="D73" t="s">
        <v>1163</v>
      </c>
      <c r="E73">
        <v>20</v>
      </c>
      <c r="F73" t="s">
        <v>1164</v>
      </c>
      <c r="G73">
        <v>2</v>
      </c>
      <c r="H73" t="s">
        <v>1163</v>
      </c>
      <c r="I73">
        <v>220000</v>
      </c>
      <c r="J73" t="s">
        <v>1164</v>
      </c>
      <c r="K73">
        <v>1</v>
      </c>
      <c r="L73" t="s">
        <v>1163</v>
      </c>
      <c r="M73">
        <v>220000</v>
      </c>
      <c r="N73" t="s">
        <v>1165</v>
      </c>
      <c r="O73" t="str">
        <f t="shared" si="5"/>
        <v>[{"id":14,"num":20},{"id":2,"num":220000},{"id":1,"num":220000}]</v>
      </c>
      <c r="U73">
        <f t="shared" si="4"/>
        <v>8</v>
      </c>
    </row>
    <row r="74" spans="1:21" ht="16.5" x14ac:dyDescent="0.15">
      <c r="A74" s="3">
        <f>Sheet1!A76</f>
        <v>1402033</v>
      </c>
      <c r="B74" t="s">
        <v>1162</v>
      </c>
      <c r="C74">
        <v>14</v>
      </c>
      <c r="D74" t="s">
        <v>1163</v>
      </c>
      <c r="E74">
        <v>20</v>
      </c>
      <c r="F74" t="s">
        <v>1164</v>
      </c>
      <c r="G74">
        <v>2</v>
      </c>
      <c r="H74" t="s">
        <v>1163</v>
      </c>
      <c r="I74">
        <v>220000</v>
      </c>
      <c r="J74" t="s">
        <v>1164</v>
      </c>
      <c r="K74">
        <v>1</v>
      </c>
      <c r="L74" t="s">
        <v>1163</v>
      </c>
      <c r="M74">
        <v>220000</v>
      </c>
      <c r="N74" t="s">
        <v>1165</v>
      </c>
      <c r="O74" t="str">
        <f t="shared" si="5"/>
        <v>[{"id":14,"num":20},{"id":2,"num":220000},{"id":1,"num":220000}]</v>
      </c>
      <c r="U74">
        <f t="shared" si="4"/>
        <v>8</v>
      </c>
    </row>
    <row r="75" spans="1:21" ht="16.5" x14ac:dyDescent="0.15">
      <c r="A75" s="3">
        <f>Sheet1!A77</f>
        <v>1402034</v>
      </c>
      <c r="B75" t="s">
        <v>1162</v>
      </c>
      <c r="C75">
        <v>14</v>
      </c>
      <c r="D75" t="s">
        <v>1163</v>
      </c>
      <c r="E75">
        <v>20</v>
      </c>
      <c r="F75" t="s">
        <v>1164</v>
      </c>
      <c r="G75">
        <v>2</v>
      </c>
      <c r="H75" t="s">
        <v>1163</v>
      </c>
      <c r="I75">
        <v>220000</v>
      </c>
      <c r="J75" t="s">
        <v>1164</v>
      </c>
      <c r="K75">
        <v>1</v>
      </c>
      <c r="L75" t="s">
        <v>1163</v>
      </c>
      <c r="M75">
        <v>220000</v>
      </c>
      <c r="N75" t="s">
        <v>1165</v>
      </c>
      <c r="O75" t="str">
        <f t="shared" si="5"/>
        <v>[{"id":14,"num":20},{"id":2,"num":220000},{"id":1,"num":220000}]</v>
      </c>
      <c r="U75">
        <f t="shared" si="4"/>
        <v>8</v>
      </c>
    </row>
    <row r="76" spans="1:21" ht="16.5" x14ac:dyDescent="0.15">
      <c r="A76" s="3">
        <f>Sheet1!A78</f>
        <v>1402035</v>
      </c>
      <c r="B76" t="s">
        <v>1162</v>
      </c>
      <c r="C76">
        <v>14</v>
      </c>
      <c r="D76" t="s">
        <v>1163</v>
      </c>
      <c r="E76">
        <v>20</v>
      </c>
      <c r="F76" t="s">
        <v>1164</v>
      </c>
      <c r="G76">
        <v>2</v>
      </c>
      <c r="H76" t="s">
        <v>1163</v>
      </c>
      <c r="I76">
        <v>220000</v>
      </c>
      <c r="J76" t="s">
        <v>1164</v>
      </c>
      <c r="K76">
        <v>1</v>
      </c>
      <c r="L76" t="s">
        <v>1163</v>
      </c>
      <c r="M76">
        <v>220000</v>
      </c>
      <c r="N76" t="s">
        <v>1165</v>
      </c>
      <c r="O76" t="str">
        <f t="shared" si="5"/>
        <v>[{"id":14,"num":20},{"id":2,"num":220000},{"id":1,"num":220000}]</v>
      </c>
      <c r="U76">
        <f t="shared" si="4"/>
        <v>8</v>
      </c>
    </row>
    <row r="77" spans="1:21" ht="16.5" x14ac:dyDescent="0.15">
      <c r="A77" s="3">
        <f>Sheet1!A79</f>
        <v>1402036</v>
      </c>
      <c r="B77" t="s">
        <v>1162</v>
      </c>
      <c r="C77">
        <v>14</v>
      </c>
      <c r="D77" t="s">
        <v>1163</v>
      </c>
      <c r="E77">
        <v>20</v>
      </c>
      <c r="F77" t="s">
        <v>1164</v>
      </c>
      <c r="G77">
        <v>2</v>
      </c>
      <c r="H77" t="s">
        <v>1163</v>
      </c>
      <c r="I77">
        <v>220000</v>
      </c>
      <c r="J77" t="s">
        <v>1164</v>
      </c>
      <c r="K77">
        <v>1</v>
      </c>
      <c r="L77" t="s">
        <v>1163</v>
      </c>
      <c r="M77">
        <v>220000</v>
      </c>
      <c r="N77" t="s">
        <v>1165</v>
      </c>
      <c r="O77" t="str">
        <f t="shared" si="5"/>
        <v>[{"id":14,"num":20},{"id":2,"num":220000},{"id":1,"num":220000}]</v>
      </c>
      <c r="U77">
        <f t="shared" si="4"/>
        <v>8</v>
      </c>
    </row>
    <row r="78" spans="1:21" ht="16.5" x14ac:dyDescent="0.15">
      <c r="A78" s="3">
        <f>Sheet1!A80</f>
        <v>1402037</v>
      </c>
      <c r="B78" t="s">
        <v>1162</v>
      </c>
      <c r="C78">
        <v>14</v>
      </c>
      <c r="D78" t="s">
        <v>1163</v>
      </c>
      <c r="E78">
        <v>20</v>
      </c>
      <c r="F78" t="s">
        <v>1164</v>
      </c>
      <c r="G78">
        <v>2</v>
      </c>
      <c r="H78" t="s">
        <v>1163</v>
      </c>
      <c r="I78">
        <v>220000</v>
      </c>
      <c r="J78" t="s">
        <v>1164</v>
      </c>
      <c r="K78">
        <v>1</v>
      </c>
      <c r="L78" t="s">
        <v>1163</v>
      </c>
      <c r="M78">
        <v>220000</v>
      </c>
      <c r="N78" t="s">
        <v>1165</v>
      </c>
      <c r="O78" t="str">
        <f t="shared" si="5"/>
        <v>[{"id":14,"num":20},{"id":2,"num":220000},{"id":1,"num":220000}]</v>
      </c>
      <c r="U78">
        <f t="shared" si="4"/>
        <v>8</v>
      </c>
    </row>
    <row r="79" spans="1:21" ht="16.5" x14ac:dyDescent="0.15">
      <c r="A79" s="3">
        <f>Sheet1!A81</f>
        <v>1402038</v>
      </c>
      <c r="B79" t="s">
        <v>1162</v>
      </c>
      <c r="C79">
        <v>14</v>
      </c>
      <c r="D79" t="s">
        <v>1163</v>
      </c>
      <c r="E79">
        <v>20</v>
      </c>
      <c r="F79" t="s">
        <v>1164</v>
      </c>
      <c r="G79">
        <v>2</v>
      </c>
      <c r="H79" t="s">
        <v>1163</v>
      </c>
      <c r="I79">
        <v>220000</v>
      </c>
      <c r="J79" t="s">
        <v>1164</v>
      </c>
      <c r="K79">
        <v>1</v>
      </c>
      <c r="L79" t="s">
        <v>1163</v>
      </c>
      <c r="M79">
        <v>220000</v>
      </c>
      <c r="N79" t="s">
        <v>1165</v>
      </c>
      <c r="O79" t="str">
        <f t="shared" si="5"/>
        <v>[{"id":14,"num":20},{"id":2,"num":220000},{"id":1,"num":220000}]</v>
      </c>
      <c r="U79">
        <f t="shared" si="4"/>
        <v>8</v>
      </c>
    </row>
    <row r="80" spans="1:21" ht="16.5" x14ac:dyDescent="0.15">
      <c r="A80" s="3">
        <f>Sheet1!A82</f>
        <v>1402039</v>
      </c>
      <c r="B80" t="s">
        <v>1162</v>
      </c>
      <c r="C80">
        <v>14</v>
      </c>
      <c r="D80" t="s">
        <v>1163</v>
      </c>
      <c r="E80">
        <v>20</v>
      </c>
      <c r="F80" t="s">
        <v>1164</v>
      </c>
      <c r="G80">
        <v>2</v>
      </c>
      <c r="H80" t="s">
        <v>1163</v>
      </c>
      <c r="I80">
        <v>220000</v>
      </c>
      <c r="J80" t="s">
        <v>1164</v>
      </c>
      <c r="K80">
        <v>1</v>
      </c>
      <c r="L80" t="s">
        <v>1163</v>
      </c>
      <c r="M80">
        <v>220000</v>
      </c>
      <c r="N80" t="s">
        <v>1165</v>
      </c>
      <c r="O80" t="str">
        <f t="shared" si="5"/>
        <v>[{"id":14,"num":20},{"id":2,"num":220000},{"id":1,"num":220000}]</v>
      </c>
      <c r="U80">
        <f t="shared" si="4"/>
        <v>8</v>
      </c>
    </row>
    <row r="81" spans="1:21" ht="16.5" x14ac:dyDescent="0.15">
      <c r="A81" s="3">
        <f>Sheet1!A83</f>
        <v>1402040</v>
      </c>
      <c r="B81" t="s">
        <v>1162</v>
      </c>
      <c r="C81">
        <v>14</v>
      </c>
      <c r="D81" t="s">
        <v>1163</v>
      </c>
      <c r="E81">
        <v>20</v>
      </c>
      <c r="F81" t="s">
        <v>1164</v>
      </c>
      <c r="G81">
        <v>2</v>
      </c>
      <c r="H81" t="s">
        <v>1163</v>
      </c>
      <c r="I81">
        <v>220000</v>
      </c>
      <c r="J81" t="s">
        <v>1164</v>
      </c>
      <c r="K81">
        <v>1</v>
      </c>
      <c r="L81" t="s">
        <v>1163</v>
      </c>
      <c r="M81">
        <v>220000</v>
      </c>
      <c r="N81" t="s">
        <v>1165</v>
      </c>
      <c r="O81" t="str">
        <f t="shared" si="5"/>
        <v>[{"id":14,"num":20},{"id":2,"num":220000},{"id":1,"num":220000}]</v>
      </c>
      <c r="U81">
        <f t="shared" si="4"/>
        <v>8</v>
      </c>
    </row>
    <row r="82" spans="1:21" ht="16.5" x14ac:dyDescent="0.15">
      <c r="A82" s="3">
        <f>Sheet1!A84</f>
        <v>1403001</v>
      </c>
      <c r="B82" t="s">
        <v>1162</v>
      </c>
      <c r="C82">
        <v>14</v>
      </c>
      <c r="D82" t="s">
        <v>1163</v>
      </c>
      <c r="E82">
        <v>20</v>
      </c>
      <c r="F82" t="s">
        <v>1164</v>
      </c>
      <c r="G82">
        <v>2</v>
      </c>
      <c r="H82" t="s">
        <v>1163</v>
      </c>
      <c r="I82">
        <v>230000</v>
      </c>
      <c r="J82" t="s">
        <v>1164</v>
      </c>
      <c r="K82">
        <v>1</v>
      </c>
      <c r="L82" t="s">
        <v>1163</v>
      </c>
      <c r="M82">
        <v>230000</v>
      </c>
      <c r="N82" t="s">
        <v>1165</v>
      </c>
      <c r="O82" t="str">
        <f t="shared" si="5"/>
        <v>[{"id":14,"num":20},{"id":2,"num":230000},{"id":1,"num":230000}]</v>
      </c>
      <c r="U82">
        <f t="shared" si="4"/>
        <v>8</v>
      </c>
    </row>
    <row r="83" spans="1:21" ht="16.5" x14ac:dyDescent="0.15">
      <c r="A83" s="3">
        <f>Sheet1!A85</f>
        <v>1403002</v>
      </c>
      <c r="B83" t="s">
        <v>1162</v>
      </c>
      <c r="C83">
        <v>14</v>
      </c>
      <c r="D83" t="s">
        <v>1163</v>
      </c>
      <c r="E83">
        <v>20</v>
      </c>
      <c r="F83" t="s">
        <v>1164</v>
      </c>
      <c r="G83">
        <v>2</v>
      </c>
      <c r="H83" t="s">
        <v>1163</v>
      </c>
      <c r="I83">
        <v>230000</v>
      </c>
      <c r="J83" t="s">
        <v>1164</v>
      </c>
      <c r="K83">
        <v>1</v>
      </c>
      <c r="L83" t="s">
        <v>1163</v>
      </c>
      <c r="M83">
        <v>230000</v>
      </c>
      <c r="N83" t="s">
        <v>1165</v>
      </c>
      <c r="O83" t="str">
        <f t="shared" si="5"/>
        <v>[{"id":14,"num":20},{"id":2,"num":230000},{"id":1,"num":230000}]</v>
      </c>
      <c r="U83">
        <f t="shared" si="4"/>
        <v>8</v>
      </c>
    </row>
    <row r="84" spans="1:21" ht="16.5" x14ac:dyDescent="0.15">
      <c r="A84" s="3">
        <f>Sheet1!A86</f>
        <v>1403003</v>
      </c>
      <c r="B84" t="s">
        <v>1162</v>
      </c>
      <c r="C84">
        <v>14</v>
      </c>
      <c r="D84" t="s">
        <v>1163</v>
      </c>
      <c r="E84">
        <v>20</v>
      </c>
      <c r="F84" t="s">
        <v>1164</v>
      </c>
      <c r="G84">
        <v>2</v>
      </c>
      <c r="H84" t="s">
        <v>1163</v>
      </c>
      <c r="I84">
        <v>230000</v>
      </c>
      <c r="J84" t="s">
        <v>1164</v>
      </c>
      <c r="K84">
        <v>1</v>
      </c>
      <c r="L84" t="s">
        <v>1163</v>
      </c>
      <c r="M84">
        <v>230000</v>
      </c>
      <c r="N84" t="s">
        <v>1165</v>
      </c>
      <c r="O84" t="str">
        <f t="shared" si="5"/>
        <v>[{"id":14,"num":20},{"id":2,"num":230000},{"id":1,"num":230000}]</v>
      </c>
      <c r="U84">
        <f t="shared" si="4"/>
        <v>8</v>
      </c>
    </row>
    <row r="85" spans="1:21" ht="16.5" x14ac:dyDescent="0.15">
      <c r="A85" s="3">
        <f>Sheet1!A87</f>
        <v>1403004</v>
      </c>
      <c r="B85" t="s">
        <v>1162</v>
      </c>
      <c r="C85">
        <v>14</v>
      </c>
      <c r="D85" t="s">
        <v>1163</v>
      </c>
      <c r="E85">
        <v>20</v>
      </c>
      <c r="F85" t="s">
        <v>1164</v>
      </c>
      <c r="G85">
        <v>2</v>
      </c>
      <c r="H85" t="s">
        <v>1163</v>
      </c>
      <c r="I85">
        <v>230000</v>
      </c>
      <c r="J85" t="s">
        <v>1164</v>
      </c>
      <c r="K85">
        <v>1</v>
      </c>
      <c r="L85" t="s">
        <v>1163</v>
      </c>
      <c r="M85">
        <v>230000</v>
      </c>
      <c r="N85" t="s">
        <v>1165</v>
      </c>
      <c r="O85" t="str">
        <f t="shared" si="5"/>
        <v>[{"id":14,"num":20},{"id":2,"num":230000},{"id":1,"num":230000}]</v>
      </c>
      <c r="U85">
        <f t="shared" si="4"/>
        <v>8</v>
      </c>
    </row>
    <row r="86" spans="1:21" ht="16.5" x14ac:dyDescent="0.15">
      <c r="A86" s="3">
        <f>Sheet1!A88</f>
        <v>1403005</v>
      </c>
      <c r="B86" t="s">
        <v>1162</v>
      </c>
      <c r="C86">
        <v>14</v>
      </c>
      <c r="D86" t="s">
        <v>1163</v>
      </c>
      <c r="E86">
        <v>20</v>
      </c>
      <c r="F86" t="s">
        <v>1164</v>
      </c>
      <c r="G86">
        <v>2</v>
      </c>
      <c r="H86" t="s">
        <v>1163</v>
      </c>
      <c r="I86">
        <v>230000</v>
      </c>
      <c r="J86" t="s">
        <v>1164</v>
      </c>
      <c r="K86">
        <v>1</v>
      </c>
      <c r="L86" t="s">
        <v>1163</v>
      </c>
      <c r="M86">
        <v>230000</v>
      </c>
      <c r="N86" t="s">
        <v>1165</v>
      </c>
      <c r="O86" t="str">
        <f t="shared" si="5"/>
        <v>[{"id":14,"num":20},{"id":2,"num":230000},{"id":1,"num":230000}]</v>
      </c>
      <c r="U86">
        <f t="shared" si="4"/>
        <v>8</v>
      </c>
    </row>
    <row r="87" spans="1:21" ht="16.5" x14ac:dyDescent="0.15">
      <c r="A87" s="3">
        <f>Sheet1!A89</f>
        <v>1403006</v>
      </c>
      <c r="B87" t="s">
        <v>1162</v>
      </c>
      <c r="C87">
        <v>14</v>
      </c>
      <c r="D87" t="s">
        <v>1163</v>
      </c>
      <c r="E87">
        <v>20</v>
      </c>
      <c r="F87" t="s">
        <v>1164</v>
      </c>
      <c r="G87">
        <v>2</v>
      </c>
      <c r="H87" t="s">
        <v>1163</v>
      </c>
      <c r="I87">
        <v>230000</v>
      </c>
      <c r="J87" t="s">
        <v>1164</v>
      </c>
      <c r="K87">
        <v>1</v>
      </c>
      <c r="L87" t="s">
        <v>1163</v>
      </c>
      <c r="M87">
        <v>230000</v>
      </c>
      <c r="N87" t="s">
        <v>1165</v>
      </c>
      <c r="O87" t="str">
        <f t="shared" si="5"/>
        <v>[{"id":14,"num":20},{"id":2,"num":230000},{"id":1,"num":230000}]</v>
      </c>
      <c r="U87">
        <f t="shared" si="4"/>
        <v>8</v>
      </c>
    </row>
    <row r="88" spans="1:21" ht="16.5" x14ac:dyDescent="0.15">
      <c r="A88" s="3">
        <f>Sheet1!A90</f>
        <v>1403007</v>
      </c>
      <c r="B88" t="s">
        <v>1162</v>
      </c>
      <c r="C88">
        <v>14</v>
      </c>
      <c r="D88" t="s">
        <v>1163</v>
      </c>
      <c r="E88">
        <v>20</v>
      </c>
      <c r="F88" t="s">
        <v>1164</v>
      </c>
      <c r="G88">
        <v>2</v>
      </c>
      <c r="H88" t="s">
        <v>1163</v>
      </c>
      <c r="I88">
        <v>230000</v>
      </c>
      <c r="J88" t="s">
        <v>1164</v>
      </c>
      <c r="K88">
        <v>1</v>
      </c>
      <c r="L88" t="s">
        <v>1163</v>
      </c>
      <c r="M88">
        <v>230000</v>
      </c>
      <c r="N88" t="s">
        <v>1165</v>
      </c>
      <c r="O88" t="str">
        <f t="shared" si="5"/>
        <v>[{"id":14,"num":20},{"id":2,"num":230000},{"id":1,"num":230000}]</v>
      </c>
      <c r="U88">
        <f t="shared" si="4"/>
        <v>8</v>
      </c>
    </row>
    <row r="89" spans="1:21" ht="16.5" x14ac:dyDescent="0.15">
      <c r="A89" s="3">
        <f>Sheet1!A91</f>
        <v>1403008</v>
      </c>
      <c r="B89" t="s">
        <v>1162</v>
      </c>
      <c r="C89">
        <v>14</v>
      </c>
      <c r="D89" t="s">
        <v>1163</v>
      </c>
      <c r="E89">
        <v>20</v>
      </c>
      <c r="F89" t="s">
        <v>1164</v>
      </c>
      <c r="G89">
        <v>2</v>
      </c>
      <c r="H89" t="s">
        <v>1163</v>
      </c>
      <c r="I89">
        <v>230000</v>
      </c>
      <c r="J89" t="s">
        <v>1164</v>
      </c>
      <c r="K89">
        <v>1</v>
      </c>
      <c r="L89" t="s">
        <v>1163</v>
      </c>
      <c r="M89">
        <v>230000</v>
      </c>
      <c r="N89" t="s">
        <v>1165</v>
      </c>
      <c r="O89" t="str">
        <f t="shared" si="5"/>
        <v>[{"id":14,"num":20},{"id":2,"num":230000},{"id":1,"num":230000}]</v>
      </c>
      <c r="U89">
        <f t="shared" si="4"/>
        <v>8</v>
      </c>
    </row>
    <row r="90" spans="1:21" ht="16.5" x14ac:dyDescent="0.15">
      <c r="A90" s="3">
        <f>Sheet1!A92</f>
        <v>1403009</v>
      </c>
      <c r="B90" t="s">
        <v>1162</v>
      </c>
      <c r="C90">
        <v>14</v>
      </c>
      <c r="D90" t="s">
        <v>1163</v>
      </c>
      <c r="E90">
        <v>20</v>
      </c>
      <c r="F90" t="s">
        <v>1164</v>
      </c>
      <c r="G90">
        <v>2</v>
      </c>
      <c r="H90" t="s">
        <v>1163</v>
      </c>
      <c r="I90">
        <v>230000</v>
      </c>
      <c r="J90" t="s">
        <v>1164</v>
      </c>
      <c r="K90">
        <v>1</v>
      </c>
      <c r="L90" t="s">
        <v>1163</v>
      </c>
      <c r="M90">
        <v>230000</v>
      </c>
      <c r="N90" t="s">
        <v>1165</v>
      </c>
      <c r="O90" t="str">
        <f t="shared" si="5"/>
        <v>[{"id":14,"num":20},{"id":2,"num":230000},{"id":1,"num":230000}]</v>
      </c>
      <c r="U90">
        <f t="shared" si="4"/>
        <v>8</v>
      </c>
    </row>
    <row r="91" spans="1:21" ht="16.5" x14ac:dyDescent="0.15">
      <c r="A91" s="3">
        <f>Sheet1!A93</f>
        <v>1403010</v>
      </c>
      <c r="B91" t="s">
        <v>1162</v>
      </c>
      <c r="C91">
        <v>14</v>
      </c>
      <c r="D91" t="s">
        <v>1163</v>
      </c>
      <c r="E91">
        <v>20</v>
      </c>
      <c r="F91" t="s">
        <v>1164</v>
      </c>
      <c r="G91">
        <v>2</v>
      </c>
      <c r="H91" t="s">
        <v>1163</v>
      </c>
      <c r="I91">
        <v>230000</v>
      </c>
      <c r="J91" t="s">
        <v>1164</v>
      </c>
      <c r="K91">
        <v>1</v>
      </c>
      <c r="L91" t="s">
        <v>1163</v>
      </c>
      <c r="M91">
        <v>230000</v>
      </c>
      <c r="N91" t="s">
        <v>1165</v>
      </c>
      <c r="O91" t="str">
        <f t="shared" si="5"/>
        <v>[{"id":14,"num":20},{"id":2,"num":230000},{"id":1,"num":230000}]</v>
      </c>
      <c r="U91">
        <f t="shared" si="4"/>
        <v>8</v>
      </c>
    </row>
    <row r="92" spans="1:21" ht="16.5" x14ac:dyDescent="0.15">
      <c r="A92" s="3">
        <f>Sheet1!A94</f>
        <v>1403011</v>
      </c>
      <c r="B92" t="s">
        <v>1162</v>
      </c>
      <c r="C92">
        <v>14</v>
      </c>
      <c r="D92" t="s">
        <v>1163</v>
      </c>
      <c r="E92">
        <v>20</v>
      </c>
      <c r="F92" t="s">
        <v>1164</v>
      </c>
      <c r="G92">
        <v>2</v>
      </c>
      <c r="H92" t="s">
        <v>1163</v>
      </c>
      <c r="I92">
        <v>230000</v>
      </c>
      <c r="J92" t="s">
        <v>1164</v>
      </c>
      <c r="K92">
        <v>1</v>
      </c>
      <c r="L92" t="s">
        <v>1163</v>
      </c>
      <c r="M92">
        <v>230000</v>
      </c>
      <c r="N92" t="s">
        <v>1165</v>
      </c>
      <c r="O92" t="str">
        <f t="shared" si="5"/>
        <v>[{"id":14,"num":20},{"id":2,"num":230000},{"id":1,"num":230000}]</v>
      </c>
      <c r="U92">
        <f t="shared" si="4"/>
        <v>8</v>
      </c>
    </row>
    <row r="93" spans="1:21" ht="16.5" x14ac:dyDescent="0.15">
      <c r="A93" s="3">
        <f>Sheet1!A95</f>
        <v>1403012</v>
      </c>
      <c r="B93" t="s">
        <v>1162</v>
      </c>
      <c r="C93">
        <v>14</v>
      </c>
      <c r="D93" t="s">
        <v>1163</v>
      </c>
      <c r="E93">
        <v>20</v>
      </c>
      <c r="F93" t="s">
        <v>1164</v>
      </c>
      <c r="G93">
        <v>2</v>
      </c>
      <c r="H93" t="s">
        <v>1163</v>
      </c>
      <c r="I93">
        <v>230000</v>
      </c>
      <c r="J93" t="s">
        <v>1164</v>
      </c>
      <c r="K93">
        <v>1</v>
      </c>
      <c r="L93" t="s">
        <v>1163</v>
      </c>
      <c r="M93">
        <v>230000</v>
      </c>
      <c r="N93" t="s">
        <v>1165</v>
      </c>
      <c r="O93" t="str">
        <f t="shared" si="5"/>
        <v>[{"id":14,"num":20},{"id":2,"num":230000},{"id":1,"num":230000}]</v>
      </c>
      <c r="U93">
        <f t="shared" si="4"/>
        <v>8</v>
      </c>
    </row>
    <row r="94" spans="1:21" ht="16.5" x14ac:dyDescent="0.15">
      <c r="A94" s="3">
        <f>Sheet1!A96</f>
        <v>1403013</v>
      </c>
      <c r="B94" t="s">
        <v>1162</v>
      </c>
      <c r="C94">
        <v>14</v>
      </c>
      <c r="D94" t="s">
        <v>1163</v>
      </c>
      <c r="E94">
        <v>20</v>
      </c>
      <c r="F94" t="s">
        <v>1164</v>
      </c>
      <c r="G94">
        <v>2</v>
      </c>
      <c r="H94" t="s">
        <v>1163</v>
      </c>
      <c r="I94">
        <v>230000</v>
      </c>
      <c r="J94" t="s">
        <v>1164</v>
      </c>
      <c r="K94">
        <v>1</v>
      </c>
      <c r="L94" t="s">
        <v>1163</v>
      </c>
      <c r="M94">
        <v>230000</v>
      </c>
      <c r="N94" t="s">
        <v>1165</v>
      </c>
      <c r="O94" t="str">
        <f t="shared" si="5"/>
        <v>[{"id":14,"num":20},{"id":2,"num":230000},{"id":1,"num":230000}]</v>
      </c>
      <c r="U94">
        <f t="shared" si="4"/>
        <v>8</v>
      </c>
    </row>
    <row r="95" spans="1:21" ht="16.5" x14ac:dyDescent="0.15">
      <c r="A95" s="3">
        <f>Sheet1!A97</f>
        <v>1403014</v>
      </c>
      <c r="B95" t="s">
        <v>1162</v>
      </c>
      <c r="C95">
        <v>14</v>
      </c>
      <c r="D95" t="s">
        <v>1163</v>
      </c>
      <c r="E95">
        <v>20</v>
      </c>
      <c r="F95" t="s">
        <v>1164</v>
      </c>
      <c r="G95">
        <v>2</v>
      </c>
      <c r="H95" t="s">
        <v>1163</v>
      </c>
      <c r="I95">
        <v>230000</v>
      </c>
      <c r="J95" t="s">
        <v>1164</v>
      </c>
      <c r="K95">
        <v>1</v>
      </c>
      <c r="L95" t="s">
        <v>1163</v>
      </c>
      <c r="M95">
        <v>230000</v>
      </c>
      <c r="N95" t="s">
        <v>1165</v>
      </c>
      <c r="O95" t="str">
        <f t="shared" si="5"/>
        <v>[{"id":14,"num":20},{"id":2,"num":230000},{"id":1,"num":230000}]</v>
      </c>
      <c r="U95">
        <f t="shared" si="4"/>
        <v>8</v>
      </c>
    </row>
    <row r="96" spans="1:21" ht="16.5" x14ac:dyDescent="0.15">
      <c r="A96" s="3">
        <f>Sheet1!A98</f>
        <v>1403015</v>
      </c>
      <c r="B96" t="s">
        <v>1162</v>
      </c>
      <c r="C96">
        <v>14</v>
      </c>
      <c r="D96" t="s">
        <v>1163</v>
      </c>
      <c r="E96">
        <v>20</v>
      </c>
      <c r="F96" t="s">
        <v>1164</v>
      </c>
      <c r="G96">
        <v>2</v>
      </c>
      <c r="H96" t="s">
        <v>1163</v>
      </c>
      <c r="I96">
        <v>230000</v>
      </c>
      <c r="J96" t="s">
        <v>1164</v>
      </c>
      <c r="K96">
        <v>1</v>
      </c>
      <c r="L96" t="s">
        <v>1163</v>
      </c>
      <c r="M96">
        <v>230000</v>
      </c>
      <c r="N96" t="s">
        <v>1165</v>
      </c>
      <c r="O96" t="str">
        <f t="shared" si="5"/>
        <v>[{"id":14,"num":20},{"id":2,"num":230000},{"id":1,"num":230000}]</v>
      </c>
      <c r="U96">
        <f t="shared" si="4"/>
        <v>8</v>
      </c>
    </row>
    <row r="97" spans="1:21" ht="16.5" x14ac:dyDescent="0.15">
      <c r="A97" s="3">
        <f>Sheet1!A99</f>
        <v>1403016</v>
      </c>
      <c r="B97" t="s">
        <v>1162</v>
      </c>
      <c r="C97">
        <v>14</v>
      </c>
      <c r="D97" t="s">
        <v>1163</v>
      </c>
      <c r="E97">
        <v>20</v>
      </c>
      <c r="F97" t="s">
        <v>1164</v>
      </c>
      <c r="G97">
        <v>2</v>
      </c>
      <c r="H97" t="s">
        <v>1163</v>
      </c>
      <c r="I97">
        <v>230000</v>
      </c>
      <c r="J97" t="s">
        <v>1164</v>
      </c>
      <c r="K97">
        <v>1</v>
      </c>
      <c r="L97" t="s">
        <v>1163</v>
      </c>
      <c r="M97">
        <v>230000</v>
      </c>
      <c r="N97" t="s">
        <v>1165</v>
      </c>
      <c r="O97" t="str">
        <f t="shared" si="5"/>
        <v>[{"id":14,"num":20},{"id":2,"num":230000},{"id":1,"num":230000}]</v>
      </c>
      <c r="U97">
        <f t="shared" si="4"/>
        <v>8</v>
      </c>
    </row>
    <row r="98" spans="1:21" ht="16.5" x14ac:dyDescent="0.15">
      <c r="A98" s="3">
        <f>Sheet1!A100</f>
        <v>1403017</v>
      </c>
      <c r="B98" t="s">
        <v>1162</v>
      </c>
      <c r="C98">
        <v>14</v>
      </c>
      <c r="D98" t="s">
        <v>1163</v>
      </c>
      <c r="E98">
        <v>20</v>
      </c>
      <c r="F98" t="s">
        <v>1164</v>
      </c>
      <c r="G98">
        <v>2</v>
      </c>
      <c r="H98" t="s">
        <v>1163</v>
      </c>
      <c r="I98">
        <v>230000</v>
      </c>
      <c r="J98" t="s">
        <v>1164</v>
      </c>
      <c r="K98">
        <v>1</v>
      </c>
      <c r="L98" t="s">
        <v>1163</v>
      </c>
      <c r="M98">
        <v>230000</v>
      </c>
      <c r="N98" t="s">
        <v>1165</v>
      </c>
      <c r="O98" t="str">
        <f t="shared" si="5"/>
        <v>[{"id":14,"num":20},{"id":2,"num":230000},{"id":1,"num":230000}]</v>
      </c>
      <c r="U98">
        <f t="shared" si="4"/>
        <v>8</v>
      </c>
    </row>
    <row r="99" spans="1:21" ht="16.5" x14ac:dyDescent="0.15">
      <c r="A99" s="3">
        <f>Sheet1!A101</f>
        <v>1403018</v>
      </c>
      <c r="B99" t="s">
        <v>1162</v>
      </c>
      <c r="C99">
        <v>14</v>
      </c>
      <c r="D99" t="s">
        <v>1163</v>
      </c>
      <c r="E99">
        <v>20</v>
      </c>
      <c r="F99" t="s">
        <v>1164</v>
      </c>
      <c r="G99">
        <v>2</v>
      </c>
      <c r="H99" t="s">
        <v>1163</v>
      </c>
      <c r="I99">
        <v>230000</v>
      </c>
      <c r="J99" t="s">
        <v>1164</v>
      </c>
      <c r="K99">
        <v>1</v>
      </c>
      <c r="L99" t="s">
        <v>1163</v>
      </c>
      <c r="M99">
        <v>230000</v>
      </c>
      <c r="N99" t="s">
        <v>1165</v>
      </c>
      <c r="O99" t="str">
        <f t="shared" si="5"/>
        <v>[{"id":14,"num":20},{"id":2,"num":230000},{"id":1,"num":230000}]</v>
      </c>
      <c r="U99">
        <f t="shared" si="4"/>
        <v>8</v>
      </c>
    </row>
    <row r="100" spans="1:21" ht="16.5" x14ac:dyDescent="0.15">
      <c r="A100" s="3">
        <f>Sheet1!A102</f>
        <v>1403019</v>
      </c>
      <c r="B100" t="s">
        <v>1162</v>
      </c>
      <c r="C100">
        <v>14</v>
      </c>
      <c r="D100" t="s">
        <v>1163</v>
      </c>
      <c r="E100">
        <v>20</v>
      </c>
      <c r="F100" t="s">
        <v>1164</v>
      </c>
      <c r="G100">
        <v>2</v>
      </c>
      <c r="H100" t="s">
        <v>1163</v>
      </c>
      <c r="I100">
        <v>230000</v>
      </c>
      <c r="J100" t="s">
        <v>1164</v>
      </c>
      <c r="K100">
        <v>1</v>
      </c>
      <c r="L100" t="s">
        <v>1163</v>
      </c>
      <c r="M100">
        <v>230000</v>
      </c>
      <c r="N100" t="s">
        <v>1165</v>
      </c>
      <c r="O100" t="str">
        <f t="shared" si="5"/>
        <v>[{"id":14,"num":20},{"id":2,"num":230000},{"id":1,"num":230000}]</v>
      </c>
      <c r="U100">
        <f t="shared" si="4"/>
        <v>8</v>
      </c>
    </row>
    <row r="101" spans="1:21" ht="16.5" x14ac:dyDescent="0.15">
      <c r="A101" s="3">
        <f>Sheet1!A103</f>
        <v>1403020</v>
      </c>
      <c r="B101" t="s">
        <v>1162</v>
      </c>
      <c r="C101">
        <v>14</v>
      </c>
      <c r="D101" t="s">
        <v>1163</v>
      </c>
      <c r="E101">
        <v>20</v>
      </c>
      <c r="F101" t="s">
        <v>1164</v>
      </c>
      <c r="G101">
        <v>2</v>
      </c>
      <c r="H101" t="s">
        <v>1163</v>
      </c>
      <c r="I101">
        <v>230000</v>
      </c>
      <c r="J101" t="s">
        <v>1164</v>
      </c>
      <c r="K101">
        <v>1</v>
      </c>
      <c r="L101" t="s">
        <v>1163</v>
      </c>
      <c r="M101">
        <v>230000</v>
      </c>
      <c r="N101" t="s">
        <v>1165</v>
      </c>
      <c r="O101" t="str">
        <f t="shared" si="5"/>
        <v>[{"id":14,"num":20},{"id":2,"num":230000},{"id":1,"num":230000}]</v>
      </c>
      <c r="U101">
        <f t="shared" si="4"/>
        <v>8</v>
      </c>
    </row>
    <row r="102" spans="1:21" ht="16.5" x14ac:dyDescent="0.15">
      <c r="A102" s="3">
        <f>Sheet1!A104</f>
        <v>1403021</v>
      </c>
      <c r="B102" t="s">
        <v>1162</v>
      </c>
      <c r="C102">
        <v>14</v>
      </c>
      <c r="D102" t="s">
        <v>1163</v>
      </c>
      <c r="E102">
        <v>24</v>
      </c>
      <c r="F102" t="s">
        <v>1164</v>
      </c>
      <c r="G102">
        <v>2</v>
      </c>
      <c r="H102" t="s">
        <v>1163</v>
      </c>
      <c r="I102">
        <v>366000</v>
      </c>
      <c r="J102" t="s">
        <v>1164</v>
      </c>
      <c r="K102">
        <v>1</v>
      </c>
      <c r="L102" t="s">
        <v>1163</v>
      </c>
      <c r="M102">
        <v>360000</v>
      </c>
      <c r="N102" t="s">
        <v>1165</v>
      </c>
      <c r="O102" t="str">
        <f t="shared" si="5"/>
        <v>[{"id":14,"num":24},{"id":2,"num":366000},{"id":1,"num":360000}]</v>
      </c>
      <c r="U102">
        <f t="shared" si="4"/>
        <v>9</v>
      </c>
    </row>
    <row r="103" spans="1:21" ht="16.5" x14ac:dyDescent="0.15">
      <c r="A103" s="3">
        <f>Sheet1!A105</f>
        <v>1403022</v>
      </c>
      <c r="B103" t="s">
        <v>1162</v>
      </c>
      <c r="C103">
        <v>14</v>
      </c>
      <c r="D103" t="s">
        <v>1163</v>
      </c>
      <c r="E103">
        <v>24</v>
      </c>
      <c r="F103" t="s">
        <v>1164</v>
      </c>
      <c r="G103">
        <v>2</v>
      </c>
      <c r="H103" t="s">
        <v>1163</v>
      </c>
      <c r="I103">
        <v>366000</v>
      </c>
      <c r="J103" t="s">
        <v>1164</v>
      </c>
      <c r="K103">
        <v>1</v>
      </c>
      <c r="L103" t="s">
        <v>1163</v>
      </c>
      <c r="M103">
        <v>360000</v>
      </c>
      <c r="N103" t="s">
        <v>1165</v>
      </c>
      <c r="O103" t="str">
        <f t="shared" si="5"/>
        <v>[{"id":14,"num":24},{"id":2,"num":366000},{"id":1,"num":360000}]</v>
      </c>
      <c r="U103">
        <f t="shared" si="4"/>
        <v>9</v>
      </c>
    </row>
    <row r="104" spans="1:21" ht="16.5" x14ac:dyDescent="0.15">
      <c r="A104" s="3">
        <f>Sheet1!A106</f>
        <v>1403023</v>
      </c>
      <c r="B104" t="s">
        <v>1162</v>
      </c>
      <c r="C104">
        <v>14</v>
      </c>
      <c r="D104" t="s">
        <v>1163</v>
      </c>
      <c r="E104">
        <v>24</v>
      </c>
      <c r="F104" t="s">
        <v>1164</v>
      </c>
      <c r="G104">
        <v>2</v>
      </c>
      <c r="H104" t="s">
        <v>1163</v>
      </c>
      <c r="I104">
        <v>366000</v>
      </c>
      <c r="J104" t="s">
        <v>1164</v>
      </c>
      <c r="K104">
        <v>1</v>
      </c>
      <c r="L104" t="s">
        <v>1163</v>
      </c>
      <c r="M104">
        <v>360000</v>
      </c>
      <c r="N104" t="s">
        <v>1165</v>
      </c>
      <c r="O104" t="str">
        <f t="shared" si="5"/>
        <v>[{"id":14,"num":24},{"id":2,"num":366000},{"id":1,"num":360000}]</v>
      </c>
      <c r="U104">
        <f t="shared" si="4"/>
        <v>9</v>
      </c>
    </row>
    <row r="105" spans="1:21" ht="16.5" x14ac:dyDescent="0.15">
      <c r="A105" s="3">
        <f>Sheet1!A107</f>
        <v>1403024</v>
      </c>
      <c r="B105" t="s">
        <v>1162</v>
      </c>
      <c r="C105">
        <v>14</v>
      </c>
      <c r="D105" t="s">
        <v>1163</v>
      </c>
      <c r="E105">
        <v>24</v>
      </c>
      <c r="F105" t="s">
        <v>1164</v>
      </c>
      <c r="G105">
        <v>2</v>
      </c>
      <c r="H105" t="s">
        <v>1163</v>
      </c>
      <c r="I105">
        <v>366000</v>
      </c>
      <c r="J105" t="s">
        <v>1164</v>
      </c>
      <c r="K105">
        <v>1</v>
      </c>
      <c r="L105" t="s">
        <v>1163</v>
      </c>
      <c r="M105">
        <v>360000</v>
      </c>
      <c r="N105" t="s">
        <v>1165</v>
      </c>
      <c r="O105" t="str">
        <f t="shared" si="5"/>
        <v>[{"id":14,"num":24},{"id":2,"num":366000},{"id":1,"num":360000}]</v>
      </c>
      <c r="U105">
        <f t="shared" si="4"/>
        <v>9</v>
      </c>
    </row>
    <row r="106" spans="1:21" ht="16.5" x14ac:dyDescent="0.15">
      <c r="A106" s="3">
        <f>Sheet1!A108</f>
        <v>1403025</v>
      </c>
      <c r="B106" t="s">
        <v>1162</v>
      </c>
      <c r="C106">
        <v>14</v>
      </c>
      <c r="D106" t="s">
        <v>1163</v>
      </c>
      <c r="E106">
        <v>24</v>
      </c>
      <c r="F106" t="s">
        <v>1164</v>
      </c>
      <c r="G106">
        <v>2</v>
      </c>
      <c r="H106" t="s">
        <v>1163</v>
      </c>
      <c r="I106">
        <v>366000</v>
      </c>
      <c r="J106" t="s">
        <v>1164</v>
      </c>
      <c r="K106">
        <v>1</v>
      </c>
      <c r="L106" t="s">
        <v>1163</v>
      </c>
      <c r="M106">
        <v>360000</v>
      </c>
      <c r="N106" t="s">
        <v>1165</v>
      </c>
      <c r="O106" t="str">
        <f t="shared" si="5"/>
        <v>[{"id":14,"num":24},{"id":2,"num":366000},{"id":1,"num":360000}]</v>
      </c>
      <c r="U106">
        <f t="shared" si="4"/>
        <v>9</v>
      </c>
    </row>
    <row r="107" spans="1:21" ht="16.5" x14ac:dyDescent="0.15">
      <c r="A107" s="3">
        <f>Sheet1!A109</f>
        <v>1403026</v>
      </c>
      <c r="B107" t="s">
        <v>1162</v>
      </c>
      <c r="C107">
        <v>14</v>
      </c>
      <c r="D107" t="s">
        <v>1163</v>
      </c>
      <c r="E107">
        <v>24</v>
      </c>
      <c r="F107" t="s">
        <v>1164</v>
      </c>
      <c r="G107">
        <v>2</v>
      </c>
      <c r="H107" t="s">
        <v>1163</v>
      </c>
      <c r="I107">
        <v>366000</v>
      </c>
      <c r="J107" t="s">
        <v>1164</v>
      </c>
      <c r="K107">
        <v>1</v>
      </c>
      <c r="L107" t="s">
        <v>1163</v>
      </c>
      <c r="M107">
        <v>360000</v>
      </c>
      <c r="N107" t="s">
        <v>1165</v>
      </c>
      <c r="O107" t="str">
        <f t="shared" si="5"/>
        <v>[{"id":14,"num":24},{"id":2,"num":366000},{"id":1,"num":360000}]</v>
      </c>
      <c r="U107">
        <f t="shared" si="4"/>
        <v>9</v>
      </c>
    </row>
    <row r="108" spans="1:21" ht="16.5" x14ac:dyDescent="0.15">
      <c r="A108" s="3">
        <f>Sheet1!A110</f>
        <v>1403027</v>
      </c>
      <c r="B108" t="s">
        <v>1162</v>
      </c>
      <c r="C108">
        <v>14</v>
      </c>
      <c r="D108" t="s">
        <v>1163</v>
      </c>
      <c r="E108">
        <v>24</v>
      </c>
      <c r="F108" t="s">
        <v>1164</v>
      </c>
      <c r="G108">
        <v>2</v>
      </c>
      <c r="H108" t="s">
        <v>1163</v>
      </c>
      <c r="I108">
        <v>366000</v>
      </c>
      <c r="J108" t="s">
        <v>1164</v>
      </c>
      <c r="K108">
        <v>1</v>
      </c>
      <c r="L108" t="s">
        <v>1163</v>
      </c>
      <c r="M108">
        <v>360000</v>
      </c>
      <c r="N108" t="s">
        <v>1165</v>
      </c>
      <c r="O108" t="str">
        <f t="shared" si="5"/>
        <v>[{"id":14,"num":24},{"id":2,"num":366000},{"id":1,"num":360000}]</v>
      </c>
      <c r="U108">
        <f t="shared" si="4"/>
        <v>9</v>
      </c>
    </row>
    <row r="109" spans="1:21" ht="16.5" x14ac:dyDescent="0.15">
      <c r="A109" s="3">
        <f>Sheet1!A111</f>
        <v>1403028</v>
      </c>
      <c r="B109" t="s">
        <v>1162</v>
      </c>
      <c r="C109">
        <v>14</v>
      </c>
      <c r="D109" t="s">
        <v>1163</v>
      </c>
      <c r="E109">
        <v>24</v>
      </c>
      <c r="F109" t="s">
        <v>1164</v>
      </c>
      <c r="G109">
        <v>2</v>
      </c>
      <c r="H109" t="s">
        <v>1163</v>
      </c>
      <c r="I109">
        <v>366000</v>
      </c>
      <c r="J109" t="s">
        <v>1164</v>
      </c>
      <c r="K109">
        <v>1</v>
      </c>
      <c r="L109" t="s">
        <v>1163</v>
      </c>
      <c r="M109">
        <v>360000</v>
      </c>
      <c r="N109" t="s">
        <v>1165</v>
      </c>
      <c r="O109" t="str">
        <f t="shared" si="5"/>
        <v>[{"id":14,"num":24},{"id":2,"num":366000},{"id":1,"num":360000}]</v>
      </c>
      <c r="U109">
        <f t="shared" si="4"/>
        <v>9</v>
      </c>
    </row>
    <row r="110" spans="1:21" ht="16.5" x14ac:dyDescent="0.15">
      <c r="A110" s="3">
        <f>Sheet1!A112</f>
        <v>1403029</v>
      </c>
      <c r="B110" t="s">
        <v>1162</v>
      </c>
      <c r="C110">
        <v>14</v>
      </c>
      <c r="D110" t="s">
        <v>1163</v>
      </c>
      <c r="E110">
        <v>24</v>
      </c>
      <c r="F110" t="s">
        <v>1164</v>
      </c>
      <c r="G110">
        <v>2</v>
      </c>
      <c r="H110" t="s">
        <v>1163</v>
      </c>
      <c r="I110">
        <v>366000</v>
      </c>
      <c r="J110" t="s">
        <v>1164</v>
      </c>
      <c r="K110">
        <v>1</v>
      </c>
      <c r="L110" t="s">
        <v>1163</v>
      </c>
      <c r="M110">
        <v>360000</v>
      </c>
      <c r="N110" t="s">
        <v>1165</v>
      </c>
      <c r="O110" t="str">
        <f t="shared" si="5"/>
        <v>[{"id":14,"num":24},{"id":2,"num":366000},{"id":1,"num":360000}]</v>
      </c>
      <c r="U110">
        <f t="shared" si="4"/>
        <v>9</v>
      </c>
    </row>
    <row r="111" spans="1:21" ht="16.5" x14ac:dyDescent="0.15">
      <c r="A111" s="3">
        <f>Sheet1!A113</f>
        <v>1403030</v>
      </c>
      <c r="B111" t="s">
        <v>1162</v>
      </c>
      <c r="C111">
        <v>14</v>
      </c>
      <c r="D111" t="s">
        <v>1163</v>
      </c>
      <c r="E111">
        <v>24</v>
      </c>
      <c r="F111" t="s">
        <v>1164</v>
      </c>
      <c r="G111">
        <v>2</v>
      </c>
      <c r="H111" t="s">
        <v>1163</v>
      </c>
      <c r="I111">
        <v>366000</v>
      </c>
      <c r="J111" t="s">
        <v>1164</v>
      </c>
      <c r="K111">
        <v>1</v>
      </c>
      <c r="L111" t="s">
        <v>1163</v>
      </c>
      <c r="M111">
        <v>360000</v>
      </c>
      <c r="N111" t="s">
        <v>1165</v>
      </c>
      <c r="O111" t="str">
        <f t="shared" si="5"/>
        <v>[{"id":14,"num":24},{"id":2,"num":366000},{"id":1,"num":360000}]</v>
      </c>
      <c r="U111">
        <f t="shared" si="4"/>
        <v>9</v>
      </c>
    </row>
    <row r="112" spans="1:21" ht="16.5" x14ac:dyDescent="0.15">
      <c r="A112" s="3">
        <f>Sheet1!A114</f>
        <v>1403031</v>
      </c>
      <c r="B112" t="s">
        <v>1162</v>
      </c>
      <c r="C112">
        <v>14</v>
      </c>
      <c r="D112" t="s">
        <v>1163</v>
      </c>
      <c r="E112">
        <v>24</v>
      </c>
      <c r="F112" t="s">
        <v>1164</v>
      </c>
      <c r="G112">
        <v>2</v>
      </c>
      <c r="H112" t="s">
        <v>1163</v>
      </c>
      <c r="I112">
        <v>366000</v>
      </c>
      <c r="J112" t="s">
        <v>1164</v>
      </c>
      <c r="K112">
        <v>1</v>
      </c>
      <c r="L112" t="s">
        <v>1163</v>
      </c>
      <c r="M112">
        <v>360000</v>
      </c>
      <c r="N112" t="s">
        <v>1165</v>
      </c>
      <c r="O112" t="str">
        <f t="shared" si="5"/>
        <v>[{"id":14,"num":24},{"id":2,"num":366000},{"id":1,"num":360000}]</v>
      </c>
      <c r="U112">
        <f t="shared" si="4"/>
        <v>9</v>
      </c>
    </row>
    <row r="113" spans="1:21" ht="16.5" x14ac:dyDescent="0.15">
      <c r="A113" s="3">
        <f>Sheet1!A115</f>
        <v>1403032</v>
      </c>
      <c r="B113" t="s">
        <v>1162</v>
      </c>
      <c r="C113">
        <v>14</v>
      </c>
      <c r="D113" t="s">
        <v>1163</v>
      </c>
      <c r="E113">
        <v>24</v>
      </c>
      <c r="F113" t="s">
        <v>1164</v>
      </c>
      <c r="G113">
        <v>2</v>
      </c>
      <c r="H113" t="s">
        <v>1163</v>
      </c>
      <c r="I113">
        <v>366000</v>
      </c>
      <c r="J113" t="s">
        <v>1164</v>
      </c>
      <c r="K113">
        <v>1</v>
      </c>
      <c r="L113" t="s">
        <v>1163</v>
      </c>
      <c r="M113">
        <v>360000</v>
      </c>
      <c r="N113" t="s">
        <v>1165</v>
      </c>
      <c r="O113" t="str">
        <f t="shared" si="5"/>
        <v>[{"id":14,"num":24},{"id":2,"num":366000},{"id":1,"num":360000}]</v>
      </c>
      <c r="U113">
        <f t="shared" si="4"/>
        <v>9</v>
      </c>
    </row>
    <row r="114" spans="1:21" ht="16.5" x14ac:dyDescent="0.15">
      <c r="A114" s="3">
        <f>Sheet1!A116</f>
        <v>1403033</v>
      </c>
      <c r="B114" t="s">
        <v>1162</v>
      </c>
      <c r="C114">
        <v>14</v>
      </c>
      <c r="D114" t="s">
        <v>1163</v>
      </c>
      <c r="E114">
        <v>24</v>
      </c>
      <c r="F114" t="s">
        <v>1164</v>
      </c>
      <c r="G114">
        <v>2</v>
      </c>
      <c r="H114" t="s">
        <v>1163</v>
      </c>
      <c r="I114">
        <v>366000</v>
      </c>
      <c r="J114" t="s">
        <v>1164</v>
      </c>
      <c r="K114">
        <v>1</v>
      </c>
      <c r="L114" t="s">
        <v>1163</v>
      </c>
      <c r="M114">
        <v>360000</v>
      </c>
      <c r="N114" t="s">
        <v>1165</v>
      </c>
      <c r="O114" t="str">
        <f t="shared" si="5"/>
        <v>[{"id":14,"num":24},{"id":2,"num":366000},{"id":1,"num":360000}]</v>
      </c>
      <c r="U114">
        <f t="shared" si="4"/>
        <v>9</v>
      </c>
    </row>
    <row r="115" spans="1:21" ht="16.5" x14ac:dyDescent="0.15">
      <c r="A115" s="3">
        <f>Sheet1!A117</f>
        <v>1403034</v>
      </c>
      <c r="B115" t="s">
        <v>1162</v>
      </c>
      <c r="C115">
        <v>14</v>
      </c>
      <c r="D115" t="s">
        <v>1163</v>
      </c>
      <c r="E115">
        <v>24</v>
      </c>
      <c r="F115" t="s">
        <v>1164</v>
      </c>
      <c r="G115">
        <v>2</v>
      </c>
      <c r="H115" t="s">
        <v>1163</v>
      </c>
      <c r="I115">
        <v>366000</v>
      </c>
      <c r="J115" t="s">
        <v>1164</v>
      </c>
      <c r="K115">
        <v>1</v>
      </c>
      <c r="L115" t="s">
        <v>1163</v>
      </c>
      <c r="M115">
        <v>360000</v>
      </c>
      <c r="N115" t="s">
        <v>1165</v>
      </c>
      <c r="O115" t="str">
        <f t="shared" si="5"/>
        <v>[{"id":14,"num":24},{"id":2,"num":366000},{"id":1,"num":360000}]</v>
      </c>
      <c r="U115">
        <f t="shared" si="4"/>
        <v>9</v>
      </c>
    </row>
    <row r="116" spans="1:21" ht="16.5" x14ac:dyDescent="0.15">
      <c r="A116" s="3">
        <f>Sheet1!A118</f>
        <v>1403035</v>
      </c>
      <c r="B116" t="s">
        <v>1162</v>
      </c>
      <c r="C116">
        <v>14</v>
      </c>
      <c r="D116" t="s">
        <v>1163</v>
      </c>
      <c r="E116">
        <v>24</v>
      </c>
      <c r="F116" t="s">
        <v>1164</v>
      </c>
      <c r="G116">
        <v>2</v>
      </c>
      <c r="H116" t="s">
        <v>1163</v>
      </c>
      <c r="I116">
        <v>366000</v>
      </c>
      <c r="J116" t="s">
        <v>1164</v>
      </c>
      <c r="K116">
        <v>1</v>
      </c>
      <c r="L116" t="s">
        <v>1163</v>
      </c>
      <c r="M116">
        <v>360000</v>
      </c>
      <c r="N116" t="s">
        <v>1165</v>
      </c>
      <c r="O116" t="str">
        <f t="shared" si="5"/>
        <v>[{"id":14,"num":24},{"id":2,"num":366000},{"id":1,"num":360000}]</v>
      </c>
      <c r="U116">
        <f t="shared" ref="U116:U179" si="6">INT(E116*0.4)</f>
        <v>9</v>
      </c>
    </row>
    <row r="117" spans="1:21" ht="16.5" x14ac:dyDescent="0.15">
      <c r="A117" s="3">
        <f>Sheet1!A119</f>
        <v>1403036</v>
      </c>
      <c r="B117" t="s">
        <v>1162</v>
      </c>
      <c r="C117">
        <v>14</v>
      </c>
      <c r="D117" t="s">
        <v>1163</v>
      </c>
      <c r="E117">
        <v>24</v>
      </c>
      <c r="F117" t="s">
        <v>1164</v>
      </c>
      <c r="G117">
        <v>2</v>
      </c>
      <c r="H117" t="s">
        <v>1163</v>
      </c>
      <c r="I117">
        <v>366000</v>
      </c>
      <c r="J117" t="s">
        <v>1164</v>
      </c>
      <c r="K117">
        <v>1</v>
      </c>
      <c r="L117" t="s">
        <v>1163</v>
      </c>
      <c r="M117">
        <v>360000</v>
      </c>
      <c r="N117" t="s">
        <v>1165</v>
      </c>
      <c r="O117" t="str">
        <f t="shared" si="5"/>
        <v>[{"id":14,"num":24},{"id":2,"num":366000},{"id":1,"num":360000}]</v>
      </c>
      <c r="U117">
        <f t="shared" si="6"/>
        <v>9</v>
      </c>
    </row>
    <row r="118" spans="1:21" ht="16.5" x14ac:dyDescent="0.15">
      <c r="A118" s="3">
        <f>Sheet1!A120</f>
        <v>1403037</v>
      </c>
      <c r="B118" t="s">
        <v>1162</v>
      </c>
      <c r="C118">
        <v>14</v>
      </c>
      <c r="D118" t="s">
        <v>1163</v>
      </c>
      <c r="E118">
        <v>24</v>
      </c>
      <c r="F118" t="s">
        <v>1164</v>
      </c>
      <c r="G118">
        <v>2</v>
      </c>
      <c r="H118" t="s">
        <v>1163</v>
      </c>
      <c r="I118">
        <v>366000</v>
      </c>
      <c r="J118" t="s">
        <v>1164</v>
      </c>
      <c r="K118">
        <v>1</v>
      </c>
      <c r="L118" t="s">
        <v>1163</v>
      </c>
      <c r="M118">
        <v>360000</v>
      </c>
      <c r="N118" t="s">
        <v>1165</v>
      </c>
      <c r="O118" t="str">
        <f t="shared" si="5"/>
        <v>[{"id":14,"num":24},{"id":2,"num":366000},{"id":1,"num":360000}]</v>
      </c>
      <c r="U118">
        <f t="shared" si="6"/>
        <v>9</v>
      </c>
    </row>
    <row r="119" spans="1:21" ht="16.5" x14ac:dyDescent="0.15">
      <c r="A119" s="3">
        <f>Sheet1!A121</f>
        <v>1403038</v>
      </c>
      <c r="B119" t="s">
        <v>1162</v>
      </c>
      <c r="C119">
        <v>14</v>
      </c>
      <c r="D119" t="s">
        <v>1163</v>
      </c>
      <c r="E119">
        <v>24</v>
      </c>
      <c r="F119" t="s">
        <v>1164</v>
      </c>
      <c r="G119">
        <v>2</v>
      </c>
      <c r="H119" t="s">
        <v>1163</v>
      </c>
      <c r="I119">
        <v>366000</v>
      </c>
      <c r="J119" t="s">
        <v>1164</v>
      </c>
      <c r="K119">
        <v>1</v>
      </c>
      <c r="L119" t="s">
        <v>1163</v>
      </c>
      <c r="M119">
        <v>360000</v>
      </c>
      <c r="N119" t="s">
        <v>1165</v>
      </c>
      <c r="O119" t="str">
        <f t="shared" si="5"/>
        <v>[{"id":14,"num":24},{"id":2,"num":366000},{"id":1,"num":360000}]</v>
      </c>
      <c r="U119">
        <f t="shared" si="6"/>
        <v>9</v>
      </c>
    </row>
    <row r="120" spans="1:21" ht="16.5" x14ac:dyDescent="0.15">
      <c r="A120" s="3">
        <f>Sheet1!A122</f>
        <v>1403039</v>
      </c>
      <c r="B120" t="s">
        <v>1162</v>
      </c>
      <c r="C120">
        <v>14</v>
      </c>
      <c r="D120" t="s">
        <v>1163</v>
      </c>
      <c r="E120">
        <v>24</v>
      </c>
      <c r="F120" t="s">
        <v>1164</v>
      </c>
      <c r="G120">
        <v>2</v>
      </c>
      <c r="H120" t="s">
        <v>1163</v>
      </c>
      <c r="I120">
        <v>366000</v>
      </c>
      <c r="J120" t="s">
        <v>1164</v>
      </c>
      <c r="K120">
        <v>1</v>
      </c>
      <c r="L120" t="s">
        <v>1163</v>
      </c>
      <c r="M120">
        <v>360000</v>
      </c>
      <c r="N120" t="s">
        <v>1165</v>
      </c>
      <c r="O120" t="str">
        <f t="shared" si="5"/>
        <v>[{"id":14,"num":24},{"id":2,"num":366000},{"id":1,"num":360000}]</v>
      </c>
      <c r="U120">
        <f t="shared" si="6"/>
        <v>9</v>
      </c>
    </row>
    <row r="121" spans="1:21" ht="16.5" x14ac:dyDescent="0.15">
      <c r="A121" s="3">
        <f>Sheet1!A123</f>
        <v>1403040</v>
      </c>
      <c r="B121" t="s">
        <v>1162</v>
      </c>
      <c r="C121">
        <v>14</v>
      </c>
      <c r="D121" t="s">
        <v>1163</v>
      </c>
      <c r="E121">
        <v>24</v>
      </c>
      <c r="F121" t="s">
        <v>1164</v>
      </c>
      <c r="G121">
        <v>2</v>
      </c>
      <c r="H121" t="s">
        <v>1163</v>
      </c>
      <c r="I121">
        <v>366000</v>
      </c>
      <c r="J121" t="s">
        <v>1164</v>
      </c>
      <c r="K121">
        <v>1</v>
      </c>
      <c r="L121" t="s">
        <v>1163</v>
      </c>
      <c r="M121">
        <v>360000</v>
      </c>
      <c r="N121" t="s">
        <v>1165</v>
      </c>
      <c r="O121" t="str">
        <f t="shared" si="5"/>
        <v>[{"id":14,"num":24},{"id":2,"num":366000},{"id":1,"num":360000}]</v>
      </c>
      <c r="U121">
        <f t="shared" si="6"/>
        <v>9</v>
      </c>
    </row>
    <row r="122" spans="1:21" ht="16.5" x14ac:dyDescent="0.15">
      <c r="A122" s="3">
        <f>Sheet1!A124</f>
        <v>1404001</v>
      </c>
      <c r="B122" t="s">
        <v>1162</v>
      </c>
      <c r="C122">
        <v>14</v>
      </c>
      <c r="D122" t="s">
        <v>1163</v>
      </c>
      <c r="E122">
        <v>24</v>
      </c>
      <c r="F122" t="s">
        <v>1164</v>
      </c>
      <c r="G122">
        <v>2</v>
      </c>
      <c r="H122" t="s">
        <v>1163</v>
      </c>
      <c r="I122">
        <v>622000</v>
      </c>
      <c r="J122" t="s">
        <v>1164</v>
      </c>
      <c r="K122">
        <v>1</v>
      </c>
      <c r="L122" t="s">
        <v>1163</v>
      </c>
      <c r="M122">
        <v>620000</v>
      </c>
      <c r="N122" t="s">
        <v>1165</v>
      </c>
      <c r="O122" t="str">
        <f t="shared" si="5"/>
        <v>[{"id":14,"num":24},{"id":2,"num":622000},{"id":1,"num":620000}]</v>
      </c>
      <c r="U122">
        <f t="shared" si="6"/>
        <v>9</v>
      </c>
    </row>
    <row r="123" spans="1:21" ht="16.5" x14ac:dyDescent="0.15">
      <c r="A123" s="3">
        <f>Sheet1!A125</f>
        <v>1404002</v>
      </c>
      <c r="B123" t="s">
        <v>1162</v>
      </c>
      <c r="C123">
        <v>14</v>
      </c>
      <c r="D123" t="s">
        <v>1163</v>
      </c>
      <c r="E123">
        <v>24</v>
      </c>
      <c r="F123" t="s">
        <v>1164</v>
      </c>
      <c r="G123">
        <v>2</v>
      </c>
      <c r="H123" t="s">
        <v>1163</v>
      </c>
      <c r="I123">
        <v>622000</v>
      </c>
      <c r="J123" t="s">
        <v>1164</v>
      </c>
      <c r="K123">
        <v>1</v>
      </c>
      <c r="L123" t="s">
        <v>1163</v>
      </c>
      <c r="M123">
        <v>620000</v>
      </c>
      <c r="N123" t="s">
        <v>1165</v>
      </c>
      <c r="O123" t="str">
        <f t="shared" ref="O123:O186" si="7">_xlfn.TEXTJOIN(,TRUE,B123:N123)</f>
        <v>[{"id":14,"num":24},{"id":2,"num":622000},{"id":1,"num":620000}]</v>
      </c>
      <c r="U123">
        <f t="shared" si="6"/>
        <v>9</v>
      </c>
    </row>
    <row r="124" spans="1:21" ht="16.5" x14ac:dyDescent="0.15">
      <c r="A124" s="3">
        <f>Sheet1!A126</f>
        <v>1404003</v>
      </c>
      <c r="B124" t="s">
        <v>1162</v>
      </c>
      <c r="C124">
        <v>14</v>
      </c>
      <c r="D124" t="s">
        <v>1163</v>
      </c>
      <c r="E124">
        <v>24</v>
      </c>
      <c r="F124" t="s">
        <v>1164</v>
      </c>
      <c r="G124">
        <v>2</v>
      </c>
      <c r="H124" t="s">
        <v>1163</v>
      </c>
      <c r="I124">
        <v>622000</v>
      </c>
      <c r="J124" t="s">
        <v>1164</v>
      </c>
      <c r="K124">
        <v>1</v>
      </c>
      <c r="L124" t="s">
        <v>1163</v>
      </c>
      <c r="M124">
        <v>620000</v>
      </c>
      <c r="N124" t="s">
        <v>1165</v>
      </c>
      <c r="O124" t="str">
        <f t="shared" si="7"/>
        <v>[{"id":14,"num":24},{"id":2,"num":622000},{"id":1,"num":620000}]</v>
      </c>
      <c r="U124">
        <f t="shared" si="6"/>
        <v>9</v>
      </c>
    </row>
    <row r="125" spans="1:21" ht="16.5" x14ac:dyDescent="0.15">
      <c r="A125" s="3">
        <f>Sheet1!A127</f>
        <v>1404004</v>
      </c>
      <c r="B125" t="s">
        <v>1162</v>
      </c>
      <c r="C125">
        <v>14</v>
      </c>
      <c r="D125" t="s">
        <v>1163</v>
      </c>
      <c r="E125">
        <v>24</v>
      </c>
      <c r="F125" t="s">
        <v>1164</v>
      </c>
      <c r="G125">
        <v>2</v>
      </c>
      <c r="H125" t="s">
        <v>1163</v>
      </c>
      <c r="I125">
        <v>622000</v>
      </c>
      <c r="J125" t="s">
        <v>1164</v>
      </c>
      <c r="K125">
        <v>1</v>
      </c>
      <c r="L125" t="s">
        <v>1163</v>
      </c>
      <c r="M125">
        <v>620000</v>
      </c>
      <c r="N125" t="s">
        <v>1165</v>
      </c>
      <c r="O125" t="str">
        <f t="shared" si="7"/>
        <v>[{"id":14,"num":24},{"id":2,"num":622000},{"id":1,"num":620000}]</v>
      </c>
      <c r="U125">
        <f t="shared" si="6"/>
        <v>9</v>
      </c>
    </row>
    <row r="126" spans="1:21" ht="16.5" x14ac:dyDescent="0.15">
      <c r="A126" s="3">
        <f>Sheet1!A128</f>
        <v>1404005</v>
      </c>
      <c r="B126" t="s">
        <v>1162</v>
      </c>
      <c r="C126">
        <v>14</v>
      </c>
      <c r="D126" t="s">
        <v>1163</v>
      </c>
      <c r="E126">
        <v>24</v>
      </c>
      <c r="F126" t="s">
        <v>1164</v>
      </c>
      <c r="G126">
        <v>2</v>
      </c>
      <c r="H126" t="s">
        <v>1163</v>
      </c>
      <c r="I126">
        <v>622000</v>
      </c>
      <c r="J126" t="s">
        <v>1164</v>
      </c>
      <c r="K126">
        <v>1</v>
      </c>
      <c r="L126" t="s">
        <v>1163</v>
      </c>
      <c r="M126">
        <v>620000</v>
      </c>
      <c r="N126" t="s">
        <v>1165</v>
      </c>
      <c r="O126" t="str">
        <f t="shared" si="7"/>
        <v>[{"id":14,"num":24},{"id":2,"num":622000},{"id":1,"num":620000}]</v>
      </c>
      <c r="U126">
        <f t="shared" si="6"/>
        <v>9</v>
      </c>
    </row>
    <row r="127" spans="1:21" ht="16.5" x14ac:dyDescent="0.15">
      <c r="A127" s="3">
        <f>Sheet1!A129</f>
        <v>1404006</v>
      </c>
      <c r="B127" t="s">
        <v>1162</v>
      </c>
      <c r="C127">
        <v>14</v>
      </c>
      <c r="D127" t="s">
        <v>1163</v>
      </c>
      <c r="E127">
        <v>24</v>
      </c>
      <c r="F127" t="s">
        <v>1164</v>
      </c>
      <c r="G127">
        <v>2</v>
      </c>
      <c r="H127" t="s">
        <v>1163</v>
      </c>
      <c r="I127">
        <v>622000</v>
      </c>
      <c r="J127" t="s">
        <v>1164</v>
      </c>
      <c r="K127">
        <v>1</v>
      </c>
      <c r="L127" t="s">
        <v>1163</v>
      </c>
      <c r="M127">
        <v>620000</v>
      </c>
      <c r="N127" t="s">
        <v>1165</v>
      </c>
      <c r="O127" t="str">
        <f t="shared" si="7"/>
        <v>[{"id":14,"num":24},{"id":2,"num":622000},{"id":1,"num":620000}]</v>
      </c>
      <c r="U127">
        <f t="shared" si="6"/>
        <v>9</v>
      </c>
    </row>
    <row r="128" spans="1:21" ht="16.5" x14ac:dyDescent="0.15">
      <c r="A128" s="3">
        <f>Sheet1!A130</f>
        <v>1404007</v>
      </c>
      <c r="B128" t="s">
        <v>1162</v>
      </c>
      <c r="C128">
        <v>14</v>
      </c>
      <c r="D128" t="s">
        <v>1163</v>
      </c>
      <c r="E128">
        <v>24</v>
      </c>
      <c r="F128" t="s">
        <v>1164</v>
      </c>
      <c r="G128">
        <v>2</v>
      </c>
      <c r="H128" t="s">
        <v>1163</v>
      </c>
      <c r="I128">
        <v>622000</v>
      </c>
      <c r="J128" t="s">
        <v>1164</v>
      </c>
      <c r="K128">
        <v>1</v>
      </c>
      <c r="L128" t="s">
        <v>1163</v>
      </c>
      <c r="M128">
        <v>620000</v>
      </c>
      <c r="N128" t="s">
        <v>1165</v>
      </c>
      <c r="O128" t="str">
        <f t="shared" si="7"/>
        <v>[{"id":14,"num":24},{"id":2,"num":622000},{"id":1,"num":620000}]</v>
      </c>
      <c r="U128">
        <f t="shared" si="6"/>
        <v>9</v>
      </c>
    </row>
    <row r="129" spans="1:21" ht="16.5" x14ac:dyDescent="0.15">
      <c r="A129" s="3">
        <f>Sheet1!A131</f>
        <v>1404008</v>
      </c>
      <c r="B129" t="s">
        <v>1162</v>
      </c>
      <c r="C129">
        <v>14</v>
      </c>
      <c r="D129" t="s">
        <v>1163</v>
      </c>
      <c r="E129">
        <v>24</v>
      </c>
      <c r="F129" t="s">
        <v>1164</v>
      </c>
      <c r="G129">
        <v>2</v>
      </c>
      <c r="H129" t="s">
        <v>1163</v>
      </c>
      <c r="I129">
        <v>622000</v>
      </c>
      <c r="J129" t="s">
        <v>1164</v>
      </c>
      <c r="K129">
        <v>1</v>
      </c>
      <c r="L129" t="s">
        <v>1163</v>
      </c>
      <c r="M129">
        <v>620000</v>
      </c>
      <c r="N129" t="s">
        <v>1165</v>
      </c>
      <c r="O129" t="str">
        <f t="shared" si="7"/>
        <v>[{"id":14,"num":24},{"id":2,"num":622000},{"id":1,"num":620000}]</v>
      </c>
      <c r="U129">
        <f t="shared" si="6"/>
        <v>9</v>
      </c>
    </row>
    <row r="130" spans="1:21" ht="16.5" x14ac:dyDescent="0.15">
      <c r="A130" s="3">
        <f>Sheet1!A132</f>
        <v>1404009</v>
      </c>
      <c r="B130" t="s">
        <v>1162</v>
      </c>
      <c r="C130">
        <v>14</v>
      </c>
      <c r="D130" t="s">
        <v>1163</v>
      </c>
      <c r="E130">
        <v>24</v>
      </c>
      <c r="F130" t="s">
        <v>1164</v>
      </c>
      <c r="G130">
        <v>2</v>
      </c>
      <c r="H130" t="s">
        <v>1163</v>
      </c>
      <c r="I130">
        <v>622000</v>
      </c>
      <c r="J130" t="s">
        <v>1164</v>
      </c>
      <c r="K130">
        <v>1</v>
      </c>
      <c r="L130" t="s">
        <v>1163</v>
      </c>
      <c r="M130">
        <v>620000</v>
      </c>
      <c r="N130" t="s">
        <v>1165</v>
      </c>
      <c r="O130" t="str">
        <f t="shared" si="7"/>
        <v>[{"id":14,"num":24},{"id":2,"num":622000},{"id":1,"num":620000}]</v>
      </c>
      <c r="U130">
        <f t="shared" si="6"/>
        <v>9</v>
      </c>
    </row>
    <row r="131" spans="1:21" ht="16.5" x14ac:dyDescent="0.15">
      <c r="A131" s="3">
        <f>Sheet1!A133</f>
        <v>1404010</v>
      </c>
      <c r="B131" t="s">
        <v>1162</v>
      </c>
      <c r="C131">
        <v>14</v>
      </c>
      <c r="D131" t="s">
        <v>1163</v>
      </c>
      <c r="E131">
        <v>24</v>
      </c>
      <c r="F131" t="s">
        <v>1164</v>
      </c>
      <c r="G131">
        <v>2</v>
      </c>
      <c r="H131" t="s">
        <v>1163</v>
      </c>
      <c r="I131">
        <v>622000</v>
      </c>
      <c r="J131" t="s">
        <v>1164</v>
      </c>
      <c r="K131">
        <v>1</v>
      </c>
      <c r="L131" t="s">
        <v>1163</v>
      </c>
      <c r="M131">
        <v>620000</v>
      </c>
      <c r="N131" t="s">
        <v>1165</v>
      </c>
      <c r="O131" t="str">
        <f t="shared" si="7"/>
        <v>[{"id":14,"num":24},{"id":2,"num":622000},{"id":1,"num":620000}]</v>
      </c>
      <c r="U131">
        <f t="shared" si="6"/>
        <v>9</v>
      </c>
    </row>
    <row r="132" spans="1:21" ht="16.5" x14ac:dyDescent="0.15">
      <c r="A132" s="3">
        <f>Sheet1!A134</f>
        <v>1404011</v>
      </c>
      <c r="B132" t="s">
        <v>1162</v>
      </c>
      <c r="C132">
        <v>14</v>
      </c>
      <c r="D132" t="s">
        <v>1163</v>
      </c>
      <c r="E132">
        <v>24</v>
      </c>
      <c r="F132" t="s">
        <v>1164</v>
      </c>
      <c r="G132">
        <v>2</v>
      </c>
      <c r="H132" t="s">
        <v>1163</v>
      </c>
      <c r="I132">
        <v>622000</v>
      </c>
      <c r="J132" t="s">
        <v>1164</v>
      </c>
      <c r="K132">
        <v>1</v>
      </c>
      <c r="L132" t="s">
        <v>1163</v>
      </c>
      <c r="M132">
        <v>620000</v>
      </c>
      <c r="N132" t="s">
        <v>1165</v>
      </c>
      <c r="O132" t="str">
        <f t="shared" si="7"/>
        <v>[{"id":14,"num":24},{"id":2,"num":622000},{"id":1,"num":620000}]</v>
      </c>
      <c r="U132">
        <f t="shared" si="6"/>
        <v>9</v>
      </c>
    </row>
    <row r="133" spans="1:21" ht="16.5" x14ac:dyDescent="0.15">
      <c r="A133" s="3">
        <f>Sheet1!A135</f>
        <v>1404012</v>
      </c>
      <c r="B133" t="s">
        <v>1162</v>
      </c>
      <c r="C133">
        <v>14</v>
      </c>
      <c r="D133" t="s">
        <v>1163</v>
      </c>
      <c r="E133">
        <v>24</v>
      </c>
      <c r="F133" t="s">
        <v>1164</v>
      </c>
      <c r="G133">
        <v>2</v>
      </c>
      <c r="H133" t="s">
        <v>1163</v>
      </c>
      <c r="I133">
        <v>622000</v>
      </c>
      <c r="J133" t="s">
        <v>1164</v>
      </c>
      <c r="K133">
        <v>1</v>
      </c>
      <c r="L133" t="s">
        <v>1163</v>
      </c>
      <c r="M133">
        <v>620000</v>
      </c>
      <c r="N133" t="s">
        <v>1165</v>
      </c>
      <c r="O133" t="str">
        <f t="shared" si="7"/>
        <v>[{"id":14,"num":24},{"id":2,"num":622000},{"id":1,"num":620000}]</v>
      </c>
      <c r="U133">
        <f t="shared" si="6"/>
        <v>9</v>
      </c>
    </row>
    <row r="134" spans="1:21" ht="16.5" x14ac:dyDescent="0.15">
      <c r="A134" s="3">
        <f>Sheet1!A136</f>
        <v>1404013</v>
      </c>
      <c r="B134" t="s">
        <v>1162</v>
      </c>
      <c r="C134">
        <v>14</v>
      </c>
      <c r="D134" t="s">
        <v>1163</v>
      </c>
      <c r="E134">
        <v>24</v>
      </c>
      <c r="F134" t="s">
        <v>1164</v>
      </c>
      <c r="G134">
        <v>2</v>
      </c>
      <c r="H134" t="s">
        <v>1163</v>
      </c>
      <c r="I134">
        <v>622000</v>
      </c>
      <c r="J134" t="s">
        <v>1164</v>
      </c>
      <c r="K134">
        <v>1</v>
      </c>
      <c r="L134" t="s">
        <v>1163</v>
      </c>
      <c r="M134">
        <v>620000</v>
      </c>
      <c r="N134" t="s">
        <v>1165</v>
      </c>
      <c r="O134" t="str">
        <f t="shared" si="7"/>
        <v>[{"id":14,"num":24},{"id":2,"num":622000},{"id":1,"num":620000}]</v>
      </c>
      <c r="U134">
        <f t="shared" si="6"/>
        <v>9</v>
      </c>
    </row>
    <row r="135" spans="1:21" ht="16.5" x14ac:dyDescent="0.15">
      <c r="A135" s="3">
        <f>Sheet1!A137</f>
        <v>1404014</v>
      </c>
      <c r="B135" t="s">
        <v>1162</v>
      </c>
      <c r="C135">
        <v>14</v>
      </c>
      <c r="D135" t="s">
        <v>1163</v>
      </c>
      <c r="E135">
        <v>24</v>
      </c>
      <c r="F135" t="s">
        <v>1164</v>
      </c>
      <c r="G135">
        <v>2</v>
      </c>
      <c r="H135" t="s">
        <v>1163</v>
      </c>
      <c r="I135">
        <v>622000</v>
      </c>
      <c r="J135" t="s">
        <v>1164</v>
      </c>
      <c r="K135">
        <v>1</v>
      </c>
      <c r="L135" t="s">
        <v>1163</v>
      </c>
      <c r="M135">
        <v>620000</v>
      </c>
      <c r="N135" t="s">
        <v>1165</v>
      </c>
      <c r="O135" t="str">
        <f t="shared" si="7"/>
        <v>[{"id":14,"num":24},{"id":2,"num":622000},{"id":1,"num":620000}]</v>
      </c>
      <c r="U135">
        <f t="shared" si="6"/>
        <v>9</v>
      </c>
    </row>
    <row r="136" spans="1:21" ht="16.5" x14ac:dyDescent="0.15">
      <c r="A136" s="3">
        <f>Sheet1!A138</f>
        <v>1404015</v>
      </c>
      <c r="B136" t="s">
        <v>1162</v>
      </c>
      <c r="C136">
        <v>14</v>
      </c>
      <c r="D136" t="s">
        <v>1163</v>
      </c>
      <c r="E136">
        <v>24</v>
      </c>
      <c r="F136" t="s">
        <v>1164</v>
      </c>
      <c r="G136">
        <v>2</v>
      </c>
      <c r="H136" t="s">
        <v>1163</v>
      </c>
      <c r="I136">
        <v>622000</v>
      </c>
      <c r="J136" t="s">
        <v>1164</v>
      </c>
      <c r="K136">
        <v>1</v>
      </c>
      <c r="L136" t="s">
        <v>1163</v>
      </c>
      <c r="M136">
        <v>620000</v>
      </c>
      <c r="N136" t="s">
        <v>1165</v>
      </c>
      <c r="O136" t="str">
        <f t="shared" si="7"/>
        <v>[{"id":14,"num":24},{"id":2,"num":622000},{"id":1,"num":620000}]</v>
      </c>
      <c r="U136">
        <f t="shared" si="6"/>
        <v>9</v>
      </c>
    </row>
    <row r="137" spans="1:21" ht="16.5" x14ac:dyDescent="0.15">
      <c r="A137" s="3">
        <f>Sheet1!A139</f>
        <v>1404016</v>
      </c>
      <c r="B137" t="s">
        <v>1162</v>
      </c>
      <c r="C137">
        <v>14</v>
      </c>
      <c r="D137" t="s">
        <v>1163</v>
      </c>
      <c r="E137">
        <v>24</v>
      </c>
      <c r="F137" t="s">
        <v>1164</v>
      </c>
      <c r="G137">
        <v>2</v>
      </c>
      <c r="H137" t="s">
        <v>1163</v>
      </c>
      <c r="I137">
        <v>622000</v>
      </c>
      <c r="J137" t="s">
        <v>1164</v>
      </c>
      <c r="K137">
        <v>1</v>
      </c>
      <c r="L137" t="s">
        <v>1163</v>
      </c>
      <c r="M137">
        <v>620000</v>
      </c>
      <c r="N137" t="s">
        <v>1165</v>
      </c>
      <c r="O137" t="str">
        <f t="shared" si="7"/>
        <v>[{"id":14,"num":24},{"id":2,"num":622000},{"id":1,"num":620000}]</v>
      </c>
      <c r="U137">
        <f t="shared" si="6"/>
        <v>9</v>
      </c>
    </row>
    <row r="138" spans="1:21" ht="16.5" x14ac:dyDescent="0.15">
      <c r="A138" s="3">
        <f>Sheet1!A140</f>
        <v>1404017</v>
      </c>
      <c r="B138" t="s">
        <v>1162</v>
      </c>
      <c r="C138">
        <v>14</v>
      </c>
      <c r="D138" t="s">
        <v>1163</v>
      </c>
      <c r="E138">
        <v>24</v>
      </c>
      <c r="F138" t="s">
        <v>1164</v>
      </c>
      <c r="G138">
        <v>2</v>
      </c>
      <c r="H138" t="s">
        <v>1163</v>
      </c>
      <c r="I138">
        <v>622000</v>
      </c>
      <c r="J138" t="s">
        <v>1164</v>
      </c>
      <c r="K138">
        <v>1</v>
      </c>
      <c r="L138" t="s">
        <v>1163</v>
      </c>
      <c r="M138">
        <v>620000</v>
      </c>
      <c r="N138" t="s">
        <v>1165</v>
      </c>
      <c r="O138" t="str">
        <f t="shared" si="7"/>
        <v>[{"id":14,"num":24},{"id":2,"num":622000},{"id":1,"num":620000}]</v>
      </c>
      <c r="U138">
        <f t="shared" si="6"/>
        <v>9</v>
      </c>
    </row>
    <row r="139" spans="1:21" ht="16.5" x14ac:dyDescent="0.15">
      <c r="A139" s="3">
        <f>Sheet1!A141</f>
        <v>1404018</v>
      </c>
      <c r="B139" t="s">
        <v>1162</v>
      </c>
      <c r="C139">
        <v>14</v>
      </c>
      <c r="D139" t="s">
        <v>1163</v>
      </c>
      <c r="E139">
        <v>24</v>
      </c>
      <c r="F139" t="s">
        <v>1164</v>
      </c>
      <c r="G139">
        <v>2</v>
      </c>
      <c r="H139" t="s">
        <v>1163</v>
      </c>
      <c r="I139">
        <v>622000</v>
      </c>
      <c r="J139" t="s">
        <v>1164</v>
      </c>
      <c r="K139">
        <v>1</v>
      </c>
      <c r="L139" t="s">
        <v>1163</v>
      </c>
      <c r="M139">
        <v>620000</v>
      </c>
      <c r="N139" t="s">
        <v>1165</v>
      </c>
      <c r="O139" t="str">
        <f t="shared" si="7"/>
        <v>[{"id":14,"num":24},{"id":2,"num":622000},{"id":1,"num":620000}]</v>
      </c>
      <c r="U139">
        <f t="shared" si="6"/>
        <v>9</v>
      </c>
    </row>
    <row r="140" spans="1:21" ht="16.5" x14ac:dyDescent="0.15">
      <c r="A140" s="3">
        <f>Sheet1!A142</f>
        <v>1404019</v>
      </c>
      <c r="B140" t="s">
        <v>1162</v>
      </c>
      <c r="C140">
        <v>14</v>
      </c>
      <c r="D140" t="s">
        <v>1163</v>
      </c>
      <c r="E140">
        <v>24</v>
      </c>
      <c r="F140" t="s">
        <v>1164</v>
      </c>
      <c r="G140">
        <v>2</v>
      </c>
      <c r="H140" t="s">
        <v>1163</v>
      </c>
      <c r="I140">
        <v>622000</v>
      </c>
      <c r="J140" t="s">
        <v>1164</v>
      </c>
      <c r="K140">
        <v>1</v>
      </c>
      <c r="L140" t="s">
        <v>1163</v>
      </c>
      <c r="M140">
        <v>620000</v>
      </c>
      <c r="N140" t="s">
        <v>1165</v>
      </c>
      <c r="O140" t="str">
        <f t="shared" si="7"/>
        <v>[{"id":14,"num":24},{"id":2,"num":622000},{"id":1,"num":620000}]</v>
      </c>
      <c r="U140">
        <f t="shared" si="6"/>
        <v>9</v>
      </c>
    </row>
    <row r="141" spans="1:21" ht="16.5" x14ac:dyDescent="0.15">
      <c r="A141" s="3">
        <f>Sheet1!A143</f>
        <v>1404020</v>
      </c>
      <c r="B141" t="s">
        <v>1162</v>
      </c>
      <c r="C141">
        <v>14</v>
      </c>
      <c r="D141" t="s">
        <v>1163</v>
      </c>
      <c r="E141">
        <v>24</v>
      </c>
      <c r="F141" t="s">
        <v>1164</v>
      </c>
      <c r="G141">
        <v>2</v>
      </c>
      <c r="H141" t="s">
        <v>1163</v>
      </c>
      <c r="I141">
        <v>622000</v>
      </c>
      <c r="J141" t="s">
        <v>1164</v>
      </c>
      <c r="K141">
        <v>1</v>
      </c>
      <c r="L141" t="s">
        <v>1163</v>
      </c>
      <c r="M141">
        <v>620000</v>
      </c>
      <c r="N141" t="s">
        <v>1165</v>
      </c>
      <c r="O141" t="str">
        <f t="shared" si="7"/>
        <v>[{"id":14,"num":24},{"id":2,"num":622000},{"id":1,"num":620000}]</v>
      </c>
      <c r="U141">
        <f t="shared" si="6"/>
        <v>9</v>
      </c>
    </row>
    <row r="142" spans="1:21" ht="16.5" x14ac:dyDescent="0.15">
      <c r="A142" s="3">
        <f>Sheet1!A144</f>
        <v>1404021</v>
      </c>
      <c r="B142" t="s">
        <v>1162</v>
      </c>
      <c r="C142">
        <v>14</v>
      </c>
      <c r="D142" t="s">
        <v>1163</v>
      </c>
      <c r="E142">
        <v>28</v>
      </c>
      <c r="F142" t="s">
        <v>1164</v>
      </c>
      <c r="G142">
        <v>2</v>
      </c>
      <c r="H142" t="s">
        <v>1163</v>
      </c>
      <c r="I142">
        <v>1202000</v>
      </c>
      <c r="J142" t="s">
        <v>1164</v>
      </c>
      <c r="K142">
        <v>1</v>
      </c>
      <c r="L142" t="s">
        <v>1163</v>
      </c>
      <c r="M142">
        <v>1200000</v>
      </c>
      <c r="N142" t="s">
        <v>1165</v>
      </c>
      <c r="O142" t="str">
        <f t="shared" si="7"/>
        <v>[{"id":14,"num":28},{"id":2,"num":1202000},{"id":1,"num":1200000}]</v>
      </c>
      <c r="U142">
        <f t="shared" si="6"/>
        <v>11</v>
      </c>
    </row>
    <row r="143" spans="1:21" ht="16.5" x14ac:dyDescent="0.15">
      <c r="A143" s="3">
        <f>Sheet1!A145</f>
        <v>1404022</v>
      </c>
      <c r="B143" t="s">
        <v>1162</v>
      </c>
      <c r="C143">
        <v>14</v>
      </c>
      <c r="D143" t="s">
        <v>1163</v>
      </c>
      <c r="E143">
        <v>28</v>
      </c>
      <c r="F143" t="s">
        <v>1164</v>
      </c>
      <c r="G143">
        <v>2</v>
      </c>
      <c r="H143" t="s">
        <v>1163</v>
      </c>
      <c r="I143">
        <v>1202000</v>
      </c>
      <c r="J143" t="s">
        <v>1164</v>
      </c>
      <c r="K143">
        <v>1</v>
      </c>
      <c r="L143" t="s">
        <v>1163</v>
      </c>
      <c r="M143">
        <v>1200000</v>
      </c>
      <c r="N143" t="s">
        <v>1165</v>
      </c>
      <c r="O143" t="str">
        <f t="shared" si="7"/>
        <v>[{"id":14,"num":28},{"id":2,"num":1202000},{"id":1,"num":1200000}]</v>
      </c>
      <c r="U143">
        <f t="shared" si="6"/>
        <v>11</v>
      </c>
    </row>
    <row r="144" spans="1:21" ht="16.5" x14ac:dyDescent="0.15">
      <c r="A144" s="3">
        <f>Sheet1!A146</f>
        <v>1404023</v>
      </c>
      <c r="B144" t="s">
        <v>1162</v>
      </c>
      <c r="C144">
        <v>14</v>
      </c>
      <c r="D144" t="s">
        <v>1163</v>
      </c>
      <c r="E144">
        <v>28</v>
      </c>
      <c r="F144" t="s">
        <v>1164</v>
      </c>
      <c r="G144">
        <v>2</v>
      </c>
      <c r="H144" t="s">
        <v>1163</v>
      </c>
      <c r="I144">
        <v>1202000</v>
      </c>
      <c r="J144" t="s">
        <v>1164</v>
      </c>
      <c r="K144">
        <v>1</v>
      </c>
      <c r="L144" t="s">
        <v>1163</v>
      </c>
      <c r="M144">
        <v>1200000</v>
      </c>
      <c r="N144" t="s">
        <v>1165</v>
      </c>
      <c r="O144" t="str">
        <f t="shared" si="7"/>
        <v>[{"id":14,"num":28},{"id":2,"num":1202000},{"id":1,"num":1200000}]</v>
      </c>
      <c r="U144">
        <f t="shared" si="6"/>
        <v>11</v>
      </c>
    </row>
    <row r="145" spans="1:21" ht="16.5" x14ac:dyDescent="0.15">
      <c r="A145" s="3">
        <f>Sheet1!A147</f>
        <v>1404024</v>
      </c>
      <c r="B145" t="s">
        <v>1162</v>
      </c>
      <c r="C145">
        <v>14</v>
      </c>
      <c r="D145" t="s">
        <v>1163</v>
      </c>
      <c r="E145">
        <v>28</v>
      </c>
      <c r="F145" t="s">
        <v>1164</v>
      </c>
      <c r="G145">
        <v>2</v>
      </c>
      <c r="H145" t="s">
        <v>1163</v>
      </c>
      <c r="I145">
        <v>1202000</v>
      </c>
      <c r="J145" t="s">
        <v>1164</v>
      </c>
      <c r="K145">
        <v>1</v>
      </c>
      <c r="L145" t="s">
        <v>1163</v>
      </c>
      <c r="M145">
        <v>1200000</v>
      </c>
      <c r="N145" t="s">
        <v>1165</v>
      </c>
      <c r="O145" t="str">
        <f t="shared" si="7"/>
        <v>[{"id":14,"num":28},{"id":2,"num":1202000},{"id":1,"num":1200000}]</v>
      </c>
      <c r="U145">
        <f t="shared" si="6"/>
        <v>11</v>
      </c>
    </row>
    <row r="146" spans="1:21" ht="16.5" x14ac:dyDescent="0.15">
      <c r="A146" s="3">
        <f>Sheet1!A148</f>
        <v>1404025</v>
      </c>
      <c r="B146" t="s">
        <v>1162</v>
      </c>
      <c r="C146">
        <v>14</v>
      </c>
      <c r="D146" t="s">
        <v>1163</v>
      </c>
      <c r="E146">
        <v>28</v>
      </c>
      <c r="F146" t="s">
        <v>1164</v>
      </c>
      <c r="G146">
        <v>2</v>
      </c>
      <c r="H146" t="s">
        <v>1163</v>
      </c>
      <c r="I146">
        <v>1202000</v>
      </c>
      <c r="J146" t="s">
        <v>1164</v>
      </c>
      <c r="K146">
        <v>1</v>
      </c>
      <c r="L146" t="s">
        <v>1163</v>
      </c>
      <c r="M146">
        <v>1200000</v>
      </c>
      <c r="N146" t="s">
        <v>1165</v>
      </c>
      <c r="O146" t="str">
        <f t="shared" si="7"/>
        <v>[{"id":14,"num":28},{"id":2,"num":1202000},{"id":1,"num":1200000}]</v>
      </c>
      <c r="U146">
        <f t="shared" si="6"/>
        <v>11</v>
      </c>
    </row>
    <row r="147" spans="1:21" ht="16.5" x14ac:dyDescent="0.15">
      <c r="A147" s="3">
        <f>Sheet1!A149</f>
        <v>1404026</v>
      </c>
      <c r="B147" t="s">
        <v>1162</v>
      </c>
      <c r="C147">
        <v>14</v>
      </c>
      <c r="D147" t="s">
        <v>1163</v>
      </c>
      <c r="E147">
        <v>28</v>
      </c>
      <c r="F147" t="s">
        <v>1164</v>
      </c>
      <c r="G147">
        <v>2</v>
      </c>
      <c r="H147" t="s">
        <v>1163</v>
      </c>
      <c r="I147">
        <v>1202000</v>
      </c>
      <c r="J147" t="s">
        <v>1164</v>
      </c>
      <c r="K147">
        <v>1</v>
      </c>
      <c r="L147" t="s">
        <v>1163</v>
      </c>
      <c r="M147">
        <v>1200000</v>
      </c>
      <c r="N147" t="s">
        <v>1165</v>
      </c>
      <c r="O147" t="str">
        <f t="shared" si="7"/>
        <v>[{"id":14,"num":28},{"id":2,"num":1202000},{"id":1,"num":1200000}]</v>
      </c>
      <c r="U147">
        <f t="shared" si="6"/>
        <v>11</v>
      </c>
    </row>
    <row r="148" spans="1:21" ht="16.5" x14ac:dyDescent="0.15">
      <c r="A148" s="3">
        <f>Sheet1!A150</f>
        <v>1404027</v>
      </c>
      <c r="B148" t="s">
        <v>1162</v>
      </c>
      <c r="C148">
        <v>14</v>
      </c>
      <c r="D148" t="s">
        <v>1163</v>
      </c>
      <c r="E148">
        <v>28</v>
      </c>
      <c r="F148" t="s">
        <v>1164</v>
      </c>
      <c r="G148">
        <v>2</v>
      </c>
      <c r="H148" t="s">
        <v>1163</v>
      </c>
      <c r="I148">
        <v>1202000</v>
      </c>
      <c r="J148" t="s">
        <v>1164</v>
      </c>
      <c r="K148">
        <v>1</v>
      </c>
      <c r="L148" t="s">
        <v>1163</v>
      </c>
      <c r="M148">
        <v>1200000</v>
      </c>
      <c r="N148" t="s">
        <v>1165</v>
      </c>
      <c r="O148" t="str">
        <f t="shared" si="7"/>
        <v>[{"id":14,"num":28},{"id":2,"num":1202000},{"id":1,"num":1200000}]</v>
      </c>
      <c r="U148">
        <f t="shared" si="6"/>
        <v>11</v>
      </c>
    </row>
    <row r="149" spans="1:21" ht="16.5" x14ac:dyDescent="0.15">
      <c r="A149" s="3">
        <f>Sheet1!A151</f>
        <v>1404028</v>
      </c>
      <c r="B149" t="s">
        <v>1162</v>
      </c>
      <c r="C149">
        <v>14</v>
      </c>
      <c r="D149" t="s">
        <v>1163</v>
      </c>
      <c r="E149">
        <v>28</v>
      </c>
      <c r="F149" t="s">
        <v>1164</v>
      </c>
      <c r="G149">
        <v>2</v>
      </c>
      <c r="H149" t="s">
        <v>1163</v>
      </c>
      <c r="I149">
        <v>1202000</v>
      </c>
      <c r="J149" t="s">
        <v>1164</v>
      </c>
      <c r="K149">
        <v>1</v>
      </c>
      <c r="L149" t="s">
        <v>1163</v>
      </c>
      <c r="M149">
        <v>1200000</v>
      </c>
      <c r="N149" t="s">
        <v>1165</v>
      </c>
      <c r="O149" t="str">
        <f t="shared" si="7"/>
        <v>[{"id":14,"num":28},{"id":2,"num":1202000},{"id":1,"num":1200000}]</v>
      </c>
      <c r="U149">
        <f t="shared" si="6"/>
        <v>11</v>
      </c>
    </row>
    <row r="150" spans="1:21" ht="16.5" x14ac:dyDescent="0.15">
      <c r="A150" s="3">
        <f>Sheet1!A152</f>
        <v>1404029</v>
      </c>
      <c r="B150" t="s">
        <v>1162</v>
      </c>
      <c r="C150">
        <v>14</v>
      </c>
      <c r="D150" t="s">
        <v>1163</v>
      </c>
      <c r="E150">
        <v>28</v>
      </c>
      <c r="F150" t="s">
        <v>1164</v>
      </c>
      <c r="G150">
        <v>2</v>
      </c>
      <c r="H150" t="s">
        <v>1163</v>
      </c>
      <c r="I150">
        <v>1202000</v>
      </c>
      <c r="J150" t="s">
        <v>1164</v>
      </c>
      <c r="K150">
        <v>1</v>
      </c>
      <c r="L150" t="s">
        <v>1163</v>
      </c>
      <c r="M150">
        <v>1200000</v>
      </c>
      <c r="N150" t="s">
        <v>1165</v>
      </c>
      <c r="O150" t="str">
        <f t="shared" si="7"/>
        <v>[{"id":14,"num":28},{"id":2,"num":1202000},{"id":1,"num":1200000}]</v>
      </c>
      <c r="U150">
        <f t="shared" si="6"/>
        <v>11</v>
      </c>
    </row>
    <row r="151" spans="1:21" ht="16.5" x14ac:dyDescent="0.15">
      <c r="A151" s="3">
        <f>Sheet1!A153</f>
        <v>1404030</v>
      </c>
      <c r="B151" t="s">
        <v>1162</v>
      </c>
      <c r="C151">
        <v>14</v>
      </c>
      <c r="D151" t="s">
        <v>1163</v>
      </c>
      <c r="E151">
        <v>28</v>
      </c>
      <c r="F151" t="s">
        <v>1164</v>
      </c>
      <c r="G151">
        <v>2</v>
      </c>
      <c r="H151" t="s">
        <v>1163</v>
      </c>
      <c r="I151">
        <v>1202000</v>
      </c>
      <c r="J151" t="s">
        <v>1164</v>
      </c>
      <c r="K151">
        <v>1</v>
      </c>
      <c r="L151" t="s">
        <v>1163</v>
      </c>
      <c r="M151">
        <v>1200000</v>
      </c>
      <c r="N151" t="s">
        <v>1165</v>
      </c>
      <c r="O151" t="str">
        <f t="shared" si="7"/>
        <v>[{"id":14,"num":28},{"id":2,"num":1202000},{"id":1,"num":1200000}]</v>
      </c>
      <c r="U151">
        <f t="shared" si="6"/>
        <v>11</v>
      </c>
    </row>
    <row r="152" spans="1:21" ht="16.5" x14ac:dyDescent="0.15">
      <c r="A152" s="3">
        <f>Sheet1!A154</f>
        <v>1404031</v>
      </c>
      <c r="B152" t="s">
        <v>1162</v>
      </c>
      <c r="C152">
        <v>14</v>
      </c>
      <c r="D152" t="s">
        <v>1163</v>
      </c>
      <c r="E152">
        <v>28</v>
      </c>
      <c r="F152" t="s">
        <v>1164</v>
      </c>
      <c r="G152">
        <v>2</v>
      </c>
      <c r="H152" t="s">
        <v>1163</v>
      </c>
      <c r="I152">
        <v>1202000</v>
      </c>
      <c r="J152" t="s">
        <v>1164</v>
      </c>
      <c r="K152">
        <v>1</v>
      </c>
      <c r="L152" t="s">
        <v>1163</v>
      </c>
      <c r="M152">
        <v>1200000</v>
      </c>
      <c r="N152" t="s">
        <v>1165</v>
      </c>
      <c r="O152" t="str">
        <f t="shared" si="7"/>
        <v>[{"id":14,"num":28},{"id":2,"num":1202000},{"id":1,"num":1200000}]</v>
      </c>
      <c r="U152">
        <f t="shared" si="6"/>
        <v>11</v>
      </c>
    </row>
    <row r="153" spans="1:21" ht="16.5" x14ac:dyDescent="0.15">
      <c r="A153" s="3">
        <f>Sheet1!A155</f>
        <v>1404032</v>
      </c>
      <c r="B153" t="s">
        <v>1162</v>
      </c>
      <c r="C153">
        <v>14</v>
      </c>
      <c r="D153" t="s">
        <v>1163</v>
      </c>
      <c r="E153">
        <v>28</v>
      </c>
      <c r="F153" t="s">
        <v>1164</v>
      </c>
      <c r="G153">
        <v>2</v>
      </c>
      <c r="H153" t="s">
        <v>1163</v>
      </c>
      <c r="I153">
        <v>1202000</v>
      </c>
      <c r="J153" t="s">
        <v>1164</v>
      </c>
      <c r="K153">
        <v>1</v>
      </c>
      <c r="L153" t="s">
        <v>1163</v>
      </c>
      <c r="M153">
        <v>1200000</v>
      </c>
      <c r="N153" t="s">
        <v>1165</v>
      </c>
      <c r="O153" t="str">
        <f t="shared" si="7"/>
        <v>[{"id":14,"num":28},{"id":2,"num":1202000},{"id":1,"num":1200000}]</v>
      </c>
      <c r="U153">
        <f t="shared" si="6"/>
        <v>11</v>
      </c>
    </row>
    <row r="154" spans="1:21" ht="16.5" x14ac:dyDescent="0.15">
      <c r="A154" s="3">
        <f>Sheet1!A156</f>
        <v>1404033</v>
      </c>
      <c r="B154" t="s">
        <v>1162</v>
      </c>
      <c r="C154">
        <v>14</v>
      </c>
      <c r="D154" t="s">
        <v>1163</v>
      </c>
      <c r="E154">
        <v>28</v>
      </c>
      <c r="F154" t="s">
        <v>1164</v>
      </c>
      <c r="G154">
        <v>2</v>
      </c>
      <c r="H154" t="s">
        <v>1163</v>
      </c>
      <c r="I154">
        <v>1202000</v>
      </c>
      <c r="J154" t="s">
        <v>1164</v>
      </c>
      <c r="K154">
        <v>1</v>
      </c>
      <c r="L154" t="s">
        <v>1163</v>
      </c>
      <c r="M154">
        <v>1200000</v>
      </c>
      <c r="N154" t="s">
        <v>1165</v>
      </c>
      <c r="O154" t="str">
        <f t="shared" si="7"/>
        <v>[{"id":14,"num":28},{"id":2,"num":1202000},{"id":1,"num":1200000}]</v>
      </c>
      <c r="U154">
        <f t="shared" si="6"/>
        <v>11</v>
      </c>
    </row>
    <row r="155" spans="1:21" ht="16.5" x14ac:dyDescent="0.15">
      <c r="A155" s="3">
        <f>Sheet1!A157</f>
        <v>1404034</v>
      </c>
      <c r="B155" t="s">
        <v>1162</v>
      </c>
      <c r="C155">
        <v>14</v>
      </c>
      <c r="D155" t="s">
        <v>1163</v>
      </c>
      <c r="E155">
        <v>28</v>
      </c>
      <c r="F155" t="s">
        <v>1164</v>
      </c>
      <c r="G155">
        <v>2</v>
      </c>
      <c r="H155" t="s">
        <v>1163</v>
      </c>
      <c r="I155">
        <v>1202000</v>
      </c>
      <c r="J155" t="s">
        <v>1164</v>
      </c>
      <c r="K155">
        <v>1</v>
      </c>
      <c r="L155" t="s">
        <v>1163</v>
      </c>
      <c r="M155">
        <v>1200000</v>
      </c>
      <c r="N155" t="s">
        <v>1165</v>
      </c>
      <c r="O155" t="str">
        <f t="shared" si="7"/>
        <v>[{"id":14,"num":28},{"id":2,"num":1202000},{"id":1,"num":1200000}]</v>
      </c>
      <c r="U155">
        <f t="shared" si="6"/>
        <v>11</v>
      </c>
    </row>
    <row r="156" spans="1:21" ht="16.5" x14ac:dyDescent="0.15">
      <c r="A156" s="3">
        <f>Sheet1!A158</f>
        <v>1404035</v>
      </c>
      <c r="B156" t="s">
        <v>1162</v>
      </c>
      <c r="C156">
        <v>14</v>
      </c>
      <c r="D156" t="s">
        <v>1163</v>
      </c>
      <c r="E156">
        <v>28</v>
      </c>
      <c r="F156" t="s">
        <v>1164</v>
      </c>
      <c r="G156">
        <v>2</v>
      </c>
      <c r="H156" t="s">
        <v>1163</v>
      </c>
      <c r="I156">
        <v>1202000</v>
      </c>
      <c r="J156" t="s">
        <v>1164</v>
      </c>
      <c r="K156">
        <v>1</v>
      </c>
      <c r="L156" t="s">
        <v>1163</v>
      </c>
      <c r="M156">
        <v>1200000</v>
      </c>
      <c r="N156" t="s">
        <v>1165</v>
      </c>
      <c r="O156" t="str">
        <f t="shared" si="7"/>
        <v>[{"id":14,"num":28},{"id":2,"num":1202000},{"id":1,"num":1200000}]</v>
      </c>
      <c r="U156">
        <f t="shared" si="6"/>
        <v>11</v>
      </c>
    </row>
    <row r="157" spans="1:21" ht="16.5" x14ac:dyDescent="0.15">
      <c r="A157" s="3">
        <f>Sheet1!A159</f>
        <v>1404036</v>
      </c>
      <c r="B157" t="s">
        <v>1162</v>
      </c>
      <c r="C157">
        <v>14</v>
      </c>
      <c r="D157" t="s">
        <v>1163</v>
      </c>
      <c r="E157">
        <v>28</v>
      </c>
      <c r="F157" t="s">
        <v>1164</v>
      </c>
      <c r="G157">
        <v>2</v>
      </c>
      <c r="H157" t="s">
        <v>1163</v>
      </c>
      <c r="I157">
        <v>1202000</v>
      </c>
      <c r="J157" t="s">
        <v>1164</v>
      </c>
      <c r="K157">
        <v>1</v>
      </c>
      <c r="L157" t="s">
        <v>1163</v>
      </c>
      <c r="M157">
        <v>1200000</v>
      </c>
      <c r="N157" t="s">
        <v>1165</v>
      </c>
      <c r="O157" t="str">
        <f t="shared" si="7"/>
        <v>[{"id":14,"num":28},{"id":2,"num":1202000},{"id":1,"num":1200000}]</v>
      </c>
      <c r="U157">
        <f t="shared" si="6"/>
        <v>11</v>
      </c>
    </row>
    <row r="158" spans="1:21" ht="16.5" x14ac:dyDescent="0.15">
      <c r="A158" s="3">
        <f>Sheet1!A160</f>
        <v>1404037</v>
      </c>
      <c r="B158" t="s">
        <v>1162</v>
      </c>
      <c r="C158">
        <v>14</v>
      </c>
      <c r="D158" t="s">
        <v>1163</v>
      </c>
      <c r="E158">
        <v>28</v>
      </c>
      <c r="F158" t="s">
        <v>1164</v>
      </c>
      <c r="G158">
        <v>2</v>
      </c>
      <c r="H158" t="s">
        <v>1163</v>
      </c>
      <c r="I158">
        <v>1202000</v>
      </c>
      <c r="J158" t="s">
        <v>1164</v>
      </c>
      <c r="K158">
        <v>1</v>
      </c>
      <c r="L158" t="s">
        <v>1163</v>
      </c>
      <c r="M158">
        <v>1200000</v>
      </c>
      <c r="N158" t="s">
        <v>1165</v>
      </c>
      <c r="O158" t="str">
        <f t="shared" si="7"/>
        <v>[{"id":14,"num":28},{"id":2,"num":1202000},{"id":1,"num":1200000}]</v>
      </c>
      <c r="U158">
        <f t="shared" si="6"/>
        <v>11</v>
      </c>
    </row>
    <row r="159" spans="1:21" ht="16.5" x14ac:dyDescent="0.15">
      <c r="A159" s="3">
        <f>Sheet1!A161</f>
        <v>1404038</v>
      </c>
      <c r="B159" t="s">
        <v>1162</v>
      </c>
      <c r="C159">
        <v>14</v>
      </c>
      <c r="D159" t="s">
        <v>1163</v>
      </c>
      <c r="E159">
        <v>28</v>
      </c>
      <c r="F159" t="s">
        <v>1164</v>
      </c>
      <c r="G159">
        <v>2</v>
      </c>
      <c r="H159" t="s">
        <v>1163</v>
      </c>
      <c r="I159">
        <v>1202000</v>
      </c>
      <c r="J159" t="s">
        <v>1164</v>
      </c>
      <c r="K159">
        <v>1</v>
      </c>
      <c r="L159" t="s">
        <v>1163</v>
      </c>
      <c r="M159">
        <v>1200000</v>
      </c>
      <c r="N159" t="s">
        <v>1165</v>
      </c>
      <c r="O159" t="str">
        <f t="shared" si="7"/>
        <v>[{"id":14,"num":28},{"id":2,"num":1202000},{"id":1,"num":1200000}]</v>
      </c>
      <c r="U159">
        <f t="shared" si="6"/>
        <v>11</v>
      </c>
    </row>
    <row r="160" spans="1:21" ht="16.5" x14ac:dyDescent="0.15">
      <c r="A160" s="3">
        <f>Sheet1!A162</f>
        <v>1404039</v>
      </c>
      <c r="B160" t="s">
        <v>1162</v>
      </c>
      <c r="C160">
        <v>14</v>
      </c>
      <c r="D160" t="s">
        <v>1163</v>
      </c>
      <c r="E160">
        <v>28</v>
      </c>
      <c r="F160" t="s">
        <v>1164</v>
      </c>
      <c r="G160">
        <v>2</v>
      </c>
      <c r="H160" t="s">
        <v>1163</v>
      </c>
      <c r="I160">
        <v>1202000</v>
      </c>
      <c r="J160" t="s">
        <v>1164</v>
      </c>
      <c r="K160">
        <v>1</v>
      </c>
      <c r="L160" t="s">
        <v>1163</v>
      </c>
      <c r="M160">
        <v>1200000</v>
      </c>
      <c r="N160" t="s">
        <v>1165</v>
      </c>
      <c r="O160" t="str">
        <f t="shared" si="7"/>
        <v>[{"id":14,"num":28},{"id":2,"num":1202000},{"id":1,"num":1200000}]</v>
      </c>
      <c r="U160">
        <f t="shared" si="6"/>
        <v>11</v>
      </c>
    </row>
    <row r="161" spans="1:21" ht="16.5" x14ac:dyDescent="0.15">
      <c r="A161" s="3">
        <f>Sheet1!A163</f>
        <v>1404040</v>
      </c>
      <c r="B161" t="s">
        <v>1162</v>
      </c>
      <c r="C161">
        <v>14</v>
      </c>
      <c r="D161" t="s">
        <v>1163</v>
      </c>
      <c r="E161">
        <v>28</v>
      </c>
      <c r="F161" t="s">
        <v>1164</v>
      </c>
      <c r="G161">
        <v>2</v>
      </c>
      <c r="H161" t="s">
        <v>1163</v>
      </c>
      <c r="I161">
        <v>1202000</v>
      </c>
      <c r="J161" t="s">
        <v>1164</v>
      </c>
      <c r="K161">
        <v>1</v>
      </c>
      <c r="L161" t="s">
        <v>1163</v>
      </c>
      <c r="M161">
        <v>1200000</v>
      </c>
      <c r="N161" t="s">
        <v>1165</v>
      </c>
      <c r="O161" t="str">
        <f t="shared" si="7"/>
        <v>[{"id":14,"num":28},{"id":2,"num":1202000},{"id":1,"num":1200000}]</v>
      </c>
      <c r="U161">
        <f t="shared" si="6"/>
        <v>11</v>
      </c>
    </row>
    <row r="162" spans="1:21" ht="16.5" x14ac:dyDescent="0.15">
      <c r="A162" s="3">
        <f>Sheet1!A164</f>
        <v>1405001</v>
      </c>
      <c r="B162" t="s">
        <v>1162</v>
      </c>
      <c r="C162">
        <v>14</v>
      </c>
      <c r="D162" t="s">
        <v>1163</v>
      </c>
      <c r="E162">
        <v>28</v>
      </c>
      <c r="F162" t="s">
        <v>1164</v>
      </c>
      <c r="G162">
        <v>2</v>
      </c>
      <c r="H162" t="s">
        <v>1163</v>
      </c>
      <c r="I162">
        <v>1210000</v>
      </c>
      <c r="J162" t="s">
        <v>1164</v>
      </c>
      <c r="K162">
        <v>1</v>
      </c>
      <c r="L162" t="s">
        <v>1163</v>
      </c>
      <c r="M162">
        <f>I162</f>
        <v>1210000</v>
      </c>
      <c r="N162" t="s">
        <v>1165</v>
      </c>
      <c r="O162" t="str">
        <f t="shared" si="7"/>
        <v>[{"id":14,"num":28},{"id":2,"num":1210000},{"id":1,"num":1210000}]</v>
      </c>
      <c r="U162">
        <f t="shared" si="6"/>
        <v>11</v>
      </c>
    </row>
    <row r="163" spans="1:21" ht="16.5" x14ac:dyDescent="0.15">
      <c r="A163" s="3">
        <f>Sheet1!A165</f>
        <v>1405002</v>
      </c>
      <c r="B163" t="s">
        <v>1162</v>
      </c>
      <c r="C163">
        <v>14</v>
      </c>
      <c r="D163" t="s">
        <v>1163</v>
      </c>
      <c r="E163">
        <v>28</v>
      </c>
      <c r="F163" t="s">
        <v>1164</v>
      </c>
      <c r="G163">
        <v>2</v>
      </c>
      <c r="H163" t="s">
        <v>1163</v>
      </c>
      <c r="I163">
        <v>1210000</v>
      </c>
      <c r="J163" t="s">
        <v>1164</v>
      </c>
      <c r="K163">
        <v>1</v>
      </c>
      <c r="L163" t="s">
        <v>1163</v>
      </c>
      <c r="M163">
        <f>I163</f>
        <v>1210000</v>
      </c>
      <c r="N163" t="s">
        <v>1165</v>
      </c>
      <c r="O163" t="str">
        <f t="shared" si="7"/>
        <v>[{"id":14,"num":28},{"id":2,"num":1210000},{"id":1,"num":1210000}]</v>
      </c>
      <c r="U163">
        <f t="shared" si="6"/>
        <v>11</v>
      </c>
    </row>
    <row r="164" spans="1:21" ht="16.5" x14ac:dyDescent="0.15">
      <c r="A164" s="3">
        <f>Sheet1!A166</f>
        <v>1405003</v>
      </c>
      <c r="B164" t="s">
        <v>1162</v>
      </c>
      <c r="C164">
        <v>14</v>
      </c>
      <c r="D164" t="s">
        <v>1163</v>
      </c>
      <c r="E164">
        <v>28</v>
      </c>
      <c r="F164" t="s">
        <v>1164</v>
      </c>
      <c r="G164">
        <v>2</v>
      </c>
      <c r="H164" t="s">
        <v>1163</v>
      </c>
      <c r="I164">
        <v>1210000</v>
      </c>
      <c r="J164" t="s">
        <v>1164</v>
      </c>
      <c r="K164">
        <v>1</v>
      </c>
      <c r="L164" t="s">
        <v>1163</v>
      </c>
      <c r="M164">
        <f>I164</f>
        <v>1210000</v>
      </c>
      <c r="N164" t="s">
        <v>1165</v>
      </c>
      <c r="O164" t="str">
        <f t="shared" si="7"/>
        <v>[{"id":14,"num":28},{"id":2,"num":1210000},{"id":1,"num":1210000}]</v>
      </c>
      <c r="U164">
        <f t="shared" si="6"/>
        <v>11</v>
      </c>
    </row>
    <row r="165" spans="1:21" ht="16.5" x14ac:dyDescent="0.15">
      <c r="A165" s="3">
        <f>Sheet1!A167</f>
        <v>1405004</v>
      </c>
      <c r="B165" t="s">
        <v>1162</v>
      </c>
      <c r="C165">
        <v>14</v>
      </c>
      <c r="D165" t="s">
        <v>1163</v>
      </c>
      <c r="E165">
        <v>28</v>
      </c>
      <c r="F165" t="s">
        <v>1164</v>
      </c>
      <c r="G165">
        <v>2</v>
      </c>
      <c r="H165" t="s">
        <v>1163</v>
      </c>
      <c r="I165">
        <v>1210000</v>
      </c>
      <c r="J165" t="s">
        <v>1164</v>
      </c>
      <c r="K165">
        <v>1</v>
      </c>
      <c r="L165" t="s">
        <v>1163</v>
      </c>
      <c r="M165">
        <f>I165</f>
        <v>1210000</v>
      </c>
      <c r="N165" t="s">
        <v>1165</v>
      </c>
      <c r="O165" t="str">
        <f t="shared" si="7"/>
        <v>[{"id":14,"num":28},{"id":2,"num":1210000},{"id":1,"num":1210000}]</v>
      </c>
      <c r="U165">
        <f t="shared" si="6"/>
        <v>11</v>
      </c>
    </row>
    <row r="166" spans="1:21" ht="16.5" x14ac:dyDescent="0.15">
      <c r="A166" s="3">
        <f>Sheet1!A168</f>
        <v>1405005</v>
      </c>
      <c r="B166" t="s">
        <v>1162</v>
      </c>
      <c r="C166">
        <v>14</v>
      </c>
      <c r="D166" t="s">
        <v>1163</v>
      </c>
      <c r="E166">
        <v>28</v>
      </c>
      <c r="F166" t="s">
        <v>1164</v>
      </c>
      <c r="G166">
        <v>2</v>
      </c>
      <c r="H166" t="s">
        <v>1163</v>
      </c>
      <c r="I166">
        <v>1210000</v>
      </c>
      <c r="J166" t="s">
        <v>1164</v>
      </c>
      <c r="K166">
        <v>1</v>
      </c>
      <c r="L166" t="s">
        <v>1163</v>
      </c>
      <c r="M166">
        <f>I166</f>
        <v>1210000</v>
      </c>
      <c r="N166" t="s">
        <v>1165</v>
      </c>
      <c r="O166" t="str">
        <f t="shared" si="7"/>
        <v>[{"id":14,"num":28},{"id":2,"num":1210000},{"id":1,"num":1210000}]</v>
      </c>
      <c r="U166">
        <f t="shared" si="6"/>
        <v>11</v>
      </c>
    </row>
    <row r="167" spans="1:21" ht="16.5" x14ac:dyDescent="0.15">
      <c r="A167" s="3">
        <f>Sheet1!A169</f>
        <v>1405006</v>
      </c>
      <c r="B167" t="s">
        <v>1162</v>
      </c>
      <c r="C167">
        <v>14</v>
      </c>
      <c r="D167" t="s">
        <v>1163</v>
      </c>
      <c r="E167">
        <v>28</v>
      </c>
      <c r="F167" t="s">
        <v>1164</v>
      </c>
      <c r="G167">
        <v>2</v>
      </c>
      <c r="H167" t="s">
        <v>1163</v>
      </c>
      <c r="I167">
        <v>1210000</v>
      </c>
      <c r="J167" t="s">
        <v>1164</v>
      </c>
      <c r="K167">
        <v>1</v>
      </c>
      <c r="L167" t="s">
        <v>1163</v>
      </c>
      <c r="M167">
        <f t="shared" ref="M167:M198" si="8">I167</f>
        <v>1210000</v>
      </c>
      <c r="N167" t="s">
        <v>1165</v>
      </c>
      <c r="O167" t="str">
        <f t="shared" si="7"/>
        <v>[{"id":14,"num":28},{"id":2,"num":1210000},{"id":1,"num":1210000}]</v>
      </c>
      <c r="U167">
        <f t="shared" si="6"/>
        <v>11</v>
      </c>
    </row>
    <row r="168" spans="1:21" ht="16.5" x14ac:dyDescent="0.15">
      <c r="A168" s="3">
        <f>Sheet1!A170</f>
        <v>1405007</v>
      </c>
      <c r="B168" t="s">
        <v>1162</v>
      </c>
      <c r="C168">
        <v>14</v>
      </c>
      <c r="D168" t="s">
        <v>1163</v>
      </c>
      <c r="E168">
        <v>28</v>
      </c>
      <c r="F168" t="s">
        <v>1164</v>
      </c>
      <c r="G168">
        <v>2</v>
      </c>
      <c r="H168" t="s">
        <v>1163</v>
      </c>
      <c r="I168">
        <v>1210000</v>
      </c>
      <c r="J168" t="s">
        <v>1164</v>
      </c>
      <c r="K168">
        <v>1</v>
      </c>
      <c r="L168" t="s">
        <v>1163</v>
      </c>
      <c r="M168">
        <f t="shared" si="8"/>
        <v>1210000</v>
      </c>
      <c r="N168" t="s">
        <v>1165</v>
      </c>
      <c r="O168" t="str">
        <f t="shared" si="7"/>
        <v>[{"id":14,"num":28},{"id":2,"num":1210000},{"id":1,"num":1210000}]</v>
      </c>
      <c r="U168">
        <f t="shared" si="6"/>
        <v>11</v>
      </c>
    </row>
    <row r="169" spans="1:21" ht="16.5" x14ac:dyDescent="0.15">
      <c r="A169" s="3">
        <f>Sheet1!A171</f>
        <v>1405008</v>
      </c>
      <c r="B169" t="s">
        <v>1162</v>
      </c>
      <c r="C169">
        <v>14</v>
      </c>
      <c r="D169" t="s">
        <v>1163</v>
      </c>
      <c r="E169">
        <v>28</v>
      </c>
      <c r="F169" t="s">
        <v>1164</v>
      </c>
      <c r="G169">
        <v>2</v>
      </c>
      <c r="H169" t="s">
        <v>1163</v>
      </c>
      <c r="I169">
        <v>1210000</v>
      </c>
      <c r="J169" t="s">
        <v>1164</v>
      </c>
      <c r="K169">
        <v>1</v>
      </c>
      <c r="L169" t="s">
        <v>1163</v>
      </c>
      <c r="M169">
        <f t="shared" si="8"/>
        <v>1210000</v>
      </c>
      <c r="N169" t="s">
        <v>1165</v>
      </c>
      <c r="O169" t="str">
        <f t="shared" si="7"/>
        <v>[{"id":14,"num":28},{"id":2,"num":1210000},{"id":1,"num":1210000}]</v>
      </c>
      <c r="U169">
        <f t="shared" si="6"/>
        <v>11</v>
      </c>
    </row>
    <row r="170" spans="1:21" ht="16.5" x14ac:dyDescent="0.15">
      <c r="A170" s="3">
        <f>Sheet1!A172</f>
        <v>1405009</v>
      </c>
      <c r="B170" t="s">
        <v>1162</v>
      </c>
      <c r="C170">
        <v>14</v>
      </c>
      <c r="D170" t="s">
        <v>1163</v>
      </c>
      <c r="E170">
        <v>28</v>
      </c>
      <c r="F170" t="s">
        <v>1164</v>
      </c>
      <c r="G170">
        <v>2</v>
      </c>
      <c r="H170" t="s">
        <v>1163</v>
      </c>
      <c r="I170">
        <v>1210000</v>
      </c>
      <c r="J170" t="s">
        <v>1164</v>
      </c>
      <c r="K170">
        <v>1</v>
      </c>
      <c r="L170" t="s">
        <v>1163</v>
      </c>
      <c r="M170">
        <f t="shared" si="8"/>
        <v>1210000</v>
      </c>
      <c r="N170" t="s">
        <v>1165</v>
      </c>
      <c r="O170" t="str">
        <f t="shared" si="7"/>
        <v>[{"id":14,"num":28},{"id":2,"num":1210000},{"id":1,"num":1210000}]</v>
      </c>
      <c r="U170">
        <f t="shared" si="6"/>
        <v>11</v>
      </c>
    </row>
    <row r="171" spans="1:21" ht="16.5" x14ac:dyDescent="0.15">
      <c r="A171" s="3">
        <f>Sheet1!A173</f>
        <v>1405010</v>
      </c>
      <c r="B171" t="s">
        <v>1162</v>
      </c>
      <c r="C171">
        <v>14</v>
      </c>
      <c r="D171" t="s">
        <v>1163</v>
      </c>
      <c r="E171">
        <v>28</v>
      </c>
      <c r="F171" t="s">
        <v>1164</v>
      </c>
      <c r="G171">
        <v>2</v>
      </c>
      <c r="H171" t="s">
        <v>1163</v>
      </c>
      <c r="I171">
        <v>1210000</v>
      </c>
      <c r="J171" t="s">
        <v>1164</v>
      </c>
      <c r="K171">
        <v>1</v>
      </c>
      <c r="L171" t="s">
        <v>1163</v>
      </c>
      <c r="M171">
        <f t="shared" si="8"/>
        <v>1210000</v>
      </c>
      <c r="N171" t="s">
        <v>1165</v>
      </c>
      <c r="O171" t="str">
        <f t="shared" si="7"/>
        <v>[{"id":14,"num":28},{"id":2,"num":1210000},{"id":1,"num":1210000}]</v>
      </c>
      <c r="U171">
        <f t="shared" si="6"/>
        <v>11</v>
      </c>
    </row>
    <row r="172" spans="1:21" ht="16.5" x14ac:dyDescent="0.15">
      <c r="A172" s="3">
        <f>Sheet1!A174</f>
        <v>1405011</v>
      </c>
      <c r="B172" t="s">
        <v>1162</v>
      </c>
      <c r="C172">
        <v>14</v>
      </c>
      <c r="D172" t="s">
        <v>1163</v>
      </c>
      <c r="E172">
        <v>28</v>
      </c>
      <c r="F172" t="s">
        <v>1164</v>
      </c>
      <c r="G172">
        <v>2</v>
      </c>
      <c r="H172" t="s">
        <v>1163</v>
      </c>
      <c r="I172">
        <v>1210000</v>
      </c>
      <c r="J172" t="s">
        <v>1164</v>
      </c>
      <c r="K172">
        <v>1</v>
      </c>
      <c r="L172" t="s">
        <v>1163</v>
      </c>
      <c r="M172">
        <f t="shared" si="8"/>
        <v>1210000</v>
      </c>
      <c r="N172" t="s">
        <v>1165</v>
      </c>
      <c r="O172" t="str">
        <f t="shared" si="7"/>
        <v>[{"id":14,"num":28},{"id":2,"num":1210000},{"id":1,"num":1210000}]</v>
      </c>
      <c r="U172">
        <f t="shared" si="6"/>
        <v>11</v>
      </c>
    </row>
    <row r="173" spans="1:21" ht="16.5" x14ac:dyDescent="0.15">
      <c r="A173" s="3">
        <f>Sheet1!A175</f>
        <v>1405012</v>
      </c>
      <c r="B173" t="s">
        <v>1162</v>
      </c>
      <c r="C173">
        <v>14</v>
      </c>
      <c r="D173" t="s">
        <v>1163</v>
      </c>
      <c r="E173">
        <v>28</v>
      </c>
      <c r="F173" t="s">
        <v>1164</v>
      </c>
      <c r="G173">
        <v>2</v>
      </c>
      <c r="H173" t="s">
        <v>1163</v>
      </c>
      <c r="I173">
        <v>1210000</v>
      </c>
      <c r="J173" t="s">
        <v>1164</v>
      </c>
      <c r="K173">
        <v>1</v>
      </c>
      <c r="L173" t="s">
        <v>1163</v>
      </c>
      <c r="M173">
        <f t="shared" si="8"/>
        <v>1210000</v>
      </c>
      <c r="N173" t="s">
        <v>1165</v>
      </c>
      <c r="O173" t="str">
        <f t="shared" si="7"/>
        <v>[{"id":14,"num":28},{"id":2,"num":1210000},{"id":1,"num":1210000}]</v>
      </c>
      <c r="U173">
        <f t="shared" si="6"/>
        <v>11</v>
      </c>
    </row>
    <row r="174" spans="1:21" ht="16.5" x14ac:dyDescent="0.15">
      <c r="A174" s="3">
        <f>Sheet1!A176</f>
        <v>1405013</v>
      </c>
      <c r="B174" t="s">
        <v>1162</v>
      </c>
      <c r="C174">
        <v>14</v>
      </c>
      <c r="D174" t="s">
        <v>1163</v>
      </c>
      <c r="E174">
        <v>28</v>
      </c>
      <c r="F174" t="s">
        <v>1164</v>
      </c>
      <c r="G174">
        <v>2</v>
      </c>
      <c r="H174" t="s">
        <v>1163</v>
      </c>
      <c r="I174">
        <v>1210000</v>
      </c>
      <c r="J174" t="s">
        <v>1164</v>
      </c>
      <c r="K174">
        <v>1</v>
      </c>
      <c r="L174" t="s">
        <v>1163</v>
      </c>
      <c r="M174">
        <f t="shared" si="8"/>
        <v>1210000</v>
      </c>
      <c r="N174" t="s">
        <v>1165</v>
      </c>
      <c r="O174" t="str">
        <f t="shared" si="7"/>
        <v>[{"id":14,"num":28},{"id":2,"num":1210000},{"id":1,"num":1210000}]</v>
      </c>
      <c r="U174">
        <f t="shared" si="6"/>
        <v>11</v>
      </c>
    </row>
    <row r="175" spans="1:21" ht="16.5" x14ac:dyDescent="0.15">
      <c r="A175" s="3">
        <f>Sheet1!A177</f>
        <v>1405014</v>
      </c>
      <c r="B175" t="s">
        <v>1162</v>
      </c>
      <c r="C175">
        <v>14</v>
      </c>
      <c r="D175" t="s">
        <v>1163</v>
      </c>
      <c r="E175">
        <v>28</v>
      </c>
      <c r="F175" t="s">
        <v>1164</v>
      </c>
      <c r="G175">
        <v>2</v>
      </c>
      <c r="H175" t="s">
        <v>1163</v>
      </c>
      <c r="I175">
        <v>1210000</v>
      </c>
      <c r="J175" t="s">
        <v>1164</v>
      </c>
      <c r="K175">
        <v>1</v>
      </c>
      <c r="L175" t="s">
        <v>1163</v>
      </c>
      <c r="M175">
        <f t="shared" si="8"/>
        <v>1210000</v>
      </c>
      <c r="N175" t="s">
        <v>1165</v>
      </c>
      <c r="O175" t="str">
        <f t="shared" si="7"/>
        <v>[{"id":14,"num":28},{"id":2,"num":1210000},{"id":1,"num":1210000}]</v>
      </c>
      <c r="U175">
        <f t="shared" si="6"/>
        <v>11</v>
      </c>
    </row>
    <row r="176" spans="1:21" ht="16.5" x14ac:dyDescent="0.15">
      <c r="A176" s="3">
        <f>Sheet1!A178</f>
        <v>1405015</v>
      </c>
      <c r="B176" t="s">
        <v>1162</v>
      </c>
      <c r="C176">
        <v>14</v>
      </c>
      <c r="D176" t="s">
        <v>1163</v>
      </c>
      <c r="E176">
        <v>28</v>
      </c>
      <c r="F176" t="s">
        <v>1164</v>
      </c>
      <c r="G176">
        <v>2</v>
      </c>
      <c r="H176" t="s">
        <v>1163</v>
      </c>
      <c r="I176">
        <v>1210000</v>
      </c>
      <c r="J176" t="s">
        <v>1164</v>
      </c>
      <c r="K176">
        <v>1</v>
      </c>
      <c r="L176" t="s">
        <v>1163</v>
      </c>
      <c r="M176">
        <f t="shared" si="8"/>
        <v>1210000</v>
      </c>
      <c r="N176" t="s">
        <v>1165</v>
      </c>
      <c r="O176" t="str">
        <f t="shared" si="7"/>
        <v>[{"id":14,"num":28},{"id":2,"num":1210000},{"id":1,"num":1210000}]</v>
      </c>
      <c r="U176">
        <f t="shared" si="6"/>
        <v>11</v>
      </c>
    </row>
    <row r="177" spans="1:21" ht="16.5" x14ac:dyDescent="0.15">
      <c r="A177" s="3">
        <f>Sheet1!A179</f>
        <v>1405016</v>
      </c>
      <c r="B177" t="s">
        <v>1162</v>
      </c>
      <c r="C177">
        <v>14</v>
      </c>
      <c r="D177" t="s">
        <v>1163</v>
      </c>
      <c r="E177">
        <v>28</v>
      </c>
      <c r="F177" t="s">
        <v>1164</v>
      </c>
      <c r="G177">
        <v>2</v>
      </c>
      <c r="H177" t="s">
        <v>1163</v>
      </c>
      <c r="I177">
        <v>1210000</v>
      </c>
      <c r="J177" t="s">
        <v>1164</v>
      </c>
      <c r="K177">
        <v>1</v>
      </c>
      <c r="L177" t="s">
        <v>1163</v>
      </c>
      <c r="M177">
        <f t="shared" si="8"/>
        <v>1210000</v>
      </c>
      <c r="N177" t="s">
        <v>1165</v>
      </c>
      <c r="O177" t="str">
        <f t="shared" si="7"/>
        <v>[{"id":14,"num":28},{"id":2,"num":1210000},{"id":1,"num":1210000}]</v>
      </c>
      <c r="U177">
        <f t="shared" si="6"/>
        <v>11</v>
      </c>
    </row>
    <row r="178" spans="1:21" ht="16.5" x14ac:dyDescent="0.15">
      <c r="A178" s="3">
        <f>Sheet1!A180</f>
        <v>1405017</v>
      </c>
      <c r="B178" t="s">
        <v>1162</v>
      </c>
      <c r="C178">
        <v>14</v>
      </c>
      <c r="D178" t="s">
        <v>1163</v>
      </c>
      <c r="E178">
        <v>28</v>
      </c>
      <c r="F178" t="s">
        <v>1164</v>
      </c>
      <c r="G178">
        <v>2</v>
      </c>
      <c r="H178" t="s">
        <v>1163</v>
      </c>
      <c r="I178">
        <v>1210000</v>
      </c>
      <c r="J178" t="s">
        <v>1164</v>
      </c>
      <c r="K178">
        <v>1</v>
      </c>
      <c r="L178" t="s">
        <v>1163</v>
      </c>
      <c r="M178">
        <f t="shared" si="8"/>
        <v>1210000</v>
      </c>
      <c r="N178" t="s">
        <v>1165</v>
      </c>
      <c r="O178" t="str">
        <f t="shared" si="7"/>
        <v>[{"id":14,"num":28},{"id":2,"num":1210000},{"id":1,"num":1210000}]</v>
      </c>
      <c r="U178">
        <f t="shared" si="6"/>
        <v>11</v>
      </c>
    </row>
    <row r="179" spans="1:21" ht="16.5" x14ac:dyDescent="0.15">
      <c r="A179" s="3">
        <f>Sheet1!A181</f>
        <v>1405018</v>
      </c>
      <c r="B179" t="s">
        <v>1162</v>
      </c>
      <c r="C179">
        <v>14</v>
      </c>
      <c r="D179" t="s">
        <v>1163</v>
      </c>
      <c r="E179">
        <v>28</v>
      </c>
      <c r="F179" t="s">
        <v>1164</v>
      </c>
      <c r="G179">
        <v>2</v>
      </c>
      <c r="H179" t="s">
        <v>1163</v>
      </c>
      <c r="I179">
        <v>1210000</v>
      </c>
      <c r="J179" t="s">
        <v>1164</v>
      </c>
      <c r="K179">
        <v>1</v>
      </c>
      <c r="L179" t="s">
        <v>1163</v>
      </c>
      <c r="M179">
        <f t="shared" si="8"/>
        <v>1210000</v>
      </c>
      <c r="N179" t="s">
        <v>1165</v>
      </c>
      <c r="O179" t="str">
        <f t="shared" si="7"/>
        <v>[{"id":14,"num":28},{"id":2,"num":1210000},{"id":1,"num":1210000}]</v>
      </c>
      <c r="U179">
        <f t="shared" si="6"/>
        <v>11</v>
      </c>
    </row>
    <row r="180" spans="1:21" ht="16.5" x14ac:dyDescent="0.15">
      <c r="A180" s="3">
        <f>Sheet1!A182</f>
        <v>1405019</v>
      </c>
      <c r="B180" t="s">
        <v>1162</v>
      </c>
      <c r="C180">
        <v>14</v>
      </c>
      <c r="D180" t="s">
        <v>1163</v>
      </c>
      <c r="E180">
        <v>28</v>
      </c>
      <c r="F180" t="s">
        <v>1164</v>
      </c>
      <c r="G180">
        <v>2</v>
      </c>
      <c r="H180" t="s">
        <v>1163</v>
      </c>
      <c r="I180">
        <v>1210000</v>
      </c>
      <c r="J180" t="s">
        <v>1164</v>
      </c>
      <c r="K180">
        <v>1</v>
      </c>
      <c r="L180" t="s">
        <v>1163</v>
      </c>
      <c r="M180">
        <f t="shared" si="8"/>
        <v>1210000</v>
      </c>
      <c r="N180" t="s">
        <v>1165</v>
      </c>
      <c r="O180" t="str">
        <f t="shared" si="7"/>
        <v>[{"id":14,"num":28},{"id":2,"num":1210000},{"id":1,"num":1210000}]</v>
      </c>
      <c r="U180">
        <f t="shared" ref="U180:U243" si="9">INT(E180*0.4)</f>
        <v>11</v>
      </c>
    </row>
    <row r="181" spans="1:21" ht="16.5" x14ac:dyDescent="0.15">
      <c r="A181" s="3">
        <f>Sheet1!A183</f>
        <v>1405020</v>
      </c>
      <c r="B181" t="s">
        <v>1162</v>
      </c>
      <c r="C181">
        <v>14</v>
      </c>
      <c r="D181" t="s">
        <v>1163</v>
      </c>
      <c r="E181">
        <v>28</v>
      </c>
      <c r="F181" t="s">
        <v>1164</v>
      </c>
      <c r="G181">
        <v>2</v>
      </c>
      <c r="H181" t="s">
        <v>1163</v>
      </c>
      <c r="I181">
        <v>1210000</v>
      </c>
      <c r="J181" t="s">
        <v>1164</v>
      </c>
      <c r="K181">
        <v>1</v>
      </c>
      <c r="L181" t="s">
        <v>1163</v>
      </c>
      <c r="M181">
        <f t="shared" si="8"/>
        <v>1210000</v>
      </c>
      <c r="N181" t="s">
        <v>1165</v>
      </c>
      <c r="O181" t="str">
        <f t="shared" si="7"/>
        <v>[{"id":14,"num":28},{"id":2,"num":1210000},{"id":1,"num":1210000}]</v>
      </c>
      <c r="U181">
        <f t="shared" si="9"/>
        <v>11</v>
      </c>
    </row>
    <row r="182" spans="1:21" ht="16.5" x14ac:dyDescent="0.15">
      <c r="A182" s="3">
        <f>Sheet1!A184</f>
        <v>1405021</v>
      </c>
      <c r="B182" t="s">
        <v>1162</v>
      </c>
      <c r="C182">
        <v>14</v>
      </c>
      <c r="D182" t="s">
        <v>1163</v>
      </c>
      <c r="E182">
        <v>32</v>
      </c>
      <c r="F182" t="s">
        <v>1164</v>
      </c>
      <c r="G182">
        <v>2</v>
      </c>
      <c r="H182" t="s">
        <v>1163</v>
      </c>
      <c r="I182">
        <v>1220000</v>
      </c>
      <c r="J182" t="s">
        <v>1164</v>
      </c>
      <c r="K182">
        <v>1</v>
      </c>
      <c r="L182" t="s">
        <v>1163</v>
      </c>
      <c r="M182">
        <f t="shared" si="8"/>
        <v>1220000</v>
      </c>
      <c r="N182" t="s">
        <v>1165</v>
      </c>
      <c r="O182" t="str">
        <f t="shared" si="7"/>
        <v>[{"id":14,"num":32},{"id":2,"num":1220000},{"id":1,"num":1220000}]</v>
      </c>
      <c r="U182">
        <f t="shared" si="9"/>
        <v>12</v>
      </c>
    </row>
    <row r="183" spans="1:21" ht="16.5" x14ac:dyDescent="0.15">
      <c r="A183" s="3">
        <f>Sheet1!A185</f>
        <v>1405022</v>
      </c>
      <c r="B183" t="s">
        <v>1162</v>
      </c>
      <c r="C183">
        <v>14</v>
      </c>
      <c r="D183" t="s">
        <v>1163</v>
      </c>
      <c r="E183">
        <v>32</v>
      </c>
      <c r="F183" t="s">
        <v>1164</v>
      </c>
      <c r="G183">
        <v>2</v>
      </c>
      <c r="H183" t="s">
        <v>1163</v>
      </c>
      <c r="I183">
        <v>1220000</v>
      </c>
      <c r="J183" t="s">
        <v>1164</v>
      </c>
      <c r="K183">
        <v>1</v>
      </c>
      <c r="L183" t="s">
        <v>1163</v>
      </c>
      <c r="M183">
        <f t="shared" si="8"/>
        <v>1220000</v>
      </c>
      <c r="N183" t="s">
        <v>1165</v>
      </c>
      <c r="O183" t="str">
        <f t="shared" si="7"/>
        <v>[{"id":14,"num":32},{"id":2,"num":1220000},{"id":1,"num":1220000}]</v>
      </c>
      <c r="U183">
        <f t="shared" si="9"/>
        <v>12</v>
      </c>
    </row>
    <row r="184" spans="1:21" ht="16.5" x14ac:dyDescent="0.15">
      <c r="A184" s="3">
        <f>Sheet1!A186</f>
        <v>1405023</v>
      </c>
      <c r="B184" t="s">
        <v>1162</v>
      </c>
      <c r="C184">
        <v>14</v>
      </c>
      <c r="D184" t="s">
        <v>1163</v>
      </c>
      <c r="E184">
        <v>32</v>
      </c>
      <c r="F184" t="s">
        <v>1164</v>
      </c>
      <c r="G184">
        <v>2</v>
      </c>
      <c r="H184" t="s">
        <v>1163</v>
      </c>
      <c r="I184">
        <v>1220000</v>
      </c>
      <c r="J184" t="s">
        <v>1164</v>
      </c>
      <c r="K184">
        <v>1</v>
      </c>
      <c r="L184" t="s">
        <v>1163</v>
      </c>
      <c r="M184">
        <f t="shared" si="8"/>
        <v>1220000</v>
      </c>
      <c r="N184" t="s">
        <v>1165</v>
      </c>
      <c r="O184" t="str">
        <f t="shared" si="7"/>
        <v>[{"id":14,"num":32},{"id":2,"num":1220000},{"id":1,"num":1220000}]</v>
      </c>
      <c r="U184">
        <f t="shared" si="9"/>
        <v>12</v>
      </c>
    </row>
    <row r="185" spans="1:21" ht="16.5" x14ac:dyDescent="0.15">
      <c r="A185" s="3">
        <f>Sheet1!A187</f>
        <v>1405024</v>
      </c>
      <c r="B185" t="s">
        <v>1162</v>
      </c>
      <c r="C185">
        <v>14</v>
      </c>
      <c r="D185" t="s">
        <v>1163</v>
      </c>
      <c r="E185">
        <v>32</v>
      </c>
      <c r="F185" t="s">
        <v>1164</v>
      </c>
      <c r="G185">
        <v>2</v>
      </c>
      <c r="H185" t="s">
        <v>1163</v>
      </c>
      <c r="I185">
        <v>1220000</v>
      </c>
      <c r="J185" t="s">
        <v>1164</v>
      </c>
      <c r="K185">
        <v>1</v>
      </c>
      <c r="L185" t="s">
        <v>1163</v>
      </c>
      <c r="M185">
        <f t="shared" si="8"/>
        <v>1220000</v>
      </c>
      <c r="N185" t="s">
        <v>1165</v>
      </c>
      <c r="O185" t="str">
        <f t="shared" si="7"/>
        <v>[{"id":14,"num":32},{"id":2,"num":1220000},{"id":1,"num":1220000}]</v>
      </c>
      <c r="U185">
        <f t="shared" si="9"/>
        <v>12</v>
      </c>
    </row>
    <row r="186" spans="1:21" ht="16.5" x14ac:dyDescent="0.15">
      <c r="A186" s="3">
        <f>Sheet1!A188</f>
        <v>1405025</v>
      </c>
      <c r="B186" t="s">
        <v>1162</v>
      </c>
      <c r="C186">
        <v>14</v>
      </c>
      <c r="D186" t="s">
        <v>1163</v>
      </c>
      <c r="E186">
        <v>32</v>
      </c>
      <c r="F186" t="s">
        <v>1164</v>
      </c>
      <c r="G186">
        <v>2</v>
      </c>
      <c r="H186" t="s">
        <v>1163</v>
      </c>
      <c r="I186">
        <v>1220000</v>
      </c>
      <c r="J186" t="s">
        <v>1164</v>
      </c>
      <c r="K186">
        <v>1</v>
      </c>
      <c r="L186" t="s">
        <v>1163</v>
      </c>
      <c r="M186">
        <f t="shared" si="8"/>
        <v>1220000</v>
      </c>
      <c r="N186" t="s">
        <v>1165</v>
      </c>
      <c r="O186" t="str">
        <f t="shared" si="7"/>
        <v>[{"id":14,"num":32},{"id":2,"num":1220000},{"id":1,"num":1220000}]</v>
      </c>
      <c r="U186">
        <f t="shared" si="9"/>
        <v>12</v>
      </c>
    </row>
    <row r="187" spans="1:21" ht="16.5" x14ac:dyDescent="0.15">
      <c r="A187" s="3">
        <f>Sheet1!A189</f>
        <v>1405026</v>
      </c>
      <c r="B187" t="s">
        <v>1162</v>
      </c>
      <c r="C187">
        <v>14</v>
      </c>
      <c r="D187" t="s">
        <v>1163</v>
      </c>
      <c r="E187">
        <v>32</v>
      </c>
      <c r="F187" t="s">
        <v>1164</v>
      </c>
      <c r="G187">
        <v>2</v>
      </c>
      <c r="H187" t="s">
        <v>1163</v>
      </c>
      <c r="I187">
        <v>1220000</v>
      </c>
      <c r="J187" t="s">
        <v>1164</v>
      </c>
      <c r="K187">
        <v>1</v>
      </c>
      <c r="L187" t="s">
        <v>1163</v>
      </c>
      <c r="M187">
        <f t="shared" si="8"/>
        <v>1220000</v>
      </c>
      <c r="N187" t="s">
        <v>1165</v>
      </c>
      <c r="O187" t="str">
        <f t="shared" ref="O187:O250" si="10">_xlfn.TEXTJOIN(,TRUE,B187:N187)</f>
        <v>[{"id":14,"num":32},{"id":2,"num":1220000},{"id":1,"num":1220000}]</v>
      </c>
      <c r="U187">
        <f t="shared" si="9"/>
        <v>12</v>
      </c>
    </row>
    <row r="188" spans="1:21" ht="16.5" x14ac:dyDescent="0.15">
      <c r="A188" s="3">
        <f>Sheet1!A190</f>
        <v>1405027</v>
      </c>
      <c r="B188" t="s">
        <v>1162</v>
      </c>
      <c r="C188">
        <v>14</v>
      </c>
      <c r="D188" t="s">
        <v>1163</v>
      </c>
      <c r="E188">
        <v>32</v>
      </c>
      <c r="F188" t="s">
        <v>1164</v>
      </c>
      <c r="G188">
        <v>2</v>
      </c>
      <c r="H188" t="s">
        <v>1163</v>
      </c>
      <c r="I188">
        <v>1220000</v>
      </c>
      <c r="J188" t="s">
        <v>1164</v>
      </c>
      <c r="K188">
        <v>1</v>
      </c>
      <c r="L188" t="s">
        <v>1163</v>
      </c>
      <c r="M188">
        <f t="shared" si="8"/>
        <v>1220000</v>
      </c>
      <c r="N188" t="s">
        <v>1165</v>
      </c>
      <c r="O188" t="str">
        <f t="shared" si="10"/>
        <v>[{"id":14,"num":32},{"id":2,"num":1220000},{"id":1,"num":1220000}]</v>
      </c>
      <c r="U188">
        <f t="shared" si="9"/>
        <v>12</v>
      </c>
    </row>
    <row r="189" spans="1:21" ht="16.5" x14ac:dyDescent="0.15">
      <c r="A189" s="3">
        <f>Sheet1!A191</f>
        <v>1405028</v>
      </c>
      <c r="B189" t="s">
        <v>1162</v>
      </c>
      <c r="C189">
        <v>14</v>
      </c>
      <c r="D189" t="s">
        <v>1163</v>
      </c>
      <c r="E189">
        <v>32</v>
      </c>
      <c r="F189" t="s">
        <v>1164</v>
      </c>
      <c r="G189">
        <v>2</v>
      </c>
      <c r="H189" t="s">
        <v>1163</v>
      </c>
      <c r="I189">
        <v>1220000</v>
      </c>
      <c r="J189" t="s">
        <v>1164</v>
      </c>
      <c r="K189">
        <v>1</v>
      </c>
      <c r="L189" t="s">
        <v>1163</v>
      </c>
      <c r="M189">
        <f t="shared" si="8"/>
        <v>1220000</v>
      </c>
      <c r="N189" t="s">
        <v>1165</v>
      </c>
      <c r="O189" t="str">
        <f t="shared" si="10"/>
        <v>[{"id":14,"num":32},{"id":2,"num":1220000},{"id":1,"num":1220000}]</v>
      </c>
      <c r="U189">
        <f t="shared" si="9"/>
        <v>12</v>
      </c>
    </row>
    <row r="190" spans="1:21" ht="16.5" x14ac:dyDescent="0.15">
      <c r="A190" s="3">
        <f>Sheet1!A192</f>
        <v>1405029</v>
      </c>
      <c r="B190" t="s">
        <v>1162</v>
      </c>
      <c r="C190">
        <v>14</v>
      </c>
      <c r="D190" t="s">
        <v>1163</v>
      </c>
      <c r="E190">
        <v>32</v>
      </c>
      <c r="F190" t="s">
        <v>1164</v>
      </c>
      <c r="G190">
        <v>2</v>
      </c>
      <c r="H190" t="s">
        <v>1163</v>
      </c>
      <c r="I190">
        <v>1220000</v>
      </c>
      <c r="J190" t="s">
        <v>1164</v>
      </c>
      <c r="K190">
        <v>1</v>
      </c>
      <c r="L190" t="s">
        <v>1163</v>
      </c>
      <c r="M190">
        <f t="shared" si="8"/>
        <v>1220000</v>
      </c>
      <c r="N190" t="s">
        <v>1165</v>
      </c>
      <c r="O190" t="str">
        <f t="shared" si="10"/>
        <v>[{"id":14,"num":32},{"id":2,"num":1220000},{"id":1,"num":1220000}]</v>
      </c>
      <c r="U190">
        <f t="shared" si="9"/>
        <v>12</v>
      </c>
    </row>
    <row r="191" spans="1:21" ht="16.5" x14ac:dyDescent="0.15">
      <c r="A191" s="3">
        <f>Sheet1!A193</f>
        <v>1405030</v>
      </c>
      <c r="B191" t="s">
        <v>1162</v>
      </c>
      <c r="C191">
        <v>14</v>
      </c>
      <c r="D191" t="s">
        <v>1163</v>
      </c>
      <c r="E191">
        <v>32</v>
      </c>
      <c r="F191" t="s">
        <v>1164</v>
      </c>
      <c r="G191">
        <v>2</v>
      </c>
      <c r="H191" t="s">
        <v>1163</v>
      </c>
      <c r="I191">
        <v>1220000</v>
      </c>
      <c r="J191" t="s">
        <v>1164</v>
      </c>
      <c r="K191">
        <v>1</v>
      </c>
      <c r="L191" t="s">
        <v>1163</v>
      </c>
      <c r="M191">
        <f t="shared" si="8"/>
        <v>1220000</v>
      </c>
      <c r="N191" t="s">
        <v>1165</v>
      </c>
      <c r="O191" t="str">
        <f t="shared" si="10"/>
        <v>[{"id":14,"num":32},{"id":2,"num":1220000},{"id":1,"num":1220000}]</v>
      </c>
      <c r="U191">
        <f t="shared" si="9"/>
        <v>12</v>
      </c>
    </row>
    <row r="192" spans="1:21" ht="16.5" x14ac:dyDescent="0.15">
      <c r="A192" s="3">
        <f>Sheet1!A194</f>
        <v>1405031</v>
      </c>
      <c r="B192" t="s">
        <v>1162</v>
      </c>
      <c r="C192">
        <v>14</v>
      </c>
      <c r="D192" t="s">
        <v>1163</v>
      </c>
      <c r="E192">
        <v>32</v>
      </c>
      <c r="F192" t="s">
        <v>1164</v>
      </c>
      <c r="G192">
        <v>2</v>
      </c>
      <c r="H192" t="s">
        <v>1163</v>
      </c>
      <c r="I192">
        <v>1220000</v>
      </c>
      <c r="J192" t="s">
        <v>1164</v>
      </c>
      <c r="K192">
        <v>1</v>
      </c>
      <c r="L192" t="s">
        <v>1163</v>
      </c>
      <c r="M192">
        <f t="shared" si="8"/>
        <v>1220000</v>
      </c>
      <c r="N192" t="s">
        <v>1165</v>
      </c>
      <c r="O192" t="str">
        <f t="shared" si="10"/>
        <v>[{"id":14,"num":32},{"id":2,"num":1220000},{"id":1,"num":1220000}]</v>
      </c>
      <c r="U192">
        <f t="shared" si="9"/>
        <v>12</v>
      </c>
    </row>
    <row r="193" spans="1:21" ht="16.5" x14ac:dyDescent="0.15">
      <c r="A193" s="3">
        <f>Sheet1!A195</f>
        <v>1405032</v>
      </c>
      <c r="B193" t="s">
        <v>1162</v>
      </c>
      <c r="C193">
        <v>14</v>
      </c>
      <c r="D193" t="s">
        <v>1163</v>
      </c>
      <c r="E193">
        <v>32</v>
      </c>
      <c r="F193" t="s">
        <v>1164</v>
      </c>
      <c r="G193">
        <v>2</v>
      </c>
      <c r="H193" t="s">
        <v>1163</v>
      </c>
      <c r="I193">
        <v>1220000</v>
      </c>
      <c r="J193" t="s">
        <v>1164</v>
      </c>
      <c r="K193">
        <v>1</v>
      </c>
      <c r="L193" t="s">
        <v>1163</v>
      </c>
      <c r="M193">
        <f t="shared" si="8"/>
        <v>1220000</v>
      </c>
      <c r="N193" t="s">
        <v>1165</v>
      </c>
      <c r="O193" t="str">
        <f t="shared" si="10"/>
        <v>[{"id":14,"num":32},{"id":2,"num":1220000},{"id":1,"num":1220000}]</v>
      </c>
      <c r="U193">
        <f t="shared" si="9"/>
        <v>12</v>
      </c>
    </row>
    <row r="194" spans="1:21" ht="16.5" x14ac:dyDescent="0.15">
      <c r="A194" s="3">
        <f>Sheet1!A196</f>
        <v>1405033</v>
      </c>
      <c r="B194" t="s">
        <v>1162</v>
      </c>
      <c r="C194">
        <v>14</v>
      </c>
      <c r="D194" t="s">
        <v>1163</v>
      </c>
      <c r="E194">
        <v>32</v>
      </c>
      <c r="F194" t="s">
        <v>1164</v>
      </c>
      <c r="G194">
        <v>2</v>
      </c>
      <c r="H194" t="s">
        <v>1163</v>
      </c>
      <c r="I194">
        <v>1220000</v>
      </c>
      <c r="J194" t="s">
        <v>1164</v>
      </c>
      <c r="K194">
        <v>1</v>
      </c>
      <c r="L194" t="s">
        <v>1163</v>
      </c>
      <c r="M194">
        <f t="shared" si="8"/>
        <v>1220000</v>
      </c>
      <c r="N194" t="s">
        <v>1165</v>
      </c>
      <c r="O194" t="str">
        <f t="shared" si="10"/>
        <v>[{"id":14,"num":32},{"id":2,"num":1220000},{"id":1,"num":1220000}]</v>
      </c>
      <c r="U194">
        <f t="shared" si="9"/>
        <v>12</v>
      </c>
    </row>
    <row r="195" spans="1:21" ht="16.5" x14ac:dyDescent="0.15">
      <c r="A195" s="3">
        <f>Sheet1!A197</f>
        <v>1405034</v>
      </c>
      <c r="B195" t="s">
        <v>1162</v>
      </c>
      <c r="C195">
        <v>14</v>
      </c>
      <c r="D195" t="s">
        <v>1163</v>
      </c>
      <c r="E195">
        <v>32</v>
      </c>
      <c r="F195" t="s">
        <v>1164</v>
      </c>
      <c r="G195">
        <v>2</v>
      </c>
      <c r="H195" t="s">
        <v>1163</v>
      </c>
      <c r="I195">
        <v>1220000</v>
      </c>
      <c r="J195" t="s">
        <v>1164</v>
      </c>
      <c r="K195">
        <v>1</v>
      </c>
      <c r="L195" t="s">
        <v>1163</v>
      </c>
      <c r="M195">
        <f t="shared" si="8"/>
        <v>1220000</v>
      </c>
      <c r="N195" t="s">
        <v>1165</v>
      </c>
      <c r="O195" t="str">
        <f t="shared" si="10"/>
        <v>[{"id":14,"num":32},{"id":2,"num":1220000},{"id":1,"num":1220000}]</v>
      </c>
      <c r="U195">
        <f t="shared" si="9"/>
        <v>12</v>
      </c>
    </row>
    <row r="196" spans="1:21" ht="16.5" x14ac:dyDescent="0.15">
      <c r="A196" s="3">
        <f>Sheet1!A198</f>
        <v>1405035</v>
      </c>
      <c r="B196" t="s">
        <v>1162</v>
      </c>
      <c r="C196">
        <v>14</v>
      </c>
      <c r="D196" t="s">
        <v>1163</v>
      </c>
      <c r="E196">
        <v>32</v>
      </c>
      <c r="F196" t="s">
        <v>1164</v>
      </c>
      <c r="G196">
        <v>2</v>
      </c>
      <c r="H196" t="s">
        <v>1163</v>
      </c>
      <c r="I196">
        <v>1220000</v>
      </c>
      <c r="J196" t="s">
        <v>1164</v>
      </c>
      <c r="K196">
        <v>1</v>
      </c>
      <c r="L196" t="s">
        <v>1163</v>
      </c>
      <c r="M196">
        <f t="shared" si="8"/>
        <v>1220000</v>
      </c>
      <c r="N196" t="s">
        <v>1165</v>
      </c>
      <c r="O196" t="str">
        <f t="shared" si="10"/>
        <v>[{"id":14,"num":32},{"id":2,"num":1220000},{"id":1,"num":1220000}]</v>
      </c>
      <c r="U196">
        <f t="shared" si="9"/>
        <v>12</v>
      </c>
    </row>
    <row r="197" spans="1:21" ht="16.5" x14ac:dyDescent="0.15">
      <c r="A197" s="3">
        <f>Sheet1!A199</f>
        <v>1405036</v>
      </c>
      <c r="B197" t="s">
        <v>1162</v>
      </c>
      <c r="C197">
        <v>14</v>
      </c>
      <c r="D197" t="s">
        <v>1163</v>
      </c>
      <c r="E197">
        <v>32</v>
      </c>
      <c r="F197" t="s">
        <v>1164</v>
      </c>
      <c r="G197">
        <v>2</v>
      </c>
      <c r="H197" t="s">
        <v>1163</v>
      </c>
      <c r="I197">
        <v>1220000</v>
      </c>
      <c r="J197" t="s">
        <v>1164</v>
      </c>
      <c r="K197">
        <v>1</v>
      </c>
      <c r="L197" t="s">
        <v>1163</v>
      </c>
      <c r="M197">
        <f t="shared" si="8"/>
        <v>1220000</v>
      </c>
      <c r="N197" t="s">
        <v>1165</v>
      </c>
      <c r="O197" t="str">
        <f t="shared" si="10"/>
        <v>[{"id":14,"num":32},{"id":2,"num":1220000},{"id":1,"num":1220000}]</v>
      </c>
      <c r="U197">
        <f t="shared" si="9"/>
        <v>12</v>
      </c>
    </row>
    <row r="198" spans="1:21" ht="16.5" x14ac:dyDescent="0.15">
      <c r="A198" s="3">
        <f>Sheet1!A200</f>
        <v>1405037</v>
      </c>
      <c r="B198" t="s">
        <v>1162</v>
      </c>
      <c r="C198">
        <v>14</v>
      </c>
      <c r="D198" t="s">
        <v>1163</v>
      </c>
      <c r="E198">
        <v>32</v>
      </c>
      <c r="F198" t="s">
        <v>1164</v>
      </c>
      <c r="G198">
        <v>2</v>
      </c>
      <c r="H198" t="s">
        <v>1163</v>
      </c>
      <c r="I198">
        <v>1220000</v>
      </c>
      <c r="J198" t="s">
        <v>1164</v>
      </c>
      <c r="K198">
        <v>1</v>
      </c>
      <c r="L198" t="s">
        <v>1163</v>
      </c>
      <c r="M198">
        <f t="shared" si="8"/>
        <v>1220000</v>
      </c>
      <c r="N198" t="s">
        <v>1165</v>
      </c>
      <c r="O198" t="str">
        <f t="shared" si="10"/>
        <v>[{"id":14,"num":32},{"id":2,"num":1220000},{"id":1,"num":1220000}]</v>
      </c>
      <c r="U198">
        <f t="shared" si="9"/>
        <v>12</v>
      </c>
    </row>
    <row r="199" spans="1:21" ht="16.5" x14ac:dyDescent="0.15">
      <c r="A199" s="3">
        <f>Sheet1!A201</f>
        <v>1405038</v>
      </c>
      <c r="B199" t="s">
        <v>1162</v>
      </c>
      <c r="C199">
        <v>14</v>
      </c>
      <c r="D199" t="s">
        <v>1163</v>
      </c>
      <c r="E199">
        <v>32</v>
      </c>
      <c r="F199" t="s">
        <v>1164</v>
      </c>
      <c r="G199">
        <v>2</v>
      </c>
      <c r="H199" t="s">
        <v>1163</v>
      </c>
      <c r="I199">
        <v>1220000</v>
      </c>
      <c r="J199" t="s">
        <v>1164</v>
      </c>
      <c r="K199">
        <v>1</v>
      </c>
      <c r="L199" t="s">
        <v>1163</v>
      </c>
      <c r="M199">
        <f t="shared" ref="M199:M221" si="11">I199</f>
        <v>1220000</v>
      </c>
      <c r="N199" t="s">
        <v>1165</v>
      </c>
      <c r="O199" t="str">
        <f t="shared" si="10"/>
        <v>[{"id":14,"num":32},{"id":2,"num":1220000},{"id":1,"num":1220000}]</v>
      </c>
      <c r="U199">
        <f t="shared" si="9"/>
        <v>12</v>
      </c>
    </row>
    <row r="200" spans="1:21" ht="16.5" x14ac:dyDescent="0.15">
      <c r="A200" s="3">
        <f>Sheet1!A202</f>
        <v>1405039</v>
      </c>
      <c r="B200" t="s">
        <v>1162</v>
      </c>
      <c r="C200">
        <v>14</v>
      </c>
      <c r="D200" t="s">
        <v>1163</v>
      </c>
      <c r="E200">
        <v>32</v>
      </c>
      <c r="F200" t="s">
        <v>1164</v>
      </c>
      <c r="G200">
        <v>2</v>
      </c>
      <c r="H200" t="s">
        <v>1163</v>
      </c>
      <c r="I200">
        <v>1220000</v>
      </c>
      <c r="J200" t="s">
        <v>1164</v>
      </c>
      <c r="K200">
        <v>1</v>
      </c>
      <c r="L200" t="s">
        <v>1163</v>
      </c>
      <c r="M200">
        <f t="shared" si="11"/>
        <v>1220000</v>
      </c>
      <c r="N200" t="s">
        <v>1165</v>
      </c>
      <c r="O200" t="str">
        <f t="shared" si="10"/>
        <v>[{"id":14,"num":32},{"id":2,"num":1220000},{"id":1,"num":1220000}]</v>
      </c>
      <c r="U200">
        <f t="shared" si="9"/>
        <v>12</v>
      </c>
    </row>
    <row r="201" spans="1:21" ht="16.5" x14ac:dyDescent="0.15">
      <c r="A201" s="3">
        <f>Sheet1!A203</f>
        <v>1405040</v>
      </c>
      <c r="B201" t="s">
        <v>1162</v>
      </c>
      <c r="C201">
        <v>14</v>
      </c>
      <c r="D201" t="s">
        <v>1163</v>
      </c>
      <c r="E201">
        <v>32</v>
      </c>
      <c r="F201" t="s">
        <v>1164</v>
      </c>
      <c r="G201">
        <v>2</v>
      </c>
      <c r="H201" t="s">
        <v>1163</v>
      </c>
      <c r="I201">
        <v>1220000</v>
      </c>
      <c r="J201" t="s">
        <v>1164</v>
      </c>
      <c r="K201">
        <v>1</v>
      </c>
      <c r="L201" t="s">
        <v>1163</v>
      </c>
      <c r="M201">
        <f t="shared" si="11"/>
        <v>1220000</v>
      </c>
      <c r="N201" t="s">
        <v>1165</v>
      </c>
      <c r="O201" t="str">
        <f t="shared" si="10"/>
        <v>[{"id":14,"num":32},{"id":2,"num":1220000},{"id":1,"num":1220000}]</v>
      </c>
      <c r="U201">
        <f t="shared" si="9"/>
        <v>12</v>
      </c>
    </row>
    <row r="202" spans="1:21" ht="16.5" x14ac:dyDescent="0.15">
      <c r="A202" s="3">
        <f>Sheet1!A204</f>
        <v>1406001</v>
      </c>
      <c r="B202" t="s">
        <v>1162</v>
      </c>
      <c r="C202">
        <v>14</v>
      </c>
      <c r="D202" t="s">
        <v>1163</v>
      </c>
      <c r="E202">
        <v>32</v>
      </c>
      <c r="F202" t="s">
        <v>1164</v>
      </c>
      <c r="G202">
        <v>2</v>
      </c>
      <c r="H202" t="s">
        <v>1163</v>
      </c>
      <c r="I202">
        <v>1230000</v>
      </c>
      <c r="J202" t="s">
        <v>1164</v>
      </c>
      <c r="K202">
        <v>1</v>
      </c>
      <c r="L202" t="s">
        <v>1163</v>
      </c>
      <c r="M202">
        <f t="shared" si="11"/>
        <v>1230000</v>
      </c>
      <c r="N202" t="s">
        <v>1165</v>
      </c>
      <c r="O202" t="str">
        <f t="shared" si="10"/>
        <v>[{"id":14,"num":32},{"id":2,"num":1230000},{"id":1,"num":1230000}]</v>
      </c>
      <c r="U202">
        <f t="shared" si="9"/>
        <v>12</v>
      </c>
    </row>
    <row r="203" spans="1:21" ht="16.5" x14ac:dyDescent="0.15">
      <c r="A203" s="3">
        <f>Sheet1!A205</f>
        <v>1406002</v>
      </c>
      <c r="B203" t="s">
        <v>1162</v>
      </c>
      <c r="C203">
        <v>14</v>
      </c>
      <c r="D203" t="s">
        <v>1163</v>
      </c>
      <c r="E203">
        <v>32</v>
      </c>
      <c r="F203" t="s">
        <v>1164</v>
      </c>
      <c r="G203">
        <v>2</v>
      </c>
      <c r="H203" t="s">
        <v>1163</v>
      </c>
      <c r="I203">
        <v>1230000</v>
      </c>
      <c r="J203" t="s">
        <v>1164</v>
      </c>
      <c r="K203">
        <v>1</v>
      </c>
      <c r="L203" t="s">
        <v>1163</v>
      </c>
      <c r="M203">
        <f t="shared" si="11"/>
        <v>1230000</v>
      </c>
      <c r="N203" t="s">
        <v>1165</v>
      </c>
      <c r="O203" t="str">
        <f t="shared" si="10"/>
        <v>[{"id":14,"num":32},{"id":2,"num":1230000},{"id":1,"num":1230000}]</v>
      </c>
      <c r="U203">
        <f t="shared" si="9"/>
        <v>12</v>
      </c>
    </row>
    <row r="204" spans="1:21" ht="16.5" x14ac:dyDescent="0.15">
      <c r="A204" s="3">
        <f>Sheet1!A206</f>
        <v>1406003</v>
      </c>
      <c r="B204" t="s">
        <v>1162</v>
      </c>
      <c r="C204">
        <v>14</v>
      </c>
      <c r="D204" t="s">
        <v>1163</v>
      </c>
      <c r="E204">
        <v>32</v>
      </c>
      <c r="F204" t="s">
        <v>1164</v>
      </c>
      <c r="G204">
        <v>2</v>
      </c>
      <c r="H204" t="s">
        <v>1163</v>
      </c>
      <c r="I204">
        <v>1230000</v>
      </c>
      <c r="J204" t="s">
        <v>1164</v>
      </c>
      <c r="K204">
        <v>1</v>
      </c>
      <c r="L204" t="s">
        <v>1163</v>
      </c>
      <c r="M204">
        <f t="shared" si="11"/>
        <v>1230000</v>
      </c>
      <c r="N204" t="s">
        <v>1165</v>
      </c>
      <c r="O204" t="str">
        <f t="shared" si="10"/>
        <v>[{"id":14,"num":32},{"id":2,"num":1230000},{"id":1,"num":1230000}]</v>
      </c>
      <c r="U204">
        <f t="shared" si="9"/>
        <v>12</v>
      </c>
    </row>
    <row r="205" spans="1:21" ht="16.5" x14ac:dyDescent="0.15">
      <c r="A205" s="3">
        <f>Sheet1!A207</f>
        <v>1406004</v>
      </c>
      <c r="B205" t="s">
        <v>1162</v>
      </c>
      <c r="C205">
        <v>14</v>
      </c>
      <c r="D205" t="s">
        <v>1163</v>
      </c>
      <c r="E205">
        <v>32</v>
      </c>
      <c r="F205" t="s">
        <v>1164</v>
      </c>
      <c r="G205">
        <v>2</v>
      </c>
      <c r="H205" t="s">
        <v>1163</v>
      </c>
      <c r="I205">
        <v>1230000</v>
      </c>
      <c r="J205" t="s">
        <v>1164</v>
      </c>
      <c r="K205">
        <v>1</v>
      </c>
      <c r="L205" t="s">
        <v>1163</v>
      </c>
      <c r="M205">
        <f t="shared" si="11"/>
        <v>1230000</v>
      </c>
      <c r="N205" t="s">
        <v>1165</v>
      </c>
      <c r="O205" t="str">
        <f t="shared" si="10"/>
        <v>[{"id":14,"num":32},{"id":2,"num":1230000},{"id":1,"num":1230000}]</v>
      </c>
      <c r="U205">
        <f t="shared" si="9"/>
        <v>12</v>
      </c>
    </row>
    <row r="206" spans="1:21" ht="16.5" x14ac:dyDescent="0.15">
      <c r="A206" s="3">
        <f>Sheet1!A208</f>
        <v>1406005</v>
      </c>
      <c r="B206" t="s">
        <v>1162</v>
      </c>
      <c r="C206">
        <v>14</v>
      </c>
      <c r="D206" t="s">
        <v>1163</v>
      </c>
      <c r="E206">
        <v>32</v>
      </c>
      <c r="F206" t="s">
        <v>1164</v>
      </c>
      <c r="G206">
        <v>2</v>
      </c>
      <c r="H206" t="s">
        <v>1163</v>
      </c>
      <c r="I206">
        <v>1230000</v>
      </c>
      <c r="J206" t="s">
        <v>1164</v>
      </c>
      <c r="K206">
        <v>1</v>
      </c>
      <c r="L206" t="s">
        <v>1163</v>
      </c>
      <c r="M206">
        <f t="shared" si="11"/>
        <v>1230000</v>
      </c>
      <c r="N206" t="s">
        <v>1165</v>
      </c>
      <c r="O206" t="str">
        <f t="shared" si="10"/>
        <v>[{"id":14,"num":32},{"id":2,"num":1230000},{"id":1,"num":1230000}]</v>
      </c>
      <c r="U206">
        <f t="shared" si="9"/>
        <v>12</v>
      </c>
    </row>
    <row r="207" spans="1:21" ht="16.5" x14ac:dyDescent="0.15">
      <c r="A207" s="3">
        <f>Sheet1!A209</f>
        <v>1406006</v>
      </c>
      <c r="B207" t="s">
        <v>1162</v>
      </c>
      <c r="C207">
        <v>14</v>
      </c>
      <c r="D207" t="s">
        <v>1163</v>
      </c>
      <c r="E207">
        <v>32</v>
      </c>
      <c r="F207" t="s">
        <v>1164</v>
      </c>
      <c r="G207">
        <v>2</v>
      </c>
      <c r="H207" t="s">
        <v>1163</v>
      </c>
      <c r="I207">
        <v>1230000</v>
      </c>
      <c r="J207" t="s">
        <v>1164</v>
      </c>
      <c r="K207">
        <v>1</v>
      </c>
      <c r="L207" t="s">
        <v>1163</v>
      </c>
      <c r="M207">
        <f t="shared" si="11"/>
        <v>1230000</v>
      </c>
      <c r="N207" t="s">
        <v>1165</v>
      </c>
      <c r="O207" t="str">
        <f t="shared" si="10"/>
        <v>[{"id":14,"num":32},{"id":2,"num":1230000},{"id":1,"num":1230000}]</v>
      </c>
      <c r="U207">
        <f t="shared" si="9"/>
        <v>12</v>
      </c>
    </row>
    <row r="208" spans="1:21" ht="16.5" x14ac:dyDescent="0.15">
      <c r="A208" s="3">
        <f>Sheet1!A210</f>
        <v>1406007</v>
      </c>
      <c r="B208" t="s">
        <v>1162</v>
      </c>
      <c r="C208">
        <v>14</v>
      </c>
      <c r="D208" t="s">
        <v>1163</v>
      </c>
      <c r="E208">
        <v>32</v>
      </c>
      <c r="F208" t="s">
        <v>1164</v>
      </c>
      <c r="G208">
        <v>2</v>
      </c>
      <c r="H208" t="s">
        <v>1163</v>
      </c>
      <c r="I208">
        <v>1230000</v>
      </c>
      <c r="J208" t="s">
        <v>1164</v>
      </c>
      <c r="K208">
        <v>1</v>
      </c>
      <c r="L208" t="s">
        <v>1163</v>
      </c>
      <c r="M208">
        <f t="shared" si="11"/>
        <v>1230000</v>
      </c>
      <c r="N208" t="s">
        <v>1165</v>
      </c>
      <c r="O208" t="str">
        <f t="shared" si="10"/>
        <v>[{"id":14,"num":32},{"id":2,"num":1230000},{"id":1,"num":1230000}]</v>
      </c>
      <c r="U208">
        <f t="shared" si="9"/>
        <v>12</v>
      </c>
    </row>
    <row r="209" spans="1:21" ht="16.5" x14ac:dyDescent="0.15">
      <c r="A209" s="3">
        <f>Sheet1!A211</f>
        <v>1406008</v>
      </c>
      <c r="B209" t="s">
        <v>1162</v>
      </c>
      <c r="C209">
        <v>14</v>
      </c>
      <c r="D209" t="s">
        <v>1163</v>
      </c>
      <c r="E209">
        <v>32</v>
      </c>
      <c r="F209" t="s">
        <v>1164</v>
      </c>
      <c r="G209">
        <v>2</v>
      </c>
      <c r="H209" t="s">
        <v>1163</v>
      </c>
      <c r="I209">
        <v>1230000</v>
      </c>
      <c r="J209" t="s">
        <v>1164</v>
      </c>
      <c r="K209">
        <v>1</v>
      </c>
      <c r="L209" t="s">
        <v>1163</v>
      </c>
      <c r="M209">
        <f t="shared" si="11"/>
        <v>1230000</v>
      </c>
      <c r="N209" t="s">
        <v>1165</v>
      </c>
      <c r="O209" t="str">
        <f t="shared" si="10"/>
        <v>[{"id":14,"num":32},{"id":2,"num":1230000},{"id":1,"num":1230000}]</v>
      </c>
      <c r="U209">
        <f t="shared" si="9"/>
        <v>12</v>
      </c>
    </row>
    <row r="210" spans="1:21" ht="16.5" x14ac:dyDescent="0.15">
      <c r="A210" s="3">
        <f>Sheet1!A212</f>
        <v>1406009</v>
      </c>
      <c r="B210" t="s">
        <v>1162</v>
      </c>
      <c r="C210">
        <v>14</v>
      </c>
      <c r="D210" t="s">
        <v>1163</v>
      </c>
      <c r="E210">
        <v>32</v>
      </c>
      <c r="F210" t="s">
        <v>1164</v>
      </c>
      <c r="G210">
        <v>2</v>
      </c>
      <c r="H210" t="s">
        <v>1163</v>
      </c>
      <c r="I210">
        <v>1230000</v>
      </c>
      <c r="J210" t="s">
        <v>1164</v>
      </c>
      <c r="K210">
        <v>1</v>
      </c>
      <c r="L210" t="s">
        <v>1163</v>
      </c>
      <c r="M210">
        <f t="shared" si="11"/>
        <v>1230000</v>
      </c>
      <c r="N210" t="s">
        <v>1165</v>
      </c>
      <c r="O210" t="str">
        <f t="shared" si="10"/>
        <v>[{"id":14,"num":32},{"id":2,"num":1230000},{"id":1,"num":1230000}]</v>
      </c>
      <c r="U210">
        <f t="shared" si="9"/>
        <v>12</v>
      </c>
    </row>
    <row r="211" spans="1:21" ht="16.5" x14ac:dyDescent="0.15">
      <c r="A211" s="3">
        <f>Sheet1!A213</f>
        <v>1406010</v>
      </c>
      <c r="B211" t="s">
        <v>1162</v>
      </c>
      <c r="C211">
        <v>14</v>
      </c>
      <c r="D211" t="s">
        <v>1163</v>
      </c>
      <c r="E211">
        <v>32</v>
      </c>
      <c r="F211" t="s">
        <v>1164</v>
      </c>
      <c r="G211">
        <v>2</v>
      </c>
      <c r="H211" t="s">
        <v>1163</v>
      </c>
      <c r="I211">
        <v>1230000</v>
      </c>
      <c r="J211" t="s">
        <v>1164</v>
      </c>
      <c r="K211">
        <v>1</v>
      </c>
      <c r="L211" t="s">
        <v>1163</v>
      </c>
      <c r="M211">
        <f t="shared" si="11"/>
        <v>1230000</v>
      </c>
      <c r="N211" t="s">
        <v>1165</v>
      </c>
      <c r="O211" t="str">
        <f t="shared" si="10"/>
        <v>[{"id":14,"num":32},{"id":2,"num":1230000},{"id":1,"num":1230000}]</v>
      </c>
      <c r="U211">
        <f t="shared" si="9"/>
        <v>12</v>
      </c>
    </row>
    <row r="212" spans="1:21" ht="16.5" x14ac:dyDescent="0.15">
      <c r="A212" s="3">
        <f>Sheet1!A214</f>
        <v>1406011</v>
      </c>
      <c r="B212" t="s">
        <v>1162</v>
      </c>
      <c r="C212">
        <v>14</v>
      </c>
      <c r="D212" t="s">
        <v>1163</v>
      </c>
      <c r="E212">
        <v>32</v>
      </c>
      <c r="F212" t="s">
        <v>1164</v>
      </c>
      <c r="G212">
        <v>2</v>
      </c>
      <c r="H212" t="s">
        <v>1163</v>
      </c>
      <c r="I212">
        <v>1230000</v>
      </c>
      <c r="J212" t="s">
        <v>1164</v>
      </c>
      <c r="K212">
        <v>1</v>
      </c>
      <c r="L212" t="s">
        <v>1163</v>
      </c>
      <c r="M212">
        <f t="shared" si="11"/>
        <v>1230000</v>
      </c>
      <c r="N212" t="s">
        <v>1165</v>
      </c>
      <c r="O212" t="str">
        <f t="shared" si="10"/>
        <v>[{"id":14,"num":32},{"id":2,"num":1230000},{"id":1,"num":1230000}]</v>
      </c>
      <c r="U212">
        <f t="shared" si="9"/>
        <v>12</v>
      </c>
    </row>
    <row r="213" spans="1:21" ht="16.5" x14ac:dyDescent="0.15">
      <c r="A213" s="3">
        <f>Sheet1!A215</f>
        <v>1406012</v>
      </c>
      <c r="B213" t="s">
        <v>1162</v>
      </c>
      <c r="C213">
        <v>14</v>
      </c>
      <c r="D213" t="s">
        <v>1163</v>
      </c>
      <c r="E213">
        <v>32</v>
      </c>
      <c r="F213" t="s">
        <v>1164</v>
      </c>
      <c r="G213">
        <v>2</v>
      </c>
      <c r="H213" t="s">
        <v>1163</v>
      </c>
      <c r="I213">
        <v>1230000</v>
      </c>
      <c r="J213" t="s">
        <v>1164</v>
      </c>
      <c r="K213">
        <v>1</v>
      </c>
      <c r="L213" t="s">
        <v>1163</v>
      </c>
      <c r="M213">
        <f t="shared" si="11"/>
        <v>1230000</v>
      </c>
      <c r="N213" t="s">
        <v>1165</v>
      </c>
      <c r="O213" t="str">
        <f t="shared" si="10"/>
        <v>[{"id":14,"num":32},{"id":2,"num":1230000},{"id":1,"num":1230000}]</v>
      </c>
      <c r="U213">
        <f t="shared" si="9"/>
        <v>12</v>
      </c>
    </row>
    <row r="214" spans="1:21" ht="16.5" x14ac:dyDescent="0.15">
      <c r="A214" s="3">
        <f>Sheet1!A216</f>
        <v>1406013</v>
      </c>
      <c r="B214" t="s">
        <v>1162</v>
      </c>
      <c r="C214">
        <v>14</v>
      </c>
      <c r="D214" t="s">
        <v>1163</v>
      </c>
      <c r="E214">
        <v>32</v>
      </c>
      <c r="F214" t="s">
        <v>1164</v>
      </c>
      <c r="G214">
        <v>2</v>
      </c>
      <c r="H214" t="s">
        <v>1163</v>
      </c>
      <c r="I214">
        <v>1230000</v>
      </c>
      <c r="J214" t="s">
        <v>1164</v>
      </c>
      <c r="K214">
        <v>1</v>
      </c>
      <c r="L214" t="s">
        <v>1163</v>
      </c>
      <c r="M214">
        <f t="shared" si="11"/>
        <v>1230000</v>
      </c>
      <c r="N214" t="s">
        <v>1165</v>
      </c>
      <c r="O214" t="str">
        <f t="shared" si="10"/>
        <v>[{"id":14,"num":32},{"id":2,"num":1230000},{"id":1,"num":1230000}]</v>
      </c>
      <c r="U214">
        <f t="shared" si="9"/>
        <v>12</v>
      </c>
    </row>
    <row r="215" spans="1:21" ht="16.5" x14ac:dyDescent="0.15">
      <c r="A215" s="3">
        <f>Sheet1!A217</f>
        <v>1406014</v>
      </c>
      <c r="B215" t="s">
        <v>1162</v>
      </c>
      <c r="C215">
        <v>14</v>
      </c>
      <c r="D215" t="s">
        <v>1163</v>
      </c>
      <c r="E215">
        <v>32</v>
      </c>
      <c r="F215" t="s">
        <v>1164</v>
      </c>
      <c r="G215">
        <v>2</v>
      </c>
      <c r="H215" t="s">
        <v>1163</v>
      </c>
      <c r="I215">
        <v>1230000</v>
      </c>
      <c r="J215" t="s">
        <v>1164</v>
      </c>
      <c r="K215">
        <v>1</v>
      </c>
      <c r="L215" t="s">
        <v>1163</v>
      </c>
      <c r="M215">
        <f t="shared" si="11"/>
        <v>1230000</v>
      </c>
      <c r="N215" t="s">
        <v>1165</v>
      </c>
      <c r="O215" t="str">
        <f t="shared" si="10"/>
        <v>[{"id":14,"num":32},{"id":2,"num":1230000},{"id":1,"num":1230000}]</v>
      </c>
      <c r="U215">
        <f t="shared" si="9"/>
        <v>12</v>
      </c>
    </row>
    <row r="216" spans="1:21" ht="16.5" x14ac:dyDescent="0.15">
      <c r="A216" s="3">
        <f>Sheet1!A218</f>
        <v>1406015</v>
      </c>
      <c r="B216" t="s">
        <v>1162</v>
      </c>
      <c r="C216">
        <v>14</v>
      </c>
      <c r="D216" t="s">
        <v>1163</v>
      </c>
      <c r="E216">
        <v>32</v>
      </c>
      <c r="F216" t="s">
        <v>1164</v>
      </c>
      <c r="G216">
        <v>2</v>
      </c>
      <c r="H216" t="s">
        <v>1163</v>
      </c>
      <c r="I216">
        <v>1230000</v>
      </c>
      <c r="J216" t="s">
        <v>1164</v>
      </c>
      <c r="K216">
        <v>1</v>
      </c>
      <c r="L216" t="s">
        <v>1163</v>
      </c>
      <c r="M216">
        <f t="shared" si="11"/>
        <v>1230000</v>
      </c>
      <c r="N216" t="s">
        <v>1165</v>
      </c>
      <c r="O216" t="str">
        <f t="shared" si="10"/>
        <v>[{"id":14,"num":32},{"id":2,"num":1230000},{"id":1,"num":1230000}]</v>
      </c>
      <c r="U216">
        <f t="shared" si="9"/>
        <v>12</v>
      </c>
    </row>
    <row r="217" spans="1:21" ht="16.5" x14ac:dyDescent="0.15">
      <c r="A217" s="3">
        <f>Sheet1!A219</f>
        <v>1406016</v>
      </c>
      <c r="B217" t="s">
        <v>1162</v>
      </c>
      <c r="C217">
        <v>14</v>
      </c>
      <c r="D217" t="s">
        <v>1163</v>
      </c>
      <c r="E217">
        <v>32</v>
      </c>
      <c r="F217" t="s">
        <v>1164</v>
      </c>
      <c r="G217">
        <v>2</v>
      </c>
      <c r="H217" t="s">
        <v>1163</v>
      </c>
      <c r="I217">
        <v>1230000</v>
      </c>
      <c r="J217" t="s">
        <v>1164</v>
      </c>
      <c r="K217">
        <v>1</v>
      </c>
      <c r="L217" t="s">
        <v>1163</v>
      </c>
      <c r="M217">
        <f t="shared" si="11"/>
        <v>1230000</v>
      </c>
      <c r="N217" t="s">
        <v>1165</v>
      </c>
      <c r="O217" t="str">
        <f t="shared" si="10"/>
        <v>[{"id":14,"num":32},{"id":2,"num":1230000},{"id":1,"num":1230000}]</v>
      </c>
      <c r="U217">
        <f t="shared" si="9"/>
        <v>12</v>
      </c>
    </row>
    <row r="218" spans="1:21" ht="16.5" x14ac:dyDescent="0.15">
      <c r="A218" s="3">
        <f>Sheet1!A220</f>
        <v>1406017</v>
      </c>
      <c r="B218" t="s">
        <v>1162</v>
      </c>
      <c r="C218">
        <v>14</v>
      </c>
      <c r="D218" t="s">
        <v>1163</v>
      </c>
      <c r="E218">
        <v>32</v>
      </c>
      <c r="F218" t="s">
        <v>1164</v>
      </c>
      <c r="G218">
        <v>2</v>
      </c>
      <c r="H218" t="s">
        <v>1163</v>
      </c>
      <c r="I218">
        <v>1230000</v>
      </c>
      <c r="J218" t="s">
        <v>1164</v>
      </c>
      <c r="K218">
        <v>1</v>
      </c>
      <c r="L218" t="s">
        <v>1163</v>
      </c>
      <c r="M218">
        <f t="shared" si="11"/>
        <v>1230000</v>
      </c>
      <c r="N218" t="s">
        <v>1165</v>
      </c>
      <c r="O218" t="str">
        <f t="shared" si="10"/>
        <v>[{"id":14,"num":32},{"id":2,"num":1230000},{"id":1,"num":1230000}]</v>
      </c>
      <c r="U218">
        <f t="shared" si="9"/>
        <v>12</v>
      </c>
    </row>
    <row r="219" spans="1:21" ht="16.5" x14ac:dyDescent="0.15">
      <c r="A219" s="3">
        <f>Sheet1!A221</f>
        <v>1406018</v>
      </c>
      <c r="B219" t="s">
        <v>1162</v>
      </c>
      <c r="C219">
        <v>14</v>
      </c>
      <c r="D219" t="s">
        <v>1163</v>
      </c>
      <c r="E219">
        <v>32</v>
      </c>
      <c r="F219" t="s">
        <v>1164</v>
      </c>
      <c r="G219">
        <v>2</v>
      </c>
      <c r="H219" t="s">
        <v>1163</v>
      </c>
      <c r="I219">
        <v>1230000</v>
      </c>
      <c r="J219" t="s">
        <v>1164</v>
      </c>
      <c r="K219">
        <v>1</v>
      </c>
      <c r="L219" t="s">
        <v>1163</v>
      </c>
      <c r="M219">
        <f t="shared" si="11"/>
        <v>1230000</v>
      </c>
      <c r="N219" t="s">
        <v>1165</v>
      </c>
      <c r="O219" t="str">
        <f t="shared" si="10"/>
        <v>[{"id":14,"num":32},{"id":2,"num":1230000},{"id":1,"num":1230000}]</v>
      </c>
      <c r="U219">
        <f t="shared" si="9"/>
        <v>12</v>
      </c>
    </row>
    <row r="220" spans="1:21" ht="16.5" x14ac:dyDescent="0.15">
      <c r="A220" s="3">
        <f>Sheet1!A222</f>
        <v>1406019</v>
      </c>
      <c r="B220" t="s">
        <v>1162</v>
      </c>
      <c r="C220">
        <v>14</v>
      </c>
      <c r="D220" t="s">
        <v>1163</v>
      </c>
      <c r="E220">
        <v>32</v>
      </c>
      <c r="F220" t="s">
        <v>1164</v>
      </c>
      <c r="G220">
        <v>2</v>
      </c>
      <c r="H220" t="s">
        <v>1163</v>
      </c>
      <c r="I220">
        <v>1230000</v>
      </c>
      <c r="J220" t="s">
        <v>1164</v>
      </c>
      <c r="K220">
        <v>1</v>
      </c>
      <c r="L220" t="s">
        <v>1163</v>
      </c>
      <c r="M220">
        <f t="shared" si="11"/>
        <v>1230000</v>
      </c>
      <c r="N220" t="s">
        <v>1165</v>
      </c>
      <c r="O220" t="str">
        <f t="shared" si="10"/>
        <v>[{"id":14,"num":32},{"id":2,"num":1230000},{"id":1,"num":1230000}]</v>
      </c>
      <c r="U220">
        <f t="shared" si="9"/>
        <v>12</v>
      </c>
    </row>
    <row r="221" spans="1:21" ht="16.5" x14ac:dyDescent="0.15">
      <c r="A221" s="3">
        <f>Sheet1!A223</f>
        <v>1406020</v>
      </c>
      <c r="B221" t="s">
        <v>1162</v>
      </c>
      <c r="C221">
        <v>14</v>
      </c>
      <c r="D221" t="s">
        <v>1163</v>
      </c>
      <c r="E221">
        <v>32</v>
      </c>
      <c r="F221" t="s">
        <v>1164</v>
      </c>
      <c r="G221">
        <v>2</v>
      </c>
      <c r="H221" t="s">
        <v>1163</v>
      </c>
      <c r="I221">
        <v>1230000</v>
      </c>
      <c r="J221" t="s">
        <v>1164</v>
      </c>
      <c r="K221">
        <v>1</v>
      </c>
      <c r="L221" t="s">
        <v>1163</v>
      </c>
      <c r="M221">
        <f t="shared" si="11"/>
        <v>1230000</v>
      </c>
      <c r="N221" t="s">
        <v>1165</v>
      </c>
      <c r="O221" t="str">
        <f t="shared" si="10"/>
        <v>[{"id":14,"num":32},{"id":2,"num":1230000},{"id":1,"num":1230000}]</v>
      </c>
      <c r="U221">
        <f t="shared" si="9"/>
        <v>12</v>
      </c>
    </row>
    <row r="222" spans="1:21" ht="16.5" x14ac:dyDescent="0.15">
      <c r="A222" s="3">
        <f>Sheet1!A224</f>
        <v>1406021</v>
      </c>
      <c r="B222" t="s">
        <v>1162</v>
      </c>
      <c r="C222">
        <v>14</v>
      </c>
      <c r="D222" t="s">
        <v>1163</v>
      </c>
      <c r="E222">
        <v>36</v>
      </c>
      <c r="F222" t="s">
        <v>1164</v>
      </c>
      <c r="G222">
        <v>2</v>
      </c>
      <c r="H222" t="s">
        <v>1163</v>
      </c>
      <c r="I222">
        <v>1264000</v>
      </c>
      <c r="J222" t="s">
        <v>1164</v>
      </c>
      <c r="K222">
        <v>1</v>
      </c>
      <c r="L222" t="s">
        <v>1163</v>
      </c>
      <c r="M222">
        <v>1260000</v>
      </c>
      <c r="N222" t="s">
        <v>1165</v>
      </c>
      <c r="O222" t="str">
        <f t="shared" si="10"/>
        <v>[{"id":14,"num":36},{"id":2,"num":1264000},{"id":1,"num":1260000}]</v>
      </c>
      <c r="U222">
        <f t="shared" si="9"/>
        <v>14</v>
      </c>
    </row>
    <row r="223" spans="1:21" ht="16.5" x14ac:dyDescent="0.15">
      <c r="A223" s="3">
        <f>Sheet1!A225</f>
        <v>1406022</v>
      </c>
      <c r="B223" t="s">
        <v>1162</v>
      </c>
      <c r="C223">
        <v>14</v>
      </c>
      <c r="D223" t="s">
        <v>1163</v>
      </c>
      <c r="E223">
        <v>36</v>
      </c>
      <c r="F223" t="s">
        <v>1164</v>
      </c>
      <c r="G223">
        <v>2</v>
      </c>
      <c r="H223" t="s">
        <v>1163</v>
      </c>
      <c r="I223">
        <v>1264000</v>
      </c>
      <c r="J223" t="s">
        <v>1164</v>
      </c>
      <c r="K223">
        <v>1</v>
      </c>
      <c r="L223" t="s">
        <v>1163</v>
      </c>
      <c r="M223">
        <v>1260000</v>
      </c>
      <c r="N223" t="s">
        <v>1165</v>
      </c>
      <c r="O223" t="str">
        <f t="shared" si="10"/>
        <v>[{"id":14,"num":36},{"id":2,"num":1264000},{"id":1,"num":1260000}]</v>
      </c>
      <c r="U223">
        <f t="shared" si="9"/>
        <v>14</v>
      </c>
    </row>
    <row r="224" spans="1:21" ht="16.5" x14ac:dyDescent="0.15">
      <c r="A224" s="3">
        <f>Sheet1!A226</f>
        <v>1406023</v>
      </c>
      <c r="B224" t="s">
        <v>1162</v>
      </c>
      <c r="C224">
        <v>14</v>
      </c>
      <c r="D224" t="s">
        <v>1163</v>
      </c>
      <c r="E224">
        <v>36</v>
      </c>
      <c r="F224" t="s">
        <v>1164</v>
      </c>
      <c r="G224">
        <v>2</v>
      </c>
      <c r="H224" t="s">
        <v>1163</v>
      </c>
      <c r="I224">
        <v>1264000</v>
      </c>
      <c r="J224" t="s">
        <v>1164</v>
      </c>
      <c r="K224">
        <v>1</v>
      </c>
      <c r="L224" t="s">
        <v>1163</v>
      </c>
      <c r="M224">
        <v>1260000</v>
      </c>
      <c r="N224" t="s">
        <v>1165</v>
      </c>
      <c r="O224" t="str">
        <f t="shared" si="10"/>
        <v>[{"id":14,"num":36},{"id":2,"num":1264000},{"id":1,"num":1260000}]</v>
      </c>
      <c r="U224">
        <f t="shared" si="9"/>
        <v>14</v>
      </c>
    </row>
    <row r="225" spans="1:21" ht="16.5" x14ac:dyDescent="0.15">
      <c r="A225" s="3">
        <f>Sheet1!A227</f>
        <v>1406024</v>
      </c>
      <c r="B225" t="s">
        <v>1162</v>
      </c>
      <c r="C225">
        <v>14</v>
      </c>
      <c r="D225" t="s">
        <v>1163</v>
      </c>
      <c r="E225">
        <v>36</v>
      </c>
      <c r="F225" t="s">
        <v>1164</v>
      </c>
      <c r="G225">
        <v>2</v>
      </c>
      <c r="H225" t="s">
        <v>1163</v>
      </c>
      <c r="I225">
        <v>1264000</v>
      </c>
      <c r="J225" t="s">
        <v>1164</v>
      </c>
      <c r="K225">
        <v>1</v>
      </c>
      <c r="L225" t="s">
        <v>1163</v>
      </c>
      <c r="M225">
        <v>1260000</v>
      </c>
      <c r="N225" t="s">
        <v>1165</v>
      </c>
      <c r="O225" t="str">
        <f t="shared" si="10"/>
        <v>[{"id":14,"num":36},{"id":2,"num":1264000},{"id":1,"num":1260000}]</v>
      </c>
      <c r="U225">
        <f t="shared" si="9"/>
        <v>14</v>
      </c>
    </row>
    <row r="226" spans="1:21" ht="16.5" x14ac:dyDescent="0.15">
      <c r="A226" s="3">
        <f>Sheet1!A228</f>
        <v>1406025</v>
      </c>
      <c r="B226" t="s">
        <v>1162</v>
      </c>
      <c r="C226">
        <v>14</v>
      </c>
      <c r="D226" t="s">
        <v>1163</v>
      </c>
      <c r="E226">
        <v>36</v>
      </c>
      <c r="F226" t="s">
        <v>1164</v>
      </c>
      <c r="G226">
        <v>2</v>
      </c>
      <c r="H226" t="s">
        <v>1163</v>
      </c>
      <c r="I226">
        <v>1264000</v>
      </c>
      <c r="J226" t="s">
        <v>1164</v>
      </c>
      <c r="K226">
        <v>1</v>
      </c>
      <c r="L226" t="s">
        <v>1163</v>
      </c>
      <c r="M226">
        <v>1260000</v>
      </c>
      <c r="N226" t="s">
        <v>1165</v>
      </c>
      <c r="O226" t="str">
        <f t="shared" si="10"/>
        <v>[{"id":14,"num":36},{"id":2,"num":1264000},{"id":1,"num":1260000}]</v>
      </c>
      <c r="U226">
        <f t="shared" si="9"/>
        <v>14</v>
      </c>
    </row>
    <row r="227" spans="1:21" ht="16.5" x14ac:dyDescent="0.15">
      <c r="A227" s="3">
        <f>Sheet1!A229</f>
        <v>1406026</v>
      </c>
      <c r="B227" t="s">
        <v>1162</v>
      </c>
      <c r="C227">
        <v>14</v>
      </c>
      <c r="D227" t="s">
        <v>1163</v>
      </c>
      <c r="E227">
        <v>36</v>
      </c>
      <c r="F227" t="s">
        <v>1164</v>
      </c>
      <c r="G227">
        <v>2</v>
      </c>
      <c r="H227" t="s">
        <v>1163</v>
      </c>
      <c r="I227">
        <v>1264000</v>
      </c>
      <c r="J227" t="s">
        <v>1164</v>
      </c>
      <c r="K227">
        <v>1</v>
      </c>
      <c r="L227" t="s">
        <v>1163</v>
      </c>
      <c r="M227">
        <v>1260000</v>
      </c>
      <c r="N227" t="s">
        <v>1165</v>
      </c>
      <c r="O227" t="str">
        <f t="shared" si="10"/>
        <v>[{"id":14,"num":36},{"id":2,"num":1264000},{"id":1,"num":1260000}]</v>
      </c>
      <c r="U227">
        <f t="shared" si="9"/>
        <v>14</v>
      </c>
    </row>
    <row r="228" spans="1:21" ht="16.5" x14ac:dyDescent="0.15">
      <c r="A228" s="3">
        <f>Sheet1!A230</f>
        <v>1406027</v>
      </c>
      <c r="B228" t="s">
        <v>1162</v>
      </c>
      <c r="C228">
        <v>14</v>
      </c>
      <c r="D228" t="s">
        <v>1163</v>
      </c>
      <c r="E228">
        <v>36</v>
      </c>
      <c r="F228" t="s">
        <v>1164</v>
      </c>
      <c r="G228">
        <v>2</v>
      </c>
      <c r="H228" t="s">
        <v>1163</v>
      </c>
      <c r="I228">
        <v>1264000</v>
      </c>
      <c r="J228" t="s">
        <v>1164</v>
      </c>
      <c r="K228">
        <v>1</v>
      </c>
      <c r="L228" t="s">
        <v>1163</v>
      </c>
      <c r="M228">
        <v>1260000</v>
      </c>
      <c r="N228" t="s">
        <v>1165</v>
      </c>
      <c r="O228" t="str">
        <f t="shared" si="10"/>
        <v>[{"id":14,"num":36},{"id":2,"num":1264000},{"id":1,"num":1260000}]</v>
      </c>
      <c r="U228">
        <f t="shared" si="9"/>
        <v>14</v>
      </c>
    </row>
    <row r="229" spans="1:21" ht="16.5" x14ac:dyDescent="0.15">
      <c r="A229" s="3">
        <f>Sheet1!A231</f>
        <v>1406028</v>
      </c>
      <c r="B229" t="s">
        <v>1162</v>
      </c>
      <c r="C229">
        <v>14</v>
      </c>
      <c r="D229" t="s">
        <v>1163</v>
      </c>
      <c r="E229">
        <v>36</v>
      </c>
      <c r="F229" t="s">
        <v>1164</v>
      </c>
      <c r="G229">
        <v>2</v>
      </c>
      <c r="H229" t="s">
        <v>1163</v>
      </c>
      <c r="I229">
        <v>1264000</v>
      </c>
      <c r="J229" t="s">
        <v>1164</v>
      </c>
      <c r="K229">
        <v>1</v>
      </c>
      <c r="L229" t="s">
        <v>1163</v>
      </c>
      <c r="M229">
        <v>1260000</v>
      </c>
      <c r="N229" t="s">
        <v>1165</v>
      </c>
      <c r="O229" t="str">
        <f t="shared" si="10"/>
        <v>[{"id":14,"num":36},{"id":2,"num":1264000},{"id":1,"num":1260000}]</v>
      </c>
      <c r="U229">
        <f t="shared" si="9"/>
        <v>14</v>
      </c>
    </row>
    <row r="230" spans="1:21" ht="16.5" x14ac:dyDescent="0.15">
      <c r="A230" s="3">
        <f>Sheet1!A232</f>
        <v>1406029</v>
      </c>
      <c r="B230" t="s">
        <v>1162</v>
      </c>
      <c r="C230">
        <v>14</v>
      </c>
      <c r="D230" t="s">
        <v>1163</v>
      </c>
      <c r="E230">
        <v>36</v>
      </c>
      <c r="F230" t="s">
        <v>1164</v>
      </c>
      <c r="G230">
        <v>2</v>
      </c>
      <c r="H230" t="s">
        <v>1163</v>
      </c>
      <c r="I230">
        <v>1264000</v>
      </c>
      <c r="J230" t="s">
        <v>1164</v>
      </c>
      <c r="K230">
        <v>1</v>
      </c>
      <c r="L230" t="s">
        <v>1163</v>
      </c>
      <c r="M230">
        <v>1260000</v>
      </c>
      <c r="N230" t="s">
        <v>1165</v>
      </c>
      <c r="O230" t="str">
        <f t="shared" si="10"/>
        <v>[{"id":14,"num":36},{"id":2,"num":1264000},{"id":1,"num":1260000}]</v>
      </c>
      <c r="U230">
        <f t="shared" si="9"/>
        <v>14</v>
      </c>
    </row>
    <row r="231" spans="1:21" ht="16.5" x14ac:dyDescent="0.15">
      <c r="A231" s="3">
        <f>Sheet1!A233</f>
        <v>1406030</v>
      </c>
      <c r="B231" t="s">
        <v>1162</v>
      </c>
      <c r="C231">
        <v>14</v>
      </c>
      <c r="D231" t="s">
        <v>1163</v>
      </c>
      <c r="E231">
        <v>36</v>
      </c>
      <c r="F231" t="s">
        <v>1164</v>
      </c>
      <c r="G231">
        <v>2</v>
      </c>
      <c r="H231" t="s">
        <v>1163</v>
      </c>
      <c r="I231">
        <v>1264000</v>
      </c>
      <c r="J231" t="s">
        <v>1164</v>
      </c>
      <c r="K231">
        <v>1</v>
      </c>
      <c r="L231" t="s">
        <v>1163</v>
      </c>
      <c r="M231">
        <v>1260000</v>
      </c>
      <c r="N231" t="s">
        <v>1165</v>
      </c>
      <c r="O231" t="str">
        <f t="shared" si="10"/>
        <v>[{"id":14,"num":36},{"id":2,"num":1264000},{"id":1,"num":1260000}]</v>
      </c>
      <c r="U231">
        <f t="shared" si="9"/>
        <v>14</v>
      </c>
    </row>
    <row r="232" spans="1:21" ht="16.5" x14ac:dyDescent="0.15">
      <c r="A232" s="3">
        <f>Sheet1!A234</f>
        <v>1406031</v>
      </c>
      <c r="B232" t="s">
        <v>1162</v>
      </c>
      <c r="C232">
        <v>14</v>
      </c>
      <c r="D232" t="s">
        <v>1163</v>
      </c>
      <c r="E232">
        <v>36</v>
      </c>
      <c r="F232" t="s">
        <v>1164</v>
      </c>
      <c r="G232">
        <v>2</v>
      </c>
      <c r="H232" t="s">
        <v>1163</v>
      </c>
      <c r="I232">
        <v>1264000</v>
      </c>
      <c r="J232" t="s">
        <v>1164</v>
      </c>
      <c r="K232">
        <v>1</v>
      </c>
      <c r="L232" t="s">
        <v>1163</v>
      </c>
      <c r="M232">
        <v>1260000</v>
      </c>
      <c r="N232" t="s">
        <v>1165</v>
      </c>
      <c r="O232" t="str">
        <f t="shared" si="10"/>
        <v>[{"id":14,"num":36},{"id":2,"num":1264000},{"id":1,"num":1260000}]</v>
      </c>
      <c r="U232">
        <f t="shared" si="9"/>
        <v>14</v>
      </c>
    </row>
    <row r="233" spans="1:21" ht="16.5" x14ac:dyDescent="0.15">
      <c r="A233" s="3">
        <f>Sheet1!A235</f>
        <v>1406032</v>
      </c>
      <c r="B233" t="s">
        <v>1162</v>
      </c>
      <c r="C233">
        <v>14</v>
      </c>
      <c r="D233" t="s">
        <v>1163</v>
      </c>
      <c r="E233">
        <v>36</v>
      </c>
      <c r="F233" t="s">
        <v>1164</v>
      </c>
      <c r="G233">
        <v>2</v>
      </c>
      <c r="H233" t="s">
        <v>1163</v>
      </c>
      <c r="I233">
        <v>1264000</v>
      </c>
      <c r="J233" t="s">
        <v>1164</v>
      </c>
      <c r="K233">
        <v>1</v>
      </c>
      <c r="L233" t="s">
        <v>1163</v>
      </c>
      <c r="M233">
        <v>1260000</v>
      </c>
      <c r="N233" t="s">
        <v>1165</v>
      </c>
      <c r="O233" t="str">
        <f t="shared" si="10"/>
        <v>[{"id":14,"num":36},{"id":2,"num":1264000},{"id":1,"num":1260000}]</v>
      </c>
      <c r="U233">
        <f t="shared" si="9"/>
        <v>14</v>
      </c>
    </row>
    <row r="234" spans="1:21" ht="16.5" x14ac:dyDescent="0.15">
      <c r="A234" s="3">
        <f>Sheet1!A236</f>
        <v>1406033</v>
      </c>
      <c r="B234" t="s">
        <v>1162</v>
      </c>
      <c r="C234">
        <v>14</v>
      </c>
      <c r="D234" t="s">
        <v>1163</v>
      </c>
      <c r="E234">
        <v>36</v>
      </c>
      <c r="F234" t="s">
        <v>1164</v>
      </c>
      <c r="G234">
        <v>2</v>
      </c>
      <c r="H234" t="s">
        <v>1163</v>
      </c>
      <c r="I234">
        <v>1264000</v>
      </c>
      <c r="J234" t="s">
        <v>1164</v>
      </c>
      <c r="K234">
        <v>1</v>
      </c>
      <c r="L234" t="s">
        <v>1163</v>
      </c>
      <c r="M234">
        <v>1260000</v>
      </c>
      <c r="N234" t="s">
        <v>1165</v>
      </c>
      <c r="O234" t="str">
        <f t="shared" si="10"/>
        <v>[{"id":14,"num":36},{"id":2,"num":1264000},{"id":1,"num":1260000}]</v>
      </c>
      <c r="U234">
        <f t="shared" si="9"/>
        <v>14</v>
      </c>
    </row>
    <row r="235" spans="1:21" ht="16.5" x14ac:dyDescent="0.15">
      <c r="A235" s="3">
        <f>Sheet1!A237</f>
        <v>1406034</v>
      </c>
      <c r="B235" t="s">
        <v>1162</v>
      </c>
      <c r="C235">
        <v>14</v>
      </c>
      <c r="D235" t="s">
        <v>1163</v>
      </c>
      <c r="E235">
        <v>36</v>
      </c>
      <c r="F235" t="s">
        <v>1164</v>
      </c>
      <c r="G235">
        <v>2</v>
      </c>
      <c r="H235" t="s">
        <v>1163</v>
      </c>
      <c r="I235">
        <v>1264000</v>
      </c>
      <c r="J235" t="s">
        <v>1164</v>
      </c>
      <c r="K235">
        <v>1</v>
      </c>
      <c r="L235" t="s">
        <v>1163</v>
      </c>
      <c r="M235">
        <v>1260000</v>
      </c>
      <c r="N235" t="s">
        <v>1165</v>
      </c>
      <c r="O235" t="str">
        <f t="shared" si="10"/>
        <v>[{"id":14,"num":36},{"id":2,"num":1264000},{"id":1,"num":1260000}]</v>
      </c>
      <c r="U235">
        <f t="shared" si="9"/>
        <v>14</v>
      </c>
    </row>
    <row r="236" spans="1:21" ht="16.5" x14ac:dyDescent="0.15">
      <c r="A236" s="3">
        <f>Sheet1!A238</f>
        <v>1406035</v>
      </c>
      <c r="B236" t="s">
        <v>1162</v>
      </c>
      <c r="C236">
        <v>14</v>
      </c>
      <c r="D236" t="s">
        <v>1163</v>
      </c>
      <c r="E236">
        <v>36</v>
      </c>
      <c r="F236" t="s">
        <v>1164</v>
      </c>
      <c r="G236">
        <v>2</v>
      </c>
      <c r="H236" t="s">
        <v>1163</v>
      </c>
      <c r="I236">
        <v>1264000</v>
      </c>
      <c r="J236" t="s">
        <v>1164</v>
      </c>
      <c r="K236">
        <v>1</v>
      </c>
      <c r="L236" t="s">
        <v>1163</v>
      </c>
      <c r="M236">
        <v>1260000</v>
      </c>
      <c r="N236" t="s">
        <v>1165</v>
      </c>
      <c r="O236" t="str">
        <f t="shared" si="10"/>
        <v>[{"id":14,"num":36},{"id":2,"num":1264000},{"id":1,"num":1260000}]</v>
      </c>
      <c r="U236">
        <f t="shared" si="9"/>
        <v>14</v>
      </c>
    </row>
    <row r="237" spans="1:21" ht="16.5" x14ac:dyDescent="0.15">
      <c r="A237" s="3">
        <f>Sheet1!A239</f>
        <v>1406036</v>
      </c>
      <c r="B237" t="s">
        <v>1162</v>
      </c>
      <c r="C237">
        <v>14</v>
      </c>
      <c r="D237" t="s">
        <v>1163</v>
      </c>
      <c r="E237">
        <v>36</v>
      </c>
      <c r="F237" t="s">
        <v>1164</v>
      </c>
      <c r="G237">
        <v>2</v>
      </c>
      <c r="H237" t="s">
        <v>1163</v>
      </c>
      <c r="I237">
        <v>1264000</v>
      </c>
      <c r="J237" t="s">
        <v>1164</v>
      </c>
      <c r="K237">
        <v>1</v>
      </c>
      <c r="L237" t="s">
        <v>1163</v>
      </c>
      <c r="M237">
        <v>1260000</v>
      </c>
      <c r="N237" t="s">
        <v>1165</v>
      </c>
      <c r="O237" t="str">
        <f t="shared" si="10"/>
        <v>[{"id":14,"num":36},{"id":2,"num":1264000},{"id":1,"num":1260000}]</v>
      </c>
      <c r="U237">
        <f t="shared" si="9"/>
        <v>14</v>
      </c>
    </row>
    <row r="238" spans="1:21" ht="16.5" x14ac:dyDescent="0.15">
      <c r="A238" s="3">
        <f>Sheet1!A240</f>
        <v>1406037</v>
      </c>
      <c r="B238" t="s">
        <v>1162</v>
      </c>
      <c r="C238">
        <v>14</v>
      </c>
      <c r="D238" t="s">
        <v>1163</v>
      </c>
      <c r="E238">
        <v>36</v>
      </c>
      <c r="F238" t="s">
        <v>1164</v>
      </c>
      <c r="G238">
        <v>2</v>
      </c>
      <c r="H238" t="s">
        <v>1163</v>
      </c>
      <c r="I238">
        <v>1264000</v>
      </c>
      <c r="J238" t="s">
        <v>1164</v>
      </c>
      <c r="K238">
        <v>1</v>
      </c>
      <c r="L238" t="s">
        <v>1163</v>
      </c>
      <c r="M238">
        <v>1260000</v>
      </c>
      <c r="N238" t="s">
        <v>1165</v>
      </c>
      <c r="O238" t="str">
        <f t="shared" si="10"/>
        <v>[{"id":14,"num":36},{"id":2,"num":1264000},{"id":1,"num":1260000}]</v>
      </c>
      <c r="U238">
        <f t="shared" si="9"/>
        <v>14</v>
      </c>
    </row>
    <row r="239" spans="1:21" ht="16.5" x14ac:dyDescent="0.15">
      <c r="A239" s="3">
        <f>Sheet1!A241</f>
        <v>1406038</v>
      </c>
      <c r="B239" t="s">
        <v>1162</v>
      </c>
      <c r="C239">
        <v>14</v>
      </c>
      <c r="D239" t="s">
        <v>1163</v>
      </c>
      <c r="E239">
        <v>36</v>
      </c>
      <c r="F239" t="s">
        <v>1164</v>
      </c>
      <c r="G239">
        <v>2</v>
      </c>
      <c r="H239" t="s">
        <v>1163</v>
      </c>
      <c r="I239">
        <v>1264000</v>
      </c>
      <c r="J239" t="s">
        <v>1164</v>
      </c>
      <c r="K239">
        <v>1</v>
      </c>
      <c r="L239" t="s">
        <v>1163</v>
      </c>
      <c r="M239">
        <v>1260000</v>
      </c>
      <c r="N239" t="s">
        <v>1165</v>
      </c>
      <c r="O239" t="str">
        <f t="shared" si="10"/>
        <v>[{"id":14,"num":36},{"id":2,"num":1264000},{"id":1,"num":1260000}]</v>
      </c>
      <c r="U239">
        <f t="shared" si="9"/>
        <v>14</v>
      </c>
    </row>
    <row r="240" spans="1:21" ht="16.5" x14ac:dyDescent="0.15">
      <c r="A240" s="3">
        <f>Sheet1!A242</f>
        <v>1406039</v>
      </c>
      <c r="B240" t="s">
        <v>1162</v>
      </c>
      <c r="C240">
        <v>14</v>
      </c>
      <c r="D240" t="s">
        <v>1163</v>
      </c>
      <c r="E240">
        <v>36</v>
      </c>
      <c r="F240" t="s">
        <v>1164</v>
      </c>
      <c r="G240">
        <v>2</v>
      </c>
      <c r="H240" t="s">
        <v>1163</v>
      </c>
      <c r="I240">
        <v>1264000</v>
      </c>
      <c r="J240" t="s">
        <v>1164</v>
      </c>
      <c r="K240">
        <v>1</v>
      </c>
      <c r="L240" t="s">
        <v>1163</v>
      </c>
      <c r="M240">
        <v>1260000</v>
      </c>
      <c r="N240" t="s">
        <v>1165</v>
      </c>
      <c r="O240" t="str">
        <f t="shared" si="10"/>
        <v>[{"id":14,"num":36},{"id":2,"num":1264000},{"id":1,"num":1260000}]</v>
      </c>
      <c r="U240">
        <f t="shared" si="9"/>
        <v>14</v>
      </c>
    </row>
    <row r="241" spans="1:21" ht="16.5" x14ac:dyDescent="0.15">
      <c r="A241" s="3">
        <f>Sheet1!A243</f>
        <v>1406040</v>
      </c>
      <c r="B241" t="s">
        <v>1162</v>
      </c>
      <c r="C241">
        <v>14</v>
      </c>
      <c r="D241" t="s">
        <v>1163</v>
      </c>
      <c r="E241">
        <v>36</v>
      </c>
      <c r="F241" t="s">
        <v>1164</v>
      </c>
      <c r="G241">
        <v>2</v>
      </c>
      <c r="H241" t="s">
        <v>1163</v>
      </c>
      <c r="I241">
        <v>1264000</v>
      </c>
      <c r="J241" t="s">
        <v>1164</v>
      </c>
      <c r="K241">
        <v>1</v>
      </c>
      <c r="L241" t="s">
        <v>1163</v>
      </c>
      <c r="M241">
        <v>1260000</v>
      </c>
      <c r="N241" t="s">
        <v>1165</v>
      </c>
      <c r="O241" t="str">
        <f t="shared" si="10"/>
        <v>[{"id":14,"num":36},{"id":2,"num":1264000},{"id":1,"num":1260000}]</v>
      </c>
      <c r="U241">
        <f t="shared" si="9"/>
        <v>14</v>
      </c>
    </row>
    <row r="242" spans="1:21" ht="16.5" x14ac:dyDescent="0.15">
      <c r="A242" s="3">
        <f>Sheet1!A244</f>
        <v>1407001</v>
      </c>
      <c r="B242" t="s">
        <v>1162</v>
      </c>
      <c r="C242">
        <v>14</v>
      </c>
      <c r="D242" t="s">
        <v>1163</v>
      </c>
      <c r="E242">
        <v>36</v>
      </c>
      <c r="F242" t="s">
        <v>1164</v>
      </c>
      <c r="G242">
        <v>2</v>
      </c>
      <c r="H242" t="s">
        <v>1163</v>
      </c>
      <c r="I242">
        <v>1424000</v>
      </c>
      <c r="J242" t="s">
        <v>1164</v>
      </c>
      <c r="K242">
        <v>1</v>
      </c>
      <c r="L242" t="s">
        <v>1163</v>
      </c>
      <c r="M242">
        <v>1420000</v>
      </c>
      <c r="N242" t="s">
        <v>1165</v>
      </c>
      <c r="O242" t="str">
        <f t="shared" si="10"/>
        <v>[{"id":14,"num":36},{"id":2,"num":1424000},{"id":1,"num":1420000}]</v>
      </c>
      <c r="U242">
        <f t="shared" si="9"/>
        <v>14</v>
      </c>
    </row>
    <row r="243" spans="1:21" ht="16.5" x14ac:dyDescent="0.15">
      <c r="A243" s="3">
        <f>Sheet1!A245</f>
        <v>1407002</v>
      </c>
      <c r="B243" t="s">
        <v>1162</v>
      </c>
      <c r="C243">
        <v>14</v>
      </c>
      <c r="D243" t="s">
        <v>1163</v>
      </c>
      <c r="E243">
        <v>36</v>
      </c>
      <c r="F243" t="s">
        <v>1164</v>
      </c>
      <c r="G243">
        <v>2</v>
      </c>
      <c r="H243" t="s">
        <v>1163</v>
      </c>
      <c r="I243">
        <v>1424000</v>
      </c>
      <c r="J243" t="s">
        <v>1164</v>
      </c>
      <c r="K243">
        <v>1</v>
      </c>
      <c r="L243" t="s">
        <v>1163</v>
      </c>
      <c r="M243">
        <v>1420000</v>
      </c>
      <c r="N243" t="s">
        <v>1165</v>
      </c>
      <c r="O243" t="str">
        <f t="shared" si="10"/>
        <v>[{"id":14,"num":36},{"id":2,"num":1424000},{"id":1,"num":1420000}]</v>
      </c>
      <c r="U243">
        <f t="shared" si="9"/>
        <v>14</v>
      </c>
    </row>
    <row r="244" spans="1:21" ht="16.5" x14ac:dyDescent="0.15">
      <c r="A244" s="3">
        <f>Sheet1!A246</f>
        <v>1407003</v>
      </c>
      <c r="B244" t="s">
        <v>1162</v>
      </c>
      <c r="C244">
        <v>14</v>
      </c>
      <c r="D244" t="s">
        <v>1163</v>
      </c>
      <c r="E244">
        <v>36</v>
      </c>
      <c r="F244" t="s">
        <v>1164</v>
      </c>
      <c r="G244">
        <v>2</v>
      </c>
      <c r="H244" t="s">
        <v>1163</v>
      </c>
      <c r="I244">
        <v>1424000</v>
      </c>
      <c r="J244" t="s">
        <v>1164</v>
      </c>
      <c r="K244">
        <v>1</v>
      </c>
      <c r="L244" t="s">
        <v>1163</v>
      </c>
      <c r="M244">
        <v>1420000</v>
      </c>
      <c r="N244" t="s">
        <v>1165</v>
      </c>
      <c r="O244" t="str">
        <f t="shared" si="10"/>
        <v>[{"id":14,"num":36},{"id":2,"num":1424000},{"id":1,"num":1420000}]</v>
      </c>
      <c r="U244">
        <f t="shared" ref="U244:U307" si="12">INT(E244*0.4)</f>
        <v>14</v>
      </c>
    </row>
    <row r="245" spans="1:21" ht="16.5" x14ac:dyDescent="0.15">
      <c r="A245" s="3">
        <f>Sheet1!A247</f>
        <v>1407004</v>
      </c>
      <c r="B245" t="s">
        <v>1162</v>
      </c>
      <c r="C245">
        <v>14</v>
      </c>
      <c r="D245" t="s">
        <v>1163</v>
      </c>
      <c r="E245">
        <v>36</v>
      </c>
      <c r="F245" t="s">
        <v>1164</v>
      </c>
      <c r="G245">
        <v>2</v>
      </c>
      <c r="H245" t="s">
        <v>1163</v>
      </c>
      <c r="I245">
        <v>1424000</v>
      </c>
      <c r="J245" t="s">
        <v>1164</v>
      </c>
      <c r="K245">
        <v>1</v>
      </c>
      <c r="L245" t="s">
        <v>1163</v>
      </c>
      <c r="M245">
        <v>1420000</v>
      </c>
      <c r="N245" t="s">
        <v>1165</v>
      </c>
      <c r="O245" t="str">
        <f t="shared" si="10"/>
        <v>[{"id":14,"num":36},{"id":2,"num":1424000},{"id":1,"num":1420000}]</v>
      </c>
      <c r="U245">
        <f t="shared" si="12"/>
        <v>14</v>
      </c>
    </row>
    <row r="246" spans="1:21" ht="16.5" x14ac:dyDescent="0.15">
      <c r="A246" s="3">
        <f>Sheet1!A248</f>
        <v>1407005</v>
      </c>
      <c r="B246" t="s">
        <v>1162</v>
      </c>
      <c r="C246">
        <v>14</v>
      </c>
      <c r="D246" t="s">
        <v>1163</v>
      </c>
      <c r="E246">
        <v>36</v>
      </c>
      <c r="F246" t="s">
        <v>1164</v>
      </c>
      <c r="G246">
        <v>2</v>
      </c>
      <c r="H246" t="s">
        <v>1163</v>
      </c>
      <c r="I246">
        <v>1424000</v>
      </c>
      <c r="J246" t="s">
        <v>1164</v>
      </c>
      <c r="K246">
        <v>1</v>
      </c>
      <c r="L246" t="s">
        <v>1163</v>
      </c>
      <c r="M246">
        <v>1420000</v>
      </c>
      <c r="N246" t="s">
        <v>1165</v>
      </c>
      <c r="O246" t="str">
        <f t="shared" si="10"/>
        <v>[{"id":14,"num":36},{"id":2,"num":1424000},{"id":1,"num":1420000}]</v>
      </c>
      <c r="U246">
        <f t="shared" si="12"/>
        <v>14</v>
      </c>
    </row>
    <row r="247" spans="1:21" ht="16.5" x14ac:dyDescent="0.15">
      <c r="A247" s="3">
        <f>Sheet1!A249</f>
        <v>1407006</v>
      </c>
      <c r="B247" t="s">
        <v>1162</v>
      </c>
      <c r="C247">
        <v>14</v>
      </c>
      <c r="D247" t="s">
        <v>1163</v>
      </c>
      <c r="E247">
        <v>36</v>
      </c>
      <c r="F247" t="s">
        <v>1164</v>
      </c>
      <c r="G247">
        <v>2</v>
      </c>
      <c r="H247" t="s">
        <v>1163</v>
      </c>
      <c r="I247">
        <v>1424000</v>
      </c>
      <c r="J247" t="s">
        <v>1164</v>
      </c>
      <c r="K247">
        <v>1</v>
      </c>
      <c r="L247" t="s">
        <v>1163</v>
      </c>
      <c r="M247">
        <v>1420000</v>
      </c>
      <c r="N247" t="s">
        <v>1165</v>
      </c>
      <c r="O247" t="str">
        <f t="shared" si="10"/>
        <v>[{"id":14,"num":36},{"id":2,"num":1424000},{"id":1,"num":1420000}]</v>
      </c>
      <c r="U247">
        <f t="shared" si="12"/>
        <v>14</v>
      </c>
    </row>
    <row r="248" spans="1:21" ht="16.5" x14ac:dyDescent="0.15">
      <c r="A248" s="3">
        <f>Sheet1!A250</f>
        <v>1407007</v>
      </c>
      <c r="B248" t="s">
        <v>1162</v>
      </c>
      <c r="C248">
        <v>14</v>
      </c>
      <c r="D248" t="s">
        <v>1163</v>
      </c>
      <c r="E248">
        <v>36</v>
      </c>
      <c r="F248" t="s">
        <v>1164</v>
      </c>
      <c r="G248">
        <v>2</v>
      </c>
      <c r="H248" t="s">
        <v>1163</v>
      </c>
      <c r="I248">
        <v>1424000</v>
      </c>
      <c r="J248" t="s">
        <v>1164</v>
      </c>
      <c r="K248">
        <v>1</v>
      </c>
      <c r="L248" t="s">
        <v>1163</v>
      </c>
      <c r="M248">
        <v>1420000</v>
      </c>
      <c r="N248" t="s">
        <v>1165</v>
      </c>
      <c r="O248" t="str">
        <f t="shared" si="10"/>
        <v>[{"id":14,"num":36},{"id":2,"num":1424000},{"id":1,"num":1420000}]</v>
      </c>
      <c r="U248">
        <f t="shared" si="12"/>
        <v>14</v>
      </c>
    </row>
    <row r="249" spans="1:21" ht="16.5" x14ac:dyDescent="0.15">
      <c r="A249" s="3">
        <f>Sheet1!A251</f>
        <v>1407008</v>
      </c>
      <c r="B249" t="s">
        <v>1162</v>
      </c>
      <c r="C249">
        <v>14</v>
      </c>
      <c r="D249" t="s">
        <v>1163</v>
      </c>
      <c r="E249">
        <v>36</v>
      </c>
      <c r="F249" t="s">
        <v>1164</v>
      </c>
      <c r="G249">
        <v>2</v>
      </c>
      <c r="H249" t="s">
        <v>1163</v>
      </c>
      <c r="I249">
        <v>1424000</v>
      </c>
      <c r="J249" t="s">
        <v>1164</v>
      </c>
      <c r="K249">
        <v>1</v>
      </c>
      <c r="L249" t="s">
        <v>1163</v>
      </c>
      <c r="M249">
        <v>1420000</v>
      </c>
      <c r="N249" t="s">
        <v>1165</v>
      </c>
      <c r="O249" t="str">
        <f t="shared" si="10"/>
        <v>[{"id":14,"num":36},{"id":2,"num":1424000},{"id":1,"num":1420000}]</v>
      </c>
      <c r="U249">
        <f t="shared" si="12"/>
        <v>14</v>
      </c>
    </row>
    <row r="250" spans="1:21" ht="16.5" x14ac:dyDescent="0.15">
      <c r="A250" s="3">
        <f>Sheet1!A252</f>
        <v>1407009</v>
      </c>
      <c r="B250" t="s">
        <v>1162</v>
      </c>
      <c r="C250">
        <v>14</v>
      </c>
      <c r="D250" t="s">
        <v>1163</v>
      </c>
      <c r="E250">
        <v>36</v>
      </c>
      <c r="F250" t="s">
        <v>1164</v>
      </c>
      <c r="G250">
        <v>2</v>
      </c>
      <c r="H250" t="s">
        <v>1163</v>
      </c>
      <c r="I250">
        <v>1424000</v>
      </c>
      <c r="J250" t="s">
        <v>1164</v>
      </c>
      <c r="K250">
        <v>1</v>
      </c>
      <c r="L250" t="s">
        <v>1163</v>
      </c>
      <c r="M250">
        <v>1420000</v>
      </c>
      <c r="N250" t="s">
        <v>1165</v>
      </c>
      <c r="O250" t="str">
        <f t="shared" si="10"/>
        <v>[{"id":14,"num":36},{"id":2,"num":1424000},{"id":1,"num":1420000}]</v>
      </c>
      <c r="U250">
        <f t="shared" si="12"/>
        <v>14</v>
      </c>
    </row>
    <row r="251" spans="1:21" ht="16.5" x14ac:dyDescent="0.15">
      <c r="A251" s="3">
        <f>Sheet1!A253</f>
        <v>1407010</v>
      </c>
      <c r="B251" t="s">
        <v>1162</v>
      </c>
      <c r="C251">
        <v>14</v>
      </c>
      <c r="D251" t="s">
        <v>1163</v>
      </c>
      <c r="E251">
        <v>36</v>
      </c>
      <c r="F251" t="s">
        <v>1164</v>
      </c>
      <c r="G251">
        <v>2</v>
      </c>
      <c r="H251" t="s">
        <v>1163</v>
      </c>
      <c r="I251">
        <v>1424000</v>
      </c>
      <c r="J251" t="s">
        <v>1164</v>
      </c>
      <c r="K251">
        <v>1</v>
      </c>
      <c r="L251" t="s">
        <v>1163</v>
      </c>
      <c r="M251">
        <v>1420000</v>
      </c>
      <c r="N251" t="s">
        <v>1165</v>
      </c>
      <c r="O251" t="str">
        <f t="shared" ref="O251:O302" si="13">_xlfn.TEXTJOIN(,TRUE,B251:N251)</f>
        <v>[{"id":14,"num":36},{"id":2,"num":1424000},{"id":1,"num":1420000}]</v>
      </c>
      <c r="U251">
        <f t="shared" si="12"/>
        <v>14</v>
      </c>
    </row>
    <row r="252" spans="1:21" ht="16.5" x14ac:dyDescent="0.15">
      <c r="A252" s="3">
        <f>Sheet1!A254</f>
        <v>1407011</v>
      </c>
      <c r="B252" t="s">
        <v>1162</v>
      </c>
      <c r="C252">
        <v>14</v>
      </c>
      <c r="D252" t="s">
        <v>1163</v>
      </c>
      <c r="E252">
        <v>36</v>
      </c>
      <c r="F252" t="s">
        <v>1164</v>
      </c>
      <c r="G252">
        <v>2</v>
      </c>
      <c r="H252" t="s">
        <v>1163</v>
      </c>
      <c r="I252">
        <v>1424000</v>
      </c>
      <c r="J252" t="s">
        <v>1164</v>
      </c>
      <c r="K252">
        <v>1</v>
      </c>
      <c r="L252" t="s">
        <v>1163</v>
      </c>
      <c r="M252">
        <v>1420000</v>
      </c>
      <c r="N252" t="s">
        <v>1165</v>
      </c>
      <c r="O252" t="str">
        <f t="shared" si="13"/>
        <v>[{"id":14,"num":36},{"id":2,"num":1424000},{"id":1,"num":1420000}]</v>
      </c>
      <c r="U252">
        <f t="shared" si="12"/>
        <v>14</v>
      </c>
    </row>
    <row r="253" spans="1:21" ht="16.5" x14ac:dyDescent="0.15">
      <c r="A253" s="3">
        <f>Sheet1!A255</f>
        <v>1407012</v>
      </c>
      <c r="B253" t="s">
        <v>1162</v>
      </c>
      <c r="C253">
        <v>14</v>
      </c>
      <c r="D253" t="s">
        <v>1163</v>
      </c>
      <c r="E253">
        <v>36</v>
      </c>
      <c r="F253" t="s">
        <v>1164</v>
      </c>
      <c r="G253">
        <v>2</v>
      </c>
      <c r="H253" t="s">
        <v>1163</v>
      </c>
      <c r="I253">
        <v>1424000</v>
      </c>
      <c r="J253" t="s">
        <v>1164</v>
      </c>
      <c r="K253">
        <v>1</v>
      </c>
      <c r="L253" t="s">
        <v>1163</v>
      </c>
      <c r="M253">
        <v>1420000</v>
      </c>
      <c r="N253" t="s">
        <v>1165</v>
      </c>
      <c r="O253" t="str">
        <f t="shared" si="13"/>
        <v>[{"id":14,"num":36},{"id":2,"num":1424000},{"id":1,"num":1420000}]</v>
      </c>
      <c r="U253">
        <f t="shared" si="12"/>
        <v>14</v>
      </c>
    </row>
    <row r="254" spans="1:21" ht="16.5" x14ac:dyDescent="0.15">
      <c r="A254" s="3">
        <f>Sheet1!A256</f>
        <v>1407013</v>
      </c>
      <c r="B254" t="s">
        <v>1162</v>
      </c>
      <c r="C254">
        <v>14</v>
      </c>
      <c r="D254" t="s">
        <v>1163</v>
      </c>
      <c r="E254">
        <v>36</v>
      </c>
      <c r="F254" t="s">
        <v>1164</v>
      </c>
      <c r="G254">
        <v>2</v>
      </c>
      <c r="H254" t="s">
        <v>1163</v>
      </c>
      <c r="I254">
        <v>1424000</v>
      </c>
      <c r="J254" t="s">
        <v>1164</v>
      </c>
      <c r="K254">
        <v>1</v>
      </c>
      <c r="L254" t="s">
        <v>1163</v>
      </c>
      <c r="M254">
        <v>1420000</v>
      </c>
      <c r="N254" t="s">
        <v>1165</v>
      </c>
      <c r="O254" t="str">
        <f t="shared" si="13"/>
        <v>[{"id":14,"num":36},{"id":2,"num":1424000},{"id":1,"num":1420000}]</v>
      </c>
      <c r="U254">
        <f t="shared" si="12"/>
        <v>14</v>
      </c>
    </row>
    <row r="255" spans="1:21" ht="16.5" x14ac:dyDescent="0.15">
      <c r="A255" s="3">
        <f>Sheet1!A257</f>
        <v>1407014</v>
      </c>
      <c r="B255" t="s">
        <v>1162</v>
      </c>
      <c r="C255">
        <v>14</v>
      </c>
      <c r="D255" t="s">
        <v>1163</v>
      </c>
      <c r="E255">
        <v>36</v>
      </c>
      <c r="F255" t="s">
        <v>1164</v>
      </c>
      <c r="G255">
        <v>2</v>
      </c>
      <c r="H255" t="s">
        <v>1163</v>
      </c>
      <c r="I255">
        <v>1424000</v>
      </c>
      <c r="J255" t="s">
        <v>1164</v>
      </c>
      <c r="K255">
        <v>1</v>
      </c>
      <c r="L255" t="s">
        <v>1163</v>
      </c>
      <c r="M255">
        <v>1420000</v>
      </c>
      <c r="N255" t="s">
        <v>1165</v>
      </c>
      <c r="O255" t="str">
        <f t="shared" si="13"/>
        <v>[{"id":14,"num":36},{"id":2,"num":1424000},{"id":1,"num":1420000}]</v>
      </c>
      <c r="U255">
        <f t="shared" si="12"/>
        <v>14</v>
      </c>
    </row>
    <row r="256" spans="1:21" ht="16.5" x14ac:dyDescent="0.15">
      <c r="A256" s="3">
        <f>Sheet1!A258</f>
        <v>1407015</v>
      </c>
      <c r="B256" t="s">
        <v>1162</v>
      </c>
      <c r="C256">
        <v>14</v>
      </c>
      <c r="D256" t="s">
        <v>1163</v>
      </c>
      <c r="E256">
        <v>36</v>
      </c>
      <c r="F256" t="s">
        <v>1164</v>
      </c>
      <c r="G256">
        <v>2</v>
      </c>
      <c r="H256" t="s">
        <v>1163</v>
      </c>
      <c r="I256">
        <v>1424000</v>
      </c>
      <c r="J256" t="s">
        <v>1164</v>
      </c>
      <c r="K256">
        <v>1</v>
      </c>
      <c r="L256" t="s">
        <v>1163</v>
      </c>
      <c r="M256">
        <v>1420000</v>
      </c>
      <c r="N256" t="s">
        <v>1165</v>
      </c>
      <c r="O256" t="str">
        <f t="shared" si="13"/>
        <v>[{"id":14,"num":36},{"id":2,"num":1424000},{"id":1,"num":1420000}]</v>
      </c>
      <c r="U256">
        <f t="shared" si="12"/>
        <v>14</v>
      </c>
    </row>
    <row r="257" spans="1:21" ht="16.5" x14ac:dyDescent="0.15">
      <c r="A257" s="3">
        <f>Sheet1!A259</f>
        <v>1407016</v>
      </c>
      <c r="B257" t="s">
        <v>1162</v>
      </c>
      <c r="C257">
        <v>14</v>
      </c>
      <c r="D257" t="s">
        <v>1163</v>
      </c>
      <c r="E257">
        <v>36</v>
      </c>
      <c r="F257" t="s">
        <v>1164</v>
      </c>
      <c r="G257">
        <v>2</v>
      </c>
      <c r="H257" t="s">
        <v>1163</v>
      </c>
      <c r="I257">
        <v>1424000</v>
      </c>
      <c r="J257" t="s">
        <v>1164</v>
      </c>
      <c r="K257">
        <v>1</v>
      </c>
      <c r="L257" t="s">
        <v>1163</v>
      </c>
      <c r="M257">
        <v>1420000</v>
      </c>
      <c r="N257" t="s">
        <v>1165</v>
      </c>
      <c r="O257" t="str">
        <f t="shared" si="13"/>
        <v>[{"id":14,"num":36},{"id":2,"num":1424000},{"id":1,"num":1420000}]</v>
      </c>
      <c r="U257">
        <f t="shared" si="12"/>
        <v>14</v>
      </c>
    </row>
    <row r="258" spans="1:21" ht="16.5" x14ac:dyDescent="0.15">
      <c r="A258" s="3">
        <f>Sheet1!A260</f>
        <v>1407017</v>
      </c>
      <c r="B258" t="s">
        <v>1162</v>
      </c>
      <c r="C258">
        <v>14</v>
      </c>
      <c r="D258" t="s">
        <v>1163</v>
      </c>
      <c r="E258">
        <v>36</v>
      </c>
      <c r="F258" t="s">
        <v>1164</v>
      </c>
      <c r="G258">
        <v>2</v>
      </c>
      <c r="H258" t="s">
        <v>1163</v>
      </c>
      <c r="I258">
        <v>1424000</v>
      </c>
      <c r="J258" t="s">
        <v>1164</v>
      </c>
      <c r="K258">
        <v>1</v>
      </c>
      <c r="L258" t="s">
        <v>1163</v>
      </c>
      <c r="M258">
        <v>1420000</v>
      </c>
      <c r="N258" t="s">
        <v>1165</v>
      </c>
      <c r="O258" t="str">
        <f t="shared" si="13"/>
        <v>[{"id":14,"num":36},{"id":2,"num":1424000},{"id":1,"num":1420000}]</v>
      </c>
      <c r="U258">
        <f t="shared" si="12"/>
        <v>14</v>
      </c>
    </row>
    <row r="259" spans="1:21" ht="16.5" x14ac:dyDescent="0.15">
      <c r="A259" s="3">
        <f>Sheet1!A261</f>
        <v>1407018</v>
      </c>
      <c r="B259" t="s">
        <v>1162</v>
      </c>
      <c r="C259">
        <v>14</v>
      </c>
      <c r="D259" t="s">
        <v>1163</v>
      </c>
      <c r="E259">
        <v>36</v>
      </c>
      <c r="F259" t="s">
        <v>1164</v>
      </c>
      <c r="G259">
        <v>2</v>
      </c>
      <c r="H259" t="s">
        <v>1163</v>
      </c>
      <c r="I259">
        <v>1424000</v>
      </c>
      <c r="J259" t="s">
        <v>1164</v>
      </c>
      <c r="K259">
        <v>1</v>
      </c>
      <c r="L259" t="s">
        <v>1163</v>
      </c>
      <c r="M259">
        <v>1420000</v>
      </c>
      <c r="N259" t="s">
        <v>1165</v>
      </c>
      <c r="O259" t="str">
        <f t="shared" si="13"/>
        <v>[{"id":14,"num":36},{"id":2,"num":1424000},{"id":1,"num":1420000}]</v>
      </c>
      <c r="U259">
        <f t="shared" si="12"/>
        <v>14</v>
      </c>
    </row>
    <row r="260" spans="1:21" ht="16.5" x14ac:dyDescent="0.15">
      <c r="A260" s="3">
        <f>Sheet1!A262</f>
        <v>1407019</v>
      </c>
      <c r="B260" t="s">
        <v>1162</v>
      </c>
      <c r="C260">
        <v>14</v>
      </c>
      <c r="D260" t="s">
        <v>1163</v>
      </c>
      <c r="E260">
        <v>36</v>
      </c>
      <c r="F260" t="s">
        <v>1164</v>
      </c>
      <c r="G260">
        <v>2</v>
      </c>
      <c r="H260" t="s">
        <v>1163</v>
      </c>
      <c r="I260">
        <v>1424000</v>
      </c>
      <c r="J260" t="s">
        <v>1164</v>
      </c>
      <c r="K260">
        <v>1</v>
      </c>
      <c r="L260" t="s">
        <v>1163</v>
      </c>
      <c r="M260">
        <v>1420000</v>
      </c>
      <c r="N260" t="s">
        <v>1165</v>
      </c>
      <c r="O260" t="str">
        <f t="shared" si="13"/>
        <v>[{"id":14,"num":36},{"id":2,"num":1424000},{"id":1,"num":1420000}]</v>
      </c>
      <c r="U260">
        <f t="shared" si="12"/>
        <v>14</v>
      </c>
    </row>
    <row r="261" spans="1:21" ht="16.5" x14ac:dyDescent="0.15">
      <c r="A261" s="3">
        <f>Sheet1!A263</f>
        <v>1407020</v>
      </c>
      <c r="B261" t="s">
        <v>1162</v>
      </c>
      <c r="C261">
        <v>14</v>
      </c>
      <c r="D261" t="s">
        <v>1163</v>
      </c>
      <c r="E261">
        <v>36</v>
      </c>
      <c r="F261" t="s">
        <v>1164</v>
      </c>
      <c r="G261">
        <v>2</v>
      </c>
      <c r="H261" t="s">
        <v>1163</v>
      </c>
      <c r="I261">
        <v>1424000</v>
      </c>
      <c r="J261" t="s">
        <v>1164</v>
      </c>
      <c r="K261">
        <v>1</v>
      </c>
      <c r="L261" t="s">
        <v>1163</v>
      </c>
      <c r="M261">
        <v>1420000</v>
      </c>
      <c r="N261" t="s">
        <v>1165</v>
      </c>
      <c r="O261" t="str">
        <f t="shared" si="13"/>
        <v>[{"id":14,"num":36},{"id":2,"num":1424000},{"id":1,"num":1420000}]</v>
      </c>
      <c r="U261">
        <f t="shared" si="12"/>
        <v>14</v>
      </c>
    </row>
    <row r="262" spans="1:21" ht="16.5" x14ac:dyDescent="0.15">
      <c r="A262" s="3">
        <f>Sheet1!A264</f>
        <v>1407021</v>
      </c>
      <c r="B262" t="s">
        <v>1162</v>
      </c>
      <c r="C262">
        <v>14</v>
      </c>
      <c r="D262" t="s">
        <v>1163</v>
      </c>
      <c r="E262">
        <v>40</v>
      </c>
      <c r="F262" t="s">
        <v>1164</v>
      </c>
      <c r="G262">
        <v>2</v>
      </c>
      <c r="H262" t="s">
        <v>1163</v>
      </c>
      <c r="I262">
        <v>1628000</v>
      </c>
      <c r="J262" t="s">
        <v>1164</v>
      </c>
      <c r="K262">
        <v>1</v>
      </c>
      <c r="L262" t="s">
        <v>1163</v>
      </c>
      <c r="M262">
        <v>1620000</v>
      </c>
      <c r="N262" t="s">
        <v>1165</v>
      </c>
      <c r="O262" t="str">
        <f t="shared" si="13"/>
        <v>[{"id":14,"num":40},{"id":2,"num":1628000},{"id":1,"num":1620000}]</v>
      </c>
      <c r="U262">
        <f t="shared" si="12"/>
        <v>16</v>
      </c>
    </row>
    <row r="263" spans="1:21" ht="16.5" x14ac:dyDescent="0.15">
      <c r="A263" s="3">
        <f>Sheet1!A265</f>
        <v>1407022</v>
      </c>
      <c r="B263" t="s">
        <v>1162</v>
      </c>
      <c r="C263">
        <v>14</v>
      </c>
      <c r="D263" t="s">
        <v>1163</v>
      </c>
      <c r="E263">
        <v>40</v>
      </c>
      <c r="F263" t="s">
        <v>1164</v>
      </c>
      <c r="G263">
        <v>2</v>
      </c>
      <c r="H263" t="s">
        <v>1163</v>
      </c>
      <c r="I263">
        <v>1628000</v>
      </c>
      <c r="J263" t="s">
        <v>1164</v>
      </c>
      <c r="K263">
        <v>1</v>
      </c>
      <c r="L263" t="s">
        <v>1163</v>
      </c>
      <c r="M263">
        <v>1620000</v>
      </c>
      <c r="N263" t="s">
        <v>1165</v>
      </c>
      <c r="O263" t="str">
        <f t="shared" si="13"/>
        <v>[{"id":14,"num":40},{"id":2,"num":1628000},{"id":1,"num":1620000}]</v>
      </c>
      <c r="U263">
        <f t="shared" si="12"/>
        <v>16</v>
      </c>
    </row>
    <row r="264" spans="1:21" ht="16.5" x14ac:dyDescent="0.15">
      <c r="A264" s="3">
        <f>Sheet1!A266</f>
        <v>1407023</v>
      </c>
      <c r="B264" t="s">
        <v>1162</v>
      </c>
      <c r="C264">
        <v>14</v>
      </c>
      <c r="D264" t="s">
        <v>1163</v>
      </c>
      <c r="E264">
        <v>40</v>
      </c>
      <c r="F264" t="s">
        <v>1164</v>
      </c>
      <c r="G264">
        <v>2</v>
      </c>
      <c r="H264" t="s">
        <v>1163</v>
      </c>
      <c r="I264">
        <v>1628000</v>
      </c>
      <c r="J264" t="s">
        <v>1164</v>
      </c>
      <c r="K264">
        <v>1</v>
      </c>
      <c r="L264" t="s">
        <v>1163</v>
      </c>
      <c r="M264">
        <v>1620000</v>
      </c>
      <c r="N264" t="s">
        <v>1165</v>
      </c>
      <c r="O264" t="str">
        <f t="shared" si="13"/>
        <v>[{"id":14,"num":40},{"id":2,"num":1628000},{"id":1,"num":1620000}]</v>
      </c>
      <c r="U264">
        <f t="shared" si="12"/>
        <v>16</v>
      </c>
    </row>
    <row r="265" spans="1:21" ht="16.5" x14ac:dyDescent="0.15">
      <c r="A265" s="3">
        <f>Sheet1!A267</f>
        <v>1407024</v>
      </c>
      <c r="B265" t="s">
        <v>1162</v>
      </c>
      <c r="C265">
        <v>14</v>
      </c>
      <c r="D265" t="s">
        <v>1163</v>
      </c>
      <c r="E265">
        <v>40</v>
      </c>
      <c r="F265" t="s">
        <v>1164</v>
      </c>
      <c r="G265">
        <v>2</v>
      </c>
      <c r="H265" t="s">
        <v>1163</v>
      </c>
      <c r="I265">
        <v>1628000</v>
      </c>
      <c r="J265" t="s">
        <v>1164</v>
      </c>
      <c r="K265">
        <v>1</v>
      </c>
      <c r="L265" t="s">
        <v>1163</v>
      </c>
      <c r="M265">
        <v>1620000</v>
      </c>
      <c r="N265" t="s">
        <v>1165</v>
      </c>
      <c r="O265" t="str">
        <f t="shared" si="13"/>
        <v>[{"id":14,"num":40},{"id":2,"num":1628000},{"id":1,"num":1620000}]</v>
      </c>
      <c r="U265">
        <f t="shared" si="12"/>
        <v>16</v>
      </c>
    </row>
    <row r="266" spans="1:21" ht="16.5" x14ac:dyDescent="0.15">
      <c r="A266" s="3">
        <f>Sheet1!A268</f>
        <v>1407025</v>
      </c>
      <c r="B266" t="s">
        <v>1162</v>
      </c>
      <c r="C266">
        <v>14</v>
      </c>
      <c r="D266" t="s">
        <v>1163</v>
      </c>
      <c r="E266">
        <v>40</v>
      </c>
      <c r="F266" t="s">
        <v>1164</v>
      </c>
      <c r="G266">
        <v>2</v>
      </c>
      <c r="H266" t="s">
        <v>1163</v>
      </c>
      <c r="I266">
        <v>1628000</v>
      </c>
      <c r="J266" t="s">
        <v>1164</v>
      </c>
      <c r="K266">
        <v>1</v>
      </c>
      <c r="L266" t="s">
        <v>1163</v>
      </c>
      <c r="M266">
        <v>1620000</v>
      </c>
      <c r="N266" t="s">
        <v>1165</v>
      </c>
      <c r="O266" t="str">
        <f t="shared" si="13"/>
        <v>[{"id":14,"num":40},{"id":2,"num":1628000},{"id":1,"num":1620000}]</v>
      </c>
      <c r="U266">
        <f t="shared" si="12"/>
        <v>16</v>
      </c>
    </row>
    <row r="267" spans="1:21" ht="16.5" x14ac:dyDescent="0.15">
      <c r="A267" s="3">
        <f>Sheet1!A269</f>
        <v>1407026</v>
      </c>
      <c r="B267" t="s">
        <v>1162</v>
      </c>
      <c r="C267">
        <v>14</v>
      </c>
      <c r="D267" t="s">
        <v>1163</v>
      </c>
      <c r="E267">
        <v>40</v>
      </c>
      <c r="F267" t="s">
        <v>1164</v>
      </c>
      <c r="G267">
        <v>2</v>
      </c>
      <c r="H267" t="s">
        <v>1163</v>
      </c>
      <c r="I267">
        <v>1628000</v>
      </c>
      <c r="J267" t="s">
        <v>1164</v>
      </c>
      <c r="K267">
        <v>1</v>
      </c>
      <c r="L267" t="s">
        <v>1163</v>
      </c>
      <c r="M267">
        <v>1620000</v>
      </c>
      <c r="N267" t="s">
        <v>1165</v>
      </c>
      <c r="O267" t="str">
        <f t="shared" si="13"/>
        <v>[{"id":14,"num":40},{"id":2,"num":1628000},{"id":1,"num":1620000}]</v>
      </c>
      <c r="U267">
        <f t="shared" si="12"/>
        <v>16</v>
      </c>
    </row>
    <row r="268" spans="1:21" ht="16.5" x14ac:dyDescent="0.15">
      <c r="A268" s="3">
        <f>Sheet1!A270</f>
        <v>1407027</v>
      </c>
      <c r="B268" t="s">
        <v>1162</v>
      </c>
      <c r="C268">
        <v>14</v>
      </c>
      <c r="D268" t="s">
        <v>1163</v>
      </c>
      <c r="E268">
        <v>40</v>
      </c>
      <c r="F268" t="s">
        <v>1164</v>
      </c>
      <c r="G268">
        <v>2</v>
      </c>
      <c r="H268" t="s">
        <v>1163</v>
      </c>
      <c r="I268">
        <v>1628000</v>
      </c>
      <c r="J268" t="s">
        <v>1164</v>
      </c>
      <c r="K268">
        <v>1</v>
      </c>
      <c r="L268" t="s">
        <v>1163</v>
      </c>
      <c r="M268">
        <v>1620000</v>
      </c>
      <c r="N268" t="s">
        <v>1165</v>
      </c>
      <c r="O268" t="str">
        <f t="shared" si="13"/>
        <v>[{"id":14,"num":40},{"id":2,"num":1628000},{"id":1,"num":1620000}]</v>
      </c>
      <c r="U268">
        <f t="shared" si="12"/>
        <v>16</v>
      </c>
    </row>
    <row r="269" spans="1:21" ht="16.5" x14ac:dyDescent="0.15">
      <c r="A269" s="3">
        <f>Sheet1!A271</f>
        <v>1407028</v>
      </c>
      <c r="B269" t="s">
        <v>1162</v>
      </c>
      <c r="C269">
        <v>14</v>
      </c>
      <c r="D269" t="s">
        <v>1163</v>
      </c>
      <c r="E269">
        <v>40</v>
      </c>
      <c r="F269" t="s">
        <v>1164</v>
      </c>
      <c r="G269">
        <v>2</v>
      </c>
      <c r="H269" t="s">
        <v>1163</v>
      </c>
      <c r="I269">
        <v>1628000</v>
      </c>
      <c r="J269" t="s">
        <v>1164</v>
      </c>
      <c r="K269">
        <v>1</v>
      </c>
      <c r="L269" t="s">
        <v>1163</v>
      </c>
      <c r="M269">
        <v>1620000</v>
      </c>
      <c r="N269" t="s">
        <v>1165</v>
      </c>
      <c r="O269" t="str">
        <f t="shared" si="13"/>
        <v>[{"id":14,"num":40},{"id":2,"num":1628000},{"id":1,"num":1620000}]</v>
      </c>
      <c r="U269">
        <f t="shared" si="12"/>
        <v>16</v>
      </c>
    </row>
    <row r="270" spans="1:21" ht="16.5" x14ac:dyDescent="0.15">
      <c r="A270" s="3">
        <f>Sheet1!A272</f>
        <v>1407029</v>
      </c>
      <c r="B270" t="s">
        <v>1162</v>
      </c>
      <c r="C270">
        <v>14</v>
      </c>
      <c r="D270" t="s">
        <v>1163</v>
      </c>
      <c r="E270">
        <v>40</v>
      </c>
      <c r="F270" t="s">
        <v>1164</v>
      </c>
      <c r="G270">
        <v>2</v>
      </c>
      <c r="H270" t="s">
        <v>1163</v>
      </c>
      <c r="I270">
        <v>1628000</v>
      </c>
      <c r="J270" t="s">
        <v>1164</v>
      </c>
      <c r="K270">
        <v>1</v>
      </c>
      <c r="L270" t="s">
        <v>1163</v>
      </c>
      <c r="M270">
        <v>1620000</v>
      </c>
      <c r="N270" t="s">
        <v>1165</v>
      </c>
      <c r="O270" t="str">
        <f t="shared" si="13"/>
        <v>[{"id":14,"num":40},{"id":2,"num":1628000},{"id":1,"num":1620000}]</v>
      </c>
      <c r="U270">
        <f t="shared" si="12"/>
        <v>16</v>
      </c>
    </row>
    <row r="271" spans="1:21" ht="16.5" x14ac:dyDescent="0.15">
      <c r="A271" s="3">
        <f>Sheet1!A273</f>
        <v>1407030</v>
      </c>
      <c r="B271" t="s">
        <v>1162</v>
      </c>
      <c r="C271">
        <v>14</v>
      </c>
      <c r="D271" t="s">
        <v>1163</v>
      </c>
      <c r="E271">
        <v>40</v>
      </c>
      <c r="F271" t="s">
        <v>1164</v>
      </c>
      <c r="G271">
        <v>2</v>
      </c>
      <c r="H271" t="s">
        <v>1163</v>
      </c>
      <c r="I271">
        <v>1628000</v>
      </c>
      <c r="J271" t="s">
        <v>1164</v>
      </c>
      <c r="K271">
        <v>1</v>
      </c>
      <c r="L271" t="s">
        <v>1163</v>
      </c>
      <c r="M271">
        <v>1620000</v>
      </c>
      <c r="N271" t="s">
        <v>1165</v>
      </c>
      <c r="O271" t="str">
        <f t="shared" si="13"/>
        <v>[{"id":14,"num":40},{"id":2,"num":1628000},{"id":1,"num":1620000}]</v>
      </c>
      <c r="U271">
        <f t="shared" si="12"/>
        <v>16</v>
      </c>
    </row>
    <row r="272" spans="1:21" ht="16.5" x14ac:dyDescent="0.15">
      <c r="A272" s="3">
        <f>Sheet1!A274</f>
        <v>1407031</v>
      </c>
      <c r="B272" t="s">
        <v>1162</v>
      </c>
      <c r="C272">
        <v>14</v>
      </c>
      <c r="D272" t="s">
        <v>1163</v>
      </c>
      <c r="E272">
        <v>40</v>
      </c>
      <c r="F272" t="s">
        <v>1164</v>
      </c>
      <c r="G272">
        <v>2</v>
      </c>
      <c r="H272" t="s">
        <v>1163</v>
      </c>
      <c r="I272">
        <v>1628000</v>
      </c>
      <c r="J272" t="s">
        <v>1164</v>
      </c>
      <c r="K272">
        <v>1</v>
      </c>
      <c r="L272" t="s">
        <v>1163</v>
      </c>
      <c r="M272">
        <v>1620000</v>
      </c>
      <c r="N272" t="s">
        <v>1165</v>
      </c>
      <c r="O272" t="str">
        <f t="shared" si="13"/>
        <v>[{"id":14,"num":40},{"id":2,"num":1628000},{"id":1,"num":1620000}]</v>
      </c>
      <c r="U272">
        <f t="shared" si="12"/>
        <v>16</v>
      </c>
    </row>
    <row r="273" spans="1:21" ht="16.5" x14ac:dyDescent="0.15">
      <c r="A273" s="3">
        <f>Sheet1!A275</f>
        <v>1407032</v>
      </c>
      <c r="B273" t="s">
        <v>1162</v>
      </c>
      <c r="C273">
        <v>14</v>
      </c>
      <c r="D273" t="s">
        <v>1163</v>
      </c>
      <c r="E273">
        <v>40</v>
      </c>
      <c r="F273" t="s">
        <v>1164</v>
      </c>
      <c r="G273">
        <v>2</v>
      </c>
      <c r="H273" t="s">
        <v>1163</v>
      </c>
      <c r="I273">
        <v>1628000</v>
      </c>
      <c r="J273" t="s">
        <v>1164</v>
      </c>
      <c r="K273">
        <v>1</v>
      </c>
      <c r="L273" t="s">
        <v>1163</v>
      </c>
      <c r="M273">
        <v>1620000</v>
      </c>
      <c r="N273" t="s">
        <v>1165</v>
      </c>
      <c r="O273" t="str">
        <f t="shared" si="13"/>
        <v>[{"id":14,"num":40},{"id":2,"num":1628000},{"id":1,"num":1620000}]</v>
      </c>
      <c r="U273">
        <f t="shared" si="12"/>
        <v>16</v>
      </c>
    </row>
    <row r="274" spans="1:21" ht="16.5" x14ac:dyDescent="0.15">
      <c r="A274" s="3">
        <f>Sheet1!A276</f>
        <v>1407033</v>
      </c>
      <c r="B274" t="s">
        <v>1162</v>
      </c>
      <c r="C274">
        <v>14</v>
      </c>
      <c r="D274" t="s">
        <v>1163</v>
      </c>
      <c r="E274">
        <v>40</v>
      </c>
      <c r="F274" t="s">
        <v>1164</v>
      </c>
      <c r="G274">
        <v>2</v>
      </c>
      <c r="H274" t="s">
        <v>1163</v>
      </c>
      <c r="I274">
        <v>1628000</v>
      </c>
      <c r="J274" t="s">
        <v>1164</v>
      </c>
      <c r="K274">
        <v>1</v>
      </c>
      <c r="L274" t="s">
        <v>1163</v>
      </c>
      <c r="M274">
        <v>1620000</v>
      </c>
      <c r="N274" t="s">
        <v>1165</v>
      </c>
      <c r="O274" t="str">
        <f t="shared" si="13"/>
        <v>[{"id":14,"num":40},{"id":2,"num":1628000},{"id":1,"num":1620000}]</v>
      </c>
      <c r="U274">
        <f t="shared" si="12"/>
        <v>16</v>
      </c>
    </row>
    <row r="275" spans="1:21" ht="16.5" x14ac:dyDescent="0.15">
      <c r="A275" s="3">
        <f>Sheet1!A277</f>
        <v>1407034</v>
      </c>
      <c r="B275" t="s">
        <v>1162</v>
      </c>
      <c r="C275">
        <v>14</v>
      </c>
      <c r="D275" t="s">
        <v>1163</v>
      </c>
      <c r="E275">
        <v>40</v>
      </c>
      <c r="F275" t="s">
        <v>1164</v>
      </c>
      <c r="G275">
        <v>2</v>
      </c>
      <c r="H275" t="s">
        <v>1163</v>
      </c>
      <c r="I275">
        <v>1628000</v>
      </c>
      <c r="J275" t="s">
        <v>1164</v>
      </c>
      <c r="K275">
        <v>1</v>
      </c>
      <c r="L275" t="s">
        <v>1163</v>
      </c>
      <c r="M275">
        <v>1620000</v>
      </c>
      <c r="N275" t="s">
        <v>1165</v>
      </c>
      <c r="O275" t="str">
        <f t="shared" si="13"/>
        <v>[{"id":14,"num":40},{"id":2,"num":1628000},{"id":1,"num":1620000}]</v>
      </c>
      <c r="U275">
        <f t="shared" si="12"/>
        <v>16</v>
      </c>
    </row>
    <row r="276" spans="1:21" ht="16.5" x14ac:dyDescent="0.15">
      <c r="A276" s="3">
        <f>Sheet1!A278</f>
        <v>1407035</v>
      </c>
      <c r="B276" t="s">
        <v>1162</v>
      </c>
      <c r="C276">
        <v>14</v>
      </c>
      <c r="D276" t="s">
        <v>1163</v>
      </c>
      <c r="E276">
        <v>40</v>
      </c>
      <c r="F276" t="s">
        <v>1164</v>
      </c>
      <c r="G276">
        <v>2</v>
      </c>
      <c r="H276" t="s">
        <v>1163</v>
      </c>
      <c r="I276">
        <v>1628000</v>
      </c>
      <c r="J276" t="s">
        <v>1164</v>
      </c>
      <c r="K276">
        <v>1</v>
      </c>
      <c r="L276" t="s">
        <v>1163</v>
      </c>
      <c r="M276">
        <v>1620000</v>
      </c>
      <c r="N276" t="s">
        <v>1165</v>
      </c>
      <c r="O276" t="str">
        <f t="shared" si="13"/>
        <v>[{"id":14,"num":40},{"id":2,"num":1628000},{"id":1,"num":1620000}]</v>
      </c>
      <c r="U276">
        <f t="shared" si="12"/>
        <v>16</v>
      </c>
    </row>
    <row r="277" spans="1:21" ht="16.5" x14ac:dyDescent="0.15">
      <c r="A277" s="3">
        <f>Sheet1!A279</f>
        <v>1407036</v>
      </c>
      <c r="B277" t="s">
        <v>1162</v>
      </c>
      <c r="C277">
        <v>14</v>
      </c>
      <c r="D277" t="s">
        <v>1163</v>
      </c>
      <c r="E277">
        <v>40</v>
      </c>
      <c r="F277" t="s">
        <v>1164</v>
      </c>
      <c r="G277">
        <v>2</v>
      </c>
      <c r="H277" t="s">
        <v>1163</v>
      </c>
      <c r="I277">
        <v>1628000</v>
      </c>
      <c r="J277" t="s">
        <v>1164</v>
      </c>
      <c r="K277">
        <v>1</v>
      </c>
      <c r="L277" t="s">
        <v>1163</v>
      </c>
      <c r="M277">
        <v>1620000</v>
      </c>
      <c r="N277" t="s">
        <v>1165</v>
      </c>
      <c r="O277" t="str">
        <f t="shared" si="13"/>
        <v>[{"id":14,"num":40},{"id":2,"num":1628000},{"id":1,"num":1620000}]</v>
      </c>
      <c r="U277">
        <f t="shared" si="12"/>
        <v>16</v>
      </c>
    </row>
    <row r="278" spans="1:21" ht="16.5" x14ac:dyDescent="0.15">
      <c r="A278" s="3">
        <f>Sheet1!A280</f>
        <v>1407037</v>
      </c>
      <c r="B278" t="s">
        <v>1162</v>
      </c>
      <c r="C278">
        <v>14</v>
      </c>
      <c r="D278" t="s">
        <v>1163</v>
      </c>
      <c r="E278">
        <v>40</v>
      </c>
      <c r="F278" t="s">
        <v>1164</v>
      </c>
      <c r="G278">
        <v>2</v>
      </c>
      <c r="H278" t="s">
        <v>1163</v>
      </c>
      <c r="I278">
        <v>1628000</v>
      </c>
      <c r="J278" t="s">
        <v>1164</v>
      </c>
      <c r="K278">
        <v>1</v>
      </c>
      <c r="L278" t="s">
        <v>1163</v>
      </c>
      <c r="M278">
        <v>1620000</v>
      </c>
      <c r="N278" t="s">
        <v>1165</v>
      </c>
      <c r="O278" t="str">
        <f t="shared" si="13"/>
        <v>[{"id":14,"num":40},{"id":2,"num":1628000},{"id":1,"num":1620000}]</v>
      </c>
      <c r="U278">
        <f t="shared" si="12"/>
        <v>16</v>
      </c>
    </row>
    <row r="279" spans="1:21" ht="16.5" x14ac:dyDescent="0.15">
      <c r="A279" s="3">
        <f>Sheet1!A281</f>
        <v>1407038</v>
      </c>
      <c r="B279" t="s">
        <v>1162</v>
      </c>
      <c r="C279">
        <v>14</v>
      </c>
      <c r="D279" t="s">
        <v>1163</v>
      </c>
      <c r="E279">
        <v>40</v>
      </c>
      <c r="F279" t="s">
        <v>1164</v>
      </c>
      <c r="G279">
        <v>2</v>
      </c>
      <c r="H279" t="s">
        <v>1163</v>
      </c>
      <c r="I279">
        <v>1628000</v>
      </c>
      <c r="J279" t="s">
        <v>1164</v>
      </c>
      <c r="K279">
        <v>1</v>
      </c>
      <c r="L279" t="s">
        <v>1163</v>
      </c>
      <c r="M279">
        <v>1620000</v>
      </c>
      <c r="N279" t="s">
        <v>1165</v>
      </c>
      <c r="O279" t="str">
        <f t="shared" si="13"/>
        <v>[{"id":14,"num":40},{"id":2,"num":1628000},{"id":1,"num":1620000}]</v>
      </c>
      <c r="U279">
        <f t="shared" si="12"/>
        <v>16</v>
      </c>
    </row>
    <row r="280" spans="1:21" ht="16.5" x14ac:dyDescent="0.15">
      <c r="A280" s="3">
        <f>Sheet1!A282</f>
        <v>1407039</v>
      </c>
      <c r="B280" t="s">
        <v>1162</v>
      </c>
      <c r="C280">
        <v>14</v>
      </c>
      <c r="D280" t="s">
        <v>1163</v>
      </c>
      <c r="E280">
        <v>40</v>
      </c>
      <c r="F280" t="s">
        <v>1164</v>
      </c>
      <c r="G280">
        <v>2</v>
      </c>
      <c r="H280" t="s">
        <v>1163</v>
      </c>
      <c r="I280">
        <v>1628000</v>
      </c>
      <c r="J280" t="s">
        <v>1164</v>
      </c>
      <c r="K280">
        <v>1</v>
      </c>
      <c r="L280" t="s">
        <v>1163</v>
      </c>
      <c r="M280">
        <v>1620000</v>
      </c>
      <c r="N280" t="s">
        <v>1165</v>
      </c>
      <c r="O280" t="str">
        <f t="shared" si="13"/>
        <v>[{"id":14,"num":40},{"id":2,"num":1628000},{"id":1,"num":1620000}]</v>
      </c>
      <c r="U280">
        <f t="shared" si="12"/>
        <v>16</v>
      </c>
    </row>
    <row r="281" spans="1:21" ht="16.5" x14ac:dyDescent="0.15">
      <c r="A281" s="3">
        <f>Sheet1!A283</f>
        <v>1407040</v>
      </c>
      <c r="B281" t="s">
        <v>1162</v>
      </c>
      <c r="C281">
        <v>14</v>
      </c>
      <c r="D281" t="s">
        <v>1163</v>
      </c>
      <c r="E281">
        <v>40</v>
      </c>
      <c r="F281" t="s">
        <v>1164</v>
      </c>
      <c r="G281">
        <v>2</v>
      </c>
      <c r="H281" t="s">
        <v>1163</v>
      </c>
      <c r="I281">
        <v>1628000</v>
      </c>
      <c r="J281" t="s">
        <v>1164</v>
      </c>
      <c r="K281">
        <v>1</v>
      </c>
      <c r="L281" t="s">
        <v>1163</v>
      </c>
      <c r="M281">
        <v>1620000</v>
      </c>
      <c r="N281" t="s">
        <v>1165</v>
      </c>
      <c r="O281" t="str">
        <f t="shared" si="13"/>
        <v>[{"id":14,"num":40},{"id":2,"num":1628000},{"id":1,"num":1620000}]</v>
      </c>
      <c r="U281">
        <f t="shared" si="12"/>
        <v>16</v>
      </c>
    </row>
    <row r="282" spans="1:21" ht="16.5" x14ac:dyDescent="0.15">
      <c r="A282" s="3">
        <f>Sheet1!A284</f>
        <v>1408001</v>
      </c>
      <c r="B282" t="s">
        <v>1162</v>
      </c>
      <c r="C282">
        <v>14</v>
      </c>
      <c r="D282" t="s">
        <v>1163</v>
      </c>
      <c r="E282">
        <v>40</v>
      </c>
      <c r="F282" t="s">
        <v>1164</v>
      </c>
      <c r="G282">
        <v>2</v>
      </c>
      <c r="H282" t="s">
        <v>1163</v>
      </c>
      <c r="I282">
        <v>1878000</v>
      </c>
      <c r="J282" t="s">
        <v>1164</v>
      </c>
      <c r="K282">
        <v>1</v>
      </c>
      <c r="L282" t="s">
        <v>1163</v>
      </c>
      <c r="M282">
        <v>1870000</v>
      </c>
      <c r="N282" t="s">
        <v>1165</v>
      </c>
      <c r="O282" t="str">
        <f t="shared" si="13"/>
        <v>[{"id":14,"num":40},{"id":2,"num":1878000},{"id":1,"num":1870000}]</v>
      </c>
      <c r="U282">
        <f t="shared" si="12"/>
        <v>16</v>
      </c>
    </row>
    <row r="283" spans="1:21" ht="16.5" x14ac:dyDescent="0.15">
      <c r="A283" s="3">
        <f>Sheet1!A285</f>
        <v>1408002</v>
      </c>
      <c r="B283" t="s">
        <v>1162</v>
      </c>
      <c r="C283">
        <v>14</v>
      </c>
      <c r="D283" t="s">
        <v>1163</v>
      </c>
      <c r="E283">
        <v>40</v>
      </c>
      <c r="F283" t="s">
        <v>1164</v>
      </c>
      <c r="G283">
        <v>2</v>
      </c>
      <c r="H283" t="s">
        <v>1163</v>
      </c>
      <c r="I283">
        <v>1878000</v>
      </c>
      <c r="J283" t="s">
        <v>1164</v>
      </c>
      <c r="K283">
        <v>1</v>
      </c>
      <c r="L283" t="s">
        <v>1163</v>
      </c>
      <c r="M283">
        <v>1870000</v>
      </c>
      <c r="N283" t="s">
        <v>1165</v>
      </c>
      <c r="O283" t="str">
        <f t="shared" si="13"/>
        <v>[{"id":14,"num":40},{"id":2,"num":1878000},{"id":1,"num":1870000}]</v>
      </c>
      <c r="U283">
        <f t="shared" si="12"/>
        <v>16</v>
      </c>
    </row>
    <row r="284" spans="1:21" ht="16.5" x14ac:dyDescent="0.15">
      <c r="A284" s="3">
        <f>Sheet1!A286</f>
        <v>1408003</v>
      </c>
      <c r="B284" t="s">
        <v>1162</v>
      </c>
      <c r="C284">
        <v>14</v>
      </c>
      <c r="D284" t="s">
        <v>1163</v>
      </c>
      <c r="E284">
        <v>40</v>
      </c>
      <c r="F284" t="s">
        <v>1164</v>
      </c>
      <c r="G284">
        <v>2</v>
      </c>
      <c r="H284" t="s">
        <v>1163</v>
      </c>
      <c r="I284">
        <v>1878000</v>
      </c>
      <c r="J284" t="s">
        <v>1164</v>
      </c>
      <c r="K284">
        <v>1</v>
      </c>
      <c r="L284" t="s">
        <v>1163</v>
      </c>
      <c r="M284">
        <v>1870000</v>
      </c>
      <c r="N284" t="s">
        <v>1165</v>
      </c>
      <c r="O284" t="str">
        <f t="shared" si="13"/>
        <v>[{"id":14,"num":40},{"id":2,"num":1878000},{"id":1,"num":1870000}]</v>
      </c>
      <c r="U284">
        <f t="shared" si="12"/>
        <v>16</v>
      </c>
    </row>
    <row r="285" spans="1:21" ht="16.5" x14ac:dyDescent="0.15">
      <c r="A285" s="3">
        <f>Sheet1!A287</f>
        <v>1408004</v>
      </c>
      <c r="B285" t="s">
        <v>1162</v>
      </c>
      <c r="C285">
        <v>14</v>
      </c>
      <c r="D285" t="s">
        <v>1163</v>
      </c>
      <c r="E285">
        <v>40</v>
      </c>
      <c r="F285" t="s">
        <v>1164</v>
      </c>
      <c r="G285">
        <v>2</v>
      </c>
      <c r="H285" t="s">
        <v>1163</v>
      </c>
      <c r="I285">
        <v>1878000</v>
      </c>
      <c r="J285" t="s">
        <v>1164</v>
      </c>
      <c r="K285">
        <v>1</v>
      </c>
      <c r="L285" t="s">
        <v>1163</v>
      </c>
      <c r="M285">
        <v>1870000</v>
      </c>
      <c r="N285" t="s">
        <v>1165</v>
      </c>
      <c r="O285" t="str">
        <f t="shared" si="13"/>
        <v>[{"id":14,"num":40},{"id":2,"num":1878000},{"id":1,"num":1870000}]</v>
      </c>
      <c r="U285">
        <f t="shared" si="12"/>
        <v>16</v>
      </c>
    </row>
    <row r="286" spans="1:21" ht="16.5" x14ac:dyDescent="0.15">
      <c r="A286" s="3">
        <f>Sheet1!A288</f>
        <v>1408005</v>
      </c>
      <c r="B286" t="s">
        <v>1162</v>
      </c>
      <c r="C286">
        <v>14</v>
      </c>
      <c r="D286" t="s">
        <v>1163</v>
      </c>
      <c r="E286">
        <v>40</v>
      </c>
      <c r="F286" t="s">
        <v>1164</v>
      </c>
      <c r="G286">
        <v>2</v>
      </c>
      <c r="H286" t="s">
        <v>1163</v>
      </c>
      <c r="I286">
        <v>1878000</v>
      </c>
      <c r="J286" t="s">
        <v>1164</v>
      </c>
      <c r="K286">
        <v>1</v>
      </c>
      <c r="L286" t="s">
        <v>1163</v>
      </c>
      <c r="M286">
        <v>1870000</v>
      </c>
      <c r="N286" t="s">
        <v>1165</v>
      </c>
      <c r="O286" t="str">
        <f t="shared" si="13"/>
        <v>[{"id":14,"num":40},{"id":2,"num":1878000},{"id":1,"num":1870000}]</v>
      </c>
      <c r="U286">
        <f t="shared" si="12"/>
        <v>16</v>
      </c>
    </row>
    <row r="287" spans="1:21" ht="16.5" x14ac:dyDescent="0.15">
      <c r="A287" s="3">
        <f>Sheet1!A289</f>
        <v>1408006</v>
      </c>
      <c r="B287" t="s">
        <v>1162</v>
      </c>
      <c r="C287">
        <v>14</v>
      </c>
      <c r="D287" t="s">
        <v>1163</v>
      </c>
      <c r="E287">
        <v>40</v>
      </c>
      <c r="F287" t="s">
        <v>1164</v>
      </c>
      <c r="G287">
        <v>2</v>
      </c>
      <c r="H287" t="s">
        <v>1163</v>
      </c>
      <c r="I287">
        <v>1878000</v>
      </c>
      <c r="J287" t="s">
        <v>1164</v>
      </c>
      <c r="K287">
        <v>1</v>
      </c>
      <c r="L287" t="s">
        <v>1163</v>
      </c>
      <c r="M287">
        <v>1870000</v>
      </c>
      <c r="N287" t="s">
        <v>1165</v>
      </c>
      <c r="O287" t="str">
        <f t="shared" si="13"/>
        <v>[{"id":14,"num":40},{"id":2,"num":1878000},{"id":1,"num":1870000}]</v>
      </c>
      <c r="U287">
        <f t="shared" si="12"/>
        <v>16</v>
      </c>
    </row>
    <row r="288" spans="1:21" ht="16.5" x14ac:dyDescent="0.15">
      <c r="A288" s="3">
        <f>Sheet1!A290</f>
        <v>1408007</v>
      </c>
      <c r="B288" t="s">
        <v>1162</v>
      </c>
      <c r="C288">
        <v>14</v>
      </c>
      <c r="D288" t="s">
        <v>1163</v>
      </c>
      <c r="E288">
        <v>40</v>
      </c>
      <c r="F288" t="s">
        <v>1164</v>
      </c>
      <c r="G288">
        <v>2</v>
      </c>
      <c r="H288" t="s">
        <v>1163</v>
      </c>
      <c r="I288">
        <v>1878000</v>
      </c>
      <c r="J288" t="s">
        <v>1164</v>
      </c>
      <c r="K288">
        <v>1</v>
      </c>
      <c r="L288" t="s">
        <v>1163</v>
      </c>
      <c r="M288">
        <v>1870000</v>
      </c>
      <c r="N288" t="s">
        <v>1165</v>
      </c>
      <c r="O288" t="str">
        <f t="shared" si="13"/>
        <v>[{"id":14,"num":40},{"id":2,"num":1878000},{"id":1,"num":1870000}]</v>
      </c>
      <c r="U288">
        <f t="shared" si="12"/>
        <v>16</v>
      </c>
    </row>
    <row r="289" spans="1:21" ht="16.5" x14ac:dyDescent="0.15">
      <c r="A289" s="3">
        <f>Sheet1!A291</f>
        <v>1408008</v>
      </c>
      <c r="B289" t="s">
        <v>1162</v>
      </c>
      <c r="C289">
        <v>14</v>
      </c>
      <c r="D289" t="s">
        <v>1163</v>
      </c>
      <c r="E289">
        <v>40</v>
      </c>
      <c r="F289" t="s">
        <v>1164</v>
      </c>
      <c r="G289">
        <v>2</v>
      </c>
      <c r="H289" t="s">
        <v>1163</v>
      </c>
      <c r="I289">
        <v>1878000</v>
      </c>
      <c r="J289" t="s">
        <v>1164</v>
      </c>
      <c r="K289">
        <v>1</v>
      </c>
      <c r="L289" t="s">
        <v>1163</v>
      </c>
      <c r="M289">
        <v>1870000</v>
      </c>
      <c r="N289" t="s">
        <v>1165</v>
      </c>
      <c r="O289" t="str">
        <f t="shared" si="13"/>
        <v>[{"id":14,"num":40},{"id":2,"num":1878000},{"id":1,"num":1870000}]</v>
      </c>
      <c r="U289">
        <f t="shared" si="12"/>
        <v>16</v>
      </c>
    </row>
    <row r="290" spans="1:21" ht="16.5" x14ac:dyDescent="0.15">
      <c r="A290" s="3">
        <f>Sheet1!A292</f>
        <v>1408009</v>
      </c>
      <c r="B290" t="s">
        <v>1162</v>
      </c>
      <c r="C290">
        <v>14</v>
      </c>
      <c r="D290" t="s">
        <v>1163</v>
      </c>
      <c r="E290">
        <v>40</v>
      </c>
      <c r="F290" t="s">
        <v>1164</v>
      </c>
      <c r="G290">
        <v>2</v>
      </c>
      <c r="H290" t="s">
        <v>1163</v>
      </c>
      <c r="I290">
        <v>1878000</v>
      </c>
      <c r="J290" t="s">
        <v>1164</v>
      </c>
      <c r="K290">
        <v>1</v>
      </c>
      <c r="L290" t="s">
        <v>1163</v>
      </c>
      <c r="M290">
        <v>1870000</v>
      </c>
      <c r="N290" t="s">
        <v>1165</v>
      </c>
      <c r="O290" t="str">
        <f t="shared" si="13"/>
        <v>[{"id":14,"num":40},{"id":2,"num":1878000},{"id":1,"num":1870000}]</v>
      </c>
      <c r="U290">
        <f t="shared" si="12"/>
        <v>16</v>
      </c>
    </row>
    <row r="291" spans="1:21" ht="16.5" x14ac:dyDescent="0.15">
      <c r="A291" s="3">
        <f>Sheet1!A293</f>
        <v>1408010</v>
      </c>
      <c r="B291" t="s">
        <v>1162</v>
      </c>
      <c r="C291">
        <v>14</v>
      </c>
      <c r="D291" t="s">
        <v>1163</v>
      </c>
      <c r="E291">
        <v>40</v>
      </c>
      <c r="F291" t="s">
        <v>1164</v>
      </c>
      <c r="G291">
        <v>2</v>
      </c>
      <c r="H291" t="s">
        <v>1163</v>
      </c>
      <c r="I291">
        <v>1878000</v>
      </c>
      <c r="J291" t="s">
        <v>1164</v>
      </c>
      <c r="K291">
        <v>1</v>
      </c>
      <c r="L291" t="s">
        <v>1163</v>
      </c>
      <c r="M291">
        <v>1870000</v>
      </c>
      <c r="N291" t="s">
        <v>1165</v>
      </c>
      <c r="O291" t="str">
        <f t="shared" si="13"/>
        <v>[{"id":14,"num":40},{"id":2,"num":1878000},{"id":1,"num":1870000}]</v>
      </c>
      <c r="U291">
        <f t="shared" si="12"/>
        <v>16</v>
      </c>
    </row>
    <row r="292" spans="1:21" ht="16.5" x14ac:dyDescent="0.15">
      <c r="A292" s="3">
        <f>Sheet1!A294</f>
        <v>1408011</v>
      </c>
      <c r="B292" t="s">
        <v>1162</v>
      </c>
      <c r="C292">
        <v>14</v>
      </c>
      <c r="D292" t="s">
        <v>1163</v>
      </c>
      <c r="E292">
        <v>40</v>
      </c>
      <c r="F292" t="s">
        <v>1164</v>
      </c>
      <c r="G292">
        <v>2</v>
      </c>
      <c r="H292" t="s">
        <v>1163</v>
      </c>
      <c r="I292">
        <v>1878000</v>
      </c>
      <c r="J292" t="s">
        <v>1164</v>
      </c>
      <c r="K292">
        <v>1</v>
      </c>
      <c r="L292" t="s">
        <v>1163</v>
      </c>
      <c r="M292">
        <v>1870000</v>
      </c>
      <c r="N292" t="s">
        <v>1165</v>
      </c>
      <c r="O292" t="str">
        <f t="shared" si="13"/>
        <v>[{"id":14,"num":40},{"id":2,"num":1878000},{"id":1,"num":1870000}]</v>
      </c>
      <c r="U292">
        <f t="shared" si="12"/>
        <v>16</v>
      </c>
    </row>
    <row r="293" spans="1:21" ht="16.5" x14ac:dyDescent="0.15">
      <c r="A293" s="3">
        <f>Sheet1!A295</f>
        <v>1408012</v>
      </c>
      <c r="B293" t="s">
        <v>1162</v>
      </c>
      <c r="C293">
        <v>14</v>
      </c>
      <c r="D293" t="s">
        <v>1163</v>
      </c>
      <c r="E293">
        <v>40</v>
      </c>
      <c r="F293" t="s">
        <v>1164</v>
      </c>
      <c r="G293">
        <v>2</v>
      </c>
      <c r="H293" t="s">
        <v>1163</v>
      </c>
      <c r="I293">
        <v>1878000</v>
      </c>
      <c r="J293" t="s">
        <v>1164</v>
      </c>
      <c r="K293">
        <v>1</v>
      </c>
      <c r="L293" t="s">
        <v>1163</v>
      </c>
      <c r="M293">
        <v>1870000</v>
      </c>
      <c r="N293" t="s">
        <v>1165</v>
      </c>
      <c r="O293" t="str">
        <f t="shared" si="13"/>
        <v>[{"id":14,"num":40},{"id":2,"num":1878000},{"id":1,"num":1870000}]</v>
      </c>
      <c r="U293">
        <f t="shared" si="12"/>
        <v>16</v>
      </c>
    </row>
    <row r="294" spans="1:21" ht="16.5" x14ac:dyDescent="0.15">
      <c r="A294" s="3">
        <f>Sheet1!A296</f>
        <v>1408013</v>
      </c>
      <c r="B294" t="s">
        <v>1162</v>
      </c>
      <c r="C294">
        <v>14</v>
      </c>
      <c r="D294" t="s">
        <v>1163</v>
      </c>
      <c r="E294">
        <v>40</v>
      </c>
      <c r="F294" t="s">
        <v>1164</v>
      </c>
      <c r="G294">
        <v>2</v>
      </c>
      <c r="H294" t="s">
        <v>1163</v>
      </c>
      <c r="I294">
        <v>1878000</v>
      </c>
      <c r="J294" t="s">
        <v>1164</v>
      </c>
      <c r="K294">
        <v>1</v>
      </c>
      <c r="L294" t="s">
        <v>1163</v>
      </c>
      <c r="M294">
        <v>1870000</v>
      </c>
      <c r="N294" t="s">
        <v>1165</v>
      </c>
      <c r="O294" t="str">
        <f t="shared" si="13"/>
        <v>[{"id":14,"num":40},{"id":2,"num":1878000},{"id":1,"num":1870000}]</v>
      </c>
      <c r="U294">
        <f t="shared" si="12"/>
        <v>16</v>
      </c>
    </row>
    <row r="295" spans="1:21" ht="16.5" x14ac:dyDescent="0.15">
      <c r="A295" s="3">
        <f>Sheet1!A297</f>
        <v>1408014</v>
      </c>
      <c r="B295" t="s">
        <v>1162</v>
      </c>
      <c r="C295">
        <v>14</v>
      </c>
      <c r="D295" t="s">
        <v>1163</v>
      </c>
      <c r="E295">
        <v>40</v>
      </c>
      <c r="F295" t="s">
        <v>1164</v>
      </c>
      <c r="G295">
        <v>2</v>
      </c>
      <c r="H295" t="s">
        <v>1163</v>
      </c>
      <c r="I295">
        <v>1878000</v>
      </c>
      <c r="J295" t="s">
        <v>1164</v>
      </c>
      <c r="K295">
        <v>1</v>
      </c>
      <c r="L295" t="s">
        <v>1163</v>
      </c>
      <c r="M295">
        <v>1870000</v>
      </c>
      <c r="N295" t="s">
        <v>1165</v>
      </c>
      <c r="O295" t="str">
        <f t="shared" si="13"/>
        <v>[{"id":14,"num":40},{"id":2,"num":1878000},{"id":1,"num":1870000}]</v>
      </c>
      <c r="U295">
        <f t="shared" si="12"/>
        <v>16</v>
      </c>
    </row>
    <row r="296" spans="1:21" ht="16.5" x14ac:dyDescent="0.15">
      <c r="A296" s="3">
        <f>Sheet1!A298</f>
        <v>1408015</v>
      </c>
      <c r="B296" t="s">
        <v>1162</v>
      </c>
      <c r="C296">
        <v>14</v>
      </c>
      <c r="D296" t="s">
        <v>1163</v>
      </c>
      <c r="E296">
        <v>40</v>
      </c>
      <c r="F296" t="s">
        <v>1164</v>
      </c>
      <c r="G296">
        <v>2</v>
      </c>
      <c r="H296" t="s">
        <v>1163</v>
      </c>
      <c r="I296">
        <v>1878000</v>
      </c>
      <c r="J296" t="s">
        <v>1164</v>
      </c>
      <c r="K296">
        <v>1</v>
      </c>
      <c r="L296" t="s">
        <v>1163</v>
      </c>
      <c r="M296">
        <v>1870000</v>
      </c>
      <c r="N296" t="s">
        <v>1165</v>
      </c>
      <c r="O296" t="str">
        <f t="shared" si="13"/>
        <v>[{"id":14,"num":40},{"id":2,"num":1878000},{"id":1,"num":1870000}]</v>
      </c>
      <c r="U296">
        <f t="shared" si="12"/>
        <v>16</v>
      </c>
    </row>
    <row r="297" spans="1:21" ht="16.5" x14ac:dyDescent="0.15">
      <c r="A297" s="3">
        <f>Sheet1!A299</f>
        <v>1408016</v>
      </c>
      <c r="B297" t="s">
        <v>1162</v>
      </c>
      <c r="C297">
        <v>14</v>
      </c>
      <c r="D297" t="s">
        <v>1163</v>
      </c>
      <c r="E297">
        <v>40</v>
      </c>
      <c r="F297" t="s">
        <v>1164</v>
      </c>
      <c r="G297">
        <v>2</v>
      </c>
      <c r="H297" t="s">
        <v>1163</v>
      </c>
      <c r="I297">
        <v>1878000</v>
      </c>
      <c r="J297" t="s">
        <v>1164</v>
      </c>
      <c r="K297">
        <v>1</v>
      </c>
      <c r="L297" t="s">
        <v>1163</v>
      </c>
      <c r="M297">
        <v>1870000</v>
      </c>
      <c r="N297" t="s">
        <v>1165</v>
      </c>
      <c r="O297" t="str">
        <f t="shared" si="13"/>
        <v>[{"id":14,"num":40},{"id":2,"num":1878000},{"id":1,"num":1870000}]</v>
      </c>
      <c r="U297">
        <f t="shared" si="12"/>
        <v>16</v>
      </c>
    </row>
    <row r="298" spans="1:21" ht="16.5" x14ac:dyDescent="0.15">
      <c r="A298" s="3">
        <f>Sheet1!A300</f>
        <v>1408017</v>
      </c>
      <c r="B298" t="s">
        <v>1162</v>
      </c>
      <c r="C298">
        <v>14</v>
      </c>
      <c r="D298" t="s">
        <v>1163</v>
      </c>
      <c r="E298">
        <v>40</v>
      </c>
      <c r="F298" t="s">
        <v>1164</v>
      </c>
      <c r="G298">
        <v>2</v>
      </c>
      <c r="H298" t="s">
        <v>1163</v>
      </c>
      <c r="I298">
        <v>1878000</v>
      </c>
      <c r="J298" t="s">
        <v>1164</v>
      </c>
      <c r="K298">
        <v>1</v>
      </c>
      <c r="L298" t="s">
        <v>1163</v>
      </c>
      <c r="M298">
        <v>1870000</v>
      </c>
      <c r="N298" t="s">
        <v>1165</v>
      </c>
      <c r="O298" t="str">
        <f t="shared" si="13"/>
        <v>[{"id":14,"num":40},{"id":2,"num":1878000},{"id":1,"num":1870000}]</v>
      </c>
      <c r="U298">
        <f t="shared" si="12"/>
        <v>16</v>
      </c>
    </row>
    <row r="299" spans="1:21" ht="16.5" x14ac:dyDescent="0.15">
      <c r="A299" s="3">
        <f>Sheet1!A301</f>
        <v>1408018</v>
      </c>
      <c r="B299" t="s">
        <v>1162</v>
      </c>
      <c r="C299">
        <v>14</v>
      </c>
      <c r="D299" t="s">
        <v>1163</v>
      </c>
      <c r="E299">
        <v>40</v>
      </c>
      <c r="F299" t="s">
        <v>1164</v>
      </c>
      <c r="G299">
        <v>2</v>
      </c>
      <c r="H299" t="s">
        <v>1163</v>
      </c>
      <c r="I299">
        <v>1878000</v>
      </c>
      <c r="J299" t="s">
        <v>1164</v>
      </c>
      <c r="K299">
        <v>1</v>
      </c>
      <c r="L299" t="s">
        <v>1163</v>
      </c>
      <c r="M299">
        <v>1870000</v>
      </c>
      <c r="N299" t="s">
        <v>1165</v>
      </c>
      <c r="O299" t="str">
        <f t="shared" si="13"/>
        <v>[{"id":14,"num":40},{"id":2,"num":1878000},{"id":1,"num":1870000}]</v>
      </c>
      <c r="U299">
        <f t="shared" si="12"/>
        <v>16</v>
      </c>
    </row>
    <row r="300" spans="1:21" ht="16.5" x14ac:dyDescent="0.15">
      <c r="A300" s="3">
        <f>Sheet1!A302</f>
        <v>1408019</v>
      </c>
      <c r="B300" t="s">
        <v>1162</v>
      </c>
      <c r="C300">
        <v>14</v>
      </c>
      <c r="D300" t="s">
        <v>1163</v>
      </c>
      <c r="E300">
        <v>40</v>
      </c>
      <c r="F300" t="s">
        <v>1164</v>
      </c>
      <c r="G300">
        <v>2</v>
      </c>
      <c r="H300" t="s">
        <v>1163</v>
      </c>
      <c r="I300">
        <v>1878000</v>
      </c>
      <c r="J300" t="s">
        <v>1164</v>
      </c>
      <c r="K300">
        <v>1</v>
      </c>
      <c r="L300" t="s">
        <v>1163</v>
      </c>
      <c r="M300">
        <v>1870000</v>
      </c>
      <c r="N300" t="s">
        <v>1165</v>
      </c>
      <c r="O300" t="str">
        <f t="shared" si="13"/>
        <v>[{"id":14,"num":40},{"id":2,"num":1878000},{"id":1,"num":1870000}]</v>
      </c>
      <c r="U300">
        <f t="shared" si="12"/>
        <v>16</v>
      </c>
    </row>
    <row r="301" spans="1:21" ht="16.5" x14ac:dyDescent="0.15">
      <c r="A301" s="3">
        <f>Sheet1!A303</f>
        <v>1408020</v>
      </c>
      <c r="B301" t="s">
        <v>1162</v>
      </c>
      <c r="C301">
        <v>14</v>
      </c>
      <c r="D301" t="s">
        <v>1163</v>
      </c>
      <c r="E301">
        <v>40</v>
      </c>
      <c r="F301" t="s">
        <v>1164</v>
      </c>
      <c r="G301">
        <v>2</v>
      </c>
      <c r="H301" t="s">
        <v>1163</v>
      </c>
      <c r="I301">
        <v>1878000</v>
      </c>
      <c r="J301" t="s">
        <v>1164</v>
      </c>
      <c r="K301">
        <v>1</v>
      </c>
      <c r="L301" t="s">
        <v>1163</v>
      </c>
      <c r="M301">
        <v>1870000</v>
      </c>
      <c r="N301" t="s">
        <v>1165</v>
      </c>
      <c r="O301" t="str">
        <f t="shared" si="13"/>
        <v>[{"id":14,"num":40},{"id":2,"num":1878000},{"id":1,"num":1870000}]</v>
      </c>
      <c r="U301">
        <f t="shared" si="12"/>
        <v>16</v>
      </c>
    </row>
    <row r="302" spans="1:21" ht="16.5" x14ac:dyDescent="0.15">
      <c r="A302" s="3">
        <f>Sheet1!A304</f>
        <v>1408021</v>
      </c>
      <c r="B302" t="s">
        <v>1162</v>
      </c>
      <c r="C302">
        <v>14</v>
      </c>
      <c r="D302" t="s">
        <v>1163</v>
      </c>
      <c r="E302">
        <v>40</v>
      </c>
      <c r="F302" t="s">
        <v>1164</v>
      </c>
      <c r="G302">
        <v>2</v>
      </c>
      <c r="H302" t="s">
        <v>1163</v>
      </c>
      <c r="I302">
        <v>1878000</v>
      </c>
      <c r="J302" t="s">
        <v>1164</v>
      </c>
      <c r="K302">
        <v>1</v>
      </c>
      <c r="L302" t="s">
        <v>1163</v>
      </c>
      <c r="M302">
        <v>1870000</v>
      </c>
      <c r="N302" t="s">
        <v>1165</v>
      </c>
      <c r="O302" t="str">
        <f t="shared" si="13"/>
        <v>[{"id":14,"num":40},{"id":2,"num":1878000},{"id":1,"num":1870000}]</v>
      </c>
      <c r="U302">
        <f t="shared" si="12"/>
        <v>16</v>
      </c>
    </row>
    <row r="303" spans="1:21" ht="16.5" x14ac:dyDescent="0.15">
      <c r="A303" s="3">
        <f>Sheet1!A305</f>
        <v>1408022</v>
      </c>
      <c r="B303" t="s">
        <v>1162</v>
      </c>
      <c r="C303">
        <v>14</v>
      </c>
      <c r="D303" t="s">
        <v>1163</v>
      </c>
      <c r="E303">
        <v>40</v>
      </c>
      <c r="F303" t="s">
        <v>1164</v>
      </c>
      <c r="G303">
        <v>2</v>
      </c>
      <c r="H303" t="s">
        <v>1163</v>
      </c>
      <c r="I303">
        <v>1878000</v>
      </c>
      <c r="J303" t="s">
        <v>1164</v>
      </c>
      <c r="K303">
        <v>1</v>
      </c>
      <c r="L303" t="s">
        <v>1163</v>
      </c>
      <c r="M303">
        <v>1870000</v>
      </c>
      <c r="N303" t="s">
        <v>1165</v>
      </c>
      <c r="O303" t="str">
        <f t="shared" ref="O303:O321" si="14">_xlfn.TEXTJOIN(,TRUE,B303:N303)</f>
        <v>[{"id":14,"num":40},{"id":2,"num":1878000},{"id":1,"num":1870000}]</v>
      </c>
      <c r="U303">
        <f t="shared" si="12"/>
        <v>16</v>
      </c>
    </row>
    <row r="304" spans="1:21" ht="16.5" x14ac:dyDescent="0.15">
      <c r="A304" s="3">
        <f>Sheet1!A306</f>
        <v>1408023</v>
      </c>
      <c r="B304" t="s">
        <v>1162</v>
      </c>
      <c r="C304">
        <v>14</v>
      </c>
      <c r="D304" t="s">
        <v>1163</v>
      </c>
      <c r="E304">
        <v>40</v>
      </c>
      <c r="F304" t="s">
        <v>1164</v>
      </c>
      <c r="G304">
        <v>2</v>
      </c>
      <c r="H304" t="s">
        <v>1163</v>
      </c>
      <c r="I304">
        <v>1878000</v>
      </c>
      <c r="J304" t="s">
        <v>1164</v>
      </c>
      <c r="K304">
        <v>1</v>
      </c>
      <c r="L304" t="s">
        <v>1163</v>
      </c>
      <c r="M304">
        <v>1870000</v>
      </c>
      <c r="N304" t="s">
        <v>1165</v>
      </c>
      <c r="O304" t="str">
        <f t="shared" si="14"/>
        <v>[{"id":14,"num":40},{"id":2,"num":1878000},{"id":1,"num":1870000}]</v>
      </c>
      <c r="U304">
        <f t="shared" si="12"/>
        <v>16</v>
      </c>
    </row>
    <row r="305" spans="1:21" ht="16.5" x14ac:dyDescent="0.15">
      <c r="A305" s="3">
        <f>Sheet1!A307</f>
        <v>1408024</v>
      </c>
      <c r="B305" t="s">
        <v>1162</v>
      </c>
      <c r="C305">
        <v>14</v>
      </c>
      <c r="D305" t="s">
        <v>1163</v>
      </c>
      <c r="E305">
        <v>40</v>
      </c>
      <c r="F305" t="s">
        <v>1164</v>
      </c>
      <c r="G305">
        <v>2</v>
      </c>
      <c r="H305" t="s">
        <v>1163</v>
      </c>
      <c r="I305">
        <v>1878000</v>
      </c>
      <c r="J305" t="s">
        <v>1164</v>
      </c>
      <c r="K305">
        <v>1</v>
      </c>
      <c r="L305" t="s">
        <v>1163</v>
      </c>
      <c r="M305">
        <v>1870000</v>
      </c>
      <c r="N305" t="s">
        <v>1165</v>
      </c>
      <c r="O305" t="str">
        <f t="shared" si="14"/>
        <v>[{"id":14,"num":40},{"id":2,"num":1878000},{"id":1,"num":1870000}]</v>
      </c>
      <c r="U305">
        <f t="shared" si="12"/>
        <v>16</v>
      </c>
    </row>
    <row r="306" spans="1:21" ht="16.5" x14ac:dyDescent="0.15">
      <c r="A306" s="3">
        <f>Sheet1!A308</f>
        <v>1408025</v>
      </c>
      <c r="B306" t="s">
        <v>1162</v>
      </c>
      <c r="C306">
        <v>14</v>
      </c>
      <c r="D306" t="s">
        <v>1163</v>
      </c>
      <c r="E306">
        <v>40</v>
      </c>
      <c r="F306" t="s">
        <v>1164</v>
      </c>
      <c r="G306">
        <v>2</v>
      </c>
      <c r="H306" t="s">
        <v>1163</v>
      </c>
      <c r="I306">
        <v>1878000</v>
      </c>
      <c r="J306" t="s">
        <v>1164</v>
      </c>
      <c r="K306">
        <v>1</v>
      </c>
      <c r="L306" t="s">
        <v>1163</v>
      </c>
      <c r="M306">
        <v>1870000</v>
      </c>
      <c r="N306" t="s">
        <v>1165</v>
      </c>
      <c r="O306" t="str">
        <f t="shared" si="14"/>
        <v>[{"id":14,"num":40},{"id":2,"num":1878000},{"id":1,"num":1870000}]</v>
      </c>
      <c r="U306">
        <f t="shared" si="12"/>
        <v>16</v>
      </c>
    </row>
    <row r="307" spans="1:21" ht="16.5" x14ac:dyDescent="0.15">
      <c r="A307" s="3">
        <f>Sheet1!A309</f>
        <v>1408026</v>
      </c>
      <c r="B307" t="s">
        <v>1162</v>
      </c>
      <c r="C307">
        <v>14</v>
      </c>
      <c r="D307" t="s">
        <v>1163</v>
      </c>
      <c r="E307">
        <v>40</v>
      </c>
      <c r="F307" t="s">
        <v>1164</v>
      </c>
      <c r="G307">
        <v>2</v>
      </c>
      <c r="H307" t="s">
        <v>1163</v>
      </c>
      <c r="I307">
        <v>1878000</v>
      </c>
      <c r="J307" t="s">
        <v>1164</v>
      </c>
      <c r="K307">
        <v>1</v>
      </c>
      <c r="L307" t="s">
        <v>1163</v>
      </c>
      <c r="M307">
        <v>1870000</v>
      </c>
      <c r="N307" t="s">
        <v>1165</v>
      </c>
      <c r="O307" t="str">
        <f t="shared" si="14"/>
        <v>[{"id":14,"num":40},{"id":2,"num":1878000},{"id":1,"num":1870000}]</v>
      </c>
      <c r="U307">
        <f t="shared" si="12"/>
        <v>16</v>
      </c>
    </row>
    <row r="308" spans="1:21" ht="16.5" x14ac:dyDescent="0.15">
      <c r="A308" s="3">
        <f>Sheet1!A310</f>
        <v>1408027</v>
      </c>
      <c r="B308" t="s">
        <v>1162</v>
      </c>
      <c r="C308">
        <v>14</v>
      </c>
      <c r="D308" t="s">
        <v>1163</v>
      </c>
      <c r="E308">
        <v>40</v>
      </c>
      <c r="F308" t="s">
        <v>1164</v>
      </c>
      <c r="G308">
        <v>2</v>
      </c>
      <c r="H308" t="s">
        <v>1163</v>
      </c>
      <c r="I308">
        <v>1878000</v>
      </c>
      <c r="J308" t="s">
        <v>1164</v>
      </c>
      <c r="K308">
        <v>1</v>
      </c>
      <c r="L308" t="s">
        <v>1163</v>
      </c>
      <c r="M308">
        <v>1870000</v>
      </c>
      <c r="N308" t="s">
        <v>1165</v>
      </c>
      <c r="O308" t="str">
        <f t="shared" si="14"/>
        <v>[{"id":14,"num":40},{"id":2,"num":1878000},{"id":1,"num":1870000}]</v>
      </c>
      <c r="U308">
        <f t="shared" ref="U308:U321" si="15">INT(E308*0.4)</f>
        <v>16</v>
      </c>
    </row>
    <row r="309" spans="1:21" ht="16.5" x14ac:dyDescent="0.15">
      <c r="A309" s="3">
        <f>Sheet1!A311</f>
        <v>1408028</v>
      </c>
      <c r="B309" t="s">
        <v>1162</v>
      </c>
      <c r="C309">
        <v>14</v>
      </c>
      <c r="D309" t="s">
        <v>1163</v>
      </c>
      <c r="E309">
        <v>40</v>
      </c>
      <c r="F309" t="s">
        <v>1164</v>
      </c>
      <c r="G309">
        <v>2</v>
      </c>
      <c r="H309" t="s">
        <v>1163</v>
      </c>
      <c r="I309">
        <v>1878000</v>
      </c>
      <c r="J309" t="s">
        <v>1164</v>
      </c>
      <c r="K309">
        <v>1</v>
      </c>
      <c r="L309" t="s">
        <v>1163</v>
      </c>
      <c r="M309">
        <v>1870000</v>
      </c>
      <c r="N309" t="s">
        <v>1165</v>
      </c>
      <c r="O309" t="str">
        <f t="shared" si="14"/>
        <v>[{"id":14,"num":40},{"id":2,"num":1878000},{"id":1,"num":1870000}]</v>
      </c>
      <c r="U309">
        <f t="shared" si="15"/>
        <v>16</v>
      </c>
    </row>
    <row r="310" spans="1:21" ht="16.5" x14ac:dyDescent="0.15">
      <c r="A310" s="3">
        <f>Sheet1!A312</f>
        <v>1408029</v>
      </c>
      <c r="B310" t="s">
        <v>1162</v>
      </c>
      <c r="C310">
        <v>14</v>
      </c>
      <c r="D310" t="s">
        <v>1163</v>
      </c>
      <c r="E310">
        <v>40</v>
      </c>
      <c r="F310" t="s">
        <v>1164</v>
      </c>
      <c r="G310">
        <v>2</v>
      </c>
      <c r="H310" t="s">
        <v>1163</v>
      </c>
      <c r="I310">
        <v>1878000</v>
      </c>
      <c r="J310" t="s">
        <v>1164</v>
      </c>
      <c r="K310">
        <v>1</v>
      </c>
      <c r="L310" t="s">
        <v>1163</v>
      </c>
      <c r="M310">
        <v>1870000</v>
      </c>
      <c r="N310" t="s">
        <v>1165</v>
      </c>
      <c r="O310" t="str">
        <f t="shared" si="14"/>
        <v>[{"id":14,"num":40},{"id":2,"num":1878000},{"id":1,"num":1870000}]</v>
      </c>
      <c r="U310">
        <f t="shared" si="15"/>
        <v>16</v>
      </c>
    </row>
    <row r="311" spans="1:21" ht="16.5" x14ac:dyDescent="0.15">
      <c r="A311" s="3">
        <f>Sheet1!A313</f>
        <v>1408030</v>
      </c>
      <c r="B311" t="s">
        <v>1162</v>
      </c>
      <c r="C311">
        <v>14</v>
      </c>
      <c r="D311" t="s">
        <v>1163</v>
      </c>
      <c r="E311">
        <v>40</v>
      </c>
      <c r="F311" t="s">
        <v>1164</v>
      </c>
      <c r="G311">
        <v>2</v>
      </c>
      <c r="H311" t="s">
        <v>1163</v>
      </c>
      <c r="I311">
        <v>1878000</v>
      </c>
      <c r="J311" t="s">
        <v>1164</v>
      </c>
      <c r="K311">
        <v>1</v>
      </c>
      <c r="L311" t="s">
        <v>1163</v>
      </c>
      <c r="M311">
        <v>1870000</v>
      </c>
      <c r="N311" t="s">
        <v>1165</v>
      </c>
      <c r="O311" t="str">
        <f t="shared" si="14"/>
        <v>[{"id":14,"num":40},{"id":2,"num":1878000},{"id":1,"num":1870000}]</v>
      </c>
      <c r="U311">
        <f t="shared" si="15"/>
        <v>16</v>
      </c>
    </row>
    <row r="312" spans="1:21" ht="16.5" x14ac:dyDescent="0.15">
      <c r="A312" s="3">
        <f>Sheet1!A314</f>
        <v>1408031</v>
      </c>
      <c r="B312" t="s">
        <v>1162</v>
      </c>
      <c r="C312">
        <v>14</v>
      </c>
      <c r="D312" t="s">
        <v>1163</v>
      </c>
      <c r="E312">
        <v>40</v>
      </c>
      <c r="F312" t="s">
        <v>1164</v>
      </c>
      <c r="G312">
        <v>2</v>
      </c>
      <c r="H312" t="s">
        <v>1163</v>
      </c>
      <c r="I312">
        <v>1878000</v>
      </c>
      <c r="J312" t="s">
        <v>1164</v>
      </c>
      <c r="K312">
        <v>1</v>
      </c>
      <c r="L312" t="s">
        <v>1163</v>
      </c>
      <c r="M312">
        <v>1870000</v>
      </c>
      <c r="N312" t="s">
        <v>1165</v>
      </c>
      <c r="O312" t="str">
        <f t="shared" si="14"/>
        <v>[{"id":14,"num":40},{"id":2,"num":1878000},{"id":1,"num":1870000}]</v>
      </c>
      <c r="U312">
        <f t="shared" si="15"/>
        <v>16</v>
      </c>
    </row>
    <row r="313" spans="1:21" ht="16.5" x14ac:dyDescent="0.15">
      <c r="A313" s="3">
        <f>Sheet1!A315</f>
        <v>1408032</v>
      </c>
      <c r="B313" t="s">
        <v>1162</v>
      </c>
      <c r="C313">
        <v>14</v>
      </c>
      <c r="D313" t="s">
        <v>1163</v>
      </c>
      <c r="E313">
        <v>40</v>
      </c>
      <c r="F313" t="s">
        <v>1164</v>
      </c>
      <c r="G313">
        <v>2</v>
      </c>
      <c r="H313" t="s">
        <v>1163</v>
      </c>
      <c r="I313">
        <v>1878000</v>
      </c>
      <c r="J313" t="s">
        <v>1164</v>
      </c>
      <c r="K313">
        <v>1</v>
      </c>
      <c r="L313" t="s">
        <v>1163</v>
      </c>
      <c r="M313">
        <v>1870000</v>
      </c>
      <c r="N313" t="s">
        <v>1165</v>
      </c>
      <c r="O313" t="str">
        <f t="shared" si="14"/>
        <v>[{"id":14,"num":40},{"id":2,"num":1878000},{"id":1,"num":1870000}]</v>
      </c>
      <c r="U313">
        <f t="shared" si="15"/>
        <v>16</v>
      </c>
    </row>
    <row r="314" spans="1:21" ht="16.5" x14ac:dyDescent="0.15">
      <c r="A314" s="3">
        <f>Sheet1!A316</f>
        <v>1408033</v>
      </c>
      <c r="B314" t="s">
        <v>1162</v>
      </c>
      <c r="C314">
        <v>14</v>
      </c>
      <c r="D314" t="s">
        <v>1163</v>
      </c>
      <c r="E314">
        <v>40</v>
      </c>
      <c r="F314" t="s">
        <v>1164</v>
      </c>
      <c r="G314">
        <v>2</v>
      </c>
      <c r="H314" t="s">
        <v>1163</v>
      </c>
      <c r="I314">
        <v>1878000</v>
      </c>
      <c r="J314" t="s">
        <v>1164</v>
      </c>
      <c r="K314">
        <v>1</v>
      </c>
      <c r="L314" t="s">
        <v>1163</v>
      </c>
      <c r="M314">
        <v>1870000</v>
      </c>
      <c r="N314" t="s">
        <v>1165</v>
      </c>
      <c r="O314" t="str">
        <f t="shared" si="14"/>
        <v>[{"id":14,"num":40},{"id":2,"num":1878000},{"id":1,"num":1870000}]</v>
      </c>
      <c r="U314">
        <f t="shared" si="15"/>
        <v>16</v>
      </c>
    </row>
    <row r="315" spans="1:21" ht="16.5" x14ac:dyDescent="0.15">
      <c r="A315" s="3">
        <f>Sheet1!A317</f>
        <v>1408034</v>
      </c>
      <c r="B315" t="s">
        <v>1162</v>
      </c>
      <c r="C315">
        <v>14</v>
      </c>
      <c r="D315" t="s">
        <v>1163</v>
      </c>
      <c r="E315">
        <v>40</v>
      </c>
      <c r="F315" t="s">
        <v>1164</v>
      </c>
      <c r="G315">
        <v>2</v>
      </c>
      <c r="H315" t="s">
        <v>1163</v>
      </c>
      <c r="I315">
        <v>1878000</v>
      </c>
      <c r="J315" t="s">
        <v>1164</v>
      </c>
      <c r="K315">
        <v>1</v>
      </c>
      <c r="L315" t="s">
        <v>1163</v>
      </c>
      <c r="M315">
        <v>1870000</v>
      </c>
      <c r="N315" t="s">
        <v>1165</v>
      </c>
      <c r="O315" t="str">
        <f t="shared" si="14"/>
        <v>[{"id":14,"num":40},{"id":2,"num":1878000},{"id":1,"num":1870000}]</v>
      </c>
      <c r="U315">
        <f t="shared" si="15"/>
        <v>16</v>
      </c>
    </row>
    <row r="316" spans="1:21" ht="16.5" x14ac:dyDescent="0.15">
      <c r="A316" s="3">
        <f>Sheet1!A318</f>
        <v>1408035</v>
      </c>
      <c r="B316" t="s">
        <v>1162</v>
      </c>
      <c r="C316">
        <v>14</v>
      </c>
      <c r="D316" t="s">
        <v>1163</v>
      </c>
      <c r="E316">
        <v>40</v>
      </c>
      <c r="F316" t="s">
        <v>1164</v>
      </c>
      <c r="G316">
        <v>2</v>
      </c>
      <c r="H316" t="s">
        <v>1163</v>
      </c>
      <c r="I316">
        <v>1878000</v>
      </c>
      <c r="J316" t="s">
        <v>1164</v>
      </c>
      <c r="K316">
        <v>1</v>
      </c>
      <c r="L316" t="s">
        <v>1163</v>
      </c>
      <c r="M316">
        <v>1870000</v>
      </c>
      <c r="N316" t="s">
        <v>1165</v>
      </c>
      <c r="O316" t="str">
        <f t="shared" si="14"/>
        <v>[{"id":14,"num":40},{"id":2,"num":1878000},{"id":1,"num":1870000}]</v>
      </c>
      <c r="U316">
        <f t="shared" si="15"/>
        <v>16</v>
      </c>
    </row>
    <row r="317" spans="1:21" ht="16.5" x14ac:dyDescent="0.15">
      <c r="A317" s="3">
        <f>Sheet1!A319</f>
        <v>1408036</v>
      </c>
      <c r="B317" t="s">
        <v>1162</v>
      </c>
      <c r="C317">
        <v>14</v>
      </c>
      <c r="D317" t="s">
        <v>1163</v>
      </c>
      <c r="E317">
        <v>40</v>
      </c>
      <c r="F317" t="s">
        <v>1164</v>
      </c>
      <c r="G317">
        <v>2</v>
      </c>
      <c r="H317" t="s">
        <v>1163</v>
      </c>
      <c r="I317">
        <v>1878000</v>
      </c>
      <c r="J317" t="s">
        <v>1164</v>
      </c>
      <c r="K317">
        <v>1</v>
      </c>
      <c r="L317" t="s">
        <v>1163</v>
      </c>
      <c r="M317">
        <v>1870000</v>
      </c>
      <c r="N317" t="s">
        <v>1165</v>
      </c>
      <c r="O317" t="str">
        <f t="shared" si="14"/>
        <v>[{"id":14,"num":40},{"id":2,"num":1878000},{"id":1,"num":1870000}]</v>
      </c>
      <c r="U317">
        <f t="shared" si="15"/>
        <v>16</v>
      </c>
    </row>
    <row r="318" spans="1:21" ht="16.5" x14ac:dyDescent="0.15">
      <c r="A318" s="3">
        <f>Sheet1!A320</f>
        <v>1408037</v>
      </c>
      <c r="B318" t="s">
        <v>1162</v>
      </c>
      <c r="C318">
        <v>14</v>
      </c>
      <c r="D318" t="s">
        <v>1163</v>
      </c>
      <c r="E318">
        <v>40</v>
      </c>
      <c r="F318" t="s">
        <v>1164</v>
      </c>
      <c r="G318">
        <v>2</v>
      </c>
      <c r="H318" t="s">
        <v>1163</v>
      </c>
      <c r="I318">
        <v>1878000</v>
      </c>
      <c r="J318" t="s">
        <v>1164</v>
      </c>
      <c r="K318">
        <v>1</v>
      </c>
      <c r="L318" t="s">
        <v>1163</v>
      </c>
      <c r="M318">
        <v>1870000</v>
      </c>
      <c r="N318" t="s">
        <v>1165</v>
      </c>
      <c r="O318" t="str">
        <f t="shared" si="14"/>
        <v>[{"id":14,"num":40},{"id":2,"num":1878000},{"id":1,"num":1870000}]</v>
      </c>
      <c r="U318">
        <f t="shared" si="15"/>
        <v>16</v>
      </c>
    </row>
    <row r="319" spans="1:21" ht="16.5" x14ac:dyDescent="0.15">
      <c r="A319" s="3">
        <f>Sheet1!A321</f>
        <v>1408038</v>
      </c>
      <c r="B319" t="s">
        <v>1162</v>
      </c>
      <c r="C319">
        <v>14</v>
      </c>
      <c r="D319" t="s">
        <v>1163</v>
      </c>
      <c r="E319">
        <v>40</v>
      </c>
      <c r="F319" t="s">
        <v>1164</v>
      </c>
      <c r="G319">
        <v>2</v>
      </c>
      <c r="H319" t="s">
        <v>1163</v>
      </c>
      <c r="I319">
        <v>1878000</v>
      </c>
      <c r="J319" t="s">
        <v>1164</v>
      </c>
      <c r="K319">
        <v>1</v>
      </c>
      <c r="L319" t="s">
        <v>1163</v>
      </c>
      <c r="M319">
        <v>1870000</v>
      </c>
      <c r="N319" t="s">
        <v>1165</v>
      </c>
      <c r="O319" t="str">
        <f t="shared" si="14"/>
        <v>[{"id":14,"num":40},{"id":2,"num":1878000},{"id":1,"num":1870000}]</v>
      </c>
      <c r="U319">
        <f t="shared" si="15"/>
        <v>16</v>
      </c>
    </row>
    <row r="320" spans="1:21" ht="16.5" x14ac:dyDescent="0.15">
      <c r="A320" s="3">
        <f>Sheet1!A322</f>
        <v>1408039</v>
      </c>
      <c r="B320" t="s">
        <v>1162</v>
      </c>
      <c r="C320">
        <v>14</v>
      </c>
      <c r="D320" t="s">
        <v>1163</v>
      </c>
      <c r="E320">
        <v>40</v>
      </c>
      <c r="F320" t="s">
        <v>1164</v>
      </c>
      <c r="G320">
        <v>2</v>
      </c>
      <c r="H320" t="s">
        <v>1163</v>
      </c>
      <c r="I320">
        <v>1878000</v>
      </c>
      <c r="J320" t="s">
        <v>1164</v>
      </c>
      <c r="K320">
        <v>1</v>
      </c>
      <c r="L320" t="s">
        <v>1163</v>
      </c>
      <c r="M320">
        <v>1870000</v>
      </c>
      <c r="N320" t="s">
        <v>1165</v>
      </c>
      <c r="O320" t="str">
        <f t="shared" si="14"/>
        <v>[{"id":14,"num":40},{"id":2,"num":1878000},{"id":1,"num":1870000}]</v>
      </c>
      <c r="U320">
        <f t="shared" si="15"/>
        <v>16</v>
      </c>
    </row>
    <row r="321" spans="1:21" ht="16.5" x14ac:dyDescent="0.15">
      <c r="A321" s="3">
        <f>Sheet1!A323</f>
        <v>1408040</v>
      </c>
      <c r="B321" t="s">
        <v>1162</v>
      </c>
      <c r="C321">
        <v>14</v>
      </c>
      <c r="D321" t="s">
        <v>1163</v>
      </c>
      <c r="E321">
        <v>40</v>
      </c>
      <c r="F321" t="s">
        <v>1164</v>
      </c>
      <c r="G321">
        <v>2</v>
      </c>
      <c r="H321" t="s">
        <v>1163</v>
      </c>
      <c r="I321">
        <v>1878000</v>
      </c>
      <c r="J321" t="s">
        <v>1164</v>
      </c>
      <c r="K321">
        <v>1</v>
      </c>
      <c r="L321" t="s">
        <v>1163</v>
      </c>
      <c r="M321">
        <v>1870000</v>
      </c>
      <c r="N321" t="s">
        <v>1165</v>
      </c>
      <c r="O321" t="str">
        <f t="shared" si="14"/>
        <v>[{"id":14,"num":40},{"id":2,"num":1878000},{"id":1,"num":1870000}]</v>
      </c>
      <c r="U321">
        <f t="shared" si="15"/>
        <v>16</v>
      </c>
    </row>
    <row r="322" spans="1:21" ht="16.5" x14ac:dyDescent="0.15">
      <c r="A322" s="3">
        <f>Sheet1!A324</f>
        <v>1409001</v>
      </c>
      <c r="B322" t="s">
        <v>1162</v>
      </c>
      <c r="C322">
        <v>14</v>
      </c>
      <c r="D322" t="s">
        <v>1163</v>
      </c>
      <c r="E322">
        <v>45</v>
      </c>
      <c r="F322" t="s">
        <v>1164</v>
      </c>
      <c r="G322">
        <v>2</v>
      </c>
      <c r="H322" t="s">
        <v>1163</v>
      </c>
      <c r="I322">
        <v>1900000</v>
      </c>
      <c r="J322" t="s">
        <v>1164</v>
      </c>
      <c r="K322">
        <v>1</v>
      </c>
      <c r="L322" t="s">
        <v>1163</v>
      </c>
      <c r="M322">
        <f>I322</f>
        <v>1900000</v>
      </c>
      <c r="N322" t="s">
        <v>1165</v>
      </c>
      <c r="O322" t="str">
        <f t="shared" ref="O322:O353" si="16">_xlfn.TEXTJOIN(,TRUE,B322:N322)</f>
        <v>[{"id":14,"num":45},{"id":2,"num":1900000},{"id":1,"num":1900000}]</v>
      </c>
    </row>
    <row r="323" spans="1:21" ht="16.5" x14ac:dyDescent="0.15">
      <c r="A323" s="3">
        <f>Sheet1!A325</f>
        <v>1409002</v>
      </c>
      <c r="B323" t="s">
        <v>1162</v>
      </c>
      <c r="C323">
        <v>14</v>
      </c>
      <c r="D323" t="s">
        <v>1163</v>
      </c>
      <c r="E323">
        <v>45</v>
      </c>
      <c r="F323" t="s">
        <v>1164</v>
      </c>
      <c r="G323">
        <v>2</v>
      </c>
      <c r="H323" t="s">
        <v>1163</v>
      </c>
      <c r="I323">
        <v>1900000</v>
      </c>
      <c r="J323" t="s">
        <v>1164</v>
      </c>
      <c r="K323">
        <v>1</v>
      </c>
      <c r="L323" t="s">
        <v>1163</v>
      </c>
      <c r="M323">
        <f t="shared" ref="M323:M354" si="17">I323</f>
        <v>1900000</v>
      </c>
      <c r="N323" t="s">
        <v>1165</v>
      </c>
      <c r="O323" t="str">
        <f t="shared" si="16"/>
        <v>[{"id":14,"num":45},{"id":2,"num":1900000},{"id":1,"num":1900000}]</v>
      </c>
    </row>
    <row r="324" spans="1:21" ht="16.5" x14ac:dyDescent="0.15">
      <c r="A324" s="3">
        <f>Sheet1!A326</f>
        <v>1409003</v>
      </c>
      <c r="B324" t="s">
        <v>1162</v>
      </c>
      <c r="C324">
        <v>14</v>
      </c>
      <c r="D324" t="s">
        <v>1163</v>
      </c>
      <c r="E324">
        <v>45</v>
      </c>
      <c r="F324" t="s">
        <v>1164</v>
      </c>
      <c r="G324">
        <v>2</v>
      </c>
      <c r="H324" t="s">
        <v>1163</v>
      </c>
      <c r="I324">
        <v>1900000</v>
      </c>
      <c r="J324" t="s">
        <v>1164</v>
      </c>
      <c r="K324">
        <v>1</v>
      </c>
      <c r="L324" t="s">
        <v>1163</v>
      </c>
      <c r="M324">
        <f t="shared" si="17"/>
        <v>1900000</v>
      </c>
      <c r="N324" t="s">
        <v>1165</v>
      </c>
      <c r="O324" t="str">
        <f t="shared" si="16"/>
        <v>[{"id":14,"num":45},{"id":2,"num":1900000},{"id":1,"num":1900000}]</v>
      </c>
    </row>
    <row r="325" spans="1:21" ht="16.5" x14ac:dyDescent="0.15">
      <c r="A325" s="3">
        <f>Sheet1!A327</f>
        <v>1409004</v>
      </c>
      <c r="B325" t="s">
        <v>1162</v>
      </c>
      <c r="C325">
        <v>14</v>
      </c>
      <c r="D325" t="s">
        <v>1163</v>
      </c>
      <c r="E325">
        <v>45</v>
      </c>
      <c r="F325" t="s">
        <v>1164</v>
      </c>
      <c r="G325">
        <v>2</v>
      </c>
      <c r="H325" t="s">
        <v>1163</v>
      </c>
      <c r="I325">
        <v>1900000</v>
      </c>
      <c r="J325" t="s">
        <v>1164</v>
      </c>
      <c r="K325">
        <v>1</v>
      </c>
      <c r="L325" t="s">
        <v>1163</v>
      </c>
      <c r="M325">
        <f t="shared" si="17"/>
        <v>1900000</v>
      </c>
      <c r="N325" t="s">
        <v>1165</v>
      </c>
      <c r="O325" t="str">
        <f t="shared" si="16"/>
        <v>[{"id":14,"num":45},{"id":2,"num":1900000},{"id":1,"num":1900000}]</v>
      </c>
    </row>
    <row r="326" spans="1:21" ht="16.5" x14ac:dyDescent="0.15">
      <c r="A326" s="3">
        <f>Sheet1!A328</f>
        <v>1409005</v>
      </c>
      <c r="B326" t="s">
        <v>1162</v>
      </c>
      <c r="C326">
        <v>14</v>
      </c>
      <c r="D326" t="s">
        <v>1163</v>
      </c>
      <c r="E326">
        <v>45</v>
      </c>
      <c r="F326" t="s">
        <v>1164</v>
      </c>
      <c r="G326">
        <v>2</v>
      </c>
      <c r="H326" t="s">
        <v>1163</v>
      </c>
      <c r="I326">
        <v>1900000</v>
      </c>
      <c r="J326" t="s">
        <v>1164</v>
      </c>
      <c r="K326">
        <v>1</v>
      </c>
      <c r="L326" t="s">
        <v>1163</v>
      </c>
      <c r="M326">
        <f t="shared" si="17"/>
        <v>1900000</v>
      </c>
      <c r="N326" t="s">
        <v>1165</v>
      </c>
      <c r="O326" t="str">
        <f t="shared" si="16"/>
        <v>[{"id":14,"num":45},{"id":2,"num":1900000},{"id":1,"num":1900000}]</v>
      </c>
    </row>
    <row r="327" spans="1:21" ht="16.5" x14ac:dyDescent="0.15">
      <c r="A327" s="3">
        <f>Sheet1!A329</f>
        <v>1409006</v>
      </c>
      <c r="B327" t="s">
        <v>1162</v>
      </c>
      <c r="C327">
        <v>14</v>
      </c>
      <c r="D327" t="s">
        <v>1163</v>
      </c>
      <c r="E327">
        <v>45</v>
      </c>
      <c r="F327" t="s">
        <v>1164</v>
      </c>
      <c r="G327">
        <v>2</v>
      </c>
      <c r="H327" t="s">
        <v>1163</v>
      </c>
      <c r="I327">
        <v>1900000</v>
      </c>
      <c r="J327" t="s">
        <v>1164</v>
      </c>
      <c r="K327">
        <v>1</v>
      </c>
      <c r="L327" t="s">
        <v>1163</v>
      </c>
      <c r="M327">
        <f t="shared" si="17"/>
        <v>1900000</v>
      </c>
      <c r="N327" t="s">
        <v>1165</v>
      </c>
      <c r="O327" t="str">
        <f t="shared" si="16"/>
        <v>[{"id":14,"num":45},{"id":2,"num":1900000},{"id":1,"num":1900000}]</v>
      </c>
    </row>
    <row r="328" spans="1:21" ht="16.5" x14ac:dyDescent="0.15">
      <c r="A328" s="3">
        <f>Sheet1!A330</f>
        <v>1409007</v>
      </c>
      <c r="B328" t="s">
        <v>1162</v>
      </c>
      <c r="C328">
        <v>14</v>
      </c>
      <c r="D328" t="s">
        <v>1163</v>
      </c>
      <c r="E328">
        <v>45</v>
      </c>
      <c r="F328" t="s">
        <v>1164</v>
      </c>
      <c r="G328">
        <v>2</v>
      </c>
      <c r="H328" t="s">
        <v>1163</v>
      </c>
      <c r="I328">
        <v>1900000</v>
      </c>
      <c r="J328" t="s">
        <v>1164</v>
      </c>
      <c r="K328">
        <v>1</v>
      </c>
      <c r="L328" t="s">
        <v>1163</v>
      </c>
      <c r="M328">
        <f t="shared" si="17"/>
        <v>1900000</v>
      </c>
      <c r="N328" t="s">
        <v>1165</v>
      </c>
      <c r="O328" t="str">
        <f t="shared" si="16"/>
        <v>[{"id":14,"num":45},{"id":2,"num":1900000},{"id":1,"num":1900000}]</v>
      </c>
    </row>
    <row r="329" spans="1:21" ht="16.5" x14ac:dyDescent="0.15">
      <c r="A329" s="3">
        <f>Sheet1!A331</f>
        <v>1409008</v>
      </c>
      <c r="B329" t="s">
        <v>1162</v>
      </c>
      <c r="C329">
        <v>14</v>
      </c>
      <c r="D329" t="s">
        <v>1163</v>
      </c>
      <c r="E329">
        <v>45</v>
      </c>
      <c r="F329" t="s">
        <v>1164</v>
      </c>
      <c r="G329">
        <v>2</v>
      </c>
      <c r="H329" t="s">
        <v>1163</v>
      </c>
      <c r="I329">
        <v>1900000</v>
      </c>
      <c r="J329" t="s">
        <v>1164</v>
      </c>
      <c r="K329">
        <v>1</v>
      </c>
      <c r="L329" t="s">
        <v>1163</v>
      </c>
      <c r="M329">
        <f t="shared" si="17"/>
        <v>1900000</v>
      </c>
      <c r="N329" t="s">
        <v>1165</v>
      </c>
      <c r="O329" t="str">
        <f t="shared" si="16"/>
        <v>[{"id":14,"num":45},{"id":2,"num":1900000},{"id":1,"num":1900000}]</v>
      </c>
    </row>
    <row r="330" spans="1:21" ht="16.5" x14ac:dyDescent="0.15">
      <c r="A330" s="3">
        <f>Sheet1!A332</f>
        <v>1409009</v>
      </c>
      <c r="B330" t="s">
        <v>1162</v>
      </c>
      <c r="C330">
        <v>14</v>
      </c>
      <c r="D330" t="s">
        <v>1163</v>
      </c>
      <c r="E330">
        <v>45</v>
      </c>
      <c r="F330" t="s">
        <v>1164</v>
      </c>
      <c r="G330">
        <v>2</v>
      </c>
      <c r="H330" t="s">
        <v>1163</v>
      </c>
      <c r="I330">
        <v>1900000</v>
      </c>
      <c r="J330" t="s">
        <v>1164</v>
      </c>
      <c r="K330">
        <v>1</v>
      </c>
      <c r="L330" t="s">
        <v>1163</v>
      </c>
      <c r="M330">
        <f t="shared" si="17"/>
        <v>1900000</v>
      </c>
      <c r="N330" t="s">
        <v>1165</v>
      </c>
      <c r="O330" t="str">
        <f t="shared" si="16"/>
        <v>[{"id":14,"num":45},{"id":2,"num":1900000},{"id":1,"num":1900000}]</v>
      </c>
    </row>
    <row r="331" spans="1:21" ht="16.5" x14ac:dyDescent="0.15">
      <c r="A331" s="3">
        <f>Sheet1!A333</f>
        <v>1409010</v>
      </c>
      <c r="B331" t="s">
        <v>1162</v>
      </c>
      <c r="C331">
        <v>14</v>
      </c>
      <c r="D331" t="s">
        <v>1163</v>
      </c>
      <c r="E331">
        <v>45</v>
      </c>
      <c r="F331" t="s">
        <v>1164</v>
      </c>
      <c r="G331">
        <v>2</v>
      </c>
      <c r="H331" t="s">
        <v>1163</v>
      </c>
      <c r="I331">
        <v>1900000</v>
      </c>
      <c r="J331" t="s">
        <v>1164</v>
      </c>
      <c r="K331">
        <v>1</v>
      </c>
      <c r="L331" t="s">
        <v>1163</v>
      </c>
      <c r="M331">
        <f t="shared" si="17"/>
        <v>1900000</v>
      </c>
      <c r="N331" t="s">
        <v>1165</v>
      </c>
      <c r="O331" t="str">
        <f t="shared" si="16"/>
        <v>[{"id":14,"num":45},{"id":2,"num":1900000},{"id":1,"num":1900000}]</v>
      </c>
    </row>
    <row r="332" spans="1:21" ht="16.5" x14ac:dyDescent="0.15">
      <c r="A332" s="3">
        <f>Sheet1!A334</f>
        <v>1409011</v>
      </c>
      <c r="B332" t="s">
        <v>1162</v>
      </c>
      <c r="C332">
        <v>14</v>
      </c>
      <c r="D332" t="s">
        <v>1163</v>
      </c>
      <c r="E332">
        <v>45</v>
      </c>
      <c r="F332" t="s">
        <v>1164</v>
      </c>
      <c r="G332">
        <v>2</v>
      </c>
      <c r="H332" t="s">
        <v>1163</v>
      </c>
      <c r="I332">
        <v>1900000</v>
      </c>
      <c r="J332" t="s">
        <v>1164</v>
      </c>
      <c r="K332">
        <v>1</v>
      </c>
      <c r="L332" t="s">
        <v>1163</v>
      </c>
      <c r="M332">
        <f t="shared" si="17"/>
        <v>1900000</v>
      </c>
      <c r="N332" t="s">
        <v>1165</v>
      </c>
      <c r="O332" t="str">
        <f t="shared" si="16"/>
        <v>[{"id":14,"num":45},{"id":2,"num":1900000},{"id":1,"num":1900000}]</v>
      </c>
    </row>
    <row r="333" spans="1:21" ht="16.5" x14ac:dyDescent="0.15">
      <c r="A333" s="3">
        <f>Sheet1!A335</f>
        <v>1409012</v>
      </c>
      <c r="B333" t="s">
        <v>1162</v>
      </c>
      <c r="C333">
        <v>14</v>
      </c>
      <c r="D333" t="s">
        <v>1163</v>
      </c>
      <c r="E333">
        <v>45</v>
      </c>
      <c r="F333" t="s">
        <v>1164</v>
      </c>
      <c r="G333">
        <v>2</v>
      </c>
      <c r="H333" t="s">
        <v>1163</v>
      </c>
      <c r="I333">
        <v>1900000</v>
      </c>
      <c r="J333" t="s">
        <v>1164</v>
      </c>
      <c r="K333">
        <v>1</v>
      </c>
      <c r="L333" t="s">
        <v>1163</v>
      </c>
      <c r="M333">
        <f t="shared" si="17"/>
        <v>1900000</v>
      </c>
      <c r="N333" t="s">
        <v>1165</v>
      </c>
      <c r="O333" t="str">
        <f t="shared" si="16"/>
        <v>[{"id":14,"num":45},{"id":2,"num":1900000},{"id":1,"num":1900000}]</v>
      </c>
    </row>
    <row r="334" spans="1:21" ht="16.5" x14ac:dyDescent="0.15">
      <c r="A334" s="3">
        <f>Sheet1!A336</f>
        <v>1409013</v>
      </c>
      <c r="B334" t="s">
        <v>1162</v>
      </c>
      <c r="C334">
        <v>14</v>
      </c>
      <c r="D334" t="s">
        <v>1163</v>
      </c>
      <c r="E334">
        <v>45</v>
      </c>
      <c r="F334" t="s">
        <v>1164</v>
      </c>
      <c r="G334">
        <v>2</v>
      </c>
      <c r="H334" t="s">
        <v>1163</v>
      </c>
      <c r="I334">
        <v>1900000</v>
      </c>
      <c r="J334" t="s">
        <v>1164</v>
      </c>
      <c r="K334">
        <v>1</v>
      </c>
      <c r="L334" t="s">
        <v>1163</v>
      </c>
      <c r="M334">
        <f t="shared" si="17"/>
        <v>1900000</v>
      </c>
      <c r="N334" t="s">
        <v>1165</v>
      </c>
      <c r="O334" t="str">
        <f t="shared" si="16"/>
        <v>[{"id":14,"num":45},{"id":2,"num":1900000},{"id":1,"num":1900000}]</v>
      </c>
    </row>
    <row r="335" spans="1:21" ht="16.5" x14ac:dyDescent="0.15">
      <c r="A335" s="3">
        <f>Sheet1!A337</f>
        <v>1409014</v>
      </c>
      <c r="B335" t="s">
        <v>1162</v>
      </c>
      <c r="C335">
        <v>14</v>
      </c>
      <c r="D335" t="s">
        <v>1163</v>
      </c>
      <c r="E335">
        <v>45</v>
      </c>
      <c r="F335" t="s">
        <v>1164</v>
      </c>
      <c r="G335">
        <v>2</v>
      </c>
      <c r="H335" t="s">
        <v>1163</v>
      </c>
      <c r="I335">
        <v>1900000</v>
      </c>
      <c r="J335" t="s">
        <v>1164</v>
      </c>
      <c r="K335">
        <v>1</v>
      </c>
      <c r="L335" t="s">
        <v>1163</v>
      </c>
      <c r="M335">
        <f t="shared" si="17"/>
        <v>1900000</v>
      </c>
      <c r="N335" t="s">
        <v>1165</v>
      </c>
      <c r="O335" t="str">
        <f t="shared" si="16"/>
        <v>[{"id":14,"num":45},{"id":2,"num":1900000},{"id":1,"num":1900000}]</v>
      </c>
    </row>
    <row r="336" spans="1:21" ht="16.5" x14ac:dyDescent="0.15">
      <c r="A336" s="3">
        <f>Sheet1!A338</f>
        <v>1409015</v>
      </c>
      <c r="B336" t="s">
        <v>1162</v>
      </c>
      <c r="C336">
        <v>14</v>
      </c>
      <c r="D336" t="s">
        <v>1163</v>
      </c>
      <c r="E336">
        <v>45</v>
      </c>
      <c r="F336" t="s">
        <v>1164</v>
      </c>
      <c r="G336">
        <v>2</v>
      </c>
      <c r="H336" t="s">
        <v>1163</v>
      </c>
      <c r="I336">
        <v>1900000</v>
      </c>
      <c r="J336" t="s">
        <v>1164</v>
      </c>
      <c r="K336">
        <v>1</v>
      </c>
      <c r="L336" t="s">
        <v>1163</v>
      </c>
      <c r="M336">
        <f t="shared" si="17"/>
        <v>1900000</v>
      </c>
      <c r="N336" t="s">
        <v>1165</v>
      </c>
      <c r="O336" t="str">
        <f t="shared" si="16"/>
        <v>[{"id":14,"num":45},{"id":2,"num":1900000},{"id":1,"num":1900000}]</v>
      </c>
    </row>
    <row r="337" spans="1:15" ht="16.5" x14ac:dyDescent="0.15">
      <c r="A337" s="3">
        <f>Sheet1!A339</f>
        <v>1409016</v>
      </c>
      <c r="B337" t="s">
        <v>1162</v>
      </c>
      <c r="C337">
        <v>14</v>
      </c>
      <c r="D337" t="s">
        <v>1163</v>
      </c>
      <c r="E337">
        <v>45</v>
      </c>
      <c r="F337" t="s">
        <v>1164</v>
      </c>
      <c r="G337">
        <v>2</v>
      </c>
      <c r="H337" t="s">
        <v>1163</v>
      </c>
      <c r="I337">
        <v>1900000</v>
      </c>
      <c r="J337" t="s">
        <v>1164</v>
      </c>
      <c r="K337">
        <v>1</v>
      </c>
      <c r="L337" t="s">
        <v>1163</v>
      </c>
      <c r="M337">
        <f t="shared" si="17"/>
        <v>1900000</v>
      </c>
      <c r="N337" t="s">
        <v>1165</v>
      </c>
      <c r="O337" t="str">
        <f t="shared" si="16"/>
        <v>[{"id":14,"num":45},{"id":2,"num":1900000},{"id":1,"num":1900000}]</v>
      </c>
    </row>
    <row r="338" spans="1:15" ht="16.5" x14ac:dyDescent="0.15">
      <c r="A338" s="3">
        <f>Sheet1!A340</f>
        <v>1409017</v>
      </c>
      <c r="B338" t="s">
        <v>1162</v>
      </c>
      <c r="C338">
        <v>14</v>
      </c>
      <c r="D338" t="s">
        <v>1163</v>
      </c>
      <c r="E338">
        <v>45</v>
      </c>
      <c r="F338" t="s">
        <v>1164</v>
      </c>
      <c r="G338">
        <v>2</v>
      </c>
      <c r="H338" t="s">
        <v>1163</v>
      </c>
      <c r="I338">
        <v>1900000</v>
      </c>
      <c r="J338" t="s">
        <v>1164</v>
      </c>
      <c r="K338">
        <v>1</v>
      </c>
      <c r="L338" t="s">
        <v>1163</v>
      </c>
      <c r="M338">
        <f t="shared" si="17"/>
        <v>1900000</v>
      </c>
      <c r="N338" t="s">
        <v>1165</v>
      </c>
      <c r="O338" t="str">
        <f t="shared" si="16"/>
        <v>[{"id":14,"num":45},{"id":2,"num":1900000},{"id":1,"num":1900000}]</v>
      </c>
    </row>
    <row r="339" spans="1:15" ht="16.5" x14ac:dyDescent="0.15">
      <c r="A339" s="3">
        <f>Sheet1!A341</f>
        <v>1409018</v>
      </c>
      <c r="B339" t="s">
        <v>1162</v>
      </c>
      <c r="C339">
        <v>14</v>
      </c>
      <c r="D339" t="s">
        <v>1163</v>
      </c>
      <c r="E339">
        <v>45</v>
      </c>
      <c r="F339" t="s">
        <v>1164</v>
      </c>
      <c r="G339">
        <v>2</v>
      </c>
      <c r="H339" t="s">
        <v>1163</v>
      </c>
      <c r="I339">
        <v>1900000</v>
      </c>
      <c r="J339" t="s">
        <v>1164</v>
      </c>
      <c r="K339">
        <v>1</v>
      </c>
      <c r="L339" t="s">
        <v>1163</v>
      </c>
      <c r="M339">
        <f t="shared" si="17"/>
        <v>1900000</v>
      </c>
      <c r="N339" t="s">
        <v>1165</v>
      </c>
      <c r="O339" t="str">
        <f t="shared" si="16"/>
        <v>[{"id":14,"num":45},{"id":2,"num":1900000},{"id":1,"num":1900000}]</v>
      </c>
    </row>
    <row r="340" spans="1:15" ht="16.5" x14ac:dyDescent="0.15">
      <c r="A340" s="3">
        <f>Sheet1!A342</f>
        <v>1409019</v>
      </c>
      <c r="B340" t="s">
        <v>1162</v>
      </c>
      <c r="C340">
        <v>14</v>
      </c>
      <c r="D340" t="s">
        <v>1163</v>
      </c>
      <c r="E340">
        <v>45</v>
      </c>
      <c r="F340" t="s">
        <v>1164</v>
      </c>
      <c r="G340">
        <v>2</v>
      </c>
      <c r="H340" t="s">
        <v>1163</v>
      </c>
      <c r="I340">
        <v>1900000</v>
      </c>
      <c r="J340" t="s">
        <v>1164</v>
      </c>
      <c r="K340">
        <v>1</v>
      </c>
      <c r="L340" t="s">
        <v>1163</v>
      </c>
      <c r="M340">
        <f t="shared" si="17"/>
        <v>1900000</v>
      </c>
      <c r="N340" t="s">
        <v>1165</v>
      </c>
      <c r="O340" t="str">
        <f t="shared" si="16"/>
        <v>[{"id":14,"num":45},{"id":2,"num":1900000},{"id":1,"num":1900000}]</v>
      </c>
    </row>
    <row r="341" spans="1:15" ht="16.5" x14ac:dyDescent="0.15">
      <c r="A341" s="3">
        <f>Sheet1!A343</f>
        <v>1409020</v>
      </c>
      <c r="B341" t="s">
        <v>1162</v>
      </c>
      <c r="C341">
        <v>14</v>
      </c>
      <c r="D341" t="s">
        <v>1163</v>
      </c>
      <c r="E341">
        <v>45</v>
      </c>
      <c r="F341" t="s">
        <v>1164</v>
      </c>
      <c r="G341">
        <v>2</v>
      </c>
      <c r="H341" t="s">
        <v>1163</v>
      </c>
      <c r="I341">
        <v>1900000</v>
      </c>
      <c r="J341" t="s">
        <v>1164</v>
      </c>
      <c r="K341">
        <v>1</v>
      </c>
      <c r="L341" t="s">
        <v>1163</v>
      </c>
      <c r="M341">
        <f t="shared" si="17"/>
        <v>1900000</v>
      </c>
      <c r="N341" t="s">
        <v>1165</v>
      </c>
      <c r="O341" t="str">
        <f t="shared" si="16"/>
        <v>[{"id":14,"num":45},{"id":2,"num":1900000},{"id":1,"num":1900000}]</v>
      </c>
    </row>
    <row r="342" spans="1:15" ht="16.5" x14ac:dyDescent="0.15">
      <c r="A342" s="3">
        <f>Sheet1!A344</f>
        <v>1409021</v>
      </c>
      <c r="B342" t="s">
        <v>1162</v>
      </c>
      <c r="C342">
        <v>14</v>
      </c>
      <c r="D342" t="s">
        <v>1163</v>
      </c>
      <c r="E342">
        <v>45</v>
      </c>
      <c r="F342" t="s">
        <v>1164</v>
      </c>
      <c r="G342">
        <v>2</v>
      </c>
      <c r="H342" t="s">
        <v>1163</v>
      </c>
      <c r="I342">
        <v>1900000</v>
      </c>
      <c r="J342" t="s">
        <v>1164</v>
      </c>
      <c r="K342">
        <v>1</v>
      </c>
      <c r="L342" t="s">
        <v>1163</v>
      </c>
      <c r="M342">
        <f t="shared" si="17"/>
        <v>1900000</v>
      </c>
      <c r="N342" t="s">
        <v>1165</v>
      </c>
      <c r="O342" t="str">
        <f t="shared" si="16"/>
        <v>[{"id":14,"num":45},{"id":2,"num":1900000},{"id":1,"num":1900000}]</v>
      </c>
    </row>
    <row r="343" spans="1:15" ht="16.5" x14ac:dyDescent="0.15">
      <c r="A343" s="3">
        <f>Sheet1!A345</f>
        <v>1409022</v>
      </c>
      <c r="B343" t="s">
        <v>1162</v>
      </c>
      <c r="C343">
        <v>14</v>
      </c>
      <c r="D343" t="s">
        <v>1163</v>
      </c>
      <c r="E343">
        <v>45</v>
      </c>
      <c r="F343" t="s">
        <v>1164</v>
      </c>
      <c r="G343">
        <v>2</v>
      </c>
      <c r="H343" t="s">
        <v>1163</v>
      </c>
      <c r="I343">
        <v>1900000</v>
      </c>
      <c r="J343" t="s">
        <v>1164</v>
      </c>
      <c r="K343">
        <v>1</v>
      </c>
      <c r="L343" t="s">
        <v>1163</v>
      </c>
      <c r="M343">
        <f t="shared" si="17"/>
        <v>1900000</v>
      </c>
      <c r="N343" t="s">
        <v>1165</v>
      </c>
      <c r="O343" t="str">
        <f t="shared" si="16"/>
        <v>[{"id":14,"num":45},{"id":2,"num":1900000},{"id":1,"num":1900000}]</v>
      </c>
    </row>
    <row r="344" spans="1:15" ht="16.5" x14ac:dyDescent="0.15">
      <c r="A344" s="3">
        <f>Sheet1!A346</f>
        <v>1409023</v>
      </c>
      <c r="B344" t="s">
        <v>1162</v>
      </c>
      <c r="C344">
        <v>14</v>
      </c>
      <c r="D344" t="s">
        <v>1163</v>
      </c>
      <c r="E344">
        <v>45</v>
      </c>
      <c r="F344" t="s">
        <v>1164</v>
      </c>
      <c r="G344">
        <v>2</v>
      </c>
      <c r="H344" t="s">
        <v>1163</v>
      </c>
      <c r="I344">
        <v>1900000</v>
      </c>
      <c r="J344" t="s">
        <v>1164</v>
      </c>
      <c r="K344">
        <v>1</v>
      </c>
      <c r="L344" t="s">
        <v>1163</v>
      </c>
      <c r="M344">
        <f t="shared" si="17"/>
        <v>1900000</v>
      </c>
      <c r="N344" t="s">
        <v>1165</v>
      </c>
      <c r="O344" t="str">
        <f t="shared" si="16"/>
        <v>[{"id":14,"num":45},{"id":2,"num":1900000},{"id":1,"num":1900000}]</v>
      </c>
    </row>
    <row r="345" spans="1:15" ht="16.5" x14ac:dyDescent="0.15">
      <c r="A345" s="3">
        <f>Sheet1!A347</f>
        <v>1409024</v>
      </c>
      <c r="B345" t="s">
        <v>1162</v>
      </c>
      <c r="C345">
        <v>14</v>
      </c>
      <c r="D345" t="s">
        <v>1163</v>
      </c>
      <c r="E345">
        <v>45</v>
      </c>
      <c r="F345" t="s">
        <v>1164</v>
      </c>
      <c r="G345">
        <v>2</v>
      </c>
      <c r="H345" t="s">
        <v>1163</v>
      </c>
      <c r="I345">
        <v>1900000</v>
      </c>
      <c r="J345" t="s">
        <v>1164</v>
      </c>
      <c r="K345">
        <v>1</v>
      </c>
      <c r="L345" t="s">
        <v>1163</v>
      </c>
      <c r="M345">
        <f t="shared" si="17"/>
        <v>1900000</v>
      </c>
      <c r="N345" t="s">
        <v>1165</v>
      </c>
      <c r="O345" t="str">
        <f t="shared" si="16"/>
        <v>[{"id":14,"num":45},{"id":2,"num":1900000},{"id":1,"num":1900000}]</v>
      </c>
    </row>
    <row r="346" spans="1:15" ht="16.5" x14ac:dyDescent="0.15">
      <c r="A346" s="3">
        <f>Sheet1!A348</f>
        <v>1409025</v>
      </c>
      <c r="B346" t="s">
        <v>1162</v>
      </c>
      <c r="C346">
        <v>14</v>
      </c>
      <c r="D346" t="s">
        <v>1163</v>
      </c>
      <c r="E346">
        <v>45</v>
      </c>
      <c r="F346" t="s">
        <v>1164</v>
      </c>
      <c r="G346">
        <v>2</v>
      </c>
      <c r="H346" t="s">
        <v>1163</v>
      </c>
      <c r="I346">
        <v>1900000</v>
      </c>
      <c r="J346" t="s">
        <v>1164</v>
      </c>
      <c r="K346">
        <v>1</v>
      </c>
      <c r="L346" t="s">
        <v>1163</v>
      </c>
      <c r="M346">
        <f t="shared" si="17"/>
        <v>1900000</v>
      </c>
      <c r="N346" t="s">
        <v>1165</v>
      </c>
      <c r="O346" t="str">
        <f t="shared" si="16"/>
        <v>[{"id":14,"num":45},{"id":2,"num":1900000},{"id":1,"num":1900000}]</v>
      </c>
    </row>
    <row r="347" spans="1:15" ht="16.5" x14ac:dyDescent="0.15">
      <c r="A347" s="3">
        <f>Sheet1!A349</f>
        <v>1409026</v>
      </c>
      <c r="B347" t="s">
        <v>1162</v>
      </c>
      <c r="C347">
        <v>14</v>
      </c>
      <c r="D347" t="s">
        <v>1163</v>
      </c>
      <c r="E347">
        <v>45</v>
      </c>
      <c r="F347" t="s">
        <v>1164</v>
      </c>
      <c r="G347">
        <v>2</v>
      </c>
      <c r="H347" t="s">
        <v>1163</v>
      </c>
      <c r="I347">
        <v>1900000</v>
      </c>
      <c r="J347" t="s">
        <v>1164</v>
      </c>
      <c r="K347">
        <v>1</v>
      </c>
      <c r="L347" t="s">
        <v>1163</v>
      </c>
      <c r="M347">
        <f t="shared" si="17"/>
        <v>1900000</v>
      </c>
      <c r="N347" t="s">
        <v>1165</v>
      </c>
      <c r="O347" t="str">
        <f t="shared" si="16"/>
        <v>[{"id":14,"num":45},{"id":2,"num":1900000},{"id":1,"num":1900000}]</v>
      </c>
    </row>
    <row r="348" spans="1:15" ht="16.5" x14ac:dyDescent="0.15">
      <c r="A348" s="3">
        <f>Sheet1!A350</f>
        <v>1409027</v>
      </c>
      <c r="B348" t="s">
        <v>1162</v>
      </c>
      <c r="C348">
        <v>14</v>
      </c>
      <c r="D348" t="s">
        <v>1163</v>
      </c>
      <c r="E348">
        <v>45</v>
      </c>
      <c r="F348" t="s">
        <v>1164</v>
      </c>
      <c r="G348">
        <v>2</v>
      </c>
      <c r="H348" t="s">
        <v>1163</v>
      </c>
      <c r="I348">
        <v>1900000</v>
      </c>
      <c r="J348" t="s">
        <v>1164</v>
      </c>
      <c r="K348">
        <v>1</v>
      </c>
      <c r="L348" t="s">
        <v>1163</v>
      </c>
      <c r="M348">
        <f t="shared" si="17"/>
        <v>1900000</v>
      </c>
      <c r="N348" t="s">
        <v>1165</v>
      </c>
      <c r="O348" t="str">
        <f t="shared" si="16"/>
        <v>[{"id":14,"num":45},{"id":2,"num":1900000},{"id":1,"num":1900000}]</v>
      </c>
    </row>
    <row r="349" spans="1:15" ht="16.5" x14ac:dyDescent="0.15">
      <c r="A349" s="3">
        <f>Sheet1!A351</f>
        <v>1409028</v>
      </c>
      <c r="B349" t="s">
        <v>1162</v>
      </c>
      <c r="C349">
        <v>14</v>
      </c>
      <c r="D349" t="s">
        <v>1163</v>
      </c>
      <c r="E349">
        <v>45</v>
      </c>
      <c r="F349" t="s">
        <v>1164</v>
      </c>
      <c r="G349">
        <v>2</v>
      </c>
      <c r="H349" t="s">
        <v>1163</v>
      </c>
      <c r="I349">
        <v>1900000</v>
      </c>
      <c r="J349" t="s">
        <v>1164</v>
      </c>
      <c r="K349">
        <v>1</v>
      </c>
      <c r="L349" t="s">
        <v>1163</v>
      </c>
      <c r="M349">
        <f t="shared" si="17"/>
        <v>1900000</v>
      </c>
      <c r="N349" t="s">
        <v>1165</v>
      </c>
      <c r="O349" t="str">
        <f t="shared" si="16"/>
        <v>[{"id":14,"num":45},{"id":2,"num":1900000},{"id":1,"num":1900000}]</v>
      </c>
    </row>
    <row r="350" spans="1:15" ht="16.5" x14ac:dyDescent="0.15">
      <c r="A350" s="3">
        <f>Sheet1!A352</f>
        <v>1409029</v>
      </c>
      <c r="B350" t="s">
        <v>1162</v>
      </c>
      <c r="C350">
        <v>14</v>
      </c>
      <c r="D350" t="s">
        <v>1163</v>
      </c>
      <c r="E350">
        <v>45</v>
      </c>
      <c r="F350" t="s">
        <v>1164</v>
      </c>
      <c r="G350">
        <v>2</v>
      </c>
      <c r="H350" t="s">
        <v>1163</v>
      </c>
      <c r="I350">
        <v>1900000</v>
      </c>
      <c r="J350" t="s">
        <v>1164</v>
      </c>
      <c r="K350">
        <v>1</v>
      </c>
      <c r="L350" t="s">
        <v>1163</v>
      </c>
      <c r="M350">
        <f t="shared" si="17"/>
        <v>1900000</v>
      </c>
      <c r="N350" t="s">
        <v>1165</v>
      </c>
      <c r="O350" t="str">
        <f t="shared" si="16"/>
        <v>[{"id":14,"num":45},{"id":2,"num":1900000},{"id":1,"num":1900000}]</v>
      </c>
    </row>
    <row r="351" spans="1:15" ht="16.5" x14ac:dyDescent="0.15">
      <c r="A351" s="3">
        <f>Sheet1!A353</f>
        <v>1409030</v>
      </c>
      <c r="B351" t="s">
        <v>1162</v>
      </c>
      <c r="C351">
        <v>14</v>
      </c>
      <c r="D351" t="s">
        <v>1163</v>
      </c>
      <c r="E351">
        <v>45</v>
      </c>
      <c r="F351" t="s">
        <v>1164</v>
      </c>
      <c r="G351">
        <v>2</v>
      </c>
      <c r="H351" t="s">
        <v>1163</v>
      </c>
      <c r="I351">
        <v>1900000</v>
      </c>
      <c r="J351" t="s">
        <v>1164</v>
      </c>
      <c r="K351">
        <v>1</v>
      </c>
      <c r="L351" t="s">
        <v>1163</v>
      </c>
      <c r="M351">
        <f t="shared" si="17"/>
        <v>1900000</v>
      </c>
      <c r="N351" t="s">
        <v>1165</v>
      </c>
      <c r="O351" t="str">
        <f t="shared" si="16"/>
        <v>[{"id":14,"num":45},{"id":2,"num":1900000},{"id":1,"num":1900000}]</v>
      </c>
    </row>
    <row r="352" spans="1:15" ht="16.5" x14ac:dyDescent="0.15">
      <c r="A352" s="3">
        <f>Sheet1!A354</f>
        <v>1409031</v>
      </c>
      <c r="B352" t="s">
        <v>1162</v>
      </c>
      <c r="C352">
        <v>14</v>
      </c>
      <c r="D352" t="s">
        <v>1163</v>
      </c>
      <c r="E352">
        <v>45</v>
      </c>
      <c r="F352" t="s">
        <v>1164</v>
      </c>
      <c r="G352">
        <v>2</v>
      </c>
      <c r="H352" t="s">
        <v>1163</v>
      </c>
      <c r="I352">
        <v>1900000</v>
      </c>
      <c r="J352" t="s">
        <v>1164</v>
      </c>
      <c r="K352">
        <v>1</v>
      </c>
      <c r="L352" t="s">
        <v>1163</v>
      </c>
      <c r="M352">
        <f t="shared" si="17"/>
        <v>1900000</v>
      </c>
      <c r="N352" t="s">
        <v>1165</v>
      </c>
      <c r="O352" t="str">
        <f t="shared" si="16"/>
        <v>[{"id":14,"num":45},{"id":2,"num":1900000},{"id":1,"num":1900000}]</v>
      </c>
    </row>
    <row r="353" spans="1:15" ht="16.5" x14ac:dyDescent="0.15">
      <c r="A353" s="3">
        <f>Sheet1!A355</f>
        <v>1409032</v>
      </c>
      <c r="B353" t="s">
        <v>1162</v>
      </c>
      <c r="C353">
        <v>14</v>
      </c>
      <c r="D353" t="s">
        <v>1163</v>
      </c>
      <c r="E353">
        <v>45</v>
      </c>
      <c r="F353" t="s">
        <v>1164</v>
      </c>
      <c r="G353">
        <v>2</v>
      </c>
      <c r="H353" t="s">
        <v>1163</v>
      </c>
      <c r="I353">
        <v>1900000</v>
      </c>
      <c r="J353" t="s">
        <v>1164</v>
      </c>
      <c r="K353">
        <v>1</v>
      </c>
      <c r="L353" t="s">
        <v>1163</v>
      </c>
      <c r="M353">
        <f t="shared" si="17"/>
        <v>1900000</v>
      </c>
      <c r="N353" t="s">
        <v>1165</v>
      </c>
      <c r="O353" t="str">
        <f t="shared" si="16"/>
        <v>[{"id":14,"num":45},{"id":2,"num":1900000},{"id":1,"num":1900000}]</v>
      </c>
    </row>
    <row r="354" spans="1:15" ht="16.5" x14ac:dyDescent="0.15">
      <c r="A354" s="3">
        <f>Sheet1!A356</f>
        <v>1409033</v>
      </c>
      <c r="B354" t="s">
        <v>1162</v>
      </c>
      <c r="C354">
        <v>14</v>
      </c>
      <c r="D354" t="s">
        <v>1163</v>
      </c>
      <c r="E354">
        <v>45</v>
      </c>
      <c r="F354" t="s">
        <v>1164</v>
      </c>
      <c r="G354">
        <v>2</v>
      </c>
      <c r="H354" t="s">
        <v>1163</v>
      </c>
      <c r="I354">
        <v>1900000</v>
      </c>
      <c r="J354" t="s">
        <v>1164</v>
      </c>
      <c r="K354">
        <v>1</v>
      </c>
      <c r="L354" t="s">
        <v>1163</v>
      </c>
      <c r="M354">
        <f t="shared" si="17"/>
        <v>1900000</v>
      </c>
      <c r="N354" t="s">
        <v>1165</v>
      </c>
      <c r="O354" t="str">
        <f t="shared" ref="O354:O385" si="18">_xlfn.TEXTJOIN(,TRUE,B354:N354)</f>
        <v>[{"id":14,"num":45},{"id":2,"num":1900000},{"id":1,"num":1900000}]</v>
      </c>
    </row>
    <row r="355" spans="1:15" ht="16.5" x14ac:dyDescent="0.15">
      <c r="A355" s="3">
        <f>Sheet1!A357</f>
        <v>1409034</v>
      </c>
      <c r="B355" t="s">
        <v>1162</v>
      </c>
      <c r="C355">
        <v>14</v>
      </c>
      <c r="D355" t="s">
        <v>1163</v>
      </c>
      <c r="E355">
        <v>45</v>
      </c>
      <c r="F355" t="s">
        <v>1164</v>
      </c>
      <c r="G355">
        <v>2</v>
      </c>
      <c r="H355" t="s">
        <v>1163</v>
      </c>
      <c r="I355">
        <v>1900000</v>
      </c>
      <c r="J355" t="s">
        <v>1164</v>
      </c>
      <c r="K355">
        <v>1</v>
      </c>
      <c r="L355" t="s">
        <v>1163</v>
      </c>
      <c r="M355">
        <f t="shared" ref="M355:M386" si="19">I355</f>
        <v>1900000</v>
      </c>
      <c r="N355" t="s">
        <v>1165</v>
      </c>
      <c r="O355" t="str">
        <f t="shared" si="18"/>
        <v>[{"id":14,"num":45},{"id":2,"num":1900000},{"id":1,"num":1900000}]</v>
      </c>
    </row>
    <row r="356" spans="1:15" ht="16.5" x14ac:dyDescent="0.15">
      <c r="A356" s="3">
        <f>Sheet1!A358</f>
        <v>1409035</v>
      </c>
      <c r="B356" t="s">
        <v>1162</v>
      </c>
      <c r="C356">
        <v>14</v>
      </c>
      <c r="D356" t="s">
        <v>1163</v>
      </c>
      <c r="E356">
        <v>45</v>
      </c>
      <c r="F356" t="s">
        <v>1164</v>
      </c>
      <c r="G356">
        <v>2</v>
      </c>
      <c r="H356" t="s">
        <v>1163</v>
      </c>
      <c r="I356">
        <v>1900000</v>
      </c>
      <c r="J356" t="s">
        <v>1164</v>
      </c>
      <c r="K356">
        <v>1</v>
      </c>
      <c r="L356" t="s">
        <v>1163</v>
      </c>
      <c r="M356">
        <f t="shared" si="19"/>
        <v>1900000</v>
      </c>
      <c r="N356" t="s">
        <v>1165</v>
      </c>
      <c r="O356" t="str">
        <f t="shared" si="18"/>
        <v>[{"id":14,"num":45},{"id":2,"num":1900000},{"id":1,"num":1900000}]</v>
      </c>
    </row>
    <row r="357" spans="1:15" ht="16.5" x14ac:dyDescent="0.15">
      <c r="A357" s="3">
        <f>Sheet1!A359</f>
        <v>1409036</v>
      </c>
      <c r="B357" t="s">
        <v>1162</v>
      </c>
      <c r="C357">
        <v>14</v>
      </c>
      <c r="D357" t="s">
        <v>1163</v>
      </c>
      <c r="E357">
        <v>45</v>
      </c>
      <c r="F357" t="s">
        <v>1164</v>
      </c>
      <c r="G357">
        <v>2</v>
      </c>
      <c r="H357" t="s">
        <v>1163</v>
      </c>
      <c r="I357">
        <v>1900000</v>
      </c>
      <c r="J357" t="s">
        <v>1164</v>
      </c>
      <c r="K357">
        <v>1</v>
      </c>
      <c r="L357" t="s">
        <v>1163</v>
      </c>
      <c r="M357">
        <f t="shared" si="19"/>
        <v>1900000</v>
      </c>
      <c r="N357" t="s">
        <v>1165</v>
      </c>
      <c r="O357" t="str">
        <f t="shared" si="18"/>
        <v>[{"id":14,"num":45},{"id":2,"num":1900000},{"id":1,"num":1900000}]</v>
      </c>
    </row>
    <row r="358" spans="1:15" ht="16.5" x14ac:dyDescent="0.15">
      <c r="A358" s="3">
        <f>Sheet1!A360</f>
        <v>1409037</v>
      </c>
      <c r="B358" t="s">
        <v>1162</v>
      </c>
      <c r="C358">
        <v>14</v>
      </c>
      <c r="D358" t="s">
        <v>1163</v>
      </c>
      <c r="E358">
        <v>45</v>
      </c>
      <c r="F358" t="s">
        <v>1164</v>
      </c>
      <c r="G358">
        <v>2</v>
      </c>
      <c r="H358" t="s">
        <v>1163</v>
      </c>
      <c r="I358">
        <v>1900000</v>
      </c>
      <c r="J358" t="s">
        <v>1164</v>
      </c>
      <c r="K358">
        <v>1</v>
      </c>
      <c r="L358" t="s">
        <v>1163</v>
      </c>
      <c r="M358">
        <f t="shared" si="19"/>
        <v>1900000</v>
      </c>
      <c r="N358" t="s">
        <v>1165</v>
      </c>
      <c r="O358" t="str">
        <f t="shared" si="18"/>
        <v>[{"id":14,"num":45},{"id":2,"num":1900000},{"id":1,"num":1900000}]</v>
      </c>
    </row>
    <row r="359" spans="1:15" ht="16.5" x14ac:dyDescent="0.15">
      <c r="A359" s="3">
        <f>Sheet1!A361</f>
        <v>1409038</v>
      </c>
      <c r="B359" t="s">
        <v>1162</v>
      </c>
      <c r="C359">
        <v>14</v>
      </c>
      <c r="D359" t="s">
        <v>1163</v>
      </c>
      <c r="E359">
        <v>45</v>
      </c>
      <c r="F359" t="s">
        <v>1164</v>
      </c>
      <c r="G359">
        <v>2</v>
      </c>
      <c r="H359" t="s">
        <v>1163</v>
      </c>
      <c r="I359">
        <v>1900000</v>
      </c>
      <c r="J359" t="s">
        <v>1164</v>
      </c>
      <c r="K359">
        <v>1</v>
      </c>
      <c r="L359" t="s">
        <v>1163</v>
      </c>
      <c r="M359">
        <f t="shared" si="19"/>
        <v>1900000</v>
      </c>
      <c r="N359" t="s">
        <v>1165</v>
      </c>
      <c r="O359" t="str">
        <f t="shared" si="18"/>
        <v>[{"id":14,"num":45},{"id":2,"num":1900000},{"id":1,"num":1900000}]</v>
      </c>
    </row>
    <row r="360" spans="1:15" ht="16.5" x14ac:dyDescent="0.15">
      <c r="A360" s="3">
        <f>Sheet1!A362</f>
        <v>1409039</v>
      </c>
      <c r="B360" t="s">
        <v>1162</v>
      </c>
      <c r="C360">
        <v>14</v>
      </c>
      <c r="D360" t="s">
        <v>1163</v>
      </c>
      <c r="E360">
        <v>45</v>
      </c>
      <c r="F360" t="s">
        <v>1164</v>
      </c>
      <c r="G360">
        <v>2</v>
      </c>
      <c r="H360" t="s">
        <v>1163</v>
      </c>
      <c r="I360">
        <v>1900000</v>
      </c>
      <c r="J360" t="s">
        <v>1164</v>
      </c>
      <c r="K360">
        <v>1</v>
      </c>
      <c r="L360" t="s">
        <v>1163</v>
      </c>
      <c r="M360">
        <f t="shared" si="19"/>
        <v>1900000</v>
      </c>
      <c r="N360" t="s">
        <v>1165</v>
      </c>
      <c r="O360" t="str">
        <f t="shared" si="18"/>
        <v>[{"id":14,"num":45},{"id":2,"num":1900000},{"id":1,"num":1900000}]</v>
      </c>
    </row>
    <row r="361" spans="1:15" ht="16.5" x14ac:dyDescent="0.15">
      <c r="A361" s="3">
        <f>Sheet1!A363</f>
        <v>1409040</v>
      </c>
      <c r="B361" t="s">
        <v>1162</v>
      </c>
      <c r="C361">
        <v>14</v>
      </c>
      <c r="D361" t="s">
        <v>1163</v>
      </c>
      <c r="E361">
        <v>45</v>
      </c>
      <c r="F361" t="s">
        <v>1164</v>
      </c>
      <c r="G361">
        <v>2</v>
      </c>
      <c r="H361" t="s">
        <v>1163</v>
      </c>
      <c r="I361">
        <v>1900000</v>
      </c>
      <c r="J361" t="s">
        <v>1164</v>
      </c>
      <c r="K361">
        <v>1</v>
      </c>
      <c r="L361" t="s">
        <v>1163</v>
      </c>
      <c r="M361">
        <f t="shared" si="19"/>
        <v>1900000</v>
      </c>
      <c r="N361" t="s">
        <v>1165</v>
      </c>
      <c r="O361" t="str">
        <f t="shared" si="18"/>
        <v>[{"id":14,"num":45},{"id":2,"num":1900000},{"id":1,"num":1900000}]</v>
      </c>
    </row>
    <row r="362" spans="1:15" ht="16.5" x14ac:dyDescent="0.15">
      <c r="A362" s="3">
        <f>Sheet1!A364</f>
        <v>1410001</v>
      </c>
      <c r="B362" t="s">
        <v>1162</v>
      </c>
      <c r="C362">
        <v>14</v>
      </c>
      <c r="D362" t="s">
        <v>1163</v>
      </c>
      <c r="E362">
        <v>50</v>
      </c>
      <c r="F362" t="s">
        <v>1164</v>
      </c>
      <c r="G362">
        <v>2</v>
      </c>
      <c r="H362" t="s">
        <v>1163</v>
      </c>
      <c r="I362">
        <v>2100000</v>
      </c>
      <c r="J362" t="s">
        <v>1164</v>
      </c>
      <c r="K362">
        <v>1</v>
      </c>
      <c r="L362" t="s">
        <v>1163</v>
      </c>
      <c r="M362">
        <f t="shared" si="19"/>
        <v>2100000</v>
      </c>
      <c r="N362" t="s">
        <v>1165</v>
      </c>
      <c r="O362" t="str">
        <f t="shared" si="18"/>
        <v>[{"id":14,"num":50},{"id":2,"num":2100000},{"id":1,"num":2100000}]</v>
      </c>
    </row>
    <row r="363" spans="1:15" ht="16.5" x14ac:dyDescent="0.15">
      <c r="A363" s="3">
        <f>Sheet1!A365</f>
        <v>1410002</v>
      </c>
      <c r="B363" t="s">
        <v>1162</v>
      </c>
      <c r="C363">
        <v>14</v>
      </c>
      <c r="D363" t="s">
        <v>1163</v>
      </c>
      <c r="E363">
        <v>50</v>
      </c>
      <c r="F363" t="s">
        <v>1164</v>
      </c>
      <c r="G363">
        <v>2</v>
      </c>
      <c r="H363" t="s">
        <v>1163</v>
      </c>
      <c r="I363">
        <v>2100000</v>
      </c>
      <c r="J363" t="s">
        <v>1164</v>
      </c>
      <c r="K363">
        <v>1</v>
      </c>
      <c r="L363" t="s">
        <v>1163</v>
      </c>
      <c r="M363">
        <f t="shared" si="19"/>
        <v>2100000</v>
      </c>
      <c r="N363" t="s">
        <v>1165</v>
      </c>
      <c r="O363" t="str">
        <f t="shared" si="18"/>
        <v>[{"id":14,"num":50},{"id":2,"num":2100000},{"id":1,"num":2100000}]</v>
      </c>
    </row>
    <row r="364" spans="1:15" ht="16.5" x14ac:dyDescent="0.15">
      <c r="A364" s="3">
        <f>Sheet1!A366</f>
        <v>1410003</v>
      </c>
      <c r="B364" t="s">
        <v>1162</v>
      </c>
      <c r="C364">
        <v>14</v>
      </c>
      <c r="D364" t="s">
        <v>1163</v>
      </c>
      <c r="E364">
        <v>50</v>
      </c>
      <c r="F364" t="s">
        <v>1164</v>
      </c>
      <c r="G364">
        <v>2</v>
      </c>
      <c r="H364" t="s">
        <v>1163</v>
      </c>
      <c r="I364">
        <v>2100000</v>
      </c>
      <c r="J364" t="s">
        <v>1164</v>
      </c>
      <c r="K364">
        <v>1</v>
      </c>
      <c r="L364" t="s">
        <v>1163</v>
      </c>
      <c r="M364">
        <f t="shared" si="19"/>
        <v>2100000</v>
      </c>
      <c r="N364" t="s">
        <v>1165</v>
      </c>
      <c r="O364" t="str">
        <f t="shared" si="18"/>
        <v>[{"id":14,"num":50},{"id":2,"num":2100000},{"id":1,"num":2100000}]</v>
      </c>
    </row>
    <row r="365" spans="1:15" ht="16.5" x14ac:dyDescent="0.15">
      <c r="A365" s="3">
        <f>Sheet1!A367</f>
        <v>1410004</v>
      </c>
      <c r="B365" t="s">
        <v>1162</v>
      </c>
      <c r="C365">
        <v>14</v>
      </c>
      <c r="D365" t="s">
        <v>1163</v>
      </c>
      <c r="E365">
        <v>50</v>
      </c>
      <c r="F365" t="s">
        <v>1164</v>
      </c>
      <c r="G365">
        <v>2</v>
      </c>
      <c r="H365" t="s">
        <v>1163</v>
      </c>
      <c r="I365">
        <v>2100000</v>
      </c>
      <c r="J365" t="s">
        <v>1164</v>
      </c>
      <c r="K365">
        <v>1</v>
      </c>
      <c r="L365" t="s">
        <v>1163</v>
      </c>
      <c r="M365">
        <f t="shared" si="19"/>
        <v>2100000</v>
      </c>
      <c r="N365" t="s">
        <v>1165</v>
      </c>
      <c r="O365" t="str">
        <f t="shared" si="18"/>
        <v>[{"id":14,"num":50},{"id":2,"num":2100000},{"id":1,"num":2100000}]</v>
      </c>
    </row>
    <row r="366" spans="1:15" ht="16.5" x14ac:dyDescent="0.15">
      <c r="A366" s="3">
        <f>Sheet1!A368</f>
        <v>1410005</v>
      </c>
      <c r="B366" t="s">
        <v>1162</v>
      </c>
      <c r="C366">
        <v>14</v>
      </c>
      <c r="D366" t="s">
        <v>1163</v>
      </c>
      <c r="E366">
        <v>50</v>
      </c>
      <c r="F366" t="s">
        <v>1164</v>
      </c>
      <c r="G366">
        <v>2</v>
      </c>
      <c r="H366" t="s">
        <v>1163</v>
      </c>
      <c r="I366">
        <v>2100000</v>
      </c>
      <c r="J366" t="s">
        <v>1164</v>
      </c>
      <c r="K366">
        <v>1</v>
      </c>
      <c r="L366" t="s">
        <v>1163</v>
      </c>
      <c r="M366">
        <f t="shared" si="19"/>
        <v>2100000</v>
      </c>
      <c r="N366" t="s">
        <v>1165</v>
      </c>
      <c r="O366" t="str">
        <f t="shared" si="18"/>
        <v>[{"id":14,"num":50},{"id":2,"num":2100000},{"id":1,"num":2100000}]</v>
      </c>
    </row>
    <row r="367" spans="1:15" ht="16.5" x14ac:dyDescent="0.15">
      <c r="A367" s="3">
        <f>Sheet1!A369</f>
        <v>1410006</v>
      </c>
      <c r="B367" t="s">
        <v>1162</v>
      </c>
      <c r="C367">
        <v>14</v>
      </c>
      <c r="D367" t="s">
        <v>1163</v>
      </c>
      <c r="E367">
        <v>50</v>
      </c>
      <c r="F367" t="s">
        <v>1164</v>
      </c>
      <c r="G367">
        <v>2</v>
      </c>
      <c r="H367" t="s">
        <v>1163</v>
      </c>
      <c r="I367">
        <v>2100000</v>
      </c>
      <c r="J367" t="s">
        <v>1164</v>
      </c>
      <c r="K367">
        <v>1</v>
      </c>
      <c r="L367" t="s">
        <v>1163</v>
      </c>
      <c r="M367">
        <f t="shared" si="19"/>
        <v>2100000</v>
      </c>
      <c r="N367" t="s">
        <v>1165</v>
      </c>
      <c r="O367" t="str">
        <f t="shared" si="18"/>
        <v>[{"id":14,"num":50},{"id":2,"num":2100000},{"id":1,"num":2100000}]</v>
      </c>
    </row>
    <row r="368" spans="1:15" ht="16.5" x14ac:dyDescent="0.15">
      <c r="A368" s="3">
        <f>Sheet1!A370</f>
        <v>1410007</v>
      </c>
      <c r="B368" t="s">
        <v>1162</v>
      </c>
      <c r="C368">
        <v>14</v>
      </c>
      <c r="D368" t="s">
        <v>1163</v>
      </c>
      <c r="E368">
        <v>50</v>
      </c>
      <c r="F368" t="s">
        <v>1164</v>
      </c>
      <c r="G368">
        <v>2</v>
      </c>
      <c r="H368" t="s">
        <v>1163</v>
      </c>
      <c r="I368">
        <v>2100000</v>
      </c>
      <c r="J368" t="s">
        <v>1164</v>
      </c>
      <c r="K368">
        <v>1</v>
      </c>
      <c r="L368" t="s">
        <v>1163</v>
      </c>
      <c r="M368">
        <f t="shared" si="19"/>
        <v>2100000</v>
      </c>
      <c r="N368" t="s">
        <v>1165</v>
      </c>
      <c r="O368" t="str">
        <f t="shared" si="18"/>
        <v>[{"id":14,"num":50},{"id":2,"num":2100000},{"id":1,"num":2100000}]</v>
      </c>
    </row>
    <row r="369" spans="1:15" ht="16.5" x14ac:dyDescent="0.15">
      <c r="A369" s="3">
        <f>Sheet1!A371</f>
        <v>1410008</v>
      </c>
      <c r="B369" t="s">
        <v>1162</v>
      </c>
      <c r="C369">
        <v>14</v>
      </c>
      <c r="D369" t="s">
        <v>1163</v>
      </c>
      <c r="E369">
        <v>50</v>
      </c>
      <c r="F369" t="s">
        <v>1164</v>
      </c>
      <c r="G369">
        <v>2</v>
      </c>
      <c r="H369" t="s">
        <v>1163</v>
      </c>
      <c r="I369">
        <v>2100000</v>
      </c>
      <c r="J369" t="s">
        <v>1164</v>
      </c>
      <c r="K369">
        <v>1</v>
      </c>
      <c r="L369" t="s">
        <v>1163</v>
      </c>
      <c r="M369">
        <f t="shared" si="19"/>
        <v>2100000</v>
      </c>
      <c r="N369" t="s">
        <v>1165</v>
      </c>
      <c r="O369" t="str">
        <f t="shared" si="18"/>
        <v>[{"id":14,"num":50},{"id":2,"num":2100000},{"id":1,"num":2100000}]</v>
      </c>
    </row>
    <row r="370" spans="1:15" ht="16.5" x14ac:dyDescent="0.15">
      <c r="A370" s="3">
        <f>Sheet1!A372</f>
        <v>1410009</v>
      </c>
      <c r="B370" t="s">
        <v>1162</v>
      </c>
      <c r="C370">
        <v>14</v>
      </c>
      <c r="D370" t="s">
        <v>1163</v>
      </c>
      <c r="E370">
        <v>50</v>
      </c>
      <c r="F370" t="s">
        <v>1164</v>
      </c>
      <c r="G370">
        <v>2</v>
      </c>
      <c r="H370" t="s">
        <v>1163</v>
      </c>
      <c r="I370">
        <v>2100000</v>
      </c>
      <c r="J370" t="s">
        <v>1164</v>
      </c>
      <c r="K370">
        <v>1</v>
      </c>
      <c r="L370" t="s">
        <v>1163</v>
      </c>
      <c r="M370">
        <f t="shared" si="19"/>
        <v>2100000</v>
      </c>
      <c r="N370" t="s">
        <v>1165</v>
      </c>
      <c r="O370" t="str">
        <f t="shared" si="18"/>
        <v>[{"id":14,"num":50},{"id":2,"num":2100000},{"id":1,"num":2100000}]</v>
      </c>
    </row>
    <row r="371" spans="1:15" ht="16.5" x14ac:dyDescent="0.15">
      <c r="A371" s="3">
        <f>Sheet1!A373</f>
        <v>1410010</v>
      </c>
      <c r="B371" t="s">
        <v>1162</v>
      </c>
      <c r="C371">
        <v>14</v>
      </c>
      <c r="D371" t="s">
        <v>1163</v>
      </c>
      <c r="E371">
        <v>50</v>
      </c>
      <c r="F371" t="s">
        <v>1164</v>
      </c>
      <c r="G371">
        <v>2</v>
      </c>
      <c r="H371" t="s">
        <v>1163</v>
      </c>
      <c r="I371">
        <v>2100000</v>
      </c>
      <c r="J371" t="s">
        <v>1164</v>
      </c>
      <c r="K371">
        <v>1</v>
      </c>
      <c r="L371" t="s">
        <v>1163</v>
      </c>
      <c r="M371">
        <f t="shared" si="19"/>
        <v>2100000</v>
      </c>
      <c r="N371" t="s">
        <v>1165</v>
      </c>
      <c r="O371" t="str">
        <f t="shared" si="18"/>
        <v>[{"id":14,"num":50},{"id":2,"num":2100000},{"id":1,"num":2100000}]</v>
      </c>
    </row>
    <row r="372" spans="1:15" ht="16.5" x14ac:dyDescent="0.15">
      <c r="A372" s="3">
        <f>Sheet1!A374</f>
        <v>1410011</v>
      </c>
      <c r="B372" t="s">
        <v>1162</v>
      </c>
      <c r="C372">
        <v>14</v>
      </c>
      <c r="D372" t="s">
        <v>1163</v>
      </c>
      <c r="E372">
        <v>50</v>
      </c>
      <c r="F372" t="s">
        <v>1164</v>
      </c>
      <c r="G372">
        <v>2</v>
      </c>
      <c r="H372" t="s">
        <v>1163</v>
      </c>
      <c r="I372">
        <v>2100000</v>
      </c>
      <c r="J372" t="s">
        <v>1164</v>
      </c>
      <c r="K372">
        <v>1</v>
      </c>
      <c r="L372" t="s">
        <v>1163</v>
      </c>
      <c r="M372">
        <f t="shared" si="19"/>
        <v>2100000</v>
      </c>
      <c r="N372" t="s">
        <v>1165</v>
      </c>
      <c r="O372" t="str">
        <f t="shared" si="18"/>
        <v>[{"id":14,"num":50},{"id":2,"num":2100000},{"id":1,"num":2100000}]</v>
      </c>
    </row>
    <row r="373" spans="1:15" ht="16.5" x14ac:dyDescent="0.15">
      <c r="A373" s="3">
        <f>Sheet1!A375</f>
        <v>1410012</v>
      </c>
      <c r="B373" t="s">
        <v>1162</v>
      </c>
      <c r="C373">
        <v>14</v>
      </c>
      <c r="D373" t="s">
        <v>1163</v>
      </c>
      <c r="E373">
        <v>50</v>
      </c>
      <c r="F373" t="s">
        <v>1164</v>
      </c>
      <c r="G373">
        <v>2</v>
      </c>
      <c r="H373" t="s">
        <v>1163</v>
      </c>
      <c r="I373">
        <v>2100000</v>
      </c>
      <c r="J373" t="s">
        <v>1164</v>
      </c>
      <c r="K373">
        <v>1</v>
      </c>
      <c r="L373" t="s">
        <v>1163</v>
      </c>
      <c r="M373">
        <f t="shared" si="19"/>
        <v>2100000</v>
      </c>
      <c r="N373" t="s">
        <v>1165</v>
      </c>
      <c r="O373" t="str">
        <f t="shared" si="18"/>
        <v>[{"id":14,"num":50},{"id":2,"num":2100000},{"id":1,"num":2100000}]</v>
      </c>
    </row>
    <row r="374" spans="1:15" ht="16.5" x14ac:dyDescent="0.15">
      <c r="A374" s="3">
        <f>Sheet1!A376</f>
        <v>1410013</v>
      </c>
      <c r="B374" t="s">
        <v>1162</v>
      </c>
      <c r="C374">
        <v>14</v>
      </c>
      <c r="D374" t="s">
        <v>1163</v>
      </c>
      <c r="E374">
        <v>50</v>
      </c>
      <c r="F374" t="s">
        <v>1164</v>
      </c>
      <c r="G374">
        <v>2</v>
      </c>
      <c r="H374" t="s">
        <v>1163</v>
      </c>
      <c r="I374">
        <v>2100000</v>
      </c>
      <c r="J374" t="s">
        <v>1164</v>
      </c>
      <c r="K374">
        <v>1</v>
      </c>
      <c r="L374" t="s">
        <v>1163</v>
      </c>
      <c r="M374">
        <f t="shared" si="19"/>
        <v>2100000</v>
      </c>
      <c r="N374" t="s">
        <v>1165</v>
      </c>
      <c r="O374" t="str">
        <f t="shared" si="18"/>
        <v>[{"id":14,"num":50},{"id":2,"num":2100000},{"id":1,"num":2100000}]</v>
      </c>
    </row>
    <row r="375" spans="1:15" ht="16.5" x14ac:dyDescent="0.15">
      <c r="A375" s="3">
        <f>Sheet1!A377</f>
        <v>1410014</v>
      </c>
      <c r="B375" t="s">
        <v>1162</v>
      </c>
      <c r="C375">
        <v>14</v>
      </c>
      <c r="D375" t="s">
        <v>1163</v>
      </c>
      <c r="E375">
        <v>50</v>
      </c>
      <c r="F375" t="s">
        <v>1164</v>
      </c>
      <c r="G375">
        <v>2</v>
      </c>
      <c r="H375" t="s">
        <v>1163</v>
      </c>
      <c r="I375">
        <v>2100000</v>
      </c>
      <c r="J375" t="s">
        <v>1164</v>
      </c>
      <c r="K375">
        <v>1</v>
      </c>
      <c r="L375" t="s">
        <v>1163</v>
      </c>
      <c r="M375">
        <f t="shared" si="19"/>
        <v>2100000</v>
      </c>
      <c r="N375" t="s">
        <v>1165</v>
      </c>
      <c r="O375" t="str">
        <f t="shared" si="18"/>
        <v>[{"id":14,"num":50},{"id":2,"num":2100000},{"id":1,"num":2100000}]</v>
      </c>
    </row>
    <row r="376" spans="1:15" ht="16.5" x14ac:dyDescent="0.15">
      <c r="A376" s="3">
        <f>Sheet1!A378</f>
        <v>1410015</v>
      </c>
      <c r="B376" t="s">
        <v>1162</v>
      </c>
      <c r="C376">
        <v>14</v>
      </c>
      <c r="D376" t="s">
        <v>1163</v>
      </c>
      <c r="E376">
        <v>50</v>
      </c>
      <c r="F376" t="s">
        <v>1164</v>
      </c>
      <c r="G376">
        <v>2</v>
      </c>
      <c r="H376" t="s">
        <v>1163</v>
      </c>
      <c r="I376">
        <v>2100000</v>
      </c>
      <c r="J376" t="s">
        <v>1164</v>
      </c>
      <c r="K376">
        <v>1</v>
      </c>
      <c r="L376" t="s">
        <v>1163</v>
      </c>
      <c r="M376">
        <f t="shared" si="19"/>
        <v>2100000</v>
      </c>
      <c r="N376" t="s">
        <v>1165</v>
      </c>
      <c r="O376" t="str">
        <f t="shared" si="18"/>
        <v>[{"id":14,"num":50},{"id":2,"num":2100000},{"id":1,"num":2100000}]</v>
      </c>
    </row>
    <row r="377" spans="1:15" ht="16.5" x14ac:dyDescent="0.15">
      <c r="A377" s="3">
        <f>Sheet1!A379</f>
        <v>1410016</v>
      </c>
      <c r="B377" t="s">
        <v>1162</v>
      </c>
      <c r="C377">
        <v>14</v>
      </c>
      <c r="D377" t="s">
        <v>1163</v>
      </c>
      <c r="E377">
        <v>50</v>
      </c>
      <c r="F377" t="s">
        <v>1164</v>
      </c>
      <c r="G377">
        <v>2</v>
      </c>
      <c r="H377" t="s">
        <v>1163</v>
      </c>
      <c r="I377">
        <v>2100000</v>
      </c>
      <c r="J377" t="s">
        <v>1164</v>
      </c>
      <c r="K377">
        <v>1</v>
      </c>
      <c r="L377" t="s">
        <v>1163</v>
      </c>
      <c r="M377">
        <f t="shared" si="19"/>
        <v>2100000</v>
      </c>
      <c r="N377" t="s">
        <v>1165</v>
      </c>
      <c r="O377" t="str">
        <f t="shared" si="18"/>
        <v>[{"id":14,"num":50},{"id":2,"num":2100000},{"id":1,"num":2100000}]</v>
      </c>
    </row>
    <row r="378" spans="1:15" ht="16.5" x14ac:dyDescent="0.15">
      <c r="A378" s="3">
        <f>Sheet1!A380</f>
        <v>1410017</v>
      </c>
      <c r="B378" t="s">
        <v>1162</v>
      </c>
      <c r="C378">
        <v>14</v>
      </c>
      <c r="D378" t="s">
        <v>1163</v>
      </c>
      <c r="E378">
        <v>50</v>
      </c>
      <c r="F378" t="s">
        <v>1164</v>
      </c>
      <c r="G378">
        <v>2</v>
      </c>
      <c r="H378" t="s">
        <v>1163</v>
      </c>
      <c r="I378">
        <v>2100000</v>
      </c>
      <c r="J378" t="s">
        <v>1164</v>
      </c>
      <c r="K378">
        <v>1</v>
      </c>
      <c r="L378" t="s">
        <v>1163</v>
      </c>
      <c r="M378">
        <f t="shared" si="19"/>
        <v>2100000</v>
      </c>
      <c r="N378" t="s">
        <v>1165</v>
      </c>
      <c r="O378" t="str">
        <f t="shared" si="18"/>
        <v>[{"id":14,"num":50},{"id":2,"num":2100000},{"id":1,"num":2100000}]</v>
      </c>
    </row>
    <row r="379" spans="1:15" ht="16.5" x14ac:dyDescent="0.15">
      <c r="A379" s="3">
        <f>Sheet1!A381</f>
        <v>1410018</v>
      </c>
      <c r="B379" t="s">
        <v>1162</v>
      </c>
      <c r="C379">
        <v>14</v>
      </c>
      <c r="D379" t="s">
        <v>1163</v>
      </c>
      <c r="E379">
        <v>50</v>
      </c>
      <c r="F379" t="s">
        <v>1164</v>
      </c>
      <c r="G379">
        <v>2</v>
      </c>
      <c r="H379" t="s">
        <v>1163</v>
      </c>
      <c r="I379">
        <v>2100000</v>
      </c>
      <c r="J379" t="s">
        <v>1164</v>
      </c>
      <c r="K379">
        <v>1</v>
      </c>
      <c r="L379" t="s">
        <v>1163</v>
      </c>
      <c r="M379">
        <f t="shared" si="19"/>
        <v>2100000</v>
      </c>
      <c r="N379" t="s">
        <v>1165</v>
      </c>
      <c r="O379" t="str">
        <f t="shared" si="18"/>
        <v>[{"id":14,"num":50},{"id":2,"num":2100000},{"id":1,"num":2100000}]</v>
      </c>
    </row>
    <row r="380" spans="1:15" ht="16.5" x14ac:dyDescent="0.15">
      <c r="A380" s="3">
        <f>Sheet1!A382</f>
        <v>1410019</v>
      </c>
      <c r="B380" t="s">
        <v>1162</v>
      </c>
      <c r="C380">
        <v>14</v>
      </c>
      <c r="D380" t="s">
        <v>1163</v>
      </c>
      <c r="E380">
        <v>50</v>
      </c>
      <c r="F380" t="s">
        <v>1164</v>
      </c>
      <c r="G380">
        <v>2</v>
      </c>
      <c r="H380" t="s">
        <v>1163</v>
      </c>
      <c r="I380">
        <v>2100000</v>
      </c>
      <c r="J380" t="s">
        <v>1164</v>
      </c>
      <c r="K380">
        <v>1</v>
      </c>
      <c r="L380" t="s">
        <v>1163</v>
      </c>
      <c r="M380">
        <f t="shared" si="19"/>
        <v>2100000</v>
      </c>
      <c r="N380" t="s">
        <v>1165</v>
      </c>
      <c r="O380" t="str">
        <f t="shared" si="18"/>
        <v>[{"id":14,"num":50},{"id":2,"num":2100000},{"id":1,"num":2100000}]</v>
      </c>
    </row>
    <row r="381" spans="1:15" ht="16.5" x14ac:dyDescent="0.15">
      <c r="A381" s="3">
        <f>Sheet1!A383</f>
        <v>1410020</v>
      </c>
      <c r="B381" t="s">
        <v>1162</v>
      </c>
      <c r="C381">
        <v>14</v>
      </c>
      <c r="D381" t="s">
        <v>1163</v>
      </c>
      <c r="E381">
        <v>50</v>
      </c>
      <c r="F381" t="s">
        <v>1164</v>
      </c>
      <c r="G381">
        <v>2</v>
      </c>
      <c r="H381" t="s">
        <v>1163</v>
      </c>
      <c r="I381">
        <v>2100000</v>
      </c>
      <c r="J381" t="s">
        <v>1164</v>
      </c>
      <c r="K381">
        <v>1</v>
      </c>
      <c r="L381" t="s">
        <v>1163</v>
      </c>
      <c r="M381">
        <f t="shared" si="19"/>
        <v>2100000</v>
      </c>
      <c r="N381" t="s">
        <v>1165</v>
      </c>
      <c r="O381" t="str">
        <f t="shared" si="18"/>
        <v>[{"id":14,"num":50},{"id":2,"num":2100000},{"id":1,"num":2100000}]</v>
      </c>
    </row>
    <row r="382" spans="1:15" ht="16.5" x14ac:dyDescent="0.15">
      <c r="A382" s="3">
        <f>Sheet1!A384</f>
        <v>1410021</v>
      </c>
      <c r="B382" t="s">
        <v>1162</v>
      </c>
      <c r="C382">
        <v>14</v>
      </c>
      <c r="D382" t="s">
        <v>1163</v>
      </c>
      <c r="E382">
        <v>50</v>
      </c>
      <c r="F382" t="s">
        <v>1164</v>
      </c>
      <c r="G382">
        <v>2</v>
      </c>
      <c r="H382" t="s">
        <v>1163</v>
      </c>
      <c r="I382">
        <v>2100000</v>
      </c>
      <c r="J382" t="s">
        <v>1164</v>
      </c>
      <c r="K382">
        <v>1</v>
      </c>
      <c r="L382" t="s">
        <v>1163</v>
      </c>
      <c r="M382">
        <f t="shared" si="19"/>
        <v>2100000</v>
      </c>
      <c r="N382" t="s">
        <v>1165</v>
      </c>
      <c r="O382" t="str">
        <f t="shared" si="18"/>
        <v>[{"id":14,"num":50},{"id":2,"num":2100000},{"id":1,"num":2100000}]</v>
      </c>
    </row>
    <row r="383" spans="1:15" ht="16.5" x14ac:dyDescent="0.15">
      <c r="A383" s="3">
        <f>Sheet1!A385</f>
        <v>1410022</v>
      </c>
      <c r="B383" t="s">
        <v>1162</v>
      </c>
      <c r="C383">
        <v>14</v>
      </c>
      <c r="D383" t="s">
        <v>1163</v>
      </c>
      <c r="E383">
        <v>50</v>
      </c>
      <c r="F383" t="s">
        <v>1164</v>
      </c>
      <c r="G383">
        <v>2</v>
      </c>
      <c r="H383" t="s">
        <v>1163</v>
      </c>
      <c r="I383">
        <v>2100000</v>
      </c>
      <c r="J383" t="s">
        <v>1164</v>
      </c>
      <c r="K383">
        <v>1</v>
      </c>
      <c r="L383" t="s">
        <v>1163</v>
      </c>
      <c r="M383">
        <f t="shared" si="19"/>
        <v>2100000</v>
      </c>
      <c r="N383" t="s">
        <v>1165</v>
      </c>
      <c r="O383" t="str">
        <f t="shared" si="18"/>
        <v>[{"id":14,"num":50},{"id":2,"num":2100000},{"id":1,"num":2100000}]</v>
      </c>
    </row>
    <row r="384" spans="1:15" ht="16.5" x14ac:dyDescent="0.15">
      <c r="A384" s="3">
        <f>Sheet1!A386</f>
        <v>1410023</v>
      </c>
      <c r="B384" t="s">
        <v>1162</v>
      </c>
      <c r="C384">
        <v>14</v>
      </c>
      <c r="D384" t="s">
        <v>1163</v>
      </c>
      <c r="E384">
        <v>50</v>
      </c>
      <c r="F384" t="s">
        <v>1164</v>
      </c>
      <c r="G384">
        <v>2</v>
      </c>
      <c r="H384" t="s">
        <v>1163</v>
      </c>
      <c r="I384">
        <v>2100000</v>
      </c>
      <c r="J384" t="s">
        <v>1164</v>
      </c>
      <c r="K384">
        <v>1</v>
      </c>
      <c r="L384" t="s">
        <v>1163</v>
      </c>
      <c r="M384">
        <f t="shared" si="19"/>
        <v>2100000</v>
      </c>
      <c r="N384" t="s">
        <v>1165</v>
      </c>
      <c r="O384" t="str">
        <f t="shared" si="18"/>
        <v>[{"id":14,"num":50},{"id":2,"num":2100000},{"id":1,"num":2100000}]</v>
      </c>
    </row>
    <row r="385" spans="1:15" ht="16.5" x14ac:dyDescent="0.15">
      <c r="A385" s="3">
        <f>Sheet1!A387</f>
        <v>1410024</v>
      </c>
      <c r="B385" t="s">
        <v>1162</v>
      </c>
      <c r="C385">
        <v>14</v>
      </c>
      <c r="D385" t="s">
        <v>1163</v>
      </c>
      <c r="E385">
        <v>50</v>
      </c>
      <c r="F385" t="s">
        <v>1164</v>
      </c>
      <c r="G385">
        <v>2</v>
      </c>
      <c r="H385" t="s">
        <v>1163</v>
      </c>
      <c r="I385">
        <v>2100000</v>
      </c>
      <c r="J385" t="s">
        <v>1164</v>
      </c>
      <c r="K385">
        <v>1</v>
      </c>
      <c r="L385" t="s">
        <v>1163</v>
      </c>
      <c r="M385">
        <f t="shared" si="19"/>
        <v>2100000</v>
      </c>
      <c r="N385" t="s">
        <v>1165</v>
      </c>
      <c r="O385" t="str">
        <f t="shared" si="18"/>
        <v>[{"id":14,"num":50},{"id":2,"num":2100000},{"id":1,"num":2100000}]</v>
      </c>
    </row>
    <row r="386" spans="1:15" ht="16.5" x14ac:dyDescent="0.15">
      <c r="A386" s="3">
        <f>Sheet1!A388</f>
        <v>1410025</v>
      </c>
      <c r="B386" t="s">
        <v>1162</v>
      </c>
      <c r="C386">
        <v>14</v>
      </c>
      <c r="D386" t="s">
        <v>1163</v>
      </c>
      <c r="E386">
        <v>50</v>
      </c>
      <c r="F386" t="s">
        <v>1164</v>
      </c>
      <c r="G386">
        <v>2</v>
      </c>
      <c r="H386" t="s">
        <v>1163</v>
      </c>
      <c r="I386">
        <v>2100000</v>
      </c>
      <c r="J386" t="s">
        <v>1164</v>
      </c>
      <c r="K386">
        <v>1</v>
      </c>
      <c r="L386" t="s">
        <v>1163</v>
      </c>
      <c r="M386">
        <f t="shared" si="19"/>
        <v>2100000</v>
      </c>
      <c r="N386" t="s">
        <v>1165</v>
      </c>
      <c r="O386" t="str">
        <f t="shared" ref="O386:O417" si="20">_xlfn.TEXTJOIN(,TRUE,B386:N386)</f>
        <v>[{"id":14,"num":50},{"id":2,"num":2100000},{"id":1,"num":2100000}]</v>
      </c>
    </row>
    <row r="387" spans="1:15" ht="16.5" x14ac:dyDescent="0.15">
      <c r="A387" s="3">
        <f>Sheet1!A389</f>
        <v>1410026</v>
      </c>
      <c r="B387" t="s">
        <v>1162</v>
      </c>
      <c r="C387">
        <v>14</v>
      </c>
      <c r="D387" t="s">
        <v>1163</v>
      </c>
      <c r="E387">
        <v>50</v>
      </c>
      <c r="F387" t="s">
        <v>1164</v>
      </c>
      <c r="G387">
        <v>2</v>
      </c>
      <c r="H387" t="s">
        <v>1163</v>
      </c>
      <c r="I387">
        <v>2100000</v>
      </c>
      <c r="J387" t="s">
        <v>1164</v>
      </c>
      <c r="K387">
        <v>1</v>
      </c>
      <c r="L387" t="s">
        <v>1163</v>
      </c>
      <c r="M387">
        <f t="shared" ref="M387:M418" si="21">I387</f>
        <v>2100000</v>
      </c>
      <c r="N387" t="s">
        <v>1165</v>
      </c>
      <c r="O387" t="str">
        <f t="shared" si="20"/>
        <v>[{"id":14,"num":50},{"id":2,"num":2100000},{"id":1,"num":2100000}]</v>
      </c>
    </row>
    <row r="388" spans="1:15" ht="16.5" x14ac:dyDescent="0.15">
      <c r="A388" s="3">
        <f>Sheet1!A390</f>
        <v>1410027</v>
      </c>
      <c r="B388" t="s">
        <v>1162</v>
      </c>
      <c r="C388">
        <v>14</v>
      </c>
      <c r="D388" t="s">
        <v>1163</v>
      </c>
      <c r="E388">
        <v>50</v>
      </c>
      <c r="F388" t="s">
        <v>1164</v>
      </c>
      <c r="G388">
        <v>2</v>
      </c>
      <c r="H388" t="s">
        <v>1163</v>
      </c>
      <c r="I388">
        <v>2100000</v>
      </c>
      <c r="J388" t="s">
        <v>1164</v>
      </c>
      <c r="K388">
        <v>1</v>
      </c>
      <c r="L388" t="s">
        <v>1163</v>
      </c>
      <c r="M388">
        <f t="shared" si="21"/>
        <v>2100000</v>
      </c>
      <c r="N388" t="s">
        <v>1165</v>
      </c>
      <c r="O388" t="str">
        <f t="shared" si="20"/>
        <v>[{"id":14,"num":50},{"id":2,"num":2100000},{"id":1,"num":2100000}]</v>
      </c>
    </row>
    <row r="389" spans="1:15" ht="16.5" x14ac:dyDescent="0.15">
      <c r="A389" s="3">
        <f>Sheet1!A391</f>
        <v>1410028</v>
      </c>
      <c r="B389" t="s">
        <v>1162</v>
      </c>
      <c r="C389">
        <v>14</v>
      </c>
      <c r="D389" t="s">
        <v>1163</v>
      </c>
      <c r="E389">
        <v>50</v>
      </c>
      <c r="F389" t="s">
        <v>1164</v>
      </c>
      <c r="G389">
        <v>2</v>
      </c>
      <c r="H389" t="s">
        <v>1163</v>
      </c>
      <c r="I389">
        <v>2100000</v>
      </c>
      <c r="J389" t="s">
        <v>1164</v>
      </c>
      <c r="K389">
        <v>1</v>
      </c>
      <c r="L389" t="s">
        <v>1163</v>
      </c>
      <c r="M389">
        <f t="shared" si="21"/>
        <v>2100000</v>
      </c>
      <c r="N389" t="s">
        <v>1165</v>
      </c>
      <c r="O389" t="str">
        <f t="shared" si="20"/>
        <v>[{"id":14,"num":50},{"id":2,"num":2100000},{"id":1,"num":2100000}]</v>
      </c>
    </row>
    <row r="390" spans="1:15" ht="16.5" x14ac:dyDescent="0.15">
      <c r="A390" s="3">
        <f>Sheet1!A392</f>
        <v>1410029</v>
      </c>
      <c r="B390" t="s">
        <v>1162</v>
      </c>
      <c r="C390">
        <v>14</v>
      </c>
      <c r="D390" t="s">
        <v>1163</v>
      </c>
      <c r="E390">
        <v>50</v>
      </c>
      <c r="F390" t="s">
        <v>1164</v>
      </c>
      <c r="G390">
        <v>2</v>
      </c>
      <c r="H390" t="s">
        <v>1163</v>
      </c>
      <c r="I390">
        <v>2100000</v>
      </c>
      <c r="J390" t="s">
        <v>1164</v>
      </c>
      <c r="K390">
        <v>1</v>
      </c>
      <c r="L390" t="s">
        <v>1163</v>
      </c>
      <c r="M390">
        <f t="shared" si="21"/>
        <v>2100000</v>
      </c>
      <c r="N390" t="s">
        <v>1165</v>
      </c>
      <c r="O390" t="str">
        <f t="shared" si="20"/>
        <v>[{"id":14,"num":50},{"id":2,"num":2100000},{"id":1,"num":2100000}]</v>
      </c>
    </row>
    <row r="391" spans="1:15" ht="16.5" x14ac:dyDescent="0.15">
      <c r="A391" s="3">
        <f>Sheet1!A393</f>
        <v>1410030</v>
      </c>
      <c r="B391" t="s">
        <v>1162</v>
      </c>
      <c r="C391">
        <v>14</v>
      </c>
      <c r="D391" t="s">
        <v>1163</v>
      </c>
      <c r="E391">
        <v>50</v>
      </c>
      <c r="F391" t="s">
        <v>1164</v>
      </c>
      <c r="G391">
        <v>2</v>
      </c>
      <c r="H391" t="s">
        <v>1163</v>
      </c>
      <c r="I391">
        <v>2100000</v>
      </c>
      <c r="J391" t="s">
        <v>1164</v>
      </c>
      <c r="K391">
        <v>1</v>
      </c>
      <c r="L391" t="s">
        <v>1163</v>
      </c>
      <c r="M391">
        <f t="shared" si="21"/>
        <v>2100000</v>
      </c>
      <c r="N391" t="s">
        <v>1165</v>
      </c>
      <c r="O391" t="str">
        <f t="shared" si="20"/>
        <v>[{"id":14,"num":50},{"id":2,"num":2100000},{"id":1,"num":2100000}]</v>
      </c>
    </row>
    <row r="392" spans="1:15" ht="16.5" x14ac:dyDescent="0.15">
      <c r="A392" s="3">
        <f>Sheet1!A394</f>
        <v>1410031</v>
      </c>
      <c r="B392" t="s">
        <v>1162</v>
      </c>
      <c r="C392">
        <v>14</v>
      </c>
      <c r="D392" t="s">
        <v>1163</v>
      </c>
      <c r="E392">
        <v>50</v>
      </c>
      <c r="F392" t="s">
        <v>1164</v>
      </c>
      <c r="G392">
        <v>2</v>
      </c>
      <c r="H392" t="s">
        <v>1163</v>
      </c>
      <c r="I392">
        <v>2100000</v>
      </c>
      <c r="J392" t="s">
        <v>1164</v>
      </c>
      <c r="K392">
        <v>1</v>
      </c>
      <c r="L392" t="s">
        <v>1163</v>
      </c>
      <c r="M392">
        <f t="shared" si="21"/>
        <v>2100000</v>
      </c>
      <c r="N392" t="s">
        <v>1165</v>
      </c>
      <c r="O392" t="str">
        <f t="shared" si="20"/>
        <v>[{"id":14,"num":50},{"id":2,"num":2100000},{"id":1,"num":2100000}]</v>
      </c>
    </row>
    <row r="393" spans="1:15" ht="16.5" x14ac:dyDescent="0.15">
      <c r="A393" s="3">
        <f>Sheet1!A395</f>
        <v>1410032</v>
      </c>
      <c r="B393" t="s">
        <v>1162</v>
      </c>
      <c r="C393">
        <v>14</v>
      </c>
      <c r="D393" t="s">
        <v>1163</v>
      </c>
      <c r="E393">
        <v>50</v>
      </c>
      <c r="F393" t="s">
        <v>1164</v>
      </c>
      <c r="G393">
        <v>2</v>
      </c>
      <c r="H393" t="s">
        <v>1163</v>
      </c>
      <c r="I393">
        <v>2100000</v>
      </c>
      <c r="J393" t="s">
        <v>1164</v>
      </c>
      <c r="K393">
        <v>1</v>
      </c>
      <c r="L393" t="s">
        <v>1163</v>
      </c>
      <c r="M393">
        <f t="shared" si="21"/>
        <v>2100000</v>
      </c>
      <c r="N393" t="s">
        <v>1165</v>
      </c>
      <c r="O393" t="str">
        <f t="shared" si="20"/>
        <v>[{"id":14,"num":50},{"id":2,"num":2100000},{"id":1,"num":2100000}]</v>
      </c>
    </row>
    <row r="394" spans="1:15" ht="16.5" x14ac:dyDescent="0.15">
      <c r="A394" s="3">
        <f>Sheet1!A396</f>
        <v>1410033</v>
      </c>
      <c r="B394" t="s">
        <v>1162</v>
      </c>
      <c r="C394">
        <v>14</v>
      </c>
      <c r="D394" t="s">
        <v>1163</v>
      </c>
      <c r="E394">
        <v>50</v>
      </c>
      <c r="F394" t="s">
        <v>1164</v>
      </c>
      <c r="G394">
        <v>2</v>
      </c>
      <c r="H394" t="s">
        <v>1163</v>
      </c>
      <c r="I394">
        <v>2100000</v>
      </c>
      <c r="J394" t="s">
        <v>1164</v>
      </c>
      <c r="K394">
        <v>1</v>
      </c>
      <c r="L394" t="s">
        <v>1163</v>
      </c>
      <c r="M394">
        <f t="shared" si="21"/>
        <v>2100000</v>
      </c>
      <c r="N394" t="s">
        <v>1165</v>
      </c>
      <c r="O394" t="str">
        <f t="shared" si="20"/>
        <v>[{"id":14,"num":50},{"id":2,"num":2100000},{"id":1,"num":2100000}]</v>
      </c>
    </row>
    <row r="395" spans="1:15" ht="16.5" x14ac:dyDescent="0.15">
      <c r="A395" s="3">
        <f>Sheet1!A397</f>
        <v>1410034</v>
      </c>
      <c r="B395" t="s">
        <v>1162</v>
      </c>
      <c r="C395">
        <v>14</v>
      </c>
      <c r="D395" t="s">
        <v>1163</v>
      </c>
      <c r="E395">
        <v>50</v>
      </c>
      <c r="F395" t="s">
        <v>1164</v>
      </c>
      <c r="G395">
        <v>2</v>
      </c>
      <c r="H395" t="s">
        <v>1163</v>
      </c>
      <c r="I395">
        <v>2100000</v>
      </c>
      <c r="J395" t="s">
        <v>1164</v>
      </c>
      <c r="K395">
        <v>1</v>
      </c>
      <c r="L395" t="s">
        <v>1163</v>
      </c>
      <c r="M395">
        <f t="shared" si="21"/>
        <v>2100000</v>
      </c>
      <c r="N395" t="s">
        <v>1165</v>
      </c>
      <c r="O395" t="str">
        <f t="shared" si="20"/>
        <v>[{"id":14,"num":50},{"id":2,"num":2100000},{"id":1,"num":2100000}]</v>
      </c>
    </row>
    <row r="396" spans="1:15" ht="16.5" x14ac:dyDescent="0.15">
      <c r="A396" s="3">
        <f>Sheet1!A398</f>
        <v>1410035</v>
      </c>
      <c r="B396" t="s">
        <v>1162</v>
      </c>
      <c r="C396">
        <v>14</v>
      </c>
      <c r="D396" t="s">
        <v>1163</v>
      </c>
      <c r="E396">
        <v>50</v>
      </c>
      <c r="F396" t="s">
        <v>1164</v>
      </c>
      <c r="G396">
        <v>2</v>
      </c>
      <c r="H396" t="s">
        <v>1163</v>
      </c>
      <c r="I396">
        <v>2100000</v>
      </c>
      <c r="J396" t="s">
        <v>1164</v>
      </c>
      <c r="K396">
        <v>1</v>
      </c>
      <c r="L396" t="s">
        <v>1163</v>
      </c>
      <c r="M396">
        <f t="shared" si="21"/>
        <v>2100000</v>
      </c>
      <c r="N396" t="s">
        <v>1165</v>
      </c>
      <c r="O396" t="str">
        <f t="shared" si="20"/>
        <v>[{"id":14,"num":50},{"id":2,"num":2100000},{"id":1,"num":2100000}]</v>
      </c>
    </row>
    <row r="397" spans="1:15" ht="16.5" x14ac:dyDescent="0.15">
      <c r="A397" s="3">
        <f>Sheet1!A399</f>
        <v>1410036</v>
      </c>
      <c r="B397" t="s">
        <v>1162</v>
      </c>
      <c r="C397">
        <v>14</v>
      </c>
      <c r="D397" t="s">
        <v>1163</v>
      </c>
      <c r="E397">
        <v>50</v>
      </c>
      <c r="F397" t="s">
        <v>1164</v>
      </c>
      <c r="G397">
        <v>2</v>
      </c>
      <c r="H397" t="s">
        <v>1163</v>
      </c>
      <c r="I397">
        <v>2100000</v>
      </c>
      <c r="J397" t="s">
        <v>1164</v>
      </c>
      <c r="K397">
        <v>1</v>
      </c>
      <c r="L397" t="s">
        <v>1163</v>
      </c>
      <c r="M397">
        <f t="shared" si="21"/>
        <v>2100000</v>
      </c>
      <c r="N397" t="s">
        <v>1165</v>
      </c>
      <c r="O397" t="str">
        <f t="shared" si="20"/>
        <v>[{"id":14,"num":50},{"id":2,"num":2100000},{"id":1,"num":2100000}]</v>
      </c>
    </row>
    <row r="398" spans="1:15" ht="16.5" x14ac:dyDescent="0.15">
      <c r="A398" s="3">
        <f>Sheet1!A400</f>
        <v>1410037</v>
      </c>
      <c r="B398" t="s">
        <v>1162</v>
      </c>
      <c r="C398">
        <v>14</v>
      </c>
      <c r="D398" t="s">
        <v>1163</v>
      </c>
      <c r="E398">
        <v>50</v>
      </c>
      <c r="F398" t="s">
        <v>1164</v>
      </c>
      <c r="G398">
        <v>2</v>
      </c>
      <c r="H398" t="s">
        <v>1163</v>
      </c>
      <c r="I398">
        <v>2100000</v>
      </c>
      <c r="J398" t="s">
        <v>1164</v>
      </c>
      <c r="K398">
        <v>1</v>
      </c>
      <c r="L398" t="s">
        <v>1163</v>
      </c>
      <c r="M398">
        <f t="shared" si="21"/>
        <v>2100000</v>
      </c>
      <c r="N398" t="s">
        <v>1165</v>
      </c>
      <c r="O398" t="str">
        <f t="shared" si="20"/>
        <v>[{"id":14,"num":50},{"id":2,"num":2100000},{"id":1,"num":2100000}]</v>
      </c>
    </row>
    <row r="399" spans="1:15" ht="16.5" x14ac:dyDescent="0.15">
      <c r="A399" s="3">
        <f>Sheet1!A401</f>
        <v>1410038</v>
      </c>
      <c r="B399" t="s">
        <v>1162</v>
      </c>
      <c r="C399">
        <v>14</v>
      </c>
      <c r="D399" t="s">
        <v>1163</v>
      </c>
      <c r="E399">
        <v>50</v>
      </c>
      <c r="F399" t="s">
        <v>1164</v>
      </c>
      <c r="G399">
        <v>2</v>
      </c>
      <c r="H399" t="s">
        <v>1163</v>
      </c>
      <c r="I399">
        <v>2100000</v>
      </c>
      <c r="J399" t="s">
        <v>1164</v>
      </c>
      <c r="K399">
        <v>1</v>
      </c>
      <c r="L399" t="s">
        <v>1163</v>
      </c>
      <c r="M399">
        <f t="shared" si="21"/>
        <v>2100000</v>
      </c>
      <c r="N399" t="s">
        <v>1165</v>
      </c>
      <c r="O399" t="str">
        <f t="shared" si="20"/>
        <v>[{"id":14,"num":50},{"id":2,"num":2100000},{"id":1,"num":2100000}]</v>
      </c>
    </row>
    <row r="400" spans="1:15" ht="16.5" x14ac:dyDescent="0.15">
      <c r="A400" s="3">
        <f>Sheet1!A402</f>
        <v>1410039</v>
      </c>
      <c r="B400" t="s">
        <v>1162</v>
      </c>
      <c r="C400">
        <v>14</v>
      </c>
      <c r="D400" t="s">
        <v>1163</v>
      </c>
      <c r="E400">
        <v>50</v>
      </c>
      <c r="F400" t="s">
        <v>1164</v>
      </c>
      <c r="G400">
        <v>2</v>
      </c>
      <c r="H400" t="s">
        <v>1163</v>
      </c>
      <c r="I400">
        <v>2100000</v>
      </c>
      <c r="J400" t="s">
        <v>1164</v>
      </c>
      <c r="K400">
        <v>1</v>
      </c>
      <c r="L400" t="s">
        <v>1163</v>
      </c>
      <c r="M400">
        <f t="shared" si="21"/>
        <v>2100000</v>
      </c>
      <c r="N400" t="s">
        <v>1165</v>
      </c>
      <c r="O400" t="str">
        <f t="shared" si="20"/>
        <v>[{"id":14,"num":50},{"id":2,"num":2100000},{"id":1,"num":2100000}]</v>
      </c>
    </row>
    <row r="401" spans="1:15" ht="16.5" x14ac:dyDescent="0.15">
      <c r="A401" s="3">
        <f>Sheet1!A403</f>
        <v>1410040</v>
      </c>
      <c r="B401" t="s">
        <v>1162</v>
      </c>
      <c r="C401">
        <v>14</v>
      </c>
      <c r="D401" t="s">
        <v>1163</v>
      </c>
      <c r="E401">
        <v>50</v>
      </c>
      <c r="F401" t="s">
        <v>1164</v>
      </c>
      <c r="G401">
        <v>2</v>
      </c>
      <c r="H401" t="s">
        <v>1163</v>
      </c>
      <c r="I401">
        <v>2100000</v>
      </c>
      <c r="J401" t="s">
        <v>1164</v>
      </c>
      <c r="K401">
        <v>1</v>
      </c>
      <c r="L401" t="s">
        <v>1163</v>
      </c>
      <c r="M401">
        <f t="shared" si="21"/>
        <v>2100000</v>
      </c>
      <c r="N401" t="s">
        <v>1165</v>
      </c>
      <c r="O401" t="str">
        <f t="shared" si="20"/>
        <v>[{"id":14,"num":50},{"id":2,"num":2100000},{"id":1,"num":2100000}]</v>
      </c>
    </row>
    <row r="402" spans="1:15" ht="16.5" x14ac:dyDescent="0.15">
      <c r="A402" s="3">
        <f>Sheet1!A404</f>
        <v>1411001</v>
      </c>
      <c r="B402" t="s">
        <v>1162</v>
      </c>
      <c r="C402">
        <v>14</v>
      </c>
      <c r="D402" t="s">
        <v>1163</v>
      </c>
      <c r="E402">
        <v>55</v>
      </c>
      <c r="F402" t="s">
        <v>1164</v>
      </c>
      <c r="G402">
        <v>2</v>
      </c>
      <c r="H402" t="s">
        <v>1163</v>
      </c>
      <c r="I402">
        <v>2300000</v>
      </c>
      <c r="J402" t="s">
        <v>1164</v>
      </c>
      <c r="K402">
        <v>1</v>
      </c>
      <c r="L402" t="s">
        <v>1163</v>
      </c>
      <c r="M402">
        <f t="shared" si="21"/>
        <v>2300000</v>
      </c>
      <c r="N402" t="s">
        <v>1165</v>
      </c>
      <c r="O402" t="str">
        <f t="shared" si="20"/>
        <v>[{"id":14,"num":55},{"id":2,"num":2300000},{"id":1,"num":2300000}]</v>
      </c>
    </row>
    <row r="403" spans="1:15" ht="16.5" x14ac:dyDescent="0.15">
      <c r="A403" s="3">
        <f>Sheet1!A405</f>
        <v>1411002</v>
      </c>
      <c r="B403" t="s">
        <v>1162</v>
      </c>
      <c r="C403">
        <v>14</v>
      </c>
      <c r="D403" t="s">
        <v>1163</v>
      </c>
      <c r="E403">
        <v>55</v>
      </c>
      <c r="F403" t="s">
        <v>1164</v>
      </c>
      <c r="G403">
        <v>2</v>
      </c>
      <c r="H403" t="s">
        <v>1163</v>
      </c>
      <c r="I403">
        <v>2300000</v>
      </c>
      <c r="J403" t="s">
        <v>1164</v>
      </c>
      <c r="K403">
        <v>1</v>
      </c>
      <c r="L403" t="s">
        <v>1163</v>
      </c>
      <c r="M403">
        <f t="shared" si="21"/>
        <v>2300000</v>
      </c>
      <c r="N403" t="s">
        <v>1165</v>
      </c>
      <c r="O403" t="str">
        <f t="shared" si="20"/>
        <v>[{"id":14,"num":55},{"id":2,"num":2300000},{"id":1,"num":2300000}]</v>
      </c>
    </row>
    <row r="404" spans="1:15" ht="16.5" x14ac:dyDescent="0.15">
      <c r="A404" s="3">
        <f>Sheet1!A406</f>
        <v>1411003</v>
      </c>
      <c r="B404" t="s">
        <v>1162</v>
      </c>
      <c r="C404">
        <v>14</v>
      </c>
      <c r="D404" t="s">
        <v>1163</v>
      </c>
      <c r="E404">
        <v>55</v>
      </c>
      <c r="F404" t="s">
        <v>1164</v>
      </c>
      <c r="G404">
        <v>2</v>
      </c>
      <c r="H404" t="s">
        <v>1163</v>
      </c>
      <c r="I404">
        <v>2300000</v>
      </c>
      <c r="J404" t="s">
        <v>1164</v>
      </c>
      <c r="K404">
        <v>1</v>
      </c>
      <c r="L404" t="s">
        <v>1163</v>
      </c>
      <c r="M404">
        <f t="shared" si="21"/>
        <v>2300000</v>
      </c>
      <c r="N404" t="s">
        <v>1165</v>
      </c>
      <c r="O404" t="str">
        <f t="shared" si="20"/>
        <v>[{"id":14,"num":55},{"id":2,"num":2300000},{"id":1,"num":2300000}]</v>
      </c>
    </row>
    <row r="405" spans="1:15" ht="16.5" x14ac:dyDescent="0.15">
      <c r="A405" s="3">
        <f>Sheet1!A407</f>
        <v>1411004</v>
      </c>
      <c r="B405" t="s">
        <v>1162</v>
      </c>
      <c r="C405">
        <v>14</v>
      </c>
      <c r="D405" t="s">
        <v>1163</v>
      </c>
      <c r="E405">
        <v>55</v>
      </c>
      <c r="F405" t="s">
        <v>1164</v>
      </c>
      <c r="G405">
        <v>2</v>
      </c>
      <c r="H405" t="s">
        <v>1163</v>
      </c>
      <c r="I405">
        <v>2300000</v>
      </c>
      <c r="J405" t="s">
        <v>1164</v>
      </c>
      <c r="K405">
        <v>1</v>
      </c>
      <c r="L405" t="s">
        <v>1163</v>
      </c>
      <c r="M405">
        <f t="shared" si="21"/>
        <v>2300000</v>
      </c>
      <c r="N405" t="s">
        <v>1165</v>
      </c>
      <c r="O405" t="str">
        <f t="shared" si="20"/>
        <v>[{"id":14,"num":55},{"id":2,"num":2300000},{"id":1,"num":2300000}]</v>
      </c>
    </row>
    <row r="406" spans="1:15" ht="16.5" x14ac:dyDescent="0.15">
      <c r="A406" s="3">
        <f>Sheet1!A408</f>
        <v>1411005</v>
      </c>
      <c r="B406" t="s">
        <v>1162</v>
      </c>
      <c r="C406">
        <v>14</v>
      </c>
      <c r="D406" t="s">
        <v>1163</v>
      </c>
      <c r="E406">
        <v>55</v>
      </c>
      <c r="F406" t="s">
        <v>1164</v>
      </c>
      <c r="G406">
        <v>2</v>
      </c>
      <c r="H406" t="s">
        <v>1163</v>
      </c>
      <c r="I406">
        <v>2300000</v>
      </c>
      <c r="J406" t="s">
        <v>1164</v>
      </c>
      <c r="K406">
        <v>1</v>
      </c>
      <c r="L406" t="s">
        <v>1163</v>
      </c>
      <c r="M406">
        <f t="shared" si="21"/>
        <v>2300000</v>
      </c>
      <c r="N406" t="s">
        <v>1165</v>
      </c>
      <c r="O406" t="str">
        <f t="shared" si="20"/>
        <v>[{"id":14,"num":55},{"id":2,"num":2300000},{"id":1,"num":2300000}]</v>
      </c>
    </row>
    <row r="407" spans="1:15" ht="16.5" x14ac:dyDescent="0.15">
      <c r="A407" s="3">
        <f>Sheet1!A409</f>
        <v>1411006</v>
      </c>
      <c r="B407" t="s">
        <v>1162</v>
      </c>
      <c r="C407">
        <v>14</v>
      </c>
      <c r="D407" t="s">
        <v>1163</v>
      </c>
      <c r="E407">
        <v>55</v>
      </c>
      <c r="F407" t="s">
        <v>1164</v>
      </c>
      <c r="G407">
        <v>2</v>
      </c>
      <c r="H407" t="s">
        <v>1163</v>
      </c>
      <c r="I407">
        <v>2300000</v>
      </c>
      <c r="J407" t="s">
        <v>1164</v>
      </c>
      <c r="K407">
        <v>1</v>
      </c>
      <c r="L407" t="s">
        <v>1163</v>
      </c>
      <c r="M407">
        <f t="shared" si="21"/>
        <v>2300000</v>
      </c>
      <c r="N407" t="s">
        <v>1165</v>
      </c>
      <c r="O407" t="str">
        <f t="shared" si="20"/>
        <v>[{"id":14,"num":55},{"id":2,"num":2300000},{"id":1,"num":2300000}]</v>
      </c>
    </row>
    <row r="408" spans="1:15" ht="16.5" x14ac:dyDescent="0.15">
      <c r="A408" s="3">
        <f>Sheet1!A410</f>
        <v>1411007</v>
      </c>
      <c r="B408" t="s">
        <v>1162</v>
      </c>
      <c r="C408">
        <v>14</v>
      </c>
      <c r="D408" t="s">
        <v>1163</v>
      </c>
      <c r="E408">
        <v>55</v>
      </c>
      <c r="F408" t="s">
        <v>1164</v>
      </c>
      <c r="G408">
        <v>2</v>
      </c>
      <c r="H408" t="s">
        <v>1163</v>
      </c>
      <c r="I408">
        <v>2300000</v>
      </c>
      <c r="J408" t="s">
        <v>1164</v>
      </c>
      <c r="K408">
        <v>1</v>
      </c>
      <c r="L408" t="s">
        <v>1163</v>
      </c>
      <c r="M408">
        <f t="shared" si="21"/>
        <v>2300000</v>
      </c>
      <c r="N408" t="s">
        <v>1165</v>
      </c>
      <c r="O408" t="str">
        <f t="shared" si="20"/>
        <v>[{"id":14,"num":55},{"id":2,"num":2300000},{"id":1,"num":2300000}]</v>
      </c>
    </row>
    <row r="409" spans="1:15" ht="16.5" x14ac:dyDescent="0.15">
      <c r="A409" s="3">
        <f>Sheet1!A411</f>
        <v>1411008</v>
      </c>
      <c r="B409" t="s">
        <v>1162</v>
      </c>
      <c r="C409">
        <v>14</v>
      </c>
      <c r="D409" t="s">
        <v>1163</v>
      </c>
      <c r="E409">
        <v>55</v>
      </c>
      <c r="F409" t="s">
        <v>1164</v>
      </c>
      <c r="G409">
        <v>2</v>
      </c>
      <c r="H409" t="s">
        <v>1163</v>
      </c>
      <c r="I409">
        <v>2300000</v>
      </c>
      <c r="J409" t="s">
        <v>1164</v>
      </c>
      <c r="K409">
        <v>1</v>
      </c>
      <c r="L409" t="s">
        <v>1163</v>
      </c>
      <c r="M409">
        <f t="shared" si="21"/>
        <v>2300000</v>
      </c>
      <c r="N409" t="s">
        <v>1165</v>
      </c>
      <c r="O409" t="str">
        <f t="shared" si="20"/>
        <v>[{"id":14,"num":55},{"id":2,"num":2300000},{"id":1,"num":2300000}]</v>
      </c>
    </row>
    <row r="410" spans="1:15" ht="16.5" x14ac:dyDescent="0.15">
      <c r="A410" s="3">
        <f>Sheet1!A412</f>
        <v>1411009</v>
      </c>
      <c r="B410" t="s">
        <v>1162</v>
      </c>
      <c r="C410">
        <v>14</v>
      </c>
      <c r="D410" t="s">
        <v>1163</v>
      </c>
      <c r="E410">
        <v>55</v>
      </c>
      <c r="F410" t="s">
        <v>1164</v>
      </c>
      <c r="G410">
        <v>2</v>
      </c>
      <c r="H410" t="s">
        <v>1163</v>
      </c>
      <c r="I410">
        <v>2300000</v>
      </c>
      <c r="J410" t="s">
        <v>1164</v>
      </c>
      <c r="K410">
        <v>1</v>
      </c>
      <c r="L410" t="s">
        <v>1163</v>
      </c>
      <c r="M410">
        <f t="shared" si="21"/>
        <v>2300000</v>
      </c>
      <c r="N410" t="s">
        <v>1165</v>
      </c>
      <c r="O410" t="str">
        <f t="shared" si="20"/>
        <v>[{"id":14,"num":55},{"id":2,"num":2300000},{"id":1,"num":2300000}]</v>
      </c>
    </row>
    <row r="411" spans="1:15" ht="16.5" x14ac:dyDescent="0.15">
      <c r="A411" s="3">
        <f>Sheet1!A413</f>
        <v>1411010</v>
      </c>
      <c r="B411" t="s">
        <v>1162</v>
      </c>
      <c r="C411">
        <v>14</v>
      </c>
      <c r="D411" t="s">
        <v>1163</v>
      </c>
      <c r="E411">
        <v>55</v>
      </c>
      <c r="F411" t="s">
        <v>1164</v>
      </c>
      <c r="G411">
        <v>2</v>
      </c>
      <c r="H411" t="s">
        <v>1163</v>
      </c>
      <c r="I411">
        <v>2300000</v>
      </c>
      <c r="J411" t="s">
        <v>1164</v>
      </c>
      <c r="K411">
        <v>1</v>
      </c>
      <c r="L411" t="s">
        <v>1163</v>
      </c>
      <c r="M411">
        <f t="shared" si="21"/>
        <v>2300000</v>
      </c>
      <c r="N411" t="s">
        <v>1165</v>
      </c>
      <c r="O411" t="str">
        <f t="shared" si="20"/>
        <v>[{"id":14,"num":55},{"id":2,"num":2300000},{"id":1,"num":2300000}]</v>
      </c>
    </row>
    <row r="412" spans="1:15" ht="16.5" x14ac:dyDescent="0.15">
      <c r="A412" s="3">
        <f>Sheet1!A414</f>
        <v>1411011</v>
      </c>
      <c r="B412" t="s">
        <v>1162</v>
      </c>
      <c r="C412">
        <v>14</v>
      </c>
      <c r="D412" t="s">
        <v>1163</v>
      </c>
      <c r="E412">
        <v>55</v>
      </c>
      <c r="F412" t="s">
        <v>1164</v>
      </c>
      <c r="G412">
        <v>2</v>
      </c>
      <c r="H412" t="s">
        <v>1163</v>
      </c>
      <c r="I412">
        <v>2300000</v>
      </c>
      <c r="J412" t="s">
        <v>1164</v>
      </c>
      <c r="K412">
        <v>1</v>
      </c>
      <c r="L412" t="s">
        <v>1163</v>
      </c>
      <c r="M412">
        <f t="shared" si="21"/>
        <v>2300000</v>
      </c>
      <c r="N412" t="s">
        <v>1165</v>
      </c>
      <c r="O412" t="str">
        <f t="shared" si="20"/>
        <v>[{"id":14,"num":55},{"id":2,"num":2300000},{"id":1,"num":2300000}]</v>
      </c>
    </row>
    <row r="413" spans="1:15" ht="16.5" x14ac:dyDescent="0.15">
      <c r="A413" s="3">
        <f>Sheet1!A415</f>
        <v>1411012</v>
      </c>
      <c r="B413" t="s">
        <v>1162</v>
      </c>
      <c r="C413">
        <v>14</v>
      </c>
      <c r="D413" t="s">
        <v>1163</v>
      </c>
      <c r="E413">
        <v>55</v>
      </c>
      <c r="F413" t="s">
        <v>1164</v>
      </c>
      <c r="G413">
        <v>2</v>
      </c>
      <c r="H413" t="s">
        <v>1163</v>
      </c>
      <c r="I413">
        <v>2300000</v>
      </c>
      <c r="J413" t="s">
        <v>1164</v>
      </c>
      <c r="K413">
        <v>1</v>
      </c>
      <c r="L413" t="s">
        <v>1163</v>
      </c>
      <c r="M413">
        <f t="shared" si="21"/>
        <v>2300000</v>
      </c>
      <c r="N413" t="s">
        <v>1165</v>
      </c>
      <c r="O413" t="str">
        <f t="shared" si="20"/>
        <v>[{"id":14,"num":55},{"id":2,"num":2300000},{"id":1,"num":2300000}]</v>
      </c>
    </row>
    <row r="414" spans="1:15" ht="16.5" x14ac:dyDescent="0.15">
      <c r="A414" s="3">
        <f>Sheet1!A416</f>
        <v>1411013</v>
      </c>
      <c r="B414" t="s">
        <v>1162</v>
      </c>
      <c r="C414">
        <v>14</v>
      </c>
      <c r="D414" t="s">
        <v>1163</v>
      </c>
      <c r="E414">
        <v>55</v>
      </c>
      <c r="F414" t="s">
        <v>1164</v>
      </c>
      <c r="G414">
        <v>2</v>
      </c>
      <c r="H414" t="s">
        <v>1163</v>
      </c>
      <c r="I414">
        <v>2300000</v>
      </c>
      <c r="J414" t="s">
        <v>1164</v>
      </c>
      <c r="K414">
        <v>1</v>
      </c>
      <c r="L414" t="s">
        <v>1163</v>
      </c>
      <c r="M414">
        <f t="shared" si="21"/>
        <v>2300000</v>
      </c>
      <c r="N414" t="s">
        <v>1165</v>
      </c>
      <c r="O414" t="str">
        <f t="shared" si="20"/>
        <v>[{"id":14,"num":55},{"id":2,"num":2300000},{"id":1,"num":2300000}]</v>
      </c>
    </row>
    <row r="415" spans="1:15" ht="16.5" x14ac:dyDescent="0.15">
      <c r="A415" s="3">
        <f>Sheet1!A417</f>
        <v>1411014</v>
      </c>
      <c r="B415" t="s">
        <v>1162</v>
      </c>
      <c r="C415">
        <v>14</v>
      </c>
      <c r="D415" t="s">
        <v>1163</v>
      </c>
      <c r="E415">
        <v>55</v>
      </c>
      <c r="F415" t="s">
        <v>1164</v>
      </c>
      <c r="G415">
        <v>2</v>
      </c>
      <c r="H415" t="s">
        <v>1163</v>
      </c>
      <c r="I415">
        <v>2300000</v>
      </c>
      <c r="J415" t="s">
        <v>1164</v>
      </c>
      <c r="K415">
        <v>1</v>
      </c>
      <c r="L415" t="s">
        <v>1163</v>
      </c>
      <c r="M415">
        <f t="shared" si="21"/>
        <v>2300000</v>
      </c>
      <c r="N415" t="s">
        <v>1165</v>
      </c>
      <c r="O415" t="str">
        <f t="shared" si="20"/>
        <v>[{"id":14,"num":55},{"id":2,"num":2300000},{"id":1,"num":2300000}]</v>
      </c>
    </row>
    <row r="416" spans="1:15" ht="16.5" x14ac:dyDescent="0.15">
      <c r="A416" s="3">
        <f>Sheet1!A418</f>
        <v>1411015</v>
      </c>
      <c r="B416" t="s">
        <v>1162</v>
      </c>
      <c r="C416">
        <v>14</v>
      </c>
      <c r="D416" t="s">
        <v>1163</v>
      </c>
      <c r="E416">
        <v>55</v>
      </c>
      <c r="F416" t="s">
        <v>1164</v>
      </c>
      <c r="G416">
        <v>2</v>
      </c>
      <c r="H416" t="s">
        <v>1163</v>
      </c>
      <c r="I416">
        <v>2300000</v>
      </c>
      <c r="J416" t="s">
        <v>1164</v>
      </c>
      <c r="K416">
        <v>1</v>
      </c>
      <c r="L416" t="s">
        <v>1163</v>
      </c>
      <c r="M416">
        <f t="shared" si="21"/>
        <v>2300000</v>
      </c>
      <c r="N416" t="s">
        <v>1165</v>
      </c>
      <c r="O416" t="str">
        <f t="shared" si="20"/>
        <v>[{"id":14,"num":55},{"id":2,"num":2300000},{"id":1,"num":2300000}]</v>
      </c>
    </row>
    <row r="417" spans="1:15" ht="16.5" x14ac:dyDescent="0.15">
      <c r="A417" s="3">
        <f>Sheet1!A419</f>
        <v>1411016</v>
      </c>
      <c r="B417" t="s">
        <v>1162</v>
      </c>
      <c r="C417">
        <v>14</v>
      </c>
      <c r="D417" t="s">
        <v>1163</v>
      </c>
      <c r="E417">
        <v>55</v>
      </c>
      <c r="F417" t="s">
        <v>1164</v>
      </c>
      <c r="G417">
        <v>2</v>
      </c>
      <c r="H417" t="s">
        <v>1163</v>
      </c>
      <c r="I417">
        <v>2300000</v>
      </c>
      <c r="J417" t="s">
        <v>1164</v>
      </c>
      <c r="K417">
        <v>1</v>
      </c>
      <c r="L417" t="s">
        <v>1163</v>
      </c>
      <c r="M417">
        <f t="shared" si="21"/>
        <v>2300000</v>
      </c>
      <c r="N417" t="s">
        <v>1165</v>
      </c>
      <c r="O417" t="str">
        <f t="shared" si="20"/>
        <v>[{"id":14,"num":55},{"id":2,"num":2300000},{"id":1,"num":2300000}]</v>
      </c>
    </row>
    <row r="418" spans="1:15" ht="16.5" x14ac:dyDescent="0.15">
      <c r="A418" s="3">
        <f>Sheet1!A420</f>
        <v>1411017</v>
      </c>
      <c r="B418" t="s">
        <v>1162</v>
      </c>
      <c r="C418">
        <v>14</v>
      </c>
      <c r="D418" t="s">
        <v>1163</v>
      </c>
      <c r="E418">
        <v>55</v>
      </c>
      <c r="F418" t="s">
        <v>1164</v>
      </c>
      <c r="G418">
        <v>2</v>
      </c>
      <c r="H418" t="s">
        <v>1163</v>
      </c>
      <c r="I418">
        <v>2300000</v>
      </c>
      <c r="J418" t="s">
        <v>1164</v>
      </c>
      <c r="K418">
        <v>1</v>
      </c>
      <c r="L418" t="s">
        <v>1163</v>
      </c>
      <c r="M418">
        <f t="shared" si="21"/>
        <v>2300000</v>
      </c>
      <c r="N418" t="s">
        <v>1165</v>
      </c>
      <c r="O418" t="str">
        <f t="shared" ref="O418:O449" si="22">_xlfn.TEXTJOIN(,TRUE,B418:N418)</f>
        <v>[{"id":14,"num":55},{"id":2,"num":2300000},{"id":1,"num":2300000}]</v>
      </c>
    </row>
    <row r="419" spans="1:15" ht="16.5" x14ac:dyDescent="0.15">
      <c r="A419" s="3">
        <f>Sheet1!A421</f>
        <v>1411018</v>
      </c>
      <c r="B419" t="s">
        <v>1162</v>
      </c>
      <c r="C419">
        <v>14</v>
      </c>
      <c r="D419" t="s">
        <v>1163</v>
      </c>
      <c r="E419">
        <v>55</v>
      </c>
      <c r="F419" t="s">
        <v>1164</v>
      </c>
      <c r="G419">
        <v>2</v>
      </c>
      <c r="H419" t="s">
        <v>1163</v>
      </c>
      <c r="I419">
        <v>2300000</v>
      </c>
      <c r="J419" t="s">
        <v>1164</v>
      </c>
      <c r="K419">
        <v>1</v>
      </c>
      <c r="L419" t="s">
        <v>1163</v>
      </c>
      <c r="M419">
        <f t="shared" ref="M419:M450" si="23">I419</f>
        <v>2300000</v>
      </c>
      <c r="N419" t="s">
        <v>1165</v>
      </c>
      <c r="O419" t="str">
        <f t="shared" si="22"/>
        <v>[{"id":14,"num":55},{"id":2,"num":2300000},{"id":1,"num":2300000}]</v>
      </c>
    </row>
    <row r="420" spans="1:15" ht="16.5" x14ac:dyDescent="0.15">
      <c r="A420" s="3">
        <f>Sheet1!A422</f>
        <v>1411019</v>
      </c>
      <c r="B420" t="s">
        <v>1162</v>
      </c>
      <c r="C420">
        <v>14</v>
      </c>
      <c r="D420" t="s">
        <v>1163</v>
      </c>
      <c r="E420">
        <v>55</v>
      </c>
      <c r="F420" t="s">
        <v>1164</v>
      </c>
      <c r="G420">
        <v>2</v>
      </c>
      <c r="H420" t="s">
        <v>1163</v>
      </c>
      <c r="I420">
        <v>2300000</v>
      </c>
      <c r="J420" t="s">
        <v>1164</v>
      </c>
      <c r="K420">
        <v>1</v>
      </c>
      <c r="L420" t="s">
        <v>1163</v>
      </c>
      <c r="M420">
        <f t="shared" si="23"/>
        <v>2300000</v>
      </c>
      <c r="N420" t="s">
        <v>1165</v>
      </c>
      <c r="O420" t="str">
        <f t="shared" si="22"/>
        <v>[{"id":14,"num":55},{"id":2,"num":2300000},{"id":1,"num":2300000}]</v>
      </c>
    </row>
    <row r="421" spans="1:15" ht="16.5" x14ac:dyDescent="0.15">
      <c r="A421" s="3">
        <f>Sheet1!A423</f>
        <v>1411020</v>
      </c>
      <c r="B421" t="s">
        <v>1162</v>
      </c>
      <c r="C421">
        <v>14</v>
      </c>
      <c r="D421" t="s">
        <v>1163</v>
      </c>
      <c r="E421">
        <v>55</v>
      </c>
      <c r="F421" t="s">
        <v>1164</v>
      </c>
      <c r="G421">
        <v>2</v>
      </c>
      <c r="H421" t="s">
        <v>1163</v>
      </c>
      <c r="I421">
        <v>2300000</v>
      </c>
      <c r="J421" t="s">
        <v>1164</v>
      </c>
      <c r="K421">
        <v>1</v>
      </c>
      <c r="L421" t="s">
        <v>1163</v>
      </c>
      <c r="M421">
        <f t="shared" si="23"/>
        <v>2300000</v>
      </c>
      <c r="N421" t="s">
        <v>1165</v>
      </c>
      <c r="O421" t="str">
        <f t="shared" si="22"/>
        <v>[{"id":14,"num":55},{"id":2,"num":2300000},{"id":1,"num":2300000}]</v>
      </c>
    </row>
    <row r="422" spans="1:15" ht="16.5" x14ac:dyDescent="0.15">
      <c r="A422" s="3">
        <f>Sheet1!A424</f>
        <v>1411021</v>
      </c>
      <c r="B422" t="s">
        <v>1162</v>
      </c>
      <c r="C422">
        <v>14</v>
      </c>
      <c r="D422" t="s">
        <v>1163</v>
      </c>
      <c r="E422">
        <v>55</v>
      </c>
      <c r="F422" t="s">
        <v>1164</v>
      </c>
      <c r="G422">
        <v>2</v>
      </c>
      <c r="H422" t="s">
        <v>1163</v>
      </c>
      <c r="I422">
        <v>2300000</v>
      </c>
      <c r="J422" t="s">
        <v>1164</v>
      </c>
      <c r="K422">
        <v>1</v>
      </c>
      <c r="L422" t="s">
        <v>1163</v>
      </c>
      <c r="M422">
        <f t="shared" si="23"/>
        <v>2300000</v>
      </c>
      <c r="N422" t="s">
        <v>1165</v>
      </c>
      <c r="O422" t="str">
        <f t="shared" si="22"/>
        <v>[{"id":14,"num":55},{"id":2,"num":2300000},{"id":1,"num":2300000}]</v>
      </c>
    </row>
    <row r="423" spans="1:15" ht="16.5" x14ac:dyDescent="0.15">
      <c r="A423" s="3">
        <f>Sheet1!A425</f>
        <v>1411022</v>
      </c>
      <c r="B423" t="s">
        <v>1162</v>
      </c>
      <c r="C423">
        <v>14</v>
      </c>
      <c r="D423" t="s">
        <v>1163</v>
      </c>
      <c r="E423">
        <v>55</v>
      </c>
      <c r="F423" t="s">
        <v>1164</v>
      </c>
      <c r="G423">
        <v>2</v>
      </c>
      <c r="H423" t="s">
        <v>1163</v>
      </c>
      <c r="I423">
        <v>2300000</v>
      </c>
      <c r="J423" t="s">
        <v>1164</v>
      </c>
      <c r="K423">
        <v>1</v>
      </c>
      <c r="L423" t="s">
        <v>1163</v>
      </c>
      <c r="M423">
        <f t="shared" si="23"/>
        <v>2300000</v>
      </c>
      <c r="N423" t="s">
        <v>1165</v>
      </c>
      <c r="O423" t="str">
        <f t="shared" si="22"/>
        <v>[{"id":14,"num":55},{"id":2,"num":2300000},{"id":1,"num":2300000}]</v>
      </c>
    </row>
    <row r="424" spans="1:15" ht="16.5" x14ac:dyDescent="0.15">
      <c r="A424" s="3">
        <f>Sheet1!A426</f>
        <v>1411023</v>
      </c>
      <c r="B424" t="s">
        <v>1162</v>
      </c>
      <c r="C424">
        <v>14</v>
      </c>
      <c r="D424" t="s">
        <v>1163</v>
      </c>
      <c r="E424">
        <v>55</v>
      </c>
      <c r="F424" t="s">
        <v>1164</v>
      </c>
      <c r="G424">
        <v>2</v>
      </c>
      <c r="H424" t="s">
        <v>1163</v>
      </c>
      <c r="I424">
        <v>2300000</v>
      </c>
      <c r="J424" t="s">
        <v>1164</v>
      </c>
      <c r="K424">
        <v>1</v>
      </c>
      <c r="L424" t="s">
        <v>1163</v>
      </c>
      <c r="M424">
        <f t="shared" si="23"/>
        <v>2300000</v>
      </c>
      <c r="N424" t="s">
        <v>1165</v>
      </c>
      <c r="O424" t="str">
        <f t="shared" si="22"/>
        <v>[{"id":14,"num":55},{"id":2,"num":2300000},{"id":1,"num":2300000}]</v>
      </c>
    </row>
    <row r="425" spans="1:15" ht="16.5" x14ac:dyDescent="0.15">
      <c r="A425" s="3">
        <f>Sheet1!A427</f>
        <v>1411024</v>
      </c>
      <c r="B425" t="s">
        <v>1162</v>
      </c>
      <c r="C425">
        <v>14</v>
      </c>
      <c r="D425" t="s">
        <v>1163</v>
      </c>
      <c r="E425">
        <v>55</v>
      </c>
      <c r="F425" t="s">
        <v>1164</v>
      </c>
      <c r="G425">
        <v>2</v>
      </c>
      <c r="H425" t="s">
        <v>1163</v>
      </c>
      <c r="I425">
        <v>2300000</v>
      </c>
      <c r="J425" t="s">
        <v>1164</v>
      </c>
      <c r="K425">
        <v>1</v>
      </c>
      <c r="L425" t="s">
        <v>1163</v>
      </c>
      <c r="M425">
        <f t="shared" si="23"/>
        <v>2300000</v>
      </c>
      <c r="N425" t="s">
        <v>1165</v>
      </c>
      <c r="O425" t="str">
        <f t="shared" si="22"/>
        <v>[{"id":14,"num":55},{"id":2,"num":2300000},{"id":1,"num":2300000}]</v>
      </c>
    </row>
    <row r="426" spans="1:15" ht="16.5" x14ac:dyDescent="0.15">
      <c r="A426" s="3">
        <f>Sheet1!A428</f>
        <v>1411025</v>
      </c>
      <c r="B426" t="s">
        <v>1162</v>
      </c>
      <c r="C426">
        <v>14</v>
      </c>
      <c r="D426" t="s">
        <v>1163</v>
      </c>
      <c r="E426">
        <v>55</v>
      </c>
      <c r="F426" t="s">
        <v>1164</v>
      </c>
      <c r="G426">
        <v>2</v>
      </c>
      <c r="H426" t="s">
        <v>1163</v>
      </c>
      <c r="I426">
        <v>2300000</v>
      </c>
      <c r="J426" t="s">
        <v>1164</v>
      </c>
      <c r="K426">
        <v>1</v>
      </c>
      <c r="L426" t="s">
        <v>1163</v>
      </c>
      <c r="M426">
        <f t="shared" si="23"/>
        <v>2300000</v>
      </c>
      <c r="N426" t="s">
        <v>1165</v>
      </c>
      <c r="O426" t="str">
        <f t="shared" si="22"/>
        <v>[{"id":14,"num":55},{"id":2,"num":2300000},{"id":1,"num":2300000}]</v>
      </c>
    </row>
    <row r="427" spans="1:15" ht="16.5" x14ac:dyDescent="0.15">
      <c r="A427" s="3">
        <f>Sheet1!A429</f>
        <v>1411026</v>
      </c>
      <c r="B427" t="s">
        <v>1162</v>
      </c>
      <c r="C427">
        <v>14</v>
      </c>
      <c r="D427" t="s">
        <v>1163</v>
      </c>
      <c r="E427">
        <v>55</v>
      </c>
      <c r="F427" t="s">
        <v>1164</v>
      </c>
      <c r="G427">
        <v>2</v>
      </c>
      <c r="H427" t="s">
        <v>1163</v>
      </c>
      <c r="I427">
        <v>2300000</v>
      </c>
      <c r="J427" t="s">
        <v>1164</v>
      </c>
      <c r="K427">
        <v>1</v>
      </c>
      <c r="L427" t="s">
        <v>1163</v>
      </c>
      <c r="M427">
        <f t="shared" si="23"/>
        <v>2300000</v>
      </c>
      <c r="N427" t="s">
        <v>1165</v>
      </c>
      <c r="O427" t="str">
        <f t="shared" si="22"/>
        <v>[{"id":14,"num":55},{"id":2,"num":2300000},{"id":1,"num":2300000}]</v>
      </c>
    </row>
    <row r="428" spans="1:15" ht="16.5" x14ac:dyDescent="0.15">
      <c r="A428" s="3">
        <f>Sheet1!A430</f>
        <v>1411027</v>
      </c>
      <c r="B428" t="s">
        <v>1162</v>
      </c>
      <c r="C428">
        <v>14</v>
      </c>
      <c r="D428" t="s">
        <v>1163</v>
      </c>
      <c r="E428">
        <v>55</v>
      </c>
      <c r="F428" t="s">
        <v>1164</v>
      </c>
      <c r="G428">
        <v>2</v>
      </c>
      <c r="H428" t="s">
        <v>1163</v>
      </c>
      <c r="I428">
        <v>2300000</v>
      </c>
      <c r="J428" t="s">
        <v>1164</v>
      </c>
      <c r="K428">
        <v>1</v>
      </c>
      <c r="L428" t="s">
        <v>1163</v>
      </c>
      <c r="M428">
        <f t="shared" si="23"/>
        <v>2300000</v>
      </c>
      <c r="N428" t="s">
        <v>1165</v>
      </c>
      <c r="O428" t="str">
        <f t="shared" si="22"/>
        <v>[{"id":14,"num":55},{"id":2,"num":2300000},{"id":1,"num":2300000}]</v>
      </c>
    </row>
    <row r="429" spans="1:15" ht="16.5" x14ac:dyDescent="0.15">
      <c r="A429" s="3">
        <f>Sheet1!A431</f>
        <v>1411028</v>
      </c>
      <c r="B429" t="s">
        <v>1162</v>
      </c>
      <c r="C429">
        <v>14</v>
      </c>
      <c r="D429" t="s">
        <v>1163</v>
      </c>
      <c r="E429">
        <v>55</v>
      </c>
      <c r="F429" t="s">
        <v>1164</v>
      </c>
      <c r="G429">
        <v>2</v>
      </c>
      <c r="H429" t="s">
        <v>1163</v>
      </c>
      <c r="I429">
        <v>2300000</v>
      </c>
      <c r="J429" t="s">
        <v>1164</v>
      </c>
      <c r="K429">
        <v>1</v>
      </c>
      <c r="L429" t="s">
        <v>1163</v>
      </c>
      <c r="M429">
        <f t="shared" si="23"/>
        <v>2300000</v>
      </c>
      <c r="N429" t="s">
        <v>1165</v>
      </c>
      <c r="O429" t="str">
        <f t="shared" si="22"/>
        <v>[{"id":14,"num":55},{"id":2,"num":2300000},{"id":1,"num":2300000}]</v>
      </c>
    </row>
    <row r="430" spans="1:15" ht="16.5" x14ac:dyDescent="0.15">
      <c r="A430" s="3">
        <f>Sheet1!A432</f>
        <v>1411029</v>
      </c>
      <c r="B430" t="s">
        <v>1162</v>
      </c>
      <c r="C430">
        <v>14</v>
      </c>
      <c r="D430" t="s">
        <v>1163</v>
      </c>
      <c r="E430">
        <v>55</v>
      </c>
      <c r="F430" t="s">
        <v>1164</v>
      </c>
      <c r="G430">
        <v>2</v>
      </c>
      <c r="H430" t="s">
        <v>1163</v>
      </c>
      <c r="I430">
        <v>2300000</v>
      </c>
      <c r="J430" t="s">
        <v>1164</v>
      </c>
      <c r="K430">
        <v>1</v>
      </c>
      <c r="L430" t="s">
        <v>1163</v>
      </c>
      <c r="M430">
        <f t="shared" si="23"/>
        <v>2300000</v>
      </c>
      <c r="N430" t="s">
        <v>1165</v>
      </c>
      <c r="O430" t="str">
        <f t="shared" si="22"/>
        <v>[{"id":14,"num":55},{"id":2,"num":2300000},{"id":1,"num":2300000}]</v>
      </c>
    </row>
    <row r="431" spans="1:15" ht="16.5" x14ac:dyDescent="0.15">
      <c r="A431" s="3">
        <f>Sheet1!A433</f>
        <v>1411030</v>
      </c>
      <c r="B431" t="s">
        <v>1162</v>
      </c>
      <c r="C431">
        <v>14</v>
      </c>
      <c r="D431" t="s">
        <v>1163</v>
      </c>
      <c r="E431">
        <v>55</v>
      </c>
      <c r="F431" t="s">
        <v>1164</v>
      </c>
      <c r="G431">
        <v>2</v>
      </c>
      <c r="H431" t="s">
        <v>1163</v>
      </c>
      <c r="I431">
        <v>2300000</v>
      </c>
      <c r="J431" t="s">
        <v>1164</v>
      </c>
      <c r="K431">
        <v>1</v>
      </c>
      <c r="L431" t="s">
        <v>1163</v>
      </c>
      <c r="M431">
        <f t="shared" si="23"/>
        <v>2300000</v>
      </c>
      <c r="N431" t="s">
        <v>1165</v>
      </c>
      <c r="O431" t="str">
        <f t="shared" si="22"/>
        <v>[{"id":14,"num":55},{"id":2,"num":2300000},{"id":1,"num":2300000}]</v>
      </c>
    </row>
    <row r="432" spans="1:15" ht="16.5" x14ac:dyDescent="0.15">
      <c r="A432" s="3">
        <f>Sheet1!A434</f>
        <v>1411031</v>
      </c>
      <c r="B432" t="s">
        <v>1162</v>
      </c>
      <c r="C432">
        <v>14</v>
      </c>
      <c r="D432" t="s">
        <v>1163</v>
      </c>
      <c r="E432">
        <v>55</v>
      </c>
      <c r="F432" t="s">
        <v>1164</v>
      </c>
      <c r="G432">
        <v>2</v>
      </c>
      <c r="H432" t="s">
        <v>1163</v>
      </c>
      <c r="I432">
        <v>2300000</v>
      </c>
      <c r="J432" t="s">
        <v>1164</v>
      </c>
      <c r="K432">
        <v>1</v>
      </c>
      <c r="L432" t="s">
        <v>1163</v>
      </c>
      <c r="M432">
        <f t="shared" si="23"/>
        <v>2300000</v>
      </c>
      <c r="N432" t="s">
        <v>1165</v>
      </c>
      <c r="O432" t="str">
        <f t="shared" si="22"/>
        <v>[{"id":14,"num":55},{"id":2,"num":2300000},{"id":1,"num":2300000}]</v>
      </c>
    </row>
    <row r="433" spans="1:15" ht="16.5" x14ac:dyDescent="0.15">
      <c r="A433" s="3">
        <f>Sheet1!A435</f>
        <v>1411032</v>
      </c>
      <c r="B433" t="s">
        <v>1162</v>
      </c>
      <c r="C433">
        <v>14</v>
      </c>
      <c r="D433" t="s">
        <v>1163</v>
      </c>
      <c r="E433">
        <v>55</v>
      </c>
      <c r="F433" t="s">
        <v>1164</v>
      </c>
      <c r="G433">
        <v>2</v>
      </c>
      <c r="H433" t="s">
        <v>1163</v>
      </c>
      <c r="I433">
        <v>2300000</v>
      </c>
      <c r="J433" t="s">
        <v>1164</v>
      </c>
      <c r="K433">
        <v>1</v>
      </c>
      <c r="L433" t="s">
        <v>1163</v>
      </c>
      <c r="M433">
        <f t="shared" si="23"/>
        <v>2300000</v>
      </c>
      <c r="N433" t="s">
        <v>1165</v>
      </c>
      <c r="O433" t="str">
        <f t="shared" si="22"/>
        <v>[{"id":14,"num":55},{"id":2,"num":2300000},{"id":1,"num":2300000}]</v>
      </c>
    </row>
    <row r="434" spans="1:15" ht="16.5" x14ac:dyDescent="0.15">
      <c r="A434" s="3">
        <f>Sheet1!A436</f>
        <v>1411033</v>
      </c>
      <c r="B434" t="s">
        <v>1162</v>
      </c>
      <c r="C434">
        <v>14</v>
      </c>
      <c r="D434" t="s">
        <v>1163</v>
      </c>
      <c r="E434">
        <v>55</v>
      </c>
      <c r="F434" t="s">
        <v>1164</v>
      </c>
      <c r="G434">
        <v>2</v>
      </c>
      <c r="H434" t="s">
        <v>1163</v>
      </c>
      <c r="I434">
        <v>2300000</v>
      </c>
      <c r="J434" t="s">
        <v>1164</v>
      </c>
      <c r="K434">
        <v>1</v>
      </c>
      <c r="L434" t="s">
        <v>1163</v>
      </c>
      <c r="M434">
        <f t="shared" si="23"/>
        <v>2300000</v>
      </c>
      <c r="N434" t="s">
        <v>1165</v>
      </c>
      <c r="O434" t="str">
        <f t="shared" si="22"/>
        <v>[{"id":14,"num":55},{"id":2,"num":2300000},{"id":1,"num":2300000}]</v>
      </c>
    </row>
    <row r="435" spans="1:15" ht="16.5" x14ac:dyDescent="0.15">
      <c r="A435" s="3">
        <f>Sheet1!A437</f>
        <v>1411034</v>
      </c>
      <c r="B435" t="s">
        <v>1162</v>
      </c>
      <c r="C435">
        <v>14</v>
      </c>
      <c r="D435" t="s">
        <v>1163</v>
      </c>
      <c r="E435">
        <v>55</v>
      </c>
      <c r="F435" t="s">
        <v>1164</v>
      </c>
      <c r="G435">
        <v>2</v>
      </c>
      <c r="H435" t="s">
        <v>1163</v>
      </c>
      <c r="I435">
        <v>2300000</v>
      </c>
      <c r="J435" t="s">
        <v>1164</v>
      </c>
      <c r="K435">
        <v>1</v>
      </c>
      <c r="L435" t="s">
        <v>1163</v>
      </c>
      <c r="M435">
        <f t="shared" si="23"/>
        <v>2300000</v>
      </c>
      <c r="N435" t="s">
        <v>1165</v>
      </c>
      <c r="O435" t="str">
        <f t="shared" si="22"/>
        <v>[{"id":14,"num":55},{"id":2,"num":2300000},{"id":1,"num":2300000}]</v>
      </c>
    </row>
    <row r="436" spans="1:15" ht="16.5" x14ac:dyDescent="0.15">
      <c r="A436" s="3">
        <f>Sheet1!A438</f>
        <v>1411035</v>
      </c>
      <c r="B436" t="s">
        <v>1162</v>
      </c>
      <c r="C436">
        <v>14</v>
      </c>
      <c r="D436" t="s">
        <v>1163</v>
      </c>
      <c r="E436">
        <v>55</v>
      </c>
      <c r="F436" t="s">
        <v>1164</v>
      </c>
      <c r="G436">
        <v>2</v>
      </c>
      <c r="H436" t="s">
        <v>1163</v>
      </c>
      <c r="I436">
        <v>2300000</v>
      </c>
      <c r="J436" t="s">
        <v>1164</v>
      </c>
      <c r="K436">
        <v>1</v>
      </c>
      <c r="L436" t="s">
        <v>1163</v>
      </c>
      <c r="M436">
        <f t="shared" si="23"/>
        <v>2300000</v>
      </c>
      <c r="N436" t="s">
        <v>1165</v>
      </c>
      <c r="O436" t="str">
        <f t="shared" si="22"/>
        <v>[{"id":14,"num":55},{"id":2,"num":2300000},{"id":1,"num":2300000}]</v>
      </c>
    </row>
    <row r="437" spans="1:15" ht="16.5" x14ac:dyDescent="0.15">
      <c r="A437" s="3">
        <f>Sheet1!A439</f>
        <v>1411036</v>
      </c>
      <c r="B437" t="s">
        <v>1162</v>
      </c>
      <c r="C437">
        <v>14</v>
      </c>
      <c r="D437" t="s">
        <v>1163</v>
      </c>
      <c r="E437">
        <v>55</v>
      </c>
      <c r="F437" t="s">
        <v>1164</v>
      </c>
      <c r="G437">
        <v>2</v>
      </c>
      <c r="H437" t="s">
        <v>1163</v>
      </c>
      <c r="I437">
        <v>2300000</v>
      </c>
      <c r="J437" t="s">
        <v>1164</v>
      </c>
      <c r="K437">
        <v>1</v>
      </c>
      <c r="L437" t="s">
        <v>1163</v>
      </c>
      <c r="M437">
        <f t="shared" si="23"/>
        <v>2300000</v>
      </c>
      <c r="N437" t="s">
        <v>1165</v>
      </c>
      <c r="O437" t="str">
        <f t="shared" si="22"/>
        <v>[{"id":14,"num":55},{"id":2,"num":2300000},{"id":1,"num":2300000}]</v>
      </c>
    </row>
    <row r="438" spans="1:15" ht="16.5" x14ac:dyDescent="0.15">
      <c r="A438" s="3">
        <f>Sheet1!A440</f>
        <v>1411037</v>
      </c>
      <c r="B438" t="s">
        <v>1162</v>
      </c>
      <c r="C438">
        <v>14</v>
      </c>
      <c r="D438" t="s">
        <v>1163</v>
      </c>
      <c r="E438">
        <v>55</v>
      </c>
      <c r="F438" t="s">
        <v>1164</v>
      </c>
      <c r="G438">
        <v>2</v>
      </c>
      <c r="H438" t="s">
        <v>1163</v>
      </c>
      <c r="I438">
        <v>2300000</v>
      </c>
      <c r="J438" t="s">
        <v>1164</v>
      </c>
      <c r="K438">
        <v>1</v>
      </c>
      <c r="L438" t="s">
        <v>1163</v>
      </c>
      <c r="M438">
        <f t="shared" si="23"/>
        <v>2300000</v>
      </c>
      <c r="N438" t="s">
        <v>1165</v>
      </c>
      <c r="O438" t="str">
        <f t="shared" si="22"/>
        <v>[{"id":14,"num":55},{"id":2,"num":2300000},{"id":1,"num":2300000}]</v>
      </c>
    </row>
    <row r="439" spans="1:15" ht="16.5" x14ac:dyDescent="0.15">
      <c r="A439" s="3">
        <f>Sheet1!A441</f>
        <v>1411038</v>
      </c>
      <c r="B439" t="s">
        <v>1162</v>
      </c>
      <c r="C439">
        <v>14</v>
      </c>
      <c r="D439" t="s">
        <v>1163</v>
      </c>
      <c r="E439">
        <v>55</v>
      </c>
      <c r="F439" t="s">
        <v>1164</v>
      </c>
      <c r="G439">
        <v>2</v>
      </c>
      <c r="H439" t="s">
        <v>1163</v>
      </c>
      <c r="I439">
        <v>2300000</v>
      </c>
      <c r="J439" t="s">
        <v>1164</v>
      </c>
      <c r="K439">
        <v>1</v>
      </c>
      <c r="L439" t="s">
        <v>1163</v>
      </c>
      <c r="M439">
        <f t="shared" si="23"/>
        <v>2300000</v>
      </c>
      <c r="N439" t="s">
        <v>1165</v>
      </c>
      <c r="O439" t="str">
        <f t="shared" si="22"/>
        <v>[{"id":14,"num":55},{"id":2,"num":2300000},{"id":1,"num":2300000}]</v>
      </c>
    </row>
    <row r="440" spans="1:15" ht="16.5" x14ac:dyDescent="0.15">
      <c r="A440" s="3">
        <f>Sheet1!A442</f>
        <v>1411039</v>
      </c>
      <c r="B440" t="s">
        <v>1162</v>
      </c>
      <c r="C440">
        <v>14</v>
      </c>
      <c r="D440" t="s">
        <v>1163</v>
      </c>
      <c r="E440">
        <v>55</v>
      </c>
      <c r="F440" t="s">
        <v>1164</v>
      </c>
      <c r="G440">
        <v>2</v>
      </c>
      <c r="H440" t="s">
        <v>1163</v>
      </c>
      <c r="I440">
        <v>2300000</v>
      </c>
      <c r="J440" t="s">
        <v>1164</v>
      </c>
      <c r="K440">
        <v>1</v>
      </c>
      <c r="L440" t="s">
        <v>1163</v>
      </c>
      <c r="M440">
        <f t="shared" si="23"/>
        <v>2300000</v>
      </c>
      <c r="N440" t="s">
        <v>1165</v>
      </c>
      <c r="O440" t="str">
        <f t="shared" si="22"/>
        <v>[{"id":14,"num":55},{"id":2,"num":2300000},{"id":1,"num":2300000}]</v>
      </c>
    </row>
    <row r="441" spans="1:15" ht="16.5" x14ac:dyDescent="0.15">
      <c r="A441" s="3">
        <f>Sheet1!A443</f>
        <v>1411040</v>
      </c>
      <c r="B441" t="s">
        <v>1162</v>
      </c>
      <c r="C441">
        <v>14</v>
      </c>
      <c r="D441" t="s">
        <v>1163</v>
      </c>
      <c r="E441">
        <v>55</v>
      </c>
      <c r="F441" t="s">
        <v>1164</v>
      </c>
      <c r="G441">
        <v>2</v>
      </c>
      <c r="H441" t="s">
        <v>1163</v>
      </c>
      <c r="I441">
        <v>2300000</v>
      </c>
      <c r="J441" t="s">
        <v>1164</v>
      </c>
      <c r="K441">
        <v>1</v>
      </c>
      <c r="L441" t="s">
        <v>1163</v>
      </c>
      <c r="M441">
        <f t="shared" si="23"/>
        <v>2300000</v>
      </c>
      <c r="N441" t="s">
        <v>1165</v>
      </c>
      <c r="O441" t="str">
        <f t="shared" si="22"/>
        <v>[{"id":14,"num":55},{"id":2,"num":2300000},{"id":1,"num":2300000}]</v>
      </c>
    </row>
    <row r="442" spans="1:15" ht="16.5" x14ac:dyDescent="0.15">
      <c r="A442" s="3">
        <f>Sheet1!A444</f>
        <v>1412001</v>
      </c>
      <c r="B442" t="s">
        <v>1162</v>
      </c>
      <c r="C442">
        <v>14</v>
      </c>
      <c r="D442" t="s">
        <v>1163</v>
      </c>
      <c r="E442">
        <v>60</v>
      </c>
      <c r="F442" t="s">
        <v>1164</v>
      </c>
      <c r="G442">
        <v>2</v>
      </c>
      <c r="H442" t="s">
        <v>1163</v>
      </c>
      <c r="I442">
        <v>2500000</v>
      </c>
      <c r="J442" t="s">
        <v>1164</v>
      </c>
      <c r="K442">
        <v>1</v>
      </c>
      <c r="L442" t="s">
        <v>1163</v>
      </c>
      <c r="M442">
        <f t="shared" si="23"/>
        <v>2500000</v>
      </c>
      <c r="N442" t="s">
        <v>1165</v>
      </c>
      <c r="O442" t="str">
        <f t="shared" si="22"/>
        <v>[{"id":14,"num":60},{"id":2,"num":2500000},{"id":1,"num":2500000}]</v>
      </c>
    </row>
    <row r="443" spans="1:15" ht="16.5" x14ac:dyDescent="0.15">
      <c r="A443" s="3">
        <f>Sheet1!A445</f>
        <v>1412002</v>
      </c>
      <c r="B443" t="s">
        <v>1162</v>
      </c>
      <c r="C443">
        <v>14</v>
      </c>
      <c r="D443" t="s">
        <v>1163</v>
      </c>
      <c r="E443">
        <v>60</v>
      </c>
      <c r="F443" t="s">
        <v>1164</v>
      </c>
      <c r="G443">
        <v>2</v>
      </c>
      <c r="H443" t="s">
        <v>1163</v>
      </c>
      <c r="I443">
        <v>2500000</v>
      </c>
      <c r="J443" t="s">
        <v>1164</v>
      </c>
      <c r="K443">
        <v>1</v>
      </c>
      <c r="L443" t="s">
        <v>1163</v>
      </c>
      <c r="M443">
        <f t="shared" si="23"/>
        <v>2500000</v>
      </c>
      <c r="N443" t="s">
        <v>1165</v>
      </c>
      <c r="O443" t="str">
        <f t="shared" si="22"/>
        <v>[{"id":14,"num":60},{"id":2,"num":2500000},{"id":1,"num":2500000}]</v>
      </c>
    </row>
    <row r="444" spans="1:15" ht="16.5" x14ac:dyDescent="0.15">
      <c r="A444" s="3">
        <f>Sheet1!A446</f>
        <v>1412003</v>
      </c>
      <c r="B444" t="s">
        <v>1162</v>
      </c>
      <c r="C444">
        <v>14</v>
      </c>
      <c r="D444" t="s">
        <v>1163</v>
      </c>
      <c r="E444">
        <v>60</v>
      </c>
      <c r="F444" t="s">
        <v>1164</v>
      </c>
      <c r="G444">
        <v>2</v>
      </c>
      <c r="H444" t="s">
        <v>1163</v>
      </c>
      <c r="I444">
        <v>2500000</v>
      </c>
      <c r="J444" t="s">
        <v>1164</v>
      </c>
      <c r="K444">
        <v>1</v>
      </c>
      <c r="L444" t="s">
        <v>1163</v>
      </c>
      <c r="M444">
        <f t="shared" si="23"/>
        <v>2500000</v>
      </c>
      <c r="N444" t="s">
        <v>1165</v>
      </c>
      <c r="O444" t="str">
        <f t="shared" si="22"/>
        <v>[{"id":14,"num":60},{"id":2,"num":2500000},{"id":1,"num":2500000}]</v>
      </c>
    </row>
    <row r="445" spans="1:15" ht="16.5" x14ac:dyDescent="0.15">
      <c r="A445" s="3">
        <f>Sheet1!A447</f>
        <v>1412004</v>
      </c>
      <c r="B445" t="s">
        <v>1162</v>
      </c>
      <c r="C445">
        <v>14</v>
      </c>
      <c r="D445" t="s">
        <v>1163</v>
      </c>
      <c r="E445">
        <v>60</v>
      </c>
      <c r="F445" t="s">
        <v>1164</v>
      </c>
      <c r="G445">
        <v>2</v>
      </c>
      <c r="H445" t="s">
        <v>1163</v>
      </c>
      <c r="I445">
        <v>2500000</v>
      </c>
      <c r="J445" t="s">
        <v>1164</v>
      </c>
      <c r="K445">
        <v>1</v>
      </c>
      <c r="L445" t="s">
        <v>1163</v>
      </c>
      <c r="M445">
        <f t="shared" si="23"/>
        <v>2500000</v>
      </c>
      <c r="N445" t="s">
        <v>1165</v>
      </c>
      <c r="O445" t="str">
        <f t="shared" si="22"/>
        <v>[{"id":14,"num":60},{"id":2,"num":2500000},{"id":1,"num":2500000}]</v>
      </c>
    </row>
    <row r="446" spans="1:15" ht="16.5" x14ac:dyDescent="0.15">
      <c r="A446" s="3">
        <f>Sheet1!A448</f>
        <v>1412005</v>
      </c>
      <c r="B446" t="s">
        <v>1162</v>
      </c>
      <c r="C446">
        <v>14</v>
      </c>
      <c r="D446" t="s">
        <v>1163</v>
      </c>
      <c r="E446">
        <v>60</v>
      </c>
      <c r="F446" t="s">
        <v>1164</v>
      </c>
      <c r="G446">
        <v>2</v>
      </c>
      <c r="H446" t="s">
        <v>1163</v>
      </c>
      <c r="I446">
        <v>2500000</v>
      </c>
      <c r="J446" t="s">
        <v>1164</v>
      </c>
      <c r="K446">
        <v>1</v>
      </c>
      <c r="L446" t="s">
        <v>1163</v>
      </c>
      <c r="M446">
        <f t="shared" si="23"/>
        <v>2500000</v>
      </c>
      <c r="N446" t="s">
        <v>1165</v>
      </c>
      <c r="O446" t="str">
        <f t="shared" si="22"/>
        <v>[{"id":14,"num":60},{"id":2,"num":2500000},{"id":1,"num":2500000}]</v>
      </c>
    </row>
    <row r="447" spans="1:15" ht="16.5" x14ac:dyDescent="0.15">
      <c r="A447" s="3">
        <f>Sheet1!A449</f>
        <v>1412006</v>
      </c>
      <c r="B447" t="s">
        <v>1162</v>
      </c>
      <c r="C447">
        <v>14</v>
      </c>
      <c r="D447" t="s">
        <v>1163</v>
      </c>
      <c r="E447">
        <v>60</v>
      </c>
      <c r="F447" t="s">
        <v>1164</v>
      </c>
      <c r="G447">
        <v>2</v>
      </c>
      <c r="H447" t="s">
        <v>1163</v>
      </c>
      <c r="I447">
        <v>2500000</v>
      </c>
      <c r="J447" t="s">
        <v>1164</v>
      </c>
      <c r="K447">
        <v>1</v>
      </c>
      <c r="L447" t="s">
        <v>1163</v>
      </c>
      <c r="M447">
        <f t="shared" si="23"/>
        <v>2500000</v>
      </c>
      <c r="N447" t="s">
        <v>1165</v>
      </c>
      <c r="O447" t="str">
        <f t="shared" si="22"/>
        <v>[{"id":14,"num":60},{"id":2,"num":2500000},{"id":1,"num":2500000}]</v>
      </c>
    </row>
    <row r="448" spans="1:15" ht="16.5" x14ac:dyDescent="0.15">
      <c r="A448" s="3">
        <f>Sheet1!A450</f>
        <v>1412007</v>
      </c>
      <c r="B448" t="s">
        <v>1162</v>
      </c>
      <c r="C448">
        <v>14</v>
      </c>
      <c r="D448" t="s">
        <v>1163</v>
      </c>
      <c r="E448">
        <v>60</v>
      </c>
      <c r="F448" t="s">
        <v>1164</v>
      </c>
      <c r="G448">
        <v>2</v>
      </c>
      <c r="H448" t="s">
        <v>1163</v>
      </c>
      <c r="I448">
        <v>2500000</v>
      </c>
      <c r="J448" t="s">
        <v>1164</v>
      </c>
      <c r="K448">
        <v>1</v>
      </c>
      <c r="L448" t="s">
        <v>1163</v>
      </c>
      <c r="M448">
        <f t="shared" si="23"/>
        <v>2500000</v>
      </c>
      <c r="N448" t="s">
        <v>1165</v>
      </c>
      <c r="O448" t="str">
        <f t="shared" si="22"/>
        <v>[{"id":14,"num":60},{"id":2,"num":2500000},{"id":1,"num":2500000}]</v>
      </c>
    </row>
    <row r="449" spans="1:15" ht="16.5" x14ac:dyDescent="0.15">
      <c r="A449" s="3">
        <f>Sheet1!A451</f>
        <v>1412008</v>
      </c>
      <c r="B449" t="s">
        <v>1162</v>
      </c>
      <c r="C449">
        <v>14</v>
      </c>
      <c r="D449" t="s">
        <v>1163</v>
      </c>
      <c r="E449">
        <v>60</v>
      </c>
      <c r="F449" t="s">
        <v>1164</v>
      </c>
      <c r="G449">
        <v>2</v>
      </c>
      <c r="H449" t="s">
        <v>1163</v>
      </c>
      <c r="I449">
        <v>2500000</v>
      </c>
      <c r="J449" t="s">
        <v>1164</v>
      </c>
      <c r="K449">
        <v>1</v>
      </c>
      <c r="L449" t="s">
        <v>1163</v>
      </c>
      <c r="M449">
        <f t="shared" si="23"/>
        <v>2500000</v>
      </c>
      <c r="N449" t="s">
        <v>1165</v>
      </c>
      <c r="O449" t="str">
        <f t="shared" si="22"/>
        <v>[{"id":14,"num":60},{"id":2,"num":2500000},{"id":1,"num":2500000}]</v>
      </c>
    </row>
    <row r="450" spans="1:15" ht="16.5" x14ac:dyDescent="0.15">
      <c r="A450" s="3">
        <f>Sheet1!A452</f>
        <v>1412009</v>
      </c>
      <c r="B450" t="s">
        <v>1162</v>
      </c>
      <c r="C450">
        <v>14</v>
      </c>
      <c r="D450" t="s">
        <v>1163</v>
      </c>
      <c r="E450">
        <v>60</v>
      </c>
      <c r="F450" t="s">
        <v>1164</v>
      </c>
      <c r="G450">
        <v>2</v>
      </c>
      <c r="H450" t="s">
        <v>1163</v>
      </c>
      <c r="I450">
        <v>2500000</v>
      </c>
      <c r="J450" t="s">
        <v>1164</v>
      </c>
      <c r="K450">
        <v>1</v>
      </c>
      <c r="L450" t="s">
        <v>1163</v>
      </c>
      <c r="M450">
        <f t="shared" si="23"/>
        <v>2500000</v>
      </c>
      <c r="N450" t="s">
        <v>1165</v>
      </c>
      <c r="O450" t="str">
        <f t="shared" ref="O450:O481" si="24">_xlfn.TEXTJOIN(,TRUE,B450:N450)</f>
        <v>[{"id":14,"num":60},{"id":2,"num":2500000},{"id":1,"num":2500000}]</v>
      </c>
    </row>
    <row r="451" spans="1:15" ht="16.5" x14ac:dyDescent="0.15">
      <c r="A451" s="3">
        <f>Sheet1!A453</f>
        <v>1412010</v>
      </c>
      <c r="B451" t="s">
        <v>1162</v>
      </c>
      <c r="C451">
        <v>14</v>
      </c>
      <c r="D451" t="s">
        <v>1163</v>
      </c>
      <c r="E451">
        <v>60</v>
      </c>
      <c r="F451" t="s">
        <v>1164</v>
      </c>
      <c r="G451">
        <v>2</v>
      </c>
      <c r="H451" t="s">
        <v>1163</v>
      </c>
      <c r="I451">
        <v>2500000</v>
      </c>
      <c r="J451" t="s">
        <v>1164</v>
      </c>
      <c r="K451">
        <v>1</v>
      </c>
      <c r="L451" t="s">
        <v>1163</v>
      </c>
      <c r="M451">
        <f t="shared" ref="M451:M481" si="25">I451</f>
        <v>2500000</v>
      </c>
      <c r="N451" t="s">
        <v>1165</v>
      </c>
      <c r="O451" t="str">
        <f t="shared" si="24"/>
        <v>[{"id":14,"num":60},{"id":2,"num":2500000},{"id":1,"num":2500000}]</v>
      </c>
    </row>
    <row r="452" spans="1:15" ht="16.5" x14ac:dyDescent="0.15">
      <c r="A452" s="3">
        <f>Sheet1!A454</f>
        <v>1412011</v>
      </c>
      <c r="B452" t="s">
        <v>1162</v>
      </c>
      <c r="C452">
        <v>14</v>
      </c>
      <c r="D452" t="s">
        <v>1163</v>
      </c>
      <c r="E452">
        <v>60</v>
      </c>
      <c r="F452" t="s">
        <v>1164</v>
      </c>
      <c r="G452">
        <v>2</v>
      </c>
      <c r="H452" t="s">
        <v>1163</v>
      </c>
      <c r="I452">
        <v>2500000</v>
      </c>
      <c r="J452" t="s">
        <v>1164</v>
      </c>
      <c r="K452">
        <v>1</v>
      </c>
      <c r="L452" t="s">
        <v>1163</v>
      </c>
      <c r="M452">
        <f t="shared" si="25"/>
        <v>2500000</v>
      </c>
      <c r="N452" t="s">
        <v>1165</v>
      </c>
      <c r="O452" t="str">
        <f t="shared" si="24"/>
        <v>[{"id":14,"num":60},{"id":2,"num":2500000},{"id":1,"num":2500000}]</v>
      </c>
    </row>
    <row r="453" spans="1:15" ht="16.5" x14ac:dyDescent="0.15">
      <c r="A453" s="3">
        <f>Sheet1!A455</f>
        <v>1412012</v>
      </c>
      <c r="B453" t="s">
        <v>1162</v>
      </c>
      <c r="C453">
        <v>14</v>
      </c>
      <c r="D453" t="s">
        <v>1163</v>
      </c>
      <c r="E453">
        <v>60</v>
      </c>
      <c r="F453" t="s">
        <v>1164</v>
      </c>
      <c r="G453">
        <v>2</v>
      </c>
      <c r="H453" t="s">
        <v>1163</v>
      </c>
      <c r="I453">
        <v>2500000</v>
      </c>
      <c r="J453" t="s">
        <v>1164</v>
      </c>
      <c r="K453">
        <v>1</v>
      </c>
      <c r="L453" t="s">
        <v>1163</v>
      </c>
      <c r="M453">
        <f t="shared" si="25"/>
        <v>2500000</v>
      </c>
      <c r="N453" t="s">
        <v>1165</v>
      </c>
      <c r="O453" t="str">
        <f t="shared" si="24"/>
        <v>[{"id":14,"num":60},{"id":2,"num":2500000},{"id":1,"num":2500000}]</v>
      </c>
    </row>
    <row r="454" spans="1:15" ht="16.5" x14ac:dyDescent="0.15">
      <c r="A454" s="3">
        <f>Sheet1!A456</f>
        <v>1412013</v>
      </c>
      <c r="B454" t="s">
        <v>1162</v>
      </c>
      <c r="C454">
        <v>14</v>
      </c>
      <c r="D454" t="s">
        <v>1163</v>
      </c>
      <c r="E454">
        <v>60</v>
      </c>
      <c r="F454" t="s">
        <v>1164</v>
      </c>
      <c r="G454">
        <v>2</v>
      </c>
      <c r="H454" t="s">
        <v>1163</v>
      </c>
      <c r="I454">
        <v>2500000</v>
      </c>
      <c r="J454" t="s">
        <v>1164</v>
      </c>
      <c r="K454">
        <v>1</v>
      </c>
      <c r="L454" t="s">
        <v>1163</v>
      </c>
      <c r="M454">
        <f t="shared" si="25"/>
        <v>2500000</v>
      </c>
      <c r="N454" t="s">
        <v>1165</v>
      </c>
      <c r="O454" t="str">
        <f t="shared" si="24"/>
        <v>[{"id":14,"num":60},{"id":2,"num":2500000},{"id":1,"num":2500000}]</v>
      </c>
    </row>
    <row r="455" spans="1:15" ht="16.5" x14ac:dyDescent="0.15">
      <c r="A455" s="3">
        <f>Sheet1!A457</f>
        <v>1412014</v>
      </c>
      <c r="B455" t="s">
        <v>1162</v>
      </c>
      <c r="C455">
        <v>14</v>
      </c>
      <c r="D455" t="s">
        <v>1163</v>
      </c>
      <c r="E455">
        <v>60</v>
      </c>
      <c r="F455" t="s">
        <v>1164</v>
      </c>
      <c r="G455">
        <v>2</v>
      </c>
      <c r="H455" t="s">
        <v>1163</v>
      </c>
      <c r="I455">
        <v>2500000</v>
      </c>
      <c r="J455" t="s">
        <v>1164</v>
      </c>
      <c r="K455">
        <v>1</v>
      </c>
      <c r="L455" t="s">
        <v>1163</v>
      </c>
      <c r="M455">
        <f t="shared" si="25"/>
        <v>2500000</v>
      </c>
      <c r="N455" t="s">
        <v>1165</v>
      </c>
      <c r="O455" t="str">
        <f t="shared" si="24"/>
        <v>[{"id":14,"num":60},{"id":2,"num":2500000},{"id":1,"num":2500000}]</v>
      </c>
    </row>
    <row r="456" spans="1:15" ht="16.5" x14ac:dyDescent="0.15">
      <c r="A456" s="3">
        <f>Sheet1!A458</f>
        <v>1412015</v>
      </c>
      <c r="B456" t="s">
        <v>1162</v>
      </c>
      <c r="C456">
        <v>14</v>
      </c>
      <c r="D456" t="s">
        <v>1163</v>
      </c>
      <c r="E456">
        <v>60</v>
      </c>
      <c r="F456" t="s">
        <v>1164</v>
      </c>
      <c r="G456">
        <v>2</v>
      </c>
      <c r="H456" t="s">
        <v>1163</v>
      </c>
      <c r="I456">
        <v>2500000</v>
      </c>
      <c r="J456" t="s">
        <v>1164</v>
      </c>
      <c r="K456">
        <v>1</v>
      </c>
      <c r="L456" t="s">
        <v>1163</v>
      </c>
      <c r="M456">
        <f t="shared" si="25"/>
        <v>2500000</v>
      </c>
      <c r="N456" t="s">
        <v>1165</v>
      </c>
      <c r="O456" t="str">
        <f t="shared" si="24"/>
        <v>[{"id":14,"num":60},{"id":2,"num":2500000},{"id":1,"num":2500000}]</v>
      </c>
    </row>
    <row r="457" spans="1:15" ht="16.5" x14ac:dyDescent="0.15">
      <c r="A457" s="3">
        <f>Sheet1!A459</f>
        <v>1412016</v>
      </c>
      <c r="B457" t="s">
        <v>1162</v>
      </c>
      <c r="C457">
        <v>14</v>
      </c>
      <c r="D457" t="s">
        <v>1163</v>
      </c>
      <c r="E457">
        <v>60</v>
      </c>
      <c r="F457" t="s">
        <v>1164</v>
      </c>
      <c r="G457">
        <v>2</v>
      </c>
      <c r="H457" t="s">
        <v>1163</v>
      </c>
      <c r="I457">
        <v>2500000</v>
      </c>
      <c r="J457" t="s">
        <v>1164</v>
      </c>
      <c r="K457">
        <v>1</v>
      </c>
      <c r="L457" t="s">
        <v>1163</v>
      </c>
      <c r="M457">
        <f t="shared" si="25"/>
        <v>2500000</v>
      </c>
      <c r="N457" t="s">
        <v>1165</v>
      </c>
      <c r="O457" t="str">
        <f t="shared" si="24"/>
        <v>[{"id":14,"num":60},{"id":2,"num":2500000},{"id":1,"num":2500000}]</v>
      </c>
    </row>
    <row r="458" spans="1:15" ht="16.5" x14ac:dyDescent="0.15">
      <c r="A458" s="3">
        <f>Sheet1!A460</f>
        <v>1412017</v>
      </c>
      <c r="B458" t="s">
        <v>1162</v>
      </c>
      <c r="C458">
        <v>14</v>
      </c>
      <c r="D458" t="s">
        <v>1163</v>
      </c>
      <c r="E458">
        <v>60</v>
      </c>
      <c r="F458" t="s">
        <v>1164</v>
      </c>
      <c r="G458">
        <v>2</v>
      </c>
      <c r="H458" t="s">
        <v>1163</v>
      </c>
      <c r="I458">
        <v>2500000</v>
      </c>
      <c r="J458" t="s">
        <v>1164</v>
      </c>
      <c r="K458">
        <v>1</v>
      </c>
      <c r="L458" t="s">
        <v>1163</v>
      </c>
      <c r="M458">
        <f t="shared" si="25"/>
        <v>2500000</v>
      </c>
      <c r="N458" t="s">
        <v>1165</v>
      </c>
      <c r="O458" t="str">
        <f t="shared" si="24"/>
        <v>[{"id":14,"num":60},{"id":2,"num":2500000},{"id":1,"num":2500000}]</v>
      </c>
    </row>
    <row r="459" spans="1:15" ht="16.5" x14ac:dyDescent="0.15">
      <c r="A459" s="3">
        <f>Sheet1!A461</f>
        <v>1412018</v>
      </c>
      <c r="B459" t="s">
        <v>1162</v>
      </c>
      <c r="C459">
        <v>14</v>
      </c>
      <c r="D459" t="s">
        <v>1163</v>
      </c>
      <c r="E459">
        <v>60</v>
      </c>
      <c r="F459" t="s">
        <v>1164</v>
      </c>
      <c r="G459">
        <v>2</v>
      </c>
      <c r="H459" t="s">
        <v>1163</v>
      </c>
      <c r="I459">
        <v>2500000</v>
      </c>
      <c r="J459" t="s">
        <v>1164</v>
      </c>
      <c r="K459">
        <v>1</v>
      </c>
      <c r="L459" t="s">
        <v>1163</v>
      </c>
      <c r="M459">
        <f t="shared" si="25"/>
        <v>2500000</v>
      </c>
      <c r="N459" t="s">
        <v>1165</v>
      </c>
      <c r="O459" t="str">
        <f t="shared" si="24"/>
        <v>[{"id":14,"num":60},{"id":2,"num":2500000},{"id":1,"num":2500000}]</v>
      </c>
    </row>
    <row r="460" spans="1:15" ht="16.5" x14ac:dyDescent="0.15">
      <c r="A460" s="3">
        <f>Sheet1!A462</f>
        <v>1412019</v>
      </c>
      <c r="B460" t="s">
        <v>1162</v>
      </c>
      <c r="C460">
        <v>14</v>
      </c>
      <c r="D460" t="s">
        <v>1163</v>
      </c>
      <c r="E460">
        <v>60</v>
      </c>
      <c r="F460" t="s">
        <v>1164</v>
      </c>
      <c r="G460">
        <v>2</v>
      </c>
      <c r="H460" t="s">
        <v>1163</v>
      </c>
      <c r="I460">
        <v>2500000</v>
      </c>
      <c r="J460" t="s">
        <v>1164</v>
      </c>
      <c r="K460">
        <v>1</v>
      </c>
      <c r="L460" t="s">
        <v>1163</v>
      </c>
      <c r="M460">
        <f t="shared" si="25"/>
        <v>2500000</v>
      </c>
      <c r="N460" t="s">
        <v>1165</v>
      </c>
      <c r="O460" t="str">
        <f t="shared" si="24"/>
        <v>[{"id":14,"num":60},{"id":2,"num":2500000},{"id":1,"num":2500000}]</v>
      </c>
    </row>
    <row r="461" spans="1:15" ht="16.5" x14ac:dyDescent="0.15">
      <c r="A461" s="3">
        <f>Sheet1!A463</f>
        <v>1412020</v>
      </c>
      <c r="B461" t="s">
        <v>1162</v>
      </c>
      <c r="C461">
        <v>14</v>
      </c>
      <c r="D461" t="s">
        <v>1163</v>
      </c>
      <c r="E461">
        <v>60</v>
      </c>
      <c r="F461" t="s">
        <v>1164</v>
      </c>
      <c r="G461">
        <v>2</v>
      </c>
      <c r="H461" t="s">
        <v>1163</v>
      </c>
      <c r="I461">
        <v>2500000</v>
      </c>
      <c r="J461" t="s">
        <v>1164</v>
      </c>
      <c r="K461">
        <v>1</v>
      </c>
      <c r="L461" t="s">
        <v>1163</v>
      </c>
      <c r="M461">
        <f t="shared" si="25"/>
        <v>2500000</v>
      </c>
      <c r="N461" t="s">
        <v>1165</v>
      </c>
      <c r="O461" t="str">
        <f t="shared" si="24"/>
        <v>[{"id":14,"num":60},{"id":2,"num":2500000},{"id":1,"num":2500000}]</v>
      </c>
    </row>
    <row r="462" spans="1:15" ht="16.5" x14ac:dyDescent="0.15">
      <c r="A462" s="3">
        <f>Sheet1!A464</f>
        <v>1412021</v>
      </c>
      <c r="B462" t="s">
        <v>1162</v>
      </c>
      <c r="C462">
        <v>14</v>
      </c>
      <c r="D462" t="s">
        <v>1163</v>
      </c>
      <c r="E462">
        <v>60</v>
      </c>
      <c r="F462" t="s">
        <v>1164</v>
      </c>
      <c r="G462">
        <v>2</v>
      </c>
      <c r="H462" t="s">
        <v>1163</v>
      </c>
      <c r="I462">
        <v>2500000</v>
      </c>
      <c r="J462" t="s">
        <v>1164</v>
      </c>
      <c r="K462">
        <v>1</v>
      </c>
      <c r="L462" t="s">
        <v>1163</v>
      </c>
      <c r="M462">
        <f t="shared" si="25"/>
        <v>2500000</v>
      </c>
      <c r="N462" t="s">
        <v>1165</v>
      </c>
      <c r="O462" t="str">
        <f t="shared" si="24"/>
        <v>[{"id":14,"num":60},{"id":2,"num":2500000},{"id":1,"num":2500000}]</v>
      </c>
    </row>
    <row r="463" spans="1:15" ht="16.5" x14ac:dyDescent="0.15">
      <c r="A463" s="3">
        <f>Sheet1!A465</f>
        <v>1412022</v>
      </c>
      <c r="B463" t="s">
        <v>1162</v>
      </c>
      <c r="C463">
        <v>14</v>
      </c>
      <c r="D463" t="s">
        <v>1163</v>
      </c>
      <c r="E463">
        <v>60</v>
      </c>
      <c r="F463" t="s">
        <v>1164</v>
      </c>
      <c r="G463">
        <v>2</v>
      </c>
      <c r="H463" t="s">
        <v>1163</v>
      </c>
      <c r="I463">
        <v>2500000</v>
      </c>
      <c r="J463" t="s">
        <v>1164</v>
      </c>
      <c r="K463">
        <v>1</v>
      </c>
      <c r="L463" t="s">
        <v>1163</v>
      </c>
      <c r="M463">
        <f t="shared" si="25"/>
        <v>2500000</v>
      </c>
      <c r="N463" t="s">
        <v>1165</v>
      </c>
      <c r="O463" t="str">
        <f t="shared" si="24"/>
        <v>[{"id":14,"num":60},{"id":2,"num":2500000},{"id":1,"num":2500000}]</v>
      </c>
    </row>
    <row r="464" spans="1:15" ht="16.5" x14ac:dyDescent="0.15">
      <c r="A464" s="3">
        <f>Sheet1!A466</f>
        <v>1412023</v>
      </c>
      <c r="B464" t="s">
        <v>1162</v>
      </c>
      <c r="C464">
        <v>14</v>
      </c>
      <c r="D464" t="s">
        <v>1163</v>
      </c>
      <c r="E464">
        <v>60</v>
      </c>
      <c r="F464" t="s">
        <v>1164</v>
      </c>
      <c r="G464">
        <v>2</v>
      </c>
      <c r="H464" t="s">
        <v>1163</v>
      </c>
      <c r="I464">
        <v>2500000</v>
      </c>
      <c r="J464" t="s">
        <v>1164</v>
      </c>
      <c r="K464">
        <v>1</v>
      </c>
      <c r="L464" t="s">
        <v>1163</v>
      </c>
      <c r="M464">
        <f t="shared" si="25"/>
        <v>2500000</v>
      </c>
      <c r="N464" t="s">
        <v>1165</v>
      </c>
      <c r="O464" t="str">
        <f t="shared" si="24"/>
        <v>[{"id":14,"num":60},{"id":2,"num":2500000},{"id":1,"num":2500000}]</v>
      </c>
    </row>
    <row r="465" spans="1:15" ht="16.5" x14ac:dyDescent="0.15">
      <c r="A465" s="3">
        <f>Sheet1!A467</f>
        <v>1412024</v>
      </c>
      <c r="B465" t="s">
        <v>1162</v>
      </c>
      <c r="C465">
        <v>14</v>
      </c>
      <c r="D465" t="s">
        <v>1163</v>
      </c>
      <c r="E465">
        <v>60</v>
      </c>
      <c r="F465" t="s">
        <v>1164</v>
      </c>
      <c r="G465">
        <v>2</v>
      </c>
      <c r="H465" t="s">
        <v>1163</v>
      </c>
      <c r="I465">
        <v>2500000</v>
      </c>
      <c r="J465" t="s">
        <v>1164</v>
      </c>
      <c r="K465">
        <v>1</v>
      </c>
      <c r="L465" t="s">
        <v>1163</v>
      </c>
      <c r="M465">
        <f t="shared" si="25"/>
        <v>2500000</v>
      </c>
      <c r="N465" t="s">
        <v>1165</v>
      </c>
      <c r="O465" t="str">
        <f t="shared" si="24"/>
        <v>[{"id":14,"num":60},{"id":2,"num":2500000},{"id":1,"num":2500000}]</v>
      </c>
    </row>
    <row r="466" spans="1:15" ht="16.5" x14ac:dyDescent="0.15">
      <c r="A466" s="3">
        <f>Sheet1!A468</f>
        <v>1412025</v>
      </c>
      <c r="B466" t="s">
        <v>1162</v>
      </c>
      <c r="C466">
        <v>14</v>
      </c>
      <c r="D466" t="s">
        <v>1163</v>
      </c>
      <c r="E466">
        <v>60</v>
      </c>
      <c r="F466" t="s">
        <v>1164</v>
      </c>
      <c r="G466">
        <v>2</v>
      </c>
      <c r="H466" t="s">
        <v>1163</v>
      </c>
      <c r="I466">
        <v>2500000</v>
      </c>
      <c r="J466" t="s">
        <v>1164</v>
      </c>
      <c r="K466">
        <v>1</v>
      </c>
      <c r="L466" t="s">
        <v>1163</v>
      </c>
      <c r="M466">
        <f t="shared" si="25"/>
        <v>2500000</v>
      </c>
      <c r="N466" t="s">
        <v>1165</v>
      </c>
      <c r="O466" t="str">
        <f t="shared" si="24"/>
        <v>[{"id":14,"num":60},{"id":2,"num":2500000},{"id":1,"num":2500000}]</v>
      </c>
    </row>
    <row r="467" spans="1:15" ht="16.5" x14ac:dyDescent="0.15">
      <c r="A467" s="3">
        <f>Sheet1!A469</f>
        <v>1412026</v>
      </c>
      <c r="B467" t="s">
        <v>1162</v>
      </c>
      <c r="C467">
        <v>14</v>
      </c>
      <c r="D467" t="s">
        <v>1163</v>
      </c>
      <c r="E467">
        <v>60</v>
      </c>
      <c r="F467" t="s">
        <v>1164</v>
      </c>
      <c r="G467">
        <v>2</v>
      </c>
      <c r="H467" t="s">
        <v>1163</v>
      </c>
      <c r="I467">
        <v>2500000</v>
      </c>
      <c r="J467" t="s">
        <v>1164</v>
      </c>
      <c r="K467">
        <v>1</v>
      </c>
      <c r="L467" t="s">
        <v>1163</v>
      </c>
      <c r="M467">
        <f t="shared" si="25"/>
        <v>2500000</v>
      </c>
      <c r="N467" t="s">
        <v>1165</v>
      </c>
      <c r="O467" t="str">
        <f t="shared" si="24"/>
        <v>[{"id":14,"num":60},{"id":2,"num":2500000},{"id":1,"num":2500000}]</v>
      </c>
    </row>
    <row r="468" spans="1:15" ht="16.5" x14ac:dyDescent="0.15">
      <c r="A468" s="3">
        <f>Sheet1!A470</f>
        <v>1412027</v>
      </c>
      <c r="B468" t="s">
        <v>1162</v>
      </c>
      <c r="C468">
        <v>14</v>
      </c>
      <c r="D468" t="s">
        <v>1163</v>
      </c>
      <c r="E468">
        <v>60</v>
      </c>
      <c r="F468" t="s">
        <v>1164</v>
      </c>
      <c r="G468">
        <v>2</v>
      </c>
      <c r="H468" t="s">
        <v>1163</v>
      </c>
      <c r="I468">
        <v>2500000</v>
      </c>
      <c r="J468" t="s">
        <v>1164</v>
      </c>
      <c r="K468">
        <v>1</v>
      </c>
      <c r="L468" t="s">
        <v>1163</v>
      </c>
      <c r="M468">
        <f t="shared" si="25"/>
        <v>2500000</v>
      </c>
      <c r="N468" t="s">
        <v>1165</v>
      </c>
      <c r="O468" t="str">
        <f t="shared" si="24"/>
        <v>[{"id":14,"num":60},{"id":2,"num":2500000},{"id":1,"num":2500000}]</v>
      </c>
    </row>
    <row r="469" spans="1:15" ht="16.5" x14ac:dyDescent="0.15">
      <c r="A469" s="3">
        <f>Sheet1!A471</f>
        <v>1412028</v>
      </c>
      <c r="B469" t="s">
        <v>1162</v>
      </c>
      <c r="C469">
        <v>14</v>
      </c>
      <c r="D469" t="s">
        <v>1163</v>
      </c>
      <c r="E469">
        <v>60</v>
      </c>
      <c r="F469" t="s">
        <v>1164</v>
      </c>
      <c r="G469">
        <v>2</v>
      </c>
      <c r="H469" t="s">
        <v>1163</v>
      </c>
      <c r="I469">
        <v>2500000</v>
      </c>
      <c r="J469" t="s">
        <v>1164</v>
      </c>
      <c r="K469">
        <v>1</v>
      </c>
      <c r="L469" t="s">
        <v>1163</v>
      </c>
      <c r="M469">
        <f t="shared" si="25"/>
        <v>2500000</v>
      </c>
      <c r="N469" t="s">
        <v>1165</v>
      </c>
      <c r="O469" t="str">
        <f t="shared" si="24"/>
        <v>[{"id":14,"num":60},{"id":2,"num":2500000},{"id":1,"num":2500000}]</v>
      </c>
    </row>
    <row r="470" spans="1:15" ht="16.5" x14ac:dyDescent="0.15">
      <c r="A470" s="3">
        <f>Sheet1!A472</f>
        <v>1412029</v>
      </c>
      <c r="B470" t="s">
        <v>1162</v>
      </c>
      <c r="C470">
        <v>14</v>
      </c>
      <c r="D470" t="s">
        <v>1163</v>
      </c>
      <c r="E470">
        <v>60</v>
      </c>
      <c r="F470" t="s">
        <v>1164</v>
      </c>
      <c r="G470">
        <v>2</v>
      </c>
      <c r="H470" t="s">
        <v>1163</v>
      </c>
      <c r="I470">
        <v>2500000</v>
      </c>
      <c r="J470" t="s">
        <v>1164</v>
      </c>
      <c r="K470">
        <v>1</v>
      </c>
      <c r="L470" t="s">
        <v>1163</v>
      </c>
      <c r="M470">
        <f t="shared" si="25"/>
        <v>2500000</v>
      </c>
      <c r="N470" t="s">
        <v>1165</v>
      </c>
      <c r="O470" t="str">
        <f t="shared" si="24"/>
        <v>[{"id":14,"num":60},{"id":2,"num":2500000},{"id":1,"num":2500000}]</v>
      </c>
    </row>
    <row r="471" spans="1:15" ht="16.5" x14ac:dyDescent="0.15">
      <c r="A471" s="3">
        <f>Sheet1!A473</f>
        <v>1412030</v>
      </c>
      <c r="B471" t="s">
        <v>1162</v>
      </c>
      <c r="C471">
        <v>14</v>
      </c>
      <c r="D471" t="s">
        <v>1163</v>
      </c>
      <c r="E471">
        <v>60</v>
      </c>
      <c r="F471" t="s">
        <v>1164</v>
      </c>
      <c r="G471">
        <v>2</v>
      </c>
      <c r="H471" t="s">
        <v>1163</v>
      </c>
      <c r="I471">
        <v>2500000</v>
      </c>
      <c r="J471" t="s">
        <v>1164</v>
      </c>
      <c r="K471">
        <v>1</v>
      </c>
      <c r="L471" t="s">
        <v>1163</v>
      </c>
      <c r="M471">
        <f t="shared" si="25"/>
        <v>2500000</v>
      </c>
      <c r="N471" t="s">
        <v>1165</v>
      </c>
      <c r="O471" t="str">
        <f t="shared" si="24"/>
        <v>[{"id":14,"num":60},{"id":2,"num":2500000},{"id":1,"num":2500000}]</v>
      </c>
    </row>
    <row r="472" spans="1:15" ht="16.5" x14ac:dyDescent="0.15">
      <c r="A472" s="3">
        <f>Sheet1!A474</f>
        <v>1412031</v>
      </c>
      <c r="B472" t="s">
        <v>1162</v>
      </c>
      <c r="C472">
        <v>14</v>
      </c>
      <c r="D472" t="s">
        <v>1163</v>
      </c>
      <c r="E472">
        <v>60</v>
      </c>
      <c r="F472" t="s">
        <v>1164</v>
      </c>
      <c r="G472">
        <v>2</v>
      </c>
      <c r="H472" t="s">
        <v>1163</v>
      </c>
      <c r="I472">
        <v>2500000</v>
      </c>
      <c r="J472" t="s">
        <v>1164</v>
      </c>
      <c r="K472">
        <v>1</v>
      </c>
      <c r="L472" t="s">
        <v>1163</v>
      </c>
      <c r="M472">
        <f t="shared" si="25"/>
        <v>2500000</v>
      </c>
      <c r="N472" t="s">
        <v>1165</v>
      </c>
      <c r="O472" t="str">
        <f t="shared" si="24"/>
        <v>[{"id":14,"num":60},{"id":2,"num":2500000},{"id":1,"num":2500000}]</v>
      </c>
    </row>
    <row r="473" spans="1:15" ht="16.5" x14ac:dyDescent="0.15">
      <c r="A473" s="3">
        <f>Sheet1!A475</f>
        <v>1412032</v>
      </c>
      <c r="B473" t="s">
        <v>1162</v>
      </c>
      <c r="C473">
        <v>14</v>
      </c>
      <c r="D473" t="s">
        <v>1163</v>
      </c>
      <c r="E473">
        <v>60</v>
      </c>
      <c r="F473" t="s">
        <v>1164</v>
      </c>
      <c r="G473">
        <v>2</v>
      </c>
      <c r="H473" t="s">
        <v>1163</v>
      </c>
      <c r="I473">
        <v>2500000</v>
      </c>
      <c r="J473" t="s">
        <v>1164</v>
      </c>
      <c r="K473">
        <v>1</v>
      </c>
      <c r="L473" t="s">
        <v>1163</v>
      </c>
      <c r="M473">
        <f t="shared" si="25"/>
        <v>2500000</v>
      </c>
      <c r="N473" t="s">
        <v>1165</v>
      </c>
      <c r="O473" t="str">
        <f t="shared" si="24"/>
        <v>[{"id":14,"num":60},{"id":2,"num":2500000},{"id":1,"num":2500000}]</v>
      </c>
    </row>
    <row r="474" spans="1:15" ht="16.5" x14ac:dyDescent="0.15">
      <c r="A474" s="3">
        <f>Sheet1!A476</f>
        <v>1412033</v>
      </c>
      <c r="B474" t="s">
        <v>1162</v>
      </c>
      <c r="C474">
        <v>14</v>
      </c>
      <c r="D474" t="s">
        <v>1163</v>
      </c>
      <c r="E474">
        <v>60</v>
      </c>
      <c r="F474" t="s">
        <v>1164</v>
      </c>
      <c r="G474">
        <v>2</v>
      </c>
      <c r="H474" t="s">
        <v>1163</v>
      </c>
      <c r="I474">
        <v>2500000</v>
      </c>
      <c r="J474" t="s">
        <v>1164</v>
      </c>
      <c r="K474">
        <v>1</v>
      </c>
      <c r="L474" t="s">
        <v>1163</v>
      </c>
      <c r="M474">
        <f t="shared" si="25"/>
        <v>2500000</v>
      </c>
      <c r="N474" t="s">
        <v>1165</v>
      </c>
      <c r="O474" t="str">
        <f t="shared" si="24"/>
        <v>[{"id":14,"num":60},{"id":2,"num":2500000},{"id":1,"num":2500000}]</v>
      </c>
    </row>
    <row r="475" spans="1:15" ht="16.5" x14ac:dyDescent="0.15">
      <c r="A475" s="3">
        <f>Sheet1!A477</f>
        <v>1412034</v>
      </c>
      <c r="B475" t="s">
        <v>1162</v>
      </c>
      <c r="C475">
        <v>14</v>
      </c>
      <c r="D475" t="s">
        <v>1163</v>
      </c>
      <c r="E475">
        <v>60</v>
      </c>
      <c r="F475" t="s">
        <v>1164</v>
      </c>
      <c r="G475">
        <v>2</v>
      </c>
      <c r="H475" t="s">
        <v>1163</v>
      </c>
      <c r="I475">
        <v>2500000</v>
      </c>
      <c r="J475" t="s">
        <v>1164</v>
      </c>
      <c r="K475">
        <v>1</v>
      </c>
      <c r="L475" t="s">
        <v>1163</v>
      </c>
      <c r="M475">
        <f t="shared" si="25"/>
        <v>2500000</v>
      </c>
      <c r="N475" t="s">
        <v>1165</v>
      </c>
      <c r="O475" t="str">
        <f t="shared" si="24"/>
        <v>[{"id":14,"num":60},{"id":2,"num":2500000},{"id":1,"num":2500000}]</v>
      </c>
    </row>
    <row r="476" spans="1:15" ht="16.5" x14ac:dyDescent="0.15">
      <c r="A476" s="3">
        <f>Sheet1!A478</f>
        <v>1412035</v>
      </c>
      <c r="B476" t="s">
        <v>1162</v>
      </c>
      <c r="C476">
        <v>14</v>
      </c>
      <c r="D476" t="s">
        <v>1163</v>
      </c>
      <c r="E476">
        <v>60</v>
      </c>
      <c r="F476" t="s">
        <v>1164</v>
      </c>
      <c r="G476">
        <v>2</v>
      </c>
      <c r="H476" t="s">
        <v>1163</v>
      </c>
      <c r="I476">
        <v>2500000</v>
      </c>
      <c r="J476" t="s">
        <v>1164</v>
      </c>
      <c r="K476">
        <v>1</v>
      </c>
      <c r="L476" t="s">
        <v>1163</v>
      </c>
      <c r="M476">
        <f t="shared" si="25"/>
        <v>2500000</v>
      </c>
      <c r="N476" t="s">
        <v>1165</v>
      </c>
      <c r="O476" t="str">
        <f t="shared" si="24"/>
        <v>[{"id":14,"num":60},{"id":2,"num":2500000},{"id":1,"num":2500000}]</v>
      </c>
    </row>
    <row r="477" spans="1:15" ht="16.5" x14ac:dyDescent="0.15">
      <c r="A477" s="3">
        <f>Sheet1!A479</f>
        <v>1412036</v>
      </c>
      <c r="B477" t="s">
        <v>1162</v>
      </c>
      <c r="C477">
        <v>14</v>
      </c>
      <c r="D477" t="s">
        <v>1163</v>
      </c>
      <c r="E477">
        <v>60</v>
      </c>
      <c r="F477" t="s">
        <v>1164</v>
      </c>
      <c r="G477">
        <v>2</v>
      </c>
      <c r="H477" t="s">
        <v>1163</v>
      </c>
      <c r="I477">
        <v>2500000</v>
      </c>
      <c r="J477" t="s">
        <v>1164</v>
      </c>
      <c r="K477">
        <v>1</v>
      </c>
      <c r="L477" t="s">
        <v>1163</v>
      </c>
      <c r="M477">
        <f t="shared" si="25"/>
        <v>2500000</v>
      </c>
      <c r="N477" t="s">
        <v>1165</v>
      </c>
      <c r="O477" t="str">
        <f t="shared" si="24"/>
        <v>[{"id":14,"num":60},{"id":2,"num":2500000},{"id":1,"num":2500000}]</v>
      </c>
    </row>
    <row r="478" spans="1:15" ht="16.5" x14ac:dyDescent="0.15">
      <c r="A478" s="3">
        <f>Sheet1!A480</f>
        <v>1412037</v>
      </c>
      <c r="B478" t="s">
        <v>1162</v>
      </c>
      <c r="C478">
        <v>14</v>
      </c>
      <c r="D478" t="s">
        <v>1163</v>
      </c>
      <c r="E478">
        <v>60</v>
      </c>
      <c r="F478" t="s">
        <v>1164</v>
      </c>
      <c r="G478">
        <v>2</v>
      </c>
      <c r="H478" t="s">
        <v>1163</v>
      </c>
      <c r="I478">
        <v>2500000</v>
      </c>
      <c r="J478" t="s">
        <v>1164</v>
      </c>
      <c r="K478">
        <v>1</v>
      </c>
      <c r="L478" t="s">
        <v>1163</v>
      </c>
      <c r="M478">
        <f t="shared" si="25"/>
        <v>2500000</v>
      </c>
      <c r="N478" t="s">
        <v>1165</v>
      </c>
      <c r="O478" t="str">
        <f t="shared" si="24"/>
        <v>[{"id":14,"num":60},{"id":2,"num":2500000},{"id":1,"num":2500000}]</v>
      </c>
    </row>
    <row r="479" spans="1:15" ht="16.5" x14ac:dyDescent="0.15">
      <c r="A479" s="3">
        <f>Sheet1!A481</f>
        <v>1412038</v>
      </c>
      <c r="B479" t="s">
        <v>1162</v>
      </c>
      <c r="C479">
        <v>14</v>
      </c>
      <c r="D479" t="s">
        <v>1163</v>
      </c>
      <c r="E479">
        <v>60</v>
      </c>
      <c r="F479" t="s">
        <v>1164</v>
      </c>
      <c r="G479">
        <v>2</v>
      </c>
      <c r="H479" t="s">
        <v>1163</v>
      </c>
      <c r="I479">
        <v>2500000</v>
      </c>
      <c r="J479" t="s">
        <v>1164</v>
      </c>
      <c r="K479">
        <v>1</v>
      </c>
      <c r="L479" t="s">
        <v>1163</v>
      </c>
      <c r="M479">
        <f t="shared" si="25"/>
        <v>2500000</v>
      </c>
      <c r="N479" t="s">
        <v>1165</v>
      </c>
      <c r="O479" t="str">
        <f t="shared" si="24"/>
        <v>[{"id":14,"num":60},{"id":2,"num":2500000},{"id":1,"num":2500000}]</v>
      </c>
    </row>
    <row r="480" spans="1:15" ht="16.5" x14ac:dyDescent="0.15">
      <c r="A480" s="3">
        <f>Sheet1!A482</f>
        <v>1412039</v>
      </c>
      <c r="B480" t="s">
        <v>1162</v>
      </c>
      <c r="C480">
        <v>14</v>
      </c>
      <c r="D480" t="s">
        <v>1163</v>
      </c>
      <c r="E480">
        <v>60</v>
      </c>
      <c r="F480" t="s">
        <v>1164</v>
      </c>
      <c r="G480">
        <v>2</v>
      </c>
      <c r="H480" t="s">
        <v>1163</v>
      </c>
      <c r="I480">
        <v>2500000</v>
      </c>
      <c r="J480" t="s">
        <v>1164</v>
      </c>
      <c r="K480">
        <v>1</v>
      </c>
      <c r="L480" t="s">
        <v>1163</v>
      </c>
      <c r="M480">
        <f t="shared" si="25"/>
        <v>2500000</v>
      </c>
      <c r="N480" t="s">
        <v>1165</v>
      </c>
      <c r="O480" t="str">
        <f t="shared" si="24"/>
        <v>[{"id":14,"num":60},{"id":2,"num":2500000},{"id":1,"num":2500000}]</v>
      </c>
    </row>
    <row r="481" spans="1:15" ht="16.5" x14ac:dyDescent="0.15">
      <c r="A481" s="3">
        <f>Sheet1!A483</f>
        <v>1412040</v>
      </c>
      <c r="B481" t="s">
        <v>1162</v>
      </c>
      <c r="C481">
        <v>14</v>
      </c>
      <c r="D481" t="s">
        <v>1163</v>
      </c>
      <c r="E481">
        <v>60</v>
      </c>
      <c r="F481" t="s">
        <v>1164</v>
      </c>
      <c r="G481">
        <v>2</v>
      </c>
      <c r="H481" t="s">
        <v>1163</v>
      </c>
      <c r="I481">
        <v>2500000</v>
      </c>
      <c r="J481" t="s">
        <v>1164</v>
      </c>
      <c r="K481">
        <v>1</v>
      </c>
      <c r="L481" t="s">
        <v>1163</v>
      </c>
      <c r="M481">
        <f t="shared" si="25"/>
        <v>2500000</v>
      </c>
      <c r="N481" t="s">
        <v>1165</v>
      </c>
      <c r="O481" t="str">
        <f t="shared" si="24"/>
        <v>[{"id":14,"num":60},{"id":2,"num":2500000},{"id":1,"num":2500000}]</v>
      </c>
    </row>
    <row r="482" spans="1:15" ht="16.5" x14ac:dyDescent="0.15">
      <c r="A482" s="3">
        <f>Sheet1!A484</f>
        <v>1413001</v>
      </c>
      <c r="B482" t="s">
        <v>1162</v>
      </c>
      <c r="C482">
        <v>14</v>
      </c>
      <c r="D482" t="s">
        <v>1163</v>
      </c>
      <c r="E482">
        <v>60</v>
      </c>
      <c r="F482" t="s">
        <v>1164</v>
      </c>
      <c r="G482">
        <v>2</v>
      </c>
      <c r="H482" t="s">
        <v>1163</v>
      </c>
      <c r="I482">
        <v>2500000</v>
      </c>
      <c r="J482" t="s">
        <v>1164</v>
      </c>
      <c r="K482">
        <v>1</v>
      </c>
      <c r="L482" t="s">
        <v>1163</v>
      </c>
      <c r="M482">
        <f>M442+200000</f>
        <v>2700000</v>
      </c>
      <c r="N482" t="s">
        <v>1165</v>
      </c>
      <c r="O482" t="str">
        <f t="shared" ref="O482:O545" si="26">_xlfn.TEXTJOIN(,TRUE,B482:N482)</f>
        <v>[{"id":14,"num":60},{"id":2,"num":2500000},{"id":1,"num":2700000}]</v>
      </c>
    </row>
    <row r="483" spans="1:15" ht="16.5" x14ac:dyDescent="0.15">
      <c r="A483" s="3">
        <f>Sheet1!A485</f>
        <v>1413002</v>
      </c>
      <c r="B483" t="s">
        <v>1162</v>
      </c>
      <c r="C483">
        <v>14</v>
      </c>
      <c r="D483" t="s">
        <v>1163</v>
      </c>
      <c r="E483">
        <v>60</v>
      </c>
      <c r="F483" t="s">
        <v>1164</v>
      </c>
      <c r="G483">
        <v>2</v>
      </c>
      <c r="H483" t="s">
        <v>1163</v>
      </c>
      <c r="I483">
        <v>2500000</v>
      </c>
      <c r="J483" t="s">
        <v>1164</v>
      </c>
      <c r="K483">
        <v>1</v>
      </c>
      <c r="L483" t="s">
        <v>1163</v>
      </c>
      <c r="M483">
        <f t="shared" ref="M483:M546" si="27">M443+200000</f>
        <v>2700000</v>
      </c>
      <c r="N483" t="s">
        <v>1165</v>
      </c>
      <c r="O483" t="str">
        <f t="shared" si="26"/>
        <v>[{"id":14,"num":60},{"id":2,"num":2500000},{"id":1,"num":2700000}]</v>
      </c>
    </row>
    <row r="484" spans="1:15" ht="16.5" x14ac:dyDescent="0.15">
      <c r="A484" s="3">
        <f>Sheet1!A486</f>
        <v>1413003</v>
      </c>
      <c r="B484" t="s">
        <v>1162</v>
      </c>
      <c r="C484">
        <v>14</v>
      </c>
      <c r="D484" t="s">
        <v>1163</v>
      </c>
      <c r="E484">
        <v>60</v>
      </c>
      <c r="F484" t="s">
        <v>1164</v>
      </c>
      <c r="G484">
        <v>2</v>
      </c>
      <c r="H484" t="s">
        <v>1163</v>
      </c>
      <c r="I484">
        <v>2500000</v>
      </c>
      <c r="J484" t="s">
        <v>1164</v>
      </c>
      <c r="K484">
        <v>1</v>
      </c>
      <c r="L484" t="s">
        <v>1163</v>
      </c>
      <c r="M484">
        <f t="shared" si="27"/>
        <v>2700000</v>
      </c>
      <c r="N484" t="s">
        <v>1165</v>
      </c>
      <c r="O484" t="str">
        <f t="shared" si="26"/>
        <v>[{"id":14,"num":60},{"id":2,"num":2500000},{"id":1,"num":2700000}]</v>
      </c>
    </row>
    <row r="485" spans="1:15" ht="16.5" x14ac:dyDescent="0.15">
      <c r="A485" s="3">
        <f>Sheet1!A487</f>
        <v>1413004</v>
      </c>
      <c r="B485" t="s">
        <v>1162</v>
      </c>
      <c r="C485">
        <v>14</v>
      </c>
      <c r="D485" t="s">
        <v>1163</v>
      </c>
      <c r="E485">
        <v>60</v>
      </c>
      <c r="F485" t="s">
        <v>1164</v>
      </c>
      <c r="G485">
        <v>2</v>
      </c>
      <c r="H485" t="s">
        <v>1163</v>
      </c>
      <c r="I485">
        <v>2500000</v>
      </c>
      <c r="J485" t="s">
        <v>1164</v>
      </c>
      <c r="K485">
        <v>1</v>
      </c>
      <c r="L485" t="s">
        <v>1163</v>
      </c>
      <c r="M485">
        <f t="shared" si="27"/>
        <v>2700000</v>
      </c>
      <c r="N485" t="s">
        <v>1165</v>
      </c>
      <c r="O485" t="str">
        <f t="shared" si="26"/>
        <v>[{"id":14,"num":60},{"id":2,"num":2500000},{"id":1,"num":2700000}]</v>
      </c>
    </row>
    <row r="486" spans="1:15" ht="16.5" x14ac:dyDescent="0.15">
      <c r="A486" s="3">
        <f>Sheet1!A488</f>
        <v>1413005</v>
      </c>
      <c r="B486" t="s">
        <v>1162</v>
      </c>
      <c r="C486">
        <v>14</v>
      </c>
      <c r="D486" t="s">
        <v>1163</v>
      </c>
      <c r="E486">
        <v>60</v>
      </c>
      <c r="F486" t="s">
        <v>1164</v>
      </c>
      <c r="G486">
        <v>2</v>
      </c>
      <c r="H486" t="s">
        <v>1163</v>
      </c>
      <c r="I486">
        <v>2500000</v>
      </c>
      <c r="J486" t="s">
        <v>1164</v>
      </c>
      <c r="K486">
        <v>1</v>
      </c>
      <c r="L486" t="s">
        <v>1163</v>
      </c>
      <c r="M486">
        <f t="shared" si="27"/>
        <v>2700000</v>
      </c>
      <c r="N486" t="s">
        <v>1165</v>
      </c>
      <c r="O486" t="str">
        <f t="shared" si="26"/>
        <v>[{"id":14,"num":60},{"id":2,"num":2500000},{"id":1,"num":2700000}]</v>
      </c>
    </row>
    <row r="487" spans="1:15" ht="16.5" x14ac:dyDescent="0.15">
      <c r="A487" s="3">
        <f>Sheet1!A489</f>
        <v>1413006</v>
      </c>
      <c r="B487" t="s">
        <v>1162</v>
      </c>
      <c r="C487">
        <v>14</v>
      </c>
      <c r="D487" t="s">
        <v>1163</v>
      </c>
      <c r="E487">
        <v>60</v>
      </c>
      <c r="F487" t="s">
        <v>1164</v>
      </c>
      <c r="G487">
        <v>2</v>
      </c>
      <c r="H487" t="s">
        <v>1163</v>
      </c>
      <c r="I487">
        <v>2500000</v>
      </c>
      <c r="J487" t="s">
        <v>1164</v>
      </c>
      <c r="K487">
        <v>1</v>
      </c>
      <c r="L487" t="s">
        <v>1163</v>
      </c>
      <c r="M487">
        <f t="shared" si="27"/>
        <v>2700000</v>
      </c>
      <c r="N487" t="s">
        <v>1165</v>
      </c>
      <c r="O487" t="str">
        <f t="shared" si="26"/>
        <v>[{"id":14,"num":60},{"id":2,"num":2500000},{"id":1,"num":2700000}]</v>
      </c>
    </row>
    <row r="488" spans="1:15" ht="16.5" x14ac:dyDescent="0.15">
      <c r="A488" s="3">
        <f>Sheet1!A490</f>
        <v>1413007</v>
      </c>
      <c r="B488" t="s">
        <v>1162</v>
      </c>
      <c r="C488">
        <v>14</v>
      </c>
      <c r="D488" t="s">
        <v>1163</v>
      </c>
      <c r="E488">
        <v>60</v>
      </c>
      <c r="F488" t="s">
        <v>1164</v>
      </c>
      <c r="G488">
        <v>2</v>
      </c>
      <c r="H488" t="s">
        <v>1163</v>
      </c>
      <c r="I488">
        <v>2500000</v>
      </c>
      <c r="J488" t="s">
        <v>1164</v>
      </c>
      <c r="K488">
        <v>1</v>
      </c>
      <c r="L488" t="s">
        <v>1163</v>
      </c>
      <c r="M488">
        <f t="shared" si="27"/>
        <v>2700000</v>
      </c>
      <c r="N488" t="s">
        <v>1165</v>
      </c>
      <c r="O488" t="str">
        <f t="shared" si="26"/>
        <v>[{"id":14,"num":60},{"id":2,"num":2500000},{"id":1,"num":2700000}]</v>
      </c>
    </row>
    <row r="489" spans="1:15" ht="16.5" x14ac:dyDescent="0.15">
      <c r="A489" s="3">
        <f>Sheet1!A491</f>
        <v>1413008</v>
      </c>
      <c r="B489" t="s">
        <v>1162</v>
      </c>
      <c r="C489">
        <v>14</v>
      </c>
      <c r="D489" t="s">
        <v>1163</v>
      </c>
      <c r="E489">
        <v>60</v>
      </c>
      <c r="F489" t="s">
        <v>1164</v>
      </c>
      <c r="G489">
        <v>2</v>
      </c>
      <c r="H489" t="s">
        <v>1163</v>
      </c>
      <c r="I489">
        <v>2500000</v>
      </c>
      <c r="J489" t="s">
        <v>1164</v>
      </c>
      <c r="K489">
        <v>1</v>
      </c>
      <c r="L489" t="s">
        <v>1163</v>
      </c>
      <c r="M489">
        <f t="shared" si="27"/>
        <v>2700000</v>
      </c>
      <c r="N489" t="s">
        <v>1165</v>
      </c>
      <c r="O489" t="str">
        <f t="shared" si="26"/>
        <v>[{"id":14,"num":60},{"id":2,"num":2500000},{"id":1,"num":2700000}]</v>
      </c>
    </row>
    <row r="490" spans="1:15" ht="16.5" x14ac:dyDescent="0.15">
      <c r="A490" s="3">
        <f>Sheet1!A492</f>
        <v>1413009</v>
      </c>
      <c r="B490" t="s">
        <v>1162</v>
      </c>
      <c r="C490">
        <v>14</v>
      </c>
      <c r="D490" t="s">
        <v>1163</v>
      </c>
      <c r="E490">
        <v>60</v>
      </c>
      <c r="F490" t="s">
        <v>1164</v>
      </c>
      <c r="G490">
        <v>2</v>
      </c>
      <c r="H490" t="s">
        <v>1163</v>
      </c>
      <c r="I490">
        <v>2500000</v>
      </c>
      <c r="J490" t="s">
        <v>1164</v>
      </c>
      <c r="K490">
        <v>1</v>
      </c>
      <c r="L490" t="s">
        <v>1163</v>
      </c>
      <c r="M490">
        <f t="shared" si="27"/>
        <v>2700000</v>
      </c>
      <c r="N490" t="s">
        <v>1165</v>
      </c>
      <c r="O490" t="str">
        <f t="shared" si="26"/>
        <v>[{"id":14,"num":60},{"id":2,"num":2500000},{"id":1,"num":2700000}]</v>
      </c>
    </row>
    <row r="491" spans="1:15" ht="16.5" x14ac:dyDescent="0.15">
      <c r="A491" s="3">
        <f>Sheet1!A493</f>
        <v>1413010</v>
      </c>
      <c r="B491" t="s">
        <v>1162</v>
      </c>
      <c r="C491">
        <v>14</v>
      </c>
      <c r="D491" t="s">
        <v>1163</v>
      </c>
      <c r="E491">
        <v>60</v>
      </c>
      <c r="F491" t="s">
        <v>1164</v>
      </c>
      <c r="G491">
        <v>2</v>
      </c>
      <c r="H491" t="s">
        <v>1163</v>
      </c>
      <c r="I491">
        <v>2500000</v>
      </c>
      <c r="J491" t="s">
        <v>1164</v>
      </c>
      <c r="K491">
        <v>1</v>
      </c>
      <c r="L491" t="s">
        <v>1163</v>
      </c>
      <c r="M491">
        <f t="shared" si="27"/>
        <v>2700000</v>
      </c>
      <c r="N491" t="s">
        <v>1165</v>
      </c>
      <c r="O491" t="str">
        <f t="shared" si="26"/>
        <v>[{"id":14,"num":60},{"id":2,"num":2500000},{"id":1,"num":2700000}]</v>
      </c>
    </row>
    <row r="492" spans="1:15" ht="16.5" x14ac:dyDescent="0.15">
      <c r="A492" s="3">
        <f>Sheet1!A494</f>
        <v>1413011</v>
      </c>
      <c r="B492" t="s">
        <v>1162</v>
      </c>
      <c r="C492">
        <v>14</v>
      </c>
      <c r="D492" t="s">
        <v>1163</v>
      </c>
      <c r="E492">
        <v>60</v>
      </c>
      <c r="F492" t="s">
        <v>1164</v>
      </c>
      <c r="G492">
        <v>2</v>
      </c>
      <c r="H492" t="s">
        <v>1163</v>
      </c>
      <c r="I492">
        <v>2500000</v>
      </c>
      <c r="J492" t="s">
        <v>1164</v>
      </c>
      <c r="K492">
        <v>1</v>
      </c>
      <c r="L492" t="s">
        <v>1163</v>
      </c>
      <c r="M492">
        <f t="shared" si="27"/>
        <v>2700000</v>
      </c>
      <c r="N492" t="s">
        <v>1165</v>
      </c>
      <c r="O492" t="str">
        <f t="shared" si="26"/>
        <v>[{"id":14,"num":60},{"id":2,"num":2500000},{"id":1,"num":2700000}]</v>
      </c>
    </row>
    <row r="493" spans="1:15" ht="16.5" x14ac:dyDescent="0.15">
      <c r="A493" s="3">
        <f>Sheet1!A495</f>
        <v>1413012</v>
      </c>
      <c r="B493" t="s">
        <v>1162</v>
      </c>
      <c r="C493">
        <v>14</v>
      </c>
      <c r="D493" t="s">
        <v>1163</v>
      </c>
      <c r="E493">
        <v>60</v>
      </c>
      <c r="F493" t="s">
        <v>1164</v>
      </c>
      <c r="G493">
        <v>2</v>
      </c>
      <c r="H493" t="s">
        <v>1163</v>
      </c>
      <c r="I493">
        <v>2500000</v>
      </c>
      <c r="J493" t="s">
        <v>1164</v>
      </c>
      <c r="K493">
        <v>1</v>
      </c>
      <c r="L493" t="s">
        <v>1163</v>
      </c>
      <c r="M493">
        <f t="shared" si="27"/>
        <v>2700000</v>
      </c>
      <c r="N493" t="s">
        <v>1165</v>
      </c>
      <c r="O493" t="str">
        <f t="shared" si="26"/>
        <v>[{"id":14,"num":60},{"id":2,"num":2500000},{"id":1,"num":2700000}]</v>
      </c>
    </row>
    <row r="494" spans="1:15" ht="16.5" x14ac:dyDescent="0.15">
      <c r="A494" s="3">
        <f>Sheet1!A496</f>
        <v>1413013</v>
      </c>
      <c r="B494" t="s">
        <v>1162</v>
      </c>
      <c r="C494">
        <v>14</v>
      </c>
      <c r="D494" t="s">
        <v>1163</v>
      </c>
      <c r="E494">
        <v>60</v>
      </c>
      <c r="F494" t="s">
        <v>1164</v>
      </c>
      <c r="G494">
        <v>2</v>
      </c>
      <c r="H494" t="s">
        <v>1163</v>
      </c>
      <c r="I494">
        <v>2500000</v>
      </c>
      <c r="J494" t="s">
        <v>1164</v>
      </c>
      <c r="K494">
        <v>1</v>
      </c>
      <c r="L494" t="s">
        <v>1163</v>
      </c>
      <c r="M494">
        <f t="shared" si="27"/>
        <v>2700000</v>
      </c>
      <c r="N494" t="s">
        <v>1165</v>
      </c>
      <c r="O494" t="str">
        <f t="shared" si="26"/>
        <v>[{"id":14,"num":60},{"id":2,"num":2500000},{"id":1,"num":2700000}]</v>
      </c>
    </row>
    <row r="495" spans="1:15" ht="16.5" x14ac:dyDescent="0.15">
      <c r="A495" s="3">
        <f>Sheet1!A497</f>
        <v>1413014</v>
      </c>
      <c r="B495" t="s">
        <v>1162</v>
      </c>
      <c r="C495">
        <v>14</v>
      </c>
      <c r="D495" t="s">
        <v>1163</v>
      </c>
      <c r="E495">
        <v>60</v>
      </c>
      <c r="F495" t="s">
        <v>1164</v>
      </c>
      <c r="G495">
        <v>2</v>
      </c>
      <c r="H495" t="s">
        <v>1163</v>
      </c>
      <c r="I495">
        <v>2500000</v>
      </c>
      <c r="J495" t="s">
        <v>1164</v>
      </c>
      <c r="K495">
        <v>1</v>
      </c>
      <c r="L495" t="s">
        <v>1163</v>
      </c>
      <c r="M495">
        <f t="shared" si="27"/>
        <v>2700000</v>
      </c>
      <c r="N495" t="s">
        <v>1165</v>
      </c>
      <c r="O495" t="str">
        <f t="shared" si="26"/>
        <v>[{"id":14,"num":60},{"id":2,"num":2500000},{"id":1,"num":2700000}]</v>
      </c>
    </row>
    <row r="496" spans="1:15" ht="16.5" x14ac:dyDescent="0.15">
      <c r="A496" s="3">
        <f>Sheet1!A498</f>
        <v>1413015</v>
      </c>
      <c r="B496" t="s">
        <v>1162</v>
      </c>
      <c r="C496">
        <v>14</v>
      </c>
      <c r="D496" t="s">
        <v>1163</v>
      </c>
      <c r="E496">
        <v>60</v>
      </c>
      <c r="F496" t="s">
        <v>1164</v>
      </c>
      <c r="G496">
        <v>2</v>
      </c>
      <c r="H496" t="s">
        <v>1163</v>
      </c>
      <c r="I496">
        <v>2500000</v>
      </c>
      <c r="J496" t="s">
        <v>1164</v>
      </c>
      <c r="K496">
        <v>1</v>
      </c>
      <c r="L496" t="s">
        <v>1163</v>
      </c>
      <c r="M496">
        <f t="shared" si="27"/>
        <v>2700000</v>
      </c>
      <c r="N496" t="s">
        <v>1165</v>
      </c>
      <c r="O496" t="str">
        <f t="shared" si="26"/>
        <v>[{"id":14,"num":60},{"id":2,"num":2500000},{"id":1,"num":2700000}]</v>
      </c>
    </row>
    <row r="497" spans="1:15" ht="16.5" x14ac:dyDescent="0.15">
      <c r="A497" s="3">
        <f>Sheet1!A499</f>
        <v>1413016</v>
      </c>
      <c r="B497" t="s">
        <v>1162</v>
      </c>
      <c r="C497">
        <v>14</v>
      </c>
      <c r="D497" t="s">
        <v>1163</v>
      </c>
      <c r="E497">
        <v>60</v>
      </c>
      <c r="F497" t="s">
        <v>1164</v>
      </c>
      <c r="G497">
        <v>2</v>
      </c>
      <c r="H497" t="s">
        <v>1163</v>
      </c>
      <c r="I497">
        <v>2500000</v>
      </c>
      <c r="J497" t="s">
        <v>1164</v>
      </c>
      <c r="K497">
        <v>1</v>
      </c>
      <c r="L497" t="s">
        <v>1163</v>
      </c>
      <c r="M497">
        <f t="shared" si="27"/>
        <v>2700000</v>
      </c>
      <c r="N497" t="s">
        <v>1165</v>
      </c>
      <c r="O497" t="str">
        <f t="shared" si="26"/>
        <v>[{"id":14,"num":60},{"id":2,"num":2500000},{"id":1,"num":2700000}]</v>
      </c>
    </row>
    <row r="498" spans="1:15" ht="16.5" x14ac:dyDescent="0.15">
      <c r="A498" s="3">
        <f>Sheet1!A500</f>
        <v>1413017</v>
      </c>
      <c r="B498" t="s">
        <v>1162</v>
      </c>
      <c r="C498">
        <v>14</v>
      </c>
      <c r="D498" t="s">
        <v>1163</v>
      </c>
      <c r="E498">
        <v>60</v>
      </c>
      <c r="F498" t="s">
        <v>1164</v>
      </c>
      <c r="G498">
        <v>2</v>
      </c>
      <c r="H498" t="s">
        <v>1163</v>
      </c>
      <c r="I498">
        <v>2500000</v>
      </c>
      <c r="J498" t="s">
        <v>1164</v>
      </c>
      <c r="K498">
        <v>1</v>
      </c>
      <c r="L498" t="s">
        <v>1163</v>
      </c>
      <c r="M498">
        <f t="shared" si="27"/>
        <v>2700000</v>
      </c>
      <c r="N498" t="s">
        <v>1165</v>
      </c>
      <c r="O498" t="str">
        <f t="shared" si="26"/>
        <v>[{"id":14,"num":60},{"id":2,"num":2500000},{"id":1,"num":2700000}]</v>
      </c>
    </row>
    <row r="499" spans="1:15" ht="16.5" x14ac:dyDescent="0.15">
      <c r="A499" s="3">
        <f>Sheet1!A501</f>
        <v>1413018</v>
      </c>
      <c r="B499" t="s">
        <v>1162</v>
      </c>
      <c r="C499">
        <v>14</v>
      </c>
      <c r="D499" t="s">
        <v>1163</v>
      </c>
      <c r="E499">
        <v>60</v>
      </c>
      <c r="F499" t="s">
        <v>1164</v>
      </c>
      <c r="G499">
        <v>2</v>
      </c>
      <c r="H499" t="s">
        <v>1163</v>
      </c>
      <c r="I499">
        <v>2500000</v>
      </c>
      <c r="J499" t="s">
        <v>1164</v>
      </c>
      <c r="K499">
        <v>1</v>
      </c>
      <c r="L499" t="s">
        <v>1163</v>
      </c>
      <c r="M499">
        <f t="shared" si="27"/>
        <v>2700000</v>
      </c>
      <c r="N499" t="s">
        <v>1165</v>
      </c>
      <c r="O499" t="str">
        <f t="shared" si="26"/>
        <v>[{"id":14,"num":60},{"id":2,"num":2500000},{"id":1,"num":2700000}]</v>
      </c>
    </row>
    <row r="500" spans="1:15" ht="16.5" x14ac:dyDescent="0.15">
      <c r="A500" s="3">
        <f>Sheet1!A502</f>
        <v>1413019</v>
      </c>
      <c r="B500" t="s">
        <v>1162</v>
      </c>
      <c r="C500">
        <v>14</v>
      </c>
      <c r="D500" t="s">
        <v>1163</v>
      </c>
      <c r="E500">
        <v>60</v>
      </c>
      <c r="F500" t="s">
        <v>1164</v>
      </c>
      <c r="G500">
        <v>2</v>
      </c>
      <c r="H500" t="s">
        <v>1163</v>
      </c>
      <c r="I500">
        <v>2500000</v>
      </c>
      <c r="J500" t="s">
        <v>1164</v>
      </c>
      <c r="K500">
        <v>1</v>
      </c>
      <c r="L500" t="s">
        <v>1163</v>
      </c>
      <c r="M500">
        <f t="shared" si="27"/>
        <v>2700000</v>
      </c>
      <c r="N500" t="s">
        <v>1165</v>
      </c>
      <c r="O500" t="str">
        <f t="shared" si="26"/>
        <v>[{"id":14,"num":60},{"id":2,"num":2500000},{"id":1,"num":2700000}]</v>
      </c>
    </row>
    <row r="501" spans="1:15" ht="16.5" x14ac:dyDescent="0.15">
      <c r="A501" s="3">
        <f>Sheet1!A503</f>
        <v>1413020</v>
      </c>
      <c r="B501" t="s">
        <v>1162</v>
      </c>
      <c r="C501">
        <v>14</v>
      </c>
      <c r="D501" t="s">
        <v>1163</v>
      </c>
      <c r="E501">
        <v>60</v>
      </c>
      <c r="F501" t="s">
        <v>1164</v>
      </c>
      <c r="G501">
        <v>2</v>
      </c>
      <c r="H501" t="s">
        <v>1163</v>
      </c>
      <c r="I501">
        <v>2500000</v>
      </c>
      <c r="J501" t="s">
        <v>1164</v>
      </c>
      <c r="K501">
        <v>1</v>
      </c>
      <c r="L501" t="s">
        <v>1163</v>
      </c>
      <c r="M501">
        <f t="shared" si="27"/>
        <v>2700000</v>
      </c>
      <c r="N501" t="s">
        <v>1165</v>
      </c>
      <c r="O501" t="str">
        <f t="shared" si="26"/>
        <v>[{"id":14,"num":60},{"id":2,"num":2500000},{"id":1,"num":2700000}]</v>
      </c>
    </row>
    <row r="502" spans="1:15" ht="16.5" x14ac:dyDescent="0.15">
      <c r="A502" s="3">
        <f>Sheet1!A504</f>
        <v>1413021</v>
      </c>
      <c r="B502" t="s">
        <v>1162</v>
      </c>
      <c r="C502">
        <v>14</v>
      </c>
      <c r="D502" t="s">
        <v>1163</v>
      </c>
      <c r="E502">
        <v>60</v>
      </c>
      <c r="F502" t="s">
        <v>1164</v>
      </c>
      <c r="G502">
        <v>2</v>
      </c>
      <c r="H502" t="s">
        <v>1163</v>
      </c>
      <c r="I502">
        <v>2500000</v>
      </c>
      <c r="J502" t="s">
        <v>1164</v>
      </c>
      <c r="K502">
        <v>1</v>
      </c>
      <c r="L502" t="s">
        <v>1163</v>
      </c>
      <c r="M502">
        <f t="shared" si="27"/>
        <v>2700000</v>
      </c>
      <c r="N502" t="s">
        <v>1165</v>
      </c>
      <c r="O502" t="str">
        <f t="shared" si="26"/>
        <v>[{"id":14,"num":60},{"id":2,"num":2500000},{"id":1,"num":2700000}]</v>
      </c>
    </row>
    <row r="503" spans="1:15" ht="16.5" x14ac:dyDescent="0.15">
      <c r="A503" s="3">
        <f>Sheet1!A505</f>
        <v>1413022</v>
      </c>
      <c r="B503" t="s">
        <v>1162</v>
      </c>
      <c r="C503">
        <v>14</v>
      </c>
      <c r="D503" t="s">
        <v>1163</v>
      </c>
      <c r="E503">
        <v>60</v>
      </c>
      <c r="F503" t="s">
        <v>1164</v>
      </c>
      <c r="G503">
        <v>2</v>
      </c>
      <c r="H503" t="s">
        <v>1163</v>
      </c>
      <c r="I503">
        <v>2500000</v>
      </c>
      <c r="J503" t="s">
        <v>1164</v>
      </c>
      <c r="K503">
        <v>1</v>
      </c>
      <c r="L503" t="s">
        <v>1163</v>
      </c>
      <c r="M503">
        <f t="shared" si="27"/>
        <v>2700000</v>
      </c>
      <c r="N503" t="s">
        <v>1165</v>
      </c>
      <c r="O503" t="str">
        <f t="shared" si="26"/>
        <v>[{"id":14,"num":60},{"id":2,"num":2500000},{"id":1,"num":2700000}]</v>
      </c>
    </row>
    <row r="504" spans="1:15" ht="16.5" x14ac:dyDescent="0.15">
      <c r="A504" s="3">
        <f>Sheet1!A506</f>
        <v>1413023</v>
      </c>
      <c r="B504" t="s">
        <v>1162</v>
      </c>
      <c r="C504">
        <v>14</v>
      </c>
      <c r="D504" t="s">
        <v>1163</v>
      </c>
      <c r="E504">
        <v>60</v>
      </c>
      <c r="F504" t="s">
        <v>1164</v>
      </c>
      <c r="G504">
        <v>2</v>
      </c>
      <c r="H504" t="s">
        <v>1163</v>
      </c>
      <c r="I504">
        <v>2500000</v>
      </c>
      <c r="J504" t="s">
        <v>1164</v>
      </c>
      <c r="K504">
        <v>1</v>
      </c>
      <c r="L504" t="s">
        <v>1163</v>
      </c>
      <c r="M504">
        <f t="shared" si="27"/>
        <v>2700000</v>
      </c>
      <c r="N504" t="s">
        <v>1165</v>
      </c>
      <c r="O504" t="str">
        <f t="shared" si="26"/>
        <v>[{"id":14,"num":60},{"id":2,"num":2500000},{"id":1,"num":2700000}]</v>
      </c>
    </row>
    <row r="505" spans="1:15" ht="16.5" x14ac:dyDescent="0.15">
      <c r="A505" s="3">
        <f>Sheet1!A507</f>
        <v>1413024</v>
      </c>
      <c r="B505" t="s">
        <v>1162</v>
      </c>
      <c r="C505">
        <v>14</v>
      </c>
      <c r="D505" t="s">
        <v>1163</v>
      </c>
      <c r="E505">
        <v>60</v>
      </c>
      <c r="F505" t="s">
        <v>1164</v>
      </c>
      <c r="G505">
        <v>2</v>
      </c>
      <c r="H505" t="s">
        <v>1163</v>
      </c>
      <c r="I505">
        <v>2500000</v>
      </c>
      <c r="J505" t="s">
        <v>1164</v>
      </c>
      <c r="K505">
        <v>1</v>
      </c>
      <c r="L505" t="s">
        <v>1163</v>
      </c>
      <c r="M505">
        <f t="shared" si="27"/>
        <v>2700000</v>
      </c>
      <c r="N505" t="s">
        <v>1165</v>
      </c>
      <c r="O505" t="str">
        <f t="shared" si="26"/>
        <v>[{"id":14,"num":60},{"id":2,"num":2500000},{"id":1,"num":2700000}]</v>
      </c>
    </row>
    <row r="506" spans="1:15" ht="16.5" x14ac:dyDescent="0.15">
      <c r="A506" s="3">
        <f>Sheet1!A508</f>
        <v>1413025</v>
      </c>
      <c r="B506" t="s">
        <v>1162</v>
      </c>
      <c r="C506">
        <v>14</v>
      </c>
      <c r="D506" t="s">
        <v>1163</v>
      </c>
      <c r="E506">
        <v>60</v>
      </c>
      <c r="F506" t="s">
        <v>1164</v>
      </c>
      <c r="G506">
        <v>2</v>
      </c>
      <c r="H506" t="s">
        <v>1163</v>
      </c>
      <c r="I506">
        <v>2500000</v>
      </c>
      <c r="J506" t="s">
        <v>1164</v>
      </c>
      <c r="K506">
        <v>1</v>
      </c>
      <c r="L506" t="s">
        <v>1163</v>
      </c>
      <c r="M506">
        <f t="shared" si="27"/>
        <v>2700000</v>
      </c>
      <c r="N506" t="s">
        <v>1165</v>
      </c>
      <c r="O506" t="str">
        <f t="shared" si="26"/>
        <v>[{"id":14,"num":60},{"id":2,"num":2500000},{"id":1,"num":2700000}]</v>
      </c>
    </row>
    <row r="507" spans="1:15" ht="16.5" x14ac:dyDescent="0.15">
      <c r="A507" s="3">
        <f>Sheet1!A509</f>
        <v>1413026</v>
      </c>
      <c r="B507" t="s">
        <v>1162</v>
      </c>
      <c r="C507">
        <v>14</v>
      </c>
      <c r="D507" t="s">
        <v>1163</v>
      </c>
      <c r="E507">
        <v>60</v>
      </c>
      <c r="F507" t="s">
        <v>1164</v>
      </c>
      <c r="G507">
        <v>2</v>
      </c>
      <c r="H507" t="s">
        <v>1163</v>
      </c>
      <c r="I507">
        <v>2500000</v>
      </c>
      <c r="J507" t="s">
        <v>1164</v>
      </c>
      <c r="K507">
        <v>1</v>
      </c>
      <c r="L507" t="s">
        <v>1163</v>
      </c>
      <c r="M507">
        <f t="shared" si="27"/>
        <v>2700000</v>
      </c>
      <c r="N507" t="s">
        <v>1165</v>
      </c>
      <c r="O507" t="str">
        <f t="shared" si="26"/>
        <v>[{"id":14,"num":60},{"id":2,"num":2500000},{"id":1,"num":2700000}]</v>
      </c>
    </row>
    <row r="508" spans="1:15" ht="16.5" x14ac:dyDescent="0.15">
      <c r="A508" s="3">
        <f>Sheet1!A510</f>
        <v>1413027</v>
      </c>
      <c r="B508" t="s">
        <v>1162</v>
      </c>
      <c r="C508">
        <v>14</v>
      </c>
      <c r="D508" t="s">
        <v>1163</v>
      </c>
      <c r="E508">
        <v>60</v>
      </c>
      <c r="F508" t="s">
        <v>1164</v>
      </c>
      <c r="G508">
        <v>2</v>
      </c>
      <c r="H508" t="s">
        <v>1163</v>
      </c>
      <c r="I508">
        <v>2500000</v>
      </c>
      <c r="J508" t="s">
        <v>1164</v>
      </c>
      <c r="K508">
        <v>1</v>
      </c>
      <c r="L508" t="s">
        <v>1163</v>
      </c>
      <c r="M508">
        <f t="shared" si="27"/>
        <v>2700000</v>
      </c>
      <c r="N508" t="s">
        <v>1165</v>
      </c>
      <c r="O508" t="str">
        <f t="shared" si="26"/>
        <v>[{"id":14,"num":60},{"id":2,"num":2500000},{"id":1,"num":2700000}]</v>
      </c>
    </row>
    <row r="509" spans="1:15" ht="16.5" x14ac:dyDescent="0.15">
      <c r="A509" s="3">
        <f>Sheet1!A511</f>
        <v>1413028</v>
      </c>
      <c r="B509" t="s">
        <v>1162</v>
      </c>
      <c r="C509">
        <v>14</v>
      </c>
      <c r="D509" t="s">
        <v>1163</v>
      </c>
      <c r="E509">
        <v>60</v>
      </c>
      <c r="F509" t="s">
        <v>1164</v>
      </c>
      <c r="G509">
        <v>2</v>
      </c>
      <c r="H509" t="s">
        <v>1163</v>
      </c>
      <c r="I509">
        <v>2500000</v>
      </c>
      <c r="J509" t="s">
        <v>1164</v>
      </c>
      <c r="K509">
        <v>1</v>
      </c>
      <c r="L509" t="s">
        <v>1163</v>
      </c>
      <c r="M509">
        <f t="shared" si="27"/>
        <v>2700000</v>
      </c>
      <c r="N509" t="s">
        <v>1165</v>
      </c>
      <c r="O509" t="str">
        <f t="shared" si="26"/>
        <v>[{"id":14,"num":60},{"id":2,"num":2500000},{"id":1,"num":2700000}]</v>
      </c>
    </row>
    <row r="510" spans="1:15" ht="16.5" x14ac:dyDescent="0.15">
      <c r="A510" s="3">
        <f>Sheet1!A512</f>
        <v>1413029</v>
      </c>
      <c r="B510" t="s">
        <v>1162</v>
      </c>
      <c r="C510">
        <v>14</v>
      </c>
      <c r="D510" t="s">
        <v>1163</v>
      </c>
      <c r="E510">
        <v>60</v>
      </c>
      <c r="F510" t="s">
        <v>1164</v>
      </c>
      <c r="G510">
        <v>2</v>
      </c>
      <c r="H510" t="s">
        <v>1163</v>
      </c>
      <c r="I510">
        <v>2500000</v>
      </c>
      <c r="J510" t="s">
        <v>1164</v>
      </c>
      <c r="K510">
        <v>1</v>
      </c>
      <c r="L510" t="s">
        <v>1163</v>
      </c>
      <c r="M510">
        <f t="shared" si="27"/>
        <v>2700000</v>
      </c>
      <c r="N510" t="s">
        <v>1165</v>
      </c>
      <c r="O510" t="str">
        <f t="shared" si="26"/>
        <v>[{"id":14,"num":60},{"id":2,"num":2500000},{"id":1,"num":2700000}]</v>
      </c>
    </row>
    <row r="511" spans="1:15" ht="16.5" x14ac:dyDescent="0.15">
      <c r="A511" s="3">
        <f>Sheet1!A513</f>
        <v>1413030</v>
      </c>
      <c r="B511" t="s">
        <v>1162</v>
      </c>
      <c r="C511">
        <v>14</v>
      </c>
      <c r="D511" t="s">
        <v>1163</v>
      </c>
      <c r="E511">
        <v>60</v>
      </c>
      <c r="F511" t="s">
        <v>1164</v>
      </c>
      <c r="G511">
        <v>2</v>
      </c>
      <c r="H511" t="s">
        <v>1163</v>
      </c>
      <c r="I511">
        <v>2500000</v>
      </c>
      <c r="J511" t="s">
        <v>1164</v>
      </c>
      <c r="K511">
        <v>1</v>
      </c>
      <c r="L511" t="s">
        <v>1163</v>
      </c>
      <c r="M511">
        <f t="shared" si="27"/>
        <v>2700000</v>
      </c>
      <c r="N511" t="s">
        <v>1165</v>
      </c>
      <c r="O511" t="str">
        <f t="shared" si="26"/>
        <v>[{"id":14,"num":60},{"id":2,"num":2500000},{"id":1,"num":2700000}]</v>
      </c>
    </row>
    <row r="512" spans="1:15" ht="16.5" x14ac:dyDescent="0.15">
      <c r="A512" s="3">
        <f>Sheet1!A514</f>
        <v>1413031</v>
      </c>
      <c r="B512" t="s">
        <v>1162</v>
      </c>
      <c r="C512">
        <v>14</v>
      </c>
      <c r="D512" t="s">
        <v>1163</v>
      </c>
      <c r="E512">
        <v>60</v>
      </c>
      <c r="F512" t="s">
        <v>1164</v>
      </c>
      <c r="G512">
        <v>2</v>
      </c>
      <c r="H512" t="s">
        <v>1163</v>
      </c>
      <c r="I512">
        <v>2500000</v>
      </c>
      <c r="J512" t="s">
        <v>1164</v>
      </c>
      <c r="K512">
        <v>1</v>
      </c>
      <c r="L512" t="s">
        <v>1163</v>
      </c>
      <c r="M512">
        <f t="shared" si="27"/>
        <v>2700000</v>
      </c>
      <c r="N512" t="s">
        <v>1165</v>
      </c>
      <c r="O512" t="str">
        <f t="shared" si="26"/>
        <v>[{"id":14,"num":60},{"id":2,"num":2500000},{"id":1,"num":2700000}]</v>
      </c>
    </row>
    <row r="513" spans="1:15" ht="16.5" x14ac:dyDescent="0.15">
      <c r="A513" s="3">
        <f>Sheet1!A515</f>
        <v>1413032</v>
      </c>
      <c r="B513" t="s">
        <v>1162</v>
      </c>
      <c r="C513">
        <v>14</v>
      </c>
      <c r="D513" t="s">
        <v>1163</v>
      </c>
      <c r="E513">
        <v>60</v>
      </c>
      <c r="F513" t="s">
        <v>1164</v>
      </c>
      <c r="G513">
        <v>2</v>
      </c>
      <c r="H513" t="s">
        <v>1163</v>
      </c>
      <c r="I513">
        <v>2500000</v>
      </c>
      <c r="J513" t="s">
        <v>1164</v>
      </c>
      <c r="K513">
        <v>1</v>
      </c>
      <c r="L513" t="s">
        <v>1163</v>
      </c>
      <c r="M513">
        <f t="shared" si="27"/>
        <v>2700000</v>
      </c>
      <c r="N513" t="s">
        <v>1165</v>
      </c>
      <c r="O513" t="str">
        <f t="shared" si="26"/>
        <v>[{"id":14,"num":60},{"id":2,"num":2500000},{"id":1,"num":2700000}]</v>
      </c>
    </row>
    <row r="514" spans="1:15" ht="16.5" x14ac:dyDescent="0.15">
      <c r="A514" s="3">
        <f>Sheet1!A516</f>
        <v>1413033</v>
      </c>
      <c r="B514" t="s">
        <v>1162</v>
      </c>
      <c r="C514">
        <v>14</v>
      </c>
      <c r="D514" t="s">
        <v>1163</v>
      </c>
      <c r="E514">
        <v>60</v>
      </c>
      <c r="F514" t="s">
        <v>1164</v>
      </c>
      <c r="G514">
        <v>2</v>
      </c>
      <c r="H514" t="s">
        <v>1163</v>
      </c>
      <c r="I514">
        <v>2500000</v>
      </c>
      <c r="J514" t="s">
        <v>1164</v>
      </c>
      <c r="K514">
        <v>1</v>
      </c>
      <c r="L514" t="s">
        <v>1163</v>
      </c>
      <c r="M514">
        <f t="shared" si="27"/>
        <v>2700000</v>
      </c>
      <c r="N514" t="s">
        <v>1165</v>
      </c>
      <c r="O514" t="str">
        <f t="shared" si="26"/>
        <v>[{"id":14,"num":60},{"id":2,"num":2500000},{"id":1,"num":2700000}]</v>
      </c>
    </row>
    <row r="515" spans="1:15" ht="16.5" x14ac:dyDescent="0.15">
      <c r="A515" s="3">
        <f>Sheet1!A517</f>
        <v>1413034</v>
      </c>
      <c r="B515" t="s">
        <v>1162</v>
      </c>
      <c r="C515">
        <v>14</v>
      </c>
      <c r="D515" t="s">
        <v>1163</v>
      </c>
      <c r="E515">
        <v>60</v>
      </c>
      <c r="F515" t="s">
        <v>1164</v>
      </c>
      <c r="G515">
        <v>2</v>
      </c>
      <c r="H515" t="s">
        <v>1163</v>
      </c>
      <c r="I515">
        <v>2500000</v>
      </c>
      <c r="J515" t="s">
        <v>1164</v>
      </c>
      <c r="K515">
        <v>1</v>
      </c>
      <c r="L515" t="s">
        <v>1163</v>
      </c>
      <c r="M515">
        <f t="shared" si="27"/>
        <v>2700000</v>
      </c>
      <c r="N515" t="s">
        <v>1165</v>
      </c>
      <c r="O515" t="str">
        <f t="shared" si="26"/>
        <v>[{"id":14,"num":60},{"id":2,"num":2500000},{"id":1,"num":2700000}]</v>
      </c>
    </row>
    <row r="516" spans="1:15" ht="16.5" x14ac:dyDescent="0.15">
      <c r="A516" s="3">
        <f>Sheet1!A518</f>
        <v>1413035</v>
      </c>
      <c r="B516" t="s">
        <v>1162</v>
      </c>
      <c r="C516">
        <v>14</v>
      </c>
      <c r="D516" t="s">
        <v>1163</v>
      </c>
      <c r="E516">
        <v>60</v>
      </c>
      <c r="F516" t="s">
        <v>1164</v>
      </c>
      <c r="G516">
        <v>2</v>
      </c>
      <c r="H516" t="s">
        <v>1163</v>
      </c>
      <c r="I516">
        <v>2500000</v>
      </c>
      <c r="J516" t="s">
        <v>1164</v>
      </c>
      <c r="K516">
        <v>1</v>
      </c>
      <c r="L516" t="s">
        <v>1163</v>
      </c>
      <c r="M516">
        <f t="shared" si="27"/>
        <v>2700000</v>
      </c>
      <c r="N516" t="s">
        <v>1165</v>
      </c>
      <c r="O516" t="str">
        <f t="shared" si="26"/>
        <v>[{"id":14,"num":60},{"id":2,"num":2500000},{"id":1,"num":2700000}]</v>
      </c>
    </row>
    <row r="517" spans="1:15" ht="16.5" x14ac:dyDescent="0.15">
      <c r="A517" s="3">
        <f>Sheet1!A519</f>
        <v>1413036</v>
      </c>
      <c r="B517" t="s">
        <v>1162</v>
      </c>
      <c r="C517">
        <v>14</v>
      </c>
      <c r="D517" t="s">
        <v>1163</v>
      </c>
      <c r="E517">
        <v>60</v>
      </c>
      <c r="F517" t="s">
        <v>1164</v>
      </c>
      <c r="G517">
        <v>2</v>
      </c>
      <c r="H517" t="s">
        <v>1163</v>
      </c>
      <c r="I517">
        <v>2500000</v>
      </c>
      <c r="J517" t="s">
        <v>1164</v>
      </c>
      <c r="K517">
        <v>1</v>
      </c>
      <c r="L517" t="s">
        <v>1163</v>
      </c>
      <c r="M517">
        <f t="shared" si="27"/>
        <v>2700000</v>
      </c>
      <c r="N517" t="s">
        <v>1165</v>
      </c>
      <c r="O517" t="str">
        <f t="shared" si="26"/>
        <v>[{"id":14,"num":60},{"id":2,"num":2500000},{"id":1,"num":2700000}]</v>
      </c>
    </row>
    <row r="518" spans="1:15" ht="16.5" x14ac:dyDescent="0.15">
      <c r="A518" s="3">
        <f>Sheet1!A520</f>
        <v>1413037</v>
      </c>
      <c r="B518" t="s">
        <v>1162</v>
      </c>
      <c r="C518">
        <v>14</v>
      </c>
      <c r="D518" t="s">
        <v>1163</v>
      </c>
      <c r="E518">
        <v>60</v>
      </c>
      <c r="F518" t="s">
        <v>1164</v>
      </c>
      <c r="G518">
        <v>2</v>
      </c>
      <c r="H518" t="s">
        <v>1163</v>
      </c>
      <c r="I518">
        <v>2500000</v>
      </c>
      <c r="J518" t="s">
        <v>1164</v>
      </c>
      <c r="K518">
        <v>1</v>
      </c>
      <c r="L518" t="s">
        <v>1163</v>
      </c>
      <c r="M518">
        <f t="shared" si="27"/>
        <v>2700000</v>
      </c>
      <c r="N518" t="s">
        <v>1165</v>
      </c>
      <c r="O518" t="str">
        <f t="shared" si="26"/>
        <v>[{"id":14,"num":60},{"id":2,"num":2500000},{"id":1,"num":2700000}]</v>
      </c>
    </row>
    <row r="519" spans="1:15" ht="16.5" x14ac:dyDescent="0.15">
      <c r="A519" s="3">
        <f>Sheet1!A521</f>
        <v>1413038</v>
      </c>
      <c r="B519" t="s">
        <v>1162</v>
      </c>
      <c r="C519">
        <v>14</v>
      </c>
      <c r="D519" t="s">
        <v>1163</v>
      </c>
      <c r="E519">
        <v>60</v>
      </c>
      <c r="F519" t="s">
        <v>1164</v>
      </c>
      <c r="G519">
        <v>2</v>
      </c>
      <c r="H519" t="s">
        <v>1163</v>
      </c>
      <c r="I519">
        <v>2500000</v>
      </c>
      <c r="J519" t="s">
        <v>1164</v>
      </c>
      <c r="K519">
        <v>1</v>
      </c>
      <c r="L519" t="s">
        <v>1163</v>
      </c>
      <c r="M519">
        <f t="shared" si="27"/>
        <v>2700000</v>
      </c>
      <c r="N519" t="s">
        <v>1165</v>
      </c>
      <c r="O519" t="str">
        <f t="shared" si="26"/>
        <v>[{"id":14,"num":60},{"id":2,"num":2500000},{"id":1,"num":2700000}]</v>
      </c>
    </row>
    <row r="520" spans="1:15" ht="16.5" x14ac:dyDescent="0.15">
      <c r="A520" s="3">
        <f>Sheet1!A522</f>
        <v>1413039</v>
      </c>
      <c r="B520" t="s">
        <v>1162</v>
      </c>
      <c r="C520">
        <v>14</v>
      </c>
      <c r="D520" t="s">
        <v>1163</v>
      </c>
      <c r="E520">
        <v>60</v>
      </c>
      <c r="F520" t="s">
        <v>1164</v>
      </c>
      <c r="G520">
        <v>2</v>
      </c>
      <c r="H520" t="s">
        <v>1163</v>
      </c>
      <c r="I520">
        <v>2500000</v>
      </c>
      <c r="J520" t="s">
        <v>1164</v>
      </c>
      <c r="K520">
        <v>1</v>
      </c>
      <c r="L520" t="s">
        <v>1163</v>
      </c>
      <c r="M520">
        <f t="shared" si="27"/>
        <v>2700000</v>
      </c>
      <c r="N520" t="s">
        <v>1165</v>
      </c>
      <c r="O520" t="str">
        <f t="shared" si="26"/>
        <v>[{"id":14,"num":60},{"id":2,"num":2500000},{"id":1,"num":2700000}]</v>
      </c>
    </row>
    <row r="521" spans="1:15" ht="16.5" x14ac:dyDescent="0.15">
      <c r="A521" s="3">
        <f>Sheet1!A523</f>
        <v>1413040</v>
      </c>
      <c r="B521" t="s">
        <v>1162</v>
      </c>
      <c r="C521">
        <v>14</v>
      </c>
      <c r="D521" t="s">
        <v>1163</v>
      </c>
      <c r="E521">
        <v>60</v>
      </c>
      <c r="F521" t="s">
        <v>1164</v>
      </c>
      <c r="G521">
        <v>2</v>
      </c>
      <c r="H521" t="s">
        <v>1163</v>
      </c>
      <c r="I521">
        <v>2500000</v>
      </c>
      <c r="J521" t="s">
        <v>1164</v>
      </c>
      <c r="K521">
        <v>1</v>
      </c>
      <c r="L521" t="s">
        <v>1163</v>
      </c>
      <c r="M521">
        <f t="shared" si="27"/>
        <v>2700000</v>
      </c>
      <c r="N521" t="s">
        <v>1165</v>
      </c>
      <c r="O521" t="str">
        <f t="shared" si="26"/>
        <v>[{"id":14,"num":60},{"id":2,"num":2500000},{"id":1,"num":2700000}]</v>
      </c>
    </row>
    <row r="522" spans="1:15" ht="16.5" x14ac:dyDescent="0.15">
      <c r="A522" s="3">
        <f>Sheet1!A524</f>
        <v>1414001</v>
      </c>
      <c r="B522" t="s">
        <v>1162</v>
      </c>
      <c r="C522">
        <v>14</v>
      </c>
      <c r="D522" t="s">
        <v>1163</v>
      </c>
      <c r="E522">
        <v>60</v>
      </c>
      <c r="F522" t="s">
        <v>1164</v>
      </c>
      <c r="G522">
        <v>2</v>
      </c>
      <c r="H522" t="s">
        <v>1163</v>
      </c>
      <c r="I522">
        <v>2500000</v>
      </c>
      <c r="J522" t="s">
        <v>1164</v>
      </c>
      <c r="K522">
        <v>1</v>
      </c>
      <c r="L522" t="s">
        <v>1163</v>
      </c>
      <c r="M522">
        <f t="shared" si="27"/>
        <v>2900000</v>
      </c>
      <c r="N522" t="s">
        <v>1165</v>
      </c>
      <c r="O522" t="str">
        <f t="shared" si="26"/>
        <v>[{"id":14,"num":60},{"id":2,"num":2500000},{"id":1,"num":2900000}]</v>
      </c>
    </row>
    <row r="523" spans="1:15" ht="16.5" x14ac:dyDescent="0.15">
      <c r="A523" s="3">
        <f>Sheet1!A525</f>
        <v>1414002</v>
      </c>
      <c r="B523" t="s">
        <v>1162</v>
      </c>
      <c r="C523">
        <v>14</v>
      </c>
      <c r="D523" t="s">
        <v>1163</v>
      </c>
      <c r="E523">
        <v>60</v>
      </c>
      <c r="F523" t="s">
        <v>1164</v>
      </c>
      <c r="G523">
        <v>2</v>
      </c>
      <c r="H523" t="s">
        <v>1163</v>
      </c>
      <c r="I523">
        <v>2500000</v>
      </c>
      <c r="J523" t="s">
        <v>1164</v>
      </c>
      <c r="K523">
        <v>1</v>
      </c>
      <c r="L523" t="s">
        <v>1163</v>
      </c>
      <c r="M523">
        <f t="shared" si="27"/>
        <v>2900000</v>
      </c>
      <c r="N523" t="s">
        <v>1165</v>
      </c>
      <c r="O523" t="str">
        <f t="shared" si="26"/>
        <v>[{"id":14,"num":60},{"id":2,"num":2500000},{"id":1,"num":2900000}]</v>
      </c>
    </row>
    <row r="524" spans="1:15" ht="16.5" x14ac:dyDescent="0.15">
      <c r="A524" s="3">
        <f>Sheet1!A526</f>
        <v>1414003</v>
      </c>
      <c r="B524" t="s">
        <v>1162</v>
      </c>
      <c r="C524">
        <v>14</v>
      </c>
      <c r="D524" t="s">
        <v>1163</v>
      </c>
      <c r="E524">
        <v>60</v>
      </c>
      <c r="F524" t="s">
        <v>1164</v>
      </c>
      <c r="G524">
        <v>2</v>
      </c>
      <c r="H524" t="s">
        <v>1163</v>
      </c>
      <c r="I524">
        <v>2500000</v>
      </c>
      <c r="J524" t="s">
        <v>1164</v>
      </c>
      <c r="K524">
        <v>1</v>
      </c>
      <c r="L524" t="s">
        <v>1163</v>
      </c>
      <c r="M524">
        <f t="shared" si="27"/>
        <v>2900000</v>
      </c>
      <c r="N524" t="s">
        <v>1165</v>
      </c>
      <c r="O524" t="str">
        <f t="shared" si="26"/>
        <v>[{"id":14,"num":60},{"id":2,"num":2500000},{"id":1,"num":2900000}]</v>
      </c>
    </row>
    <row r="525" spans="1:15" ht="16.5" x14ac:dyDescent="0.15">
      <c r="A525" s="3">
        <f>Sheet1!A527</f>
        <v>1414004</v>
      </c>
      <c r="B525" t="s">
        <v>1162</v>
      </c>
      <c r="C525">
        <v>14</v>
      </c>
      <c r="D525" t="s">
        <v>1163</v>
      </c>
      <c r="E525">
        <v>60</v>
      </c>
      <c r="F525" t="s">
        <v>1164</v>
      </c>
      <c r="G525">
        <v>2</v>
      </c>
      <c r="H525" t="s">
        <v>1163</v>
      </c>
      <c r="I525">
        <v>2500000</v>
      </c>
      <c r="J525" t="s">
        <v>1164</v>
      </c>
      <c r="K525">
        <v>1</v>
      </c>
      <c r="L525" t="s">
        <v>1163</v>
      </c>
      <c r="M525">
        <f t="shared" si="27"/>
        <v>2900000</v>
      </c>
      <c r="N525" t="s">
        <v>1165</v>
      </c>
      <c r="O525" t="str">
        <f t="shared" si="26"/>
        <v>[{"id":14,"num":60},{"id":2,"num":2500000},{"id":1,"num":2900000}]</v>
      </c>
    </row>
    <row r="526" spans="1:15" ht="16.5" x14ac:dyDescent="0.15">
      <c r="A526" s="3">
        <f>Sheet1!A528</f>
        <v>1414005</v>
      </c>
      <c r="B526" t="s">
        <v>1162</v>
      </c>
      <c r="C526">
        <v>14</v>
      </c>
      <c r="D526" t="s">
        <v>1163</v>
      </c>
      <c r="E526">
        <v>60</v>
      </c>
      <c r="F526" t="s">
        <v>1164</v>
      </c>
      <c r="G526">
        <v>2</v>
      </c>
      <c r="H526" t="s">
        <v>1163</v>
      </c>
      <c r="I526">
        <v>2500000</v>
      </c>
      <c r="J526" t="s">
        <v>1164</v>
      </c>
      <c r="K526">
        <v>1</v>
      </c>
      <c r="L526" t="s">
        <v>1163</v>
      </c>
      <c r="M526">
        <f t="shared" si="27"/>
        <v>2900000</v>
      </c>
      <c r="N526" t="s">
        <v>1165</v>
      </c>
      <c r="O526" t="str">
        <f t="shared" si="26"/>
        <v>[{"id":14,"num":60},{"id":2,"num":2500000},{"id":1,"num":2900000}]</v>
      </c>
    </row>
    <row r="527" spans="1:15" ht="16.5" x14ac:dyDescent="0.15">
      <c r="A527" s="3">
        <f>Sheet1!A529</f>
        <v>1414006</v>
      </c>
      <c r="B527" t="s">
        <v>1162</v>
      </c>
      <c r="C527">
        <v>14</v>
      </c>
      <c r="D527" t="s">
        <v>1163</v>
      </c>
      <c r="E527">
        <v>60</v>
      </c>
      <c r="F527" t="s">
        <v>1164</v>
      </c>
      <c r="G527">
        <v>2</v>
      </c>
      <c r="H527" t="s">
        <v>1163</v>
      </c>
      <c r="I527">
        <v>2500000</v>
      </c>
      <c r="J527" t="s">
        <v>1164</v>
      </c>
      <c r="K527">
        <v>1</v>
      </c>
      <c r="L527" t="s">
        <v>1163</v>
      </c>
      <c r="M527">
        <f t="shared" si="27"/>
        <v>2900000</v>
      </c>
      <c r="N527" t="s">
        <v>1165</v>
      </c>
      <c r="O527" t="str">
        <f t="shared" si="26"/>
        <v>[{"id":14,"num":60},{"id":2,"num":2500000},{"id":1,"num":2900000}]</v>
      </c>
    </row>
    <row r="528" spans="1:15" ht="16.5" x14ac:dyDescent="0.15">
      <c r="A528" s="3">
        <f>Sheet1!A530</f>
        <v>1414007</v>
      </c>
      <c r="B528" t="s">
        <v>1162</v>
      </c>
      <c r="C528">
        <v>14</v>
      </c>
      <c r="D528" t="s">
        <v>1163</v>
      </c>
      <c r="E528">
        <v>60</v>
      </c>
      <c r="F528" t="s">
        <v>1164</v>
      </c>
      <c r="G528">
        <v>2</v>
      </c>
      <c r="H528" t="s">
        <v>1163</v>
      </c>
      <c r="I528">
        <v>2500000</v>
      </c>
      <c r="J528" t="s">
        <v>1164</v>
      </c>
      <c r="K528">
        <v>1</v>
      </c>
      <c r="L528" t="s">
        <v>1163</v>
      </c>
      <c r="M528">
        <f t="shared" si="27"/>
        <v>2900000</v>
      </c>
      <c r="N528" t="s">
        <v>1165</v>
      </c>
      <c r="O528" t="str">
        <f t="shared" si="26"/>
        <v>[{"id":14,"num":60},{"id":2,"num":2500000},{"id":1,"num":2900000}]</v>
      </c>
    </row>
    <row r="529" spans="1:15" ht="16.5" x14ac:dyDescent="0.15">
      <c r="A529" s="3">
        <f>Sheet1!A531</f>
        <v>1414008</v>
      </c>
      <c r="B529" t="s">
        <v>1162</v>
      </c>
      <c r="C529">
        <v>14</v>
      </c>
      <c r="D529" t="s">
        <v>1163</v>
      </c>
      <c r="E529">
        <v>60</v>
      </c>
      <c r="F529" t="s">
        <v>1164</v>
      </c>
      <c r="G529">
        <v>2</v>
      </c>
      <c r="H529" t="s">
        <v>1163</v>
      </c>
      <c r="I529">
        <v>2500000</v>
      </c>
      <c r="J529" t="s">
        <v>1164</v>
      </c>
      <c r="K529">
        <v>1</v>
      </c>
      <c r="L529" t="s">
        <v>1163</v>
      </c>
      <c r="M529">
        <f t="shared" si="27"/>
        <v>2900000</v>
      </c>
      <c r="N529" t="s">
        <v>1165</v>
      </c>
      <c r="O529" t="str">
        <f t="shared" si="26"/>
        <v>[{"id":14,"num":60},{"id":2,"num":2500000},{"id":1,"num":2900000}]</v>
      </c>
    </row>
    <row r="530" spans="1:15" ht="16.5" x14ac:dyDescent="0.15">
      <c r="A530" s="3">
        <f>Sheet1!A532</f>
        <v>1414009</v>
      </c>
      <c r="B530" t="s">
        <v>1162</v>
      </c>
      <c r="C530">
        <v>14</v>
      </c>
      <c r="D530" t="s">
        <v>1163</v>
      </c>
      <c r="E530">
        <v>60</v>
      </c>
      <c r="F530" t="s">
        <v>1164</v>
      </c>
      <c r="G530">
        <v>2</v>
      </c>
      <c r="H530" t="s">
        <v>1163</v>
      </c>
      <c r="I530">
        <v>2500000</v>
      </c>
      <c r="J530" t="s">
        <v>1164</v>
      </c>
      <c r="K530">
        <v>1</v>
      </c>
      <c r="L530" t="s">
        <v>1163</v>
      </c>
      <c r="M530">
        <f t="shared" si="27"/>
        <v>2900000</v>
      </c>
      <c r="N530" t="s">
        <v>1165</v>
      </c>
      <c r="O530" t="str">
        <f t="shared" si="26"/>
        <v>[{"id":14,"num":60},{"id":2,"num":2500000},{"id":1,"num":2900000}]</v>
      </c>
    </row>
    <row r="531" spans="1:15" ht="16.5" x14ac:dyDescent="0.15">
      <c r="A531" s="3">
        <f>Sheet1!A533</f>
        <v>1414010</v>
      </c>
      <c r="B531" t="s">
        <v>1162</v>
      </c>
      <c r="C531">
        <v>14</v>
      </c>
      <c r="D531" t="s">
        <v>1163</v>
      </c>
      <c r="E531">
        <v>60</v>
      </c>
      <c r="F531" t="s">
        <v>1164</v>
      </c>
      <c r="G531">
        <v>2</v>
      </c>
      <c r="H531" t="s">
        <v>1163</v>
      </c>
      <c r="I531">
        <v>2500000</v>
      </c>
      <c r="J531" t="s">
        <v>1164</v>
      </c>
      <c r="K531">
        <v>1</v>
      </c>
      <c r="L531" t="s">
        <v>1163</v>
      </c>
      <c r="M531">
        <f t="shared" si="27"/>
        <v>2900000</v>
      </c>
      <c r="N531" t="s">
        <v>1165</v>
      </c>
      <c r="O531" t="str">
        <f t="shared" si="26"/>
        <v>[{"id":14,"num":60},{"id":2,"num":2500000},{"id":1,"num":2900000}]</v>
      </c>
    </row>
    <row r="532" spans="1:15" ht="16.5" x14ac:dyDescent="0.15">
      <c r="A532" s="3">
        <f>Sheet1!A534</f>
        <v>1414011</v>
      </c>
      <c r="B532" t="s">
        <v>1162</v>
      </c>
      <c r="C532">
        <v>14</v>
      </c>
      <c r="D532" t="s">
        <v>1163</v>
      </c>
      <c r="E532">
        <v>60</v>
      </c>
      <c r="F532" t="s">
        <v>1164</v>
      </c>
      <c r="G532">
        <v>2</v>
      </c>
      <c r="H532" t="s">
        <v>1163</v>
      </c>
      <c r="I532">
        <v>2500000</v>
      </c>
      <c r="J532" t="s">
        <v>1164</v>
      </c>
      <c r="K532">
        <v>1</v>
      </c>
      <c r="L532" t="s">
        <v>1163</v>
      </c>
      <c r="M532">
        <f t="shared" si="27"/>
        <v>2900000</v>
      </c>
      <c r="N532" t="s">
        <v>1165</v>
      </c>
      <c r="O532" t="str">
        <f t="shared" si="26"/>
        <v>[{"id":14,"num":60},{"id":2,"num":2500000},{"id":1,"num":2900000}]</v>
      </c>
    </row>
    <row r="533" spans="1:15" ht="16.5" x14ac:dyDescent="0.15">
      <c r="A533" s="3">
        <f>Sheet1!A535</f>
        <v>1414012</v>
      </c>
      <c r="B533" t="s">
        <v>1162</v>
      </c>
      <c r="C533">
        <v>14</v>
      </c>
      <c r="D533" t="s">
        <v>1163</v>
      </c>
      <c r="E533">
        <v>60</v>
      </c>
      <c r="F533" t="s">
        <v>1164</v>
      </c>
      <c r="G533">
        <v>2</v>
      </c>
      <c r="H533" t="s">
        <v>1163</v>
      </c>
      <c r="I533">
        <v>2500000</v>
      </c>
      <c r="J533" t="s">
        <v>1164</v>
      </c>
      <c r="K533">
        <v>1</v>
      </c>
      <c r="L533" t="s">
        <v>1163</v>
      </c>
      <c r="M533">
        <f t="shared" si="27"/>
        <v>2900000</v>
      </c>
      <c r="N533" t="s">
        <v>1165</v>
      </c>
      <c r="O533" t="str">
        <f t="shared" si="26"/>
        <v>[{"id":14,"num":60},{"id":2,"num":2500000},{"id":1,"num":2900000}]</v>
      </c>
    </row>
    <row r="534" spans="1:15" ht="16.5" x14ac:dyDescent="0.15">
      <c r="A534" s="3">
        <f>Sheet1!A536</f>
        <v>1414013</v>
      </c>
      <c r="B534" t="s">
        <v>1162</v>
      </c>
      <c r="C534">
        <v>14</v>
      </c>
      <c r="D534" t="s">
        <v>1163</v>
      </c>
      <c r="E534">
        <v>60</v>
      </c>
      <c r="F534" t="s">
        <v>1164</v>
      </c>
      <c r="G534">
        <v>2</v>
      </c>
      <c r="H534" t="s">
        <v>1163</v>
      </c>
      <c r="I534">
        <v>2500000</v>
      </c>
      <c r="J534" t="s">
        <v>1164</v>
      </c>
      <c r="K534">
        <v>1</v>
      </c>
      <c r="L534" t="s">
        <v>1163</v>
      </c>
      <c r="M534">
        <f t="shared" si="27"/>
        <v>2900000</v>
      </c>
      <c r="N534" t="s">
        <v>1165</v>
      </c>
      <c r="O534" t="str">
        <f t="shared" si="26"/>
        <v>[{"id":14,"num":60},{"id":2,"num":2500000},{"id":1,"num":2900000}]</v>
      </c>
    </row>
    <row r="535" spans="1:15" ht="16.5" x14ac:dyDescent="0.15">
      <c r="A535" s="3">
        <f>Sheet1!A537</f>
        <v>1414014</v>
      </c>
      <c r="B535" t="s">
        <v>1162</v>
      </c>
      <c r="C535">
        <v>14</v>
      </c>
      <c r="D535" t="s">
        <v>1163</v>
      </c>
      <c r="E535">
        <v>60</v>
      </c>
      <c r="F535" t="s">
        <v>1164</v>
      </c>
      <c r="G535">
        <v>2</v>
      </c>
      <c r="H535" t="s">
        <v>1163</v>
      </c>
      <c r="I535">
        <v>2500000</v>
      </c>
      <c r="J535" t="s">
        <v>1164</v>
      </c>
      <c r="K535">
        <v>1</v>
      </c>
      <c r="L535" t="s">
        <v>1163</v>
      </c>
      <c r="M535">
        <f t="shared" si="27"/>
        <v>2900000</v>
      </c>
      <c r="N535" t="s">
        <v>1165</v>
      </c>
      <c r="O535" t="str">
        <f t="shared" si="26"/>
        <v>[{"id":14,"num":60},{"id":2,"num":2500000},{"id":1,"num":2900000}]</v>
      </c>
    </row>
    <row r="536" spans="1:15" ht="16.5" x14ac:dyDescent="0.15">
      <c r="A536" s="3">
        <f>Sheet1!A538</f>
        <v>1414015</v>
      </c>
      <c r="B536" t="s">
        <v>1162</v>
      </c>
      <c r="C536">
        <v>14</v>
      </c>
      <c r="D536" t="s">
        <v>1163</v>
      </c>
      <c r="E536">
        <v>60</v>
      </c>
      <c r="F536" t="s">
        <v>1164</v>
      </c>
      <c r="G536">
        <v>2</v>
      </c>
      <c r="H536" t="s">
        <v>1163</v>
      </c>
      <c r="I536">
        <v>2500000</v>
      </c>
      <c r="J536" t="s">
        <v>1164</v>
      </c>
      <c r="K536">
        <v>1</v>
      </c>
      <c r="L536" t="s">
        <v>1163</v>
      </c>
      <c r="M536">
        <f t="shared" si="27"/>
        <v>2900000</v>
      </c>
      <c r="N536" t="s">
        <v>1165</v>
      </c>
      <c r="O536" t="str">
        <f t="shared" si="26"/>
        <v>[{"id":14,"num":60},{"id":2,"num":2500000},{"id":1,"num":2900000}]</v>
      </c>
    </row>
    <row r="537" spans="1:15" ht="16.5" x14ac:dyDescent="0.15">
      <c r="A537" s="3">
        <f>Sheet1!A539</f>
        <v>1414016</v>
      </c>
      <c r="B537" t="s">
        <v>1162</v>
      </c>
      <c r="C537">
        <v>14</v>
      </c>
      <c r="D537" t="s">
        <v>1163</v>
      </c>
      <c r="E537">
        <v>60</v>
      </c>
      <c r="F537" t="s">
        <v>1164</v>
      </c>
      <c r="G537">
        <v>2</v>
      </c>
      <c r="H537" t="s">
        <v>1163</v>
      </c>
      <c r="I537">
        <v>2500000</v>
      </c>
      <c r="J537" t="s">
        <v>1164</v>
      </c>
      <c r="K537">
        <v>1</v>
      </c>
      <c r="L537" t="s">
        <v>1163</v>
      </c>
      <c r="M537">
        <f t="shared" si="27"/>
        <v>2900000</v>
      </c>
      <c r="N537" t="s">
        <v>1165</v>
      </c>
      <c r="O537" t="str">
        <f t="shared" si="26"/>
        <v>[{"id":14,"num":60},{"id":2,"num":2500000},{"id":1,"num":2900000}]</v>
      </c>
    </row>
    <row r="538" spans="1:15" ht="16.5" x14ac:dyDescent="0.15">
      <c r="A538" s="3">
        <f>Sheet1!A540</f>
        <v>1414017</v>
      </c>
      <c r="B538" t="s">
        <v>1162</v>
      </c>
      <c r="C538">
        <v>14</v>
      </c>
      <c r="D538" t="s">
        <v>1163</v>
      </c>
      <c r="E538">
        <v>60</v>
      </c>
      <c r="F538" t="s">
        <v>1164</v>
      </c>
      <c r="G538">
        <v>2</v>
      </c>
      <c r="H538" t="s">
        <v>1163</v>
      </c>
      <c r="I538">
        <v>2500000</v>
      </c>
      <c r="J538" t="s">
        <v>1164</v>
      </c>
      <c r="K538">
        <v>1</v>
      </c>
      <c r="L538" t="s">
        <v>1163</v>
      </c>
      <c r="M538">
        <f t="shared" si="27"/>
        <v>2900000</v>
      </c>
      <c r="N538" t="s">
        <v>1165</v>
      </c>
      <c r="O538" t="str">
        <f t="shared" si="26"/>
        <v>[{"id":14,"num":60},{"id":2,"num":2500000},{"id":1,"num":2900000}]</v>
      </c>
    </row>
    <row r="539" spans="1:15" ht="16.5" x14ac:dyDescent="0.15">
      <c r="A539" s="3">
        <f>Sheet1!A541</f>
        <v>1414018</v>
      </c>
      <c r="B539" t="s">
        <v>1162</v>
      </c>
      <c r="C539">
        <v>14</v>
      </c>
      <c r="D539" t="s">
        <v>1163</v>
      </c>
      <c r="E539">
        <v>60</v>
      </c>
      <c r="F539" t="s">
        <v>1164</v>
      </c>
      <c r="G539">
        <v>2</v>
      </c>
      <c r="H539" t="s">
        <v>1163</v>
      </c>
      <c r="I539">
        <v>2500000</v>
      </c>
      <c r="J539" t="s">
        <v>1164</v>
      </c>
      <c r="K539">
        <v>1</v>
      </c>
      <c r="L539" t="s">
        <v>1163</v>
      </c>
      <c r="M539">
        <f t="shared" si="27"/>
        <v>2900000</v>
      </c>
      <c r="N539" t="s">
        <v>1165</v>
      </c>
      <c r="O539" t="str">
        <f t="shared" si="26"/>
        <v>[{"id":14,"num":60},{"id":2,"num":2500000},{"id":1,"num":2900000}]</v>
      </c>
    </row>
    <row r="540" spans="1:15" ht="16.5" x14ac:dyDescent="0.15">
      <c r="A540" s="3">
        <f>Sheet1!A542</f>
        <v>1414019</v>
      </c>
      <c r="B540" t="s">
        <v>1162</v>
      </c>
      <c r="C540">
        <v>14</v>
      </c>
      <c r="D540" t="s">
        <v>1163</v>
      </c>
      <c r="E540">
        <v>60</v>
      </c>
      <c r="F540" t="s">
        <v>1164</v>
      </c>
      <c r="G540">
        <v>2</v>
      </c>
      <c r="H540" t="s">
        <v>1163</v>
      </c>
      <c r="I540">
        <v>2500000</v>
      </c>
      <c r="J540" t="s">
        <v>1164</v>
      </c>
      <c r="K540">
        <v>1</v>
      </c>
      <c r="L540" t="s">
        <v>1163</v>
      </c>
      <c r="M540">
        <f t="shared" si="27"/>
        <v>2900000</v>
      </c>
      <c r="N540" t="s">
        <v>1165</v>
      </c>
      <c r="O540" t="str">
        <f t="shared" si="26"/>
        <v>[{"id":14,"num":60},{"id":2,"num":2500000},{"id":1,"num":2900000}]</v>
      </c>
    </row>
    <row r="541" spans="1:15" ht="16.5" x14ac:dyDescent="0.15">
      <c r="A541" s="3">
        <f>Sheet1!A543</f>
        <v>1414020</v>
      </c>
      <c r="B541" t="s">
        <v>1162</v>
      </c>
      <c r="C541">
        <v>14</v>
      </c>
      <c r="D541" t="s">
        <v>1163</v>
      </c>
      <c r="E541">
        <v>60</v>
      </c>
      <c r="F541" t="s">
        <v>1164</v>
      </c>
      <c r="G541">
        <v>2</v>
      </c>
      <c r="H541" t="s">
        <v>1163</v>
      </c>
      <c r="I541">
        <v>2500000</v>
      </c>
      <c r="J541" t="s">
        <v>1164</v>
      </c>
      <c r="K541">
        <v>1</v>
      </c>
      <c r="L541" t="s">
        <v>1163</v>
      </c>
      <c r="M541">
        <f t="shared" si="27"/>
        <v>2900000</v>
      </c>
      <c r="N541" t="s">
        <v>1165</v>
      </c>
      <c r="O541" t="str">
        <f t="shared" si="26"/>
        <v>[{"id":14,"num":60},{"id":2,"num":2500000},{"id":1,"num":2900000}]</v>
      </c>
    </row>
    <row r="542" spans="1:15" ht="16.5" x14ac:dyDescent="0.15">
      <c r="A542" s="3">
        <f>Sheet1!A544</f>
        <v>1414021</v>
      </c>
      <c r="B542" t="s">
        <v>1162</v>
      </c>
      <c r="C542">
        <v>14</v>
      </c>
      <c r="D542" t="s">
        <v>1163</v>
      </c>
      <c r="E542">
        <v>60</v>
      </c>
      <c r="F542" t="s">
        <v>1164</v>
      </c>
      <c r="G542">
        <v>2</v>
      </c>
      <c r="H542" t="s">
        <v>1163</v>
      </c>
      <c r="I542">
        <v>2500000</v>
      </c>
      <c r="J542" t="s">
        <v>1164</v>
      </c>
      <c r="K542">
        <v>1</v>
      </c>
      <c r="L542" t="s">
        <v>1163</v>
      </c>
      <c r="M542">
        <f t="shared" si="27"/>
        <v>2900000</v>
      </c>
      <c r="N542" t="s">
        <v>1165</v>
      </c>
      <c r="O542" t="str">
        <f t="shared" si="26"/>
        <v>[{"id":14,"num":60},{"id":2,"num":2500000},{"id":1,"num":2900000}]</v>
      </c>
    </row>
    <row r="543" spans="1:15" ht="16.5" x14ac:dyDescent="0.15">
      <c r="A543" s="3">
        <f>Sheet1!A545</f>
        <v>1414022</v>
      </c>
      <c r="B543" t="s">
        <v>1162</v>
      </c>
      <c r="C543">
        <v>14</v>
      </c>
      <c r="D543" t="s">
        <v>1163</v>
      </c>
      <c r="E543">
        <v>60</v>
      </c>
      <c r="F543" t="s">
        <v>1164</v>
      </c>
      <c r="G543">
        <v>2</v>
      </c>
      <c r="H543" t="s">
        <v>1163</v>
      </c>
      <c r="I543">
        <v>2500000</v>
      </c>
      <c r="J543" t="s">
        <v>1164</v>
      </c>
      <c r="K543">
        <v>1</v>
      </c>
      <c r="L543" t="s">
        <v>1163</v>
      </c>
      <c r="M543">
        <f t="shared" si="27"/>
        <v>2900000</v>
      </c>
      <c r="N543" t="s">
        <v>1165</v>
      </c>
      <c r="O543" t="str">
        <f t="shared" si="26"/>
        <v>[{"id":14,"num":60},{"id":2,"num":2500000},{"id":1,"num":2900000}]</v>
      </c>
    </row>
    <row r="544" spans="1:15" ht="16.5" x14ac:dyDescent="0.15">
      <c r="A544" s="3">
        <f>Sheet1!A546</f>
        <v>1414023</v>
      </c>
      <c r="B544" t="s">
        <v>1162</v>
      </c>
      <c r="C544">
        <v>14</v>
      </c>
      <c r="D544" t="s">
        <v>1163</v>
      </c>
      <c r="E544">
        <v>60</v>
      </c>
      <c r="F544" t="s">
        <v>1164</v>
      </c>
      <c r="G544">
        <v>2</v>
      </c>
      <c r="H544" t="s">
        <v>1163</v>
      </c>
      <c r="I544">
        <v>2500000</v>
      </c>
      <c r="J544" t="s">
        <v>1164</v>
      </c>
      <c r="K544">
        <v>1</v>
      </c>
      <c r="L544" t="s">
        <v>1163</v>
      </c>
      <c r="M544">
        <f t="shared" si="27"/>
        <v>2900000</v>
      </c>
      <c r="N544" t="s">
        <v>1165</v>
      </c>
      <c r="O544" t="str">
        <f t="shared" si="26"/>
        <v>[{"id":14,"num":60},{"id":2,"num":2500000},{"id":1,"num":2900000}]</v>
      </c>
    </row>
    <row r="545" spans="1:15" ht="16.5" x14ac:dyDescent="0.15">
      <c r="A545" s="3">
        <f>Sheet1!A547</f>
        <v>1414024</v>
      </c>
      <c r="B545" t="s">
        <v>1162</v>
      </c>
      <c r="C545">
        <v>14</v>
      </c>
      <c r="D545" t="s">
        <v>1163</v>
      </c>
      <c r="E545">
        <v>60</v>
      </c>
      <c r="F545" t="s">
        <v>1164</v>
      </c>
      <c r="G545">
        <v>2</v>
      </c>
      <c r="H545" t="s">
        <v>1163</v>
      </c>
      <c r="I545">
        <v>2500000</v>
      </c>
      <c r="J545" t="s">
        <v>1164</v>
      </c>
      <c r="K545">
        <v>1</v>
      </c>
      <c r="L545" t="s">
        <v>1163</v>
      </c>
      <c r="M545">
        <f t="shared" si="27"/>
        <v>2900000</v>
      </c>
      <c r="N545" t="s">
        <v>1165</v>
      </c>
      <c r="O545" t="str">
        <f t="shared" si="26"/>
        <v>[{"id":14,"num":60},{"id":2,"num":2500000},{"id":1,"num":2900000}]</v>
      </c>
    </row>
    <row r="546" spans="1:15" ht="16.5" x14ac:dyDescent="0.15">
      <c r="A546" s="3">
        <f>Sheet1!A548</f>
        <v>1414025</v>
      </c>
      <c r="B546" t="s">
        <v>1162</v>
      </c>
      <c r="C546">
        <v>14</v>
      </c>
      <c r="D546" t="s">
        <v>1163</v>
      </c>
      <c r="E546">
        <v>60</v>
      </c>
      <c r="F546" t="s">
        <v>1164</v>
      </c>
      <c r="G546">
        <v>2</v>
      </c>
      <c r="H546" t="s">
        <v>1163</v>
      </c>
      <c r="I546">
        <v>2500000</v>
      </c>
      <c r="J546" t="s">
        <v>1164</v>
      </c>
      <c r="K546">
        <v>1</v>
      </c>
      <c r="L546" t="s">
        <v>1163</v>
      </c>
      <c r="M546">
        <f t="shared" si="27"/>
        <v>2900000</v>
      </c>
      <c r="N546" t="s">
        <v>1165</v>
      </c>
      <c r="O546" t="str">
        <f t="shared" ref="O546:O609" si="28">_xlfn.TEXTJOIN(,TRUE,B546:N546)</f>
        <v>[{"id":14,"num":60},{"id":2,"num":2500000},{"id":1,"num":2900000}]</v>
      </c>
    </row>
    <row r="547" spans="1:15" ht="16.5" x14ac:dyDescent="0.15">
      <c r="A547" s="3">
        <f>Sheet1!A549</f>
        <v>1414026</v>
      </c>
      <c r="B547" t="s">
        <v>1162</v>
      </c>
      <c r="C547">
        <v>14</v>
      </c>
      <c r="D547" t="s">
        <v>1163</v>
      </c>
      <c r="E547">
        <v>60</v>
      </c>
      <c r="F547" t="s">
        <v>1164</v>
      </c>
      <c r="G547">
        <v>2</v>
      </c>
      <c r="H547" t="s">
        <v>1163</v>
      </c>
      <c r="I547">
        <v>2500000</v>
      </c>
      <c r="J547" t="s">
        <v>1164</v>
      </c>
      <c r="K547">
        <v>1</v>
      </c>
      <c r="L547" t="s">
        <v>1163</v>
      </c>
      <c r="M547">
        <f t="shared" ref="M547:M610" si="29">M507+200000</f>
        <v>2900000</v>
      </c>
      <c r="N547" t="s">
        <v>1165</v>
      </c>
      <c r="O547" t="str">
        <f t="shared" si="28"/>
        <v>[{"id":14,"num":60},{"id":2,"num":2500000},{"id":1,"num":2900000}]</v>
      </c>
    </row>
    <row r="548" spans="1:15" ht="16.5" x14ac:dyDescent="0.15">
      <c r="A548" s="3">
        <f>Sheet1!A550</f>
        <v>1414027</v>
      </c>
      <c r="B548" t="s">
        <v>1162</v>
      </c>
      <c r="C548">
        <v>14</v>
      </c>
      <c r="D548" t="s">
        <v>1163</v>
      </c>
      <c r="E548">
        <v>60</v>
      </c>
      <c r="F548" t="s">
        <v>1164</v>
      </c>
      <c r="G548">
        <v>2</v>
      </c>
      <c r="H548" t="s">
        <v>1163</v>
      </c>
      <c r="I548">
        <v>2500000</v>
      </c>
      <c r="J548" t="s">
        <v>1164</v>
      </c>
      <c r="K548">
        <v>1</v>
      </c>
      <c r="L548" t="s">
        <v>1163</v>
      </c>
      <c r="M548">
        <f t="shared" si="29"/>
        <v>2900000</v>
      </c>
      <c r="N548" t="s">
        <v>1165</v>
      </c>
      <c r="O548" t="str">
        <f t="shared" si="28"/>
        <v>[{"id":14,"num":60},{"id":2,"num":2500000},{"id":1,"num":2900000}]</v>
      </c>
    </row>
    <row r="549" spans="1:15" ht="16.5" x14ac:dyDescent="0.15">
      <c r="A549" s="3">
        <f>Sheet1!A551</f>
        <v>1414028</v>
      </c>
      <c r="B549" t="s">
        <v>1162</v>
      </c>
      <c r="C549">
        <v>14</v>
      </c>
      <c r="D549" t="s">
        <v>1163</v>
      </c>
      <c r="E549">
        <v>60</v>
      </c>
      <c r="F549" t="s">
        <v>1164</v>
      </c>
      <c r="G549">
        <v>2</v>
      </c>
      <c r="H549" t="s">
        <v>1163</v>
      </c>
      <c r="I549">
        <v>2500000</v>
      </c>
      <c r="J549" t="s">
        <v>1164</v>
      </c>
      <c r="K549">
        <v>1</v>
      </c>
      <c r="L549" t="s">
        <v>1163</v>
      </c>
      <c r="M549">
        <f t="shared" si="29"/>
        <v>2900000</v>
      </c>
      <c r="N549" t="s">
        <v>1165</v>
      </c>
      <c r="O549" t="str">
        <f t="shared" si="28"/>
        <v>[{"id":14,"num":60},{"id":2,"num":2500000},{"id":1,"num":2900000}]</v>
      </c>
    </row>
    <row r="550" spans="1:15" ht="16.5" x14ac:dyDescent="0.15">
      <c r="A550" s="3">
        <f>Sheet1!A552</f>
        <v>1414029</v>
      </c>
      <c r="B550" t="s">
        <v>1162</v>
      </c>
      <c r="C550">
        <v>14</v>
      </c>
      <c r="D550" t="s">
        <v>1163</v>
      </c>
      <c r="E550">
        <v>60</v>
      </c>
      <c r="F550" t="s">
        <v>1164</v>
      </c>
      <c r="G550">
        <v>2</v>
      </c>
      <c r="H550" t="s">
        <v>1163</v>
      </c>
      <c r="I550">
        <v>2500000</v>
      </c>
      <c r="J550" t="s">
        <v>1164</v>
      </c>
      <c r="K550">
        <v>1</v>
      </c>
      <c r="L550" t="s">
        <v>1163</v>
      </c>
      <c r="M550">
        <f t="shared" si="29"/>
        <v>2900000</v>
      </c>
      <c r="N550" t="s">
        <v>1165</v>
      </c>
      <c r="O550" t="str">
        <f t="shared" si="28"/>
        <v>[{"id":14,"num":60},{"id":2,"num":2500000},{"id":1,"num":2900000}]</v>
      </c>
    </row>
    <row r="551" spans="1:15" ht="16.5" x14ac:dyDescent="0.15">
      <c r="A551" s="3">
        <f>Sheet1!A553</f>
        <v>1414030</v>
      </c>
      <c r="B551" t="s">
        <v>1162</v>
      </c>
      <c r="C551">
        <v>14</v>
      </c>
      <c r="D551" t="s">
        <v>1163</v>
      </c>
      <c r="E551">
        <v>60</v>
      </c>
      <c r="F551" t="s">
        <v>1164</v>
      </c>
      <c r="G551">
        <v>2</v>
      </c>
      <c r="H551" t="s">
        <v>1163</v>
      </c>
      <c r="I551">
        <v>2500000</v>
      </c>
      <c r="J551" t="s">
        <v>1164</v>
      </c>
      <c r="K551">
        <v>1</v>
      </c>
      <c r="L551" t="s">
        <v>1163</v>
      </c>
      <c r="M551">
        <f t="shared" si="29"/>
        <v>2900000</v>
      </c>
      <c r="N551" t="s">
        <v>1165</v>
      </c>
      <c r="O551" t="str">
        <f t="shared" si="28"/>
        <v>[{"id":14,"num":60},{"id":2,"num":2500000},{"id":1,"num":2900000}]</v>
      </c>
    </row>
    <row r="552" spans="1:15" ht="16.5" x14ac:dyDescent="0.15">
      <c r="A552" s="3">
        <f>Sheet1!A554</f>
        <v>1414031</v>
      </c>
      <c r="B552" t="s">
        <v>1162</v>
      </c>
      <c r="C552">
        <v>14</v>
      </c>
      <c r="D552" t="s">
        <v>1163</v>
      </c>
      <c r="E552">
        <v>60</v>
      </c>
      <c r="F552" t="s">
        <v>1164</v>
      </c>
      <c r="G552">
        <v>2</v>
      </c>
      <c r="H552" t="s">
        <v>1163</v>
      </c>
      <c r="I552">
        <v>2500000</v>
      </c>
      <c r="J552" t="s">
        <v>1164</v>
      </c>
      <c r="K552">
        <v>1</v>
      </c>
      <c r="L552" t="s">
        <v>1163</v>
      </c>
      <c r="M552">
        <f t="shared" si="29"/>
        <v>2900000</v>
      </c>
      <c r="N552" t="s">
        <v>1165</v>
      </c>
      <c r="O552" t="str">
        <f t="shared" si="28"/>
        <v>[{"id":14,"num":60},{"id":2,"num":2500000},{"id":1,"num":2900000}]</v>
      </c>
    </row>
    <row r="553" spans="1:15" ht="16.5" x14ac:dyDescent="0.15">
      <c r="A553" s="3">
        <f>Sheet1!A555</f>
        <v>1414032</v>
      </c>
      <c r="B553" t="s">
        <v>1162</v>
      </c>
      <c r="C553">
        <v>14</v>
      </c>
      <c r="D553" t="s">
        <v>1163</v>
      </c>
      <c r="E553">
        <v>60</v>
      </c>
      <c r="F553" t="s">
        <v>1164</v>
      </c>
      <c r="G553">
        <v>2</v>
      </c>
      <c r="H553" t="s">
        <v>1163</v>
      </c>
      <c r="I553">
        <v>2500000</v>
      </c>
      <c r="J553" t="s">
        <v>1164</v>
      </c>
      <c r="K553">
        <v>1</v>
      </c>
      <c r="L553" t="s">
        <v>1163</v>
      </c>
      <c r="M553">
        <f t="shared" si="29"/>
        <v>2900000</v>
      </c>
      <c r="N553" t="s">
        <v>1165</v>
      </c>
      <c r="O553" t="str">
        <f t="shared" si="28"/>
        <v>[{"id":14,"num":60},{"id":2,"num":2500000},{"id":1,"num":2900000}]</v>
      </c>
    </row>
    <row r="554" spans="1:15" ht="16.5" x14ac:dyDescent="0.15">
      <c r="A554" s="3">
        <f>Sheet1!A556</f>
        <v>1414033</v>
      </c>
      <c r="B554" t="s">
        <v>1162</v>
      </c>
      <c r="C554">
        <v>14</v>
      </c>
      <c r="D554" t="s">
        <v>1163</v>
      </c>
      <c r="E554">
        <v>60</v>
      </c>
      <c r="F554" t="s">
        <v>1164</v>
      </c>
      <c r="G554">
        <v>2</v>
      </c>
      <c r="H554" t="s">
        <v>1163</v>
      </c>
      <c r="I554">
        <v>2500000</v>
      </c>
      <c r="J554" t="s">
        <v>1164</v>
      </c>
      <c r="K554">
        <v>1</v>
      </c>
      <c r="L554" t="s">
        <v>1163</v>
      </c>
      <c r="M554">
        <f t="shared" si="29"/>
        <v>2900000</v>
      </c>
      <c r="N554" t="s">
        <v>1165</v>
      </c>
      <c r="O554" t="str">
        <f t="shared" si="28"/>
        <v>[{"id":14,"num":60},{"id":2,"num":2500000},{"id":1,"num":2900000}]</v>
      </c>
    </row>
    <row r="555" spans="1:15" ht="16.5" x14ac:dyDescent="0.15">
      <c r="A555" s="3">
        <f>Sheet1!A557</f>
        <v>1414034</v>
      </c>
      <c r="B555" t="s">
        <v>1162</v>
      </c>
      <c r="C555">
        <v>14</v>
      </c>
      <c r="D555" t="s">
        <v>1163</v>
      </c>
      <c r="E555">
        <v>60</v>
      </c>
      <c r="F555" t="s">
        <v>1164</v>
      </c>
      <c r="G555">
        <v>2</v>
      </c>
      <c r="H555" t="s">
        <v>1163</v>
      </c>
      <c r="I555">
        <v>2500000</v>
      </c>
      <c r="J555" t="s">
        <v>1164</v>
      </c>
      <c r="K555">
        <v>1</v>
      </c>
      <c r="L555" t="s">
        <v>1163</v>
      </c>
      <c r="M555">
        <f t="shared" si="29"/>
        <v>2900000</v>
      </c>
      <c r="N555" t="s">
        <v>1165</v>
      </c>
      <c r="O555" t="str">
        <f t="shared" si="28"/>
        <v>[{"id":14,"num":60},{"id":2,"num":2500000},{"id":1,"num":2900000}]</v>
      </c>
    </row>
    <row r="556" spans="1:15" ht="16.5" x14ac:dyDescent="0.15">
      <c r="A556" s="3">
        <f>Sheet1!A558</f>
        <v>1414035</v>
      </c>
      <c r="B556" t="s">
        <v>1162</v>
      </c>
      <c r="C556">
        <v>14</v>
      </c>
      <c r="D556" t="s">
        <v>1163</v>
      </c>
      <c r="E556">
        <v>60</v>
      </c>
      <c r="F556" t="s">
        <v>1164</v>
      </c>
      <c r="G556">
        <v>2</v>
      </c>
      <c r="H556" t="s">
        <v>1163</v>
      </c>
      <c r="I556">
        <v>2500000</v>
      </c>
      <c r="J556" t="s">
        <v>1164</v>
      </c>
      <c r="K556">
        <v>1</v>
      </c>
      <c r="L556" t="s">
        <v>1163</v>
      </c>
      <c r="M556">
        <f t="shared" si="29"/>
        <v>2900000</v>
      </c>
      <c r="N556" t="s">
        <v>1165</v>
      </c>
      <c r="O556" t="str">
        <f t="shared" si="28"/>
        <v>[{"id":14,"num":60},{"id":2,"num":2500000},{"id":1,"num":2900000}]</v>
      </c>
    </row>
    <row r="557" spans="1:15" ht="16.5" x14ac:dyDescent="0.15">
      <c r="A557" s="3">
        <f>Sheet1!A559</f>
        <v>1414036</v>
      </c>
      <c r="B557" t="s">
        <v>1162</v>
      </c>
      <c r="C557">
        <v>14</v>
      </c>
      <c r="D557" t="s">
        <v>1163</v>
      </c>
      <c r="E557">
        <v>60</v>
      </c>
      <c r="F557" t="s">
        <v>1164</v>
      </c>
      <c r="G557">
        <v>2</v>
      </c>
      <c r="H557" t="s">
        <v>1163</v>
      </c>
      <c r="I557">
        <v>2500000</v>
      </c>
      <c r="J557" t="s">
        <v>1164</v>
      </c>
      <c r="K557">
        <v>1</v>
      </c>
      <c r="L557" t="s">
        <v>1163</v>
      </c>
      <c r="M557">
        <f t="shared" si="29"/>
        <v>2900000</v>
      </c>
      <c r="N557" t="s">
        <v>1165</v>
      </c>
      <c r="O557" t="str">
        <f t="shared" si="28"/>
        <v>[{"id":14,"num":60},{"id":2,"num":2500000},{"id":1,"num":2900000}]</v>
      </c>
    </row>
    <row r="558" spans="1:15" ht="16.5" x14ac:dyDescent="0.15">
      <c r="A558" s="3">
        <f>Sheet1!A560</f>
        <v>1414037</v>
      </c>
      <c r="B558" t="s">
        <v>1162</v>
      </c>
      <c r="C558">
        <v>14</v>
      </c>
      <c r="D558" t="s">
        <v>1163</v>
      </c>
      <c r="E558">
        <v>60</v>
      </c>
      <c r="F558" t="s">
        <v>1164</v>
      </c>
      <c r="G558">
        <v>2</v>
      </c>
      <c r="H558" t="s">
        <v>1163</v>
      </c>
      <c r="I558">
        <v>2500000</v>
      </c>
      <c r="J558" t="s">
        <v>1164</v>
      </c>
      <c r="K558">
        <v>1</v>
      </c>
      <c r="L558" t="s">
        <v>1163</v>
      </c>
      <c r="M558">
        <f t="shared" si="29"/>
        <v>2900000</v>
      </c>
      <c r="N558" t="s">
        <v>1165</v>
      </c>
      <c r="O558" t="str">
        <f t="shared" si="28"/>
        <v>[{"id":14,"num":60},{"id":2,"num":2500000},{"id":1,"num":2900000}]</v>
      </c>
    </row>
    <row r="559" spans="1:15" ht="16.5" x14ac:dyDescent="0.15">
      <c r="A559" s="3">
        <f>Sheet1!A561</f>
        <v>1414038</v>
      </c>
      <c r="B559" t="s">
        <v>1162</v>
      </c>
      <c r="C559">
        <v>14</v>
      </c>
      <c r="D559" t="s">
        <v>1163</v>
      </c>
      <c r="E559">
        <v>60</v>
      </c>
      <c r="F559" t="s">
        <v>1164</v>
      </c>
      <c r="G559">
        <v>2</v>
      </c>
      <c r="H559" t="s">
        <v>1163</v>
      </c>
      <c r="I559">
        <v>2500000</v>
      </c>
      <c r="J559" t="s">
        <v>1164</v>
      </c>
      <c r="K559">
        <v>1</v>
      </c>
      <c r="L559" t="s">
        <v>1163</v>
      </c>
      <c r="M559">
        <f t="shared" si="29"/>
        <v>2900000</v>
      </c>
      <c r="N559" t="s">
        <v>1165</v>
      </c>
      <c r="O559" t="str">
        <f t="shared" si="28"/>
        <v>[{"id":14,"num":60},{"id":2,"num":2500000},{"id":1,"num":2900000}]</v>
      </c>
    </row>
    <row r="560" spans="1:15" ht="16.5" x14ac:dyDescent="0.15">
      <c r="A560" s="3">
        <f>Sheet1!A562</f>
        <v>1414039</v>
      </c>
      <c r="B560" t="s">
        <v>1162</v>
      </c>
      <c r="C560">
        <v>14</v>
      </c>
      <c r="D560" t="s">
        <v>1163</v>
      </c>
      <c r="E560">
        <v>60</v>
      </c>
      <c r="F560" t="s">
        <v>1164</v>
      </c>
      <c r="G560">
        <v>2</v>
      </c>
      <c r="H560" t="s">
        <v>1163</v>
      </c>
      <c r="I560">
        <v>2500000</v>
      </c>
      <c r="J560" t="s">
        <v>1164</v>
      </c>
      <c r="K560">
        <v>1</v>
      </c>
      <c r="L560" t="s">
        <v>1163</v>
      </c>
      <c r="M560">
        <f t="shared" si="29"/>
        <v>2900000</v>
      </c>
      <c r="N560" t="s">
        <v>1165</v>
      </c>
      <c r="O560" t="str">
        <f t="shared" si="28"/>
        <v>[{"id":14,"num":60},{"id":2,"num":2500000},{"id":1,"num":2900000}]</v>
      </c>
    </row>
    <row r="561" spans="1:15" ht="16.5" x14ac:dyDescent="0.15">
      <c r="A561" s="3">
        <f>Sheet1!A563</f>
        <v>1414040</v>
      </c>
      <c r="B561" t="s">
        <v>1162</v>
      </c>
      <c r="C561">
        <v>14</v>
      </c>
      <c r="D561" t="s">
        <v>1163</v>
      </c>
      <c r="E561">
        <v>60</v>
      </c>
      <c r="F561" t="s">
        <v>1164</v>
      </c>
      <c r="G561">
        <v>2</v>
      </c>
      <c r="H561" t="s">
        <v>1163</v>
      </c>
      <c r="I561">
        <v>2500000</v>
      </c>
      <c r="J561" t="s">
        <v>1164</v>
      </c>
      <c r="K561">
        <v>1</v>
      </c>
      <c r="L561" t="s">
        <v>1163</v>
      </c>
      <c r="M561">
        <f t="shared" si="29"/>
        <v>2900000</v>
      </c>
      <c r="N561" t="s">
        <v>1165</v>
      </c>
      <c r="O561" t="str">
        <f t="shared" si="28"/>
        <v>[{"id":14,"num":60},{"id":2,"num":2500000},{"id":1,"num":2900000}]</v>
      </c>
    </row>
    <row r="562" spans="1:15" ht="16.5" x14ac:dyDescent="0.15">
      <c r="A562" s="3">
        <f>Sheet1!A564</f>
        <v>1415001</v>
      </c>
      <c r="B562" t="s">
        <v>1162</v>
      </c>
      <c r="C562">
        <v>14</v>
      </c>
      <c r="D562" t="s">
        <v>1163</v>
      </c>
      <c r="E562">
        <v>60</v>
      </c>
      <c r="F562" t="s">
        <v>1164</v>
      </c>
      <c r="G562">
        <v>2</v>
      </c>
      <c r="H562" t="s">
        <v>1163</v>
      </c>
      <c r="I562">
        <v>2500000</v>
      </c>
      <c r="J562" t="s">
        <v>1164</v>
      </c>
      <c r="K562">
        <v>1</v>
      </c>
      <c r="L562" t="s">
        <v>1163</v>
      </c>
      <c r="M562">
        <f t="shared" si="29"/>
        <v>3100000</v>
      </c>
      <c r="N562" t="s">
        <v>1165</v>
      </c>
      <c r="O562" t="str">
        <f t="shared" si="28"/>
        <v>[{"id":14,"num":60},{"id":2,"num":2500000},{"id":1,"num":3100000}]</v>
      </c>
    </row>
    <row r="563" spans="1:15" ht="16.5" x14ac:dyDescent="0.15">
      <c r="A563" s="3">
        <f>Sheet1!A565</f>
        <v>1415002</v>
      </c>
      <c r="B563" t="s">
        <v>1162</v>
      </c>
      <c r="C563">
        <v>14</v>
      </c>
      <c r="D563" t="s">
        <v>1163</v>
      </c>
      <c r="E563">
        <v>60</v>
      </c>
      <c r="F563" t="s">
        <v>1164</v>
      </c>
      <c r="G563">
        <v>2</v>
      </c>
      <c r="H563" t="s">
        <v>1163</v>
      </c>
      <c r="I563">
        <v>2500000</v>
      </c>
      <c r="J563" t="s">
        <v>1164</v>
      </c>
      <c r="K563">
        <v>1</v>
      </c>
      <c r="L563" t="s">
        <v>1163</v>
      </c>
      <c r="M563">
        <f t="shared" si="29"/>
        <v>3100000</v>
      </c>
      <c r="N563" t="s">
        <v>1165</v>
      </c>
      <c r="O563" t="str">
        <f t="shared" si="28"/>
        <v>[{"id":14,"num":60},{"id":2,"num":2500000},{"id":1,"num":3100000}]</v>
      </c>
    </row>
    <row r="564" spans="1:15" ht="16.5" x14ac:dyDescent="0.15">
      <c r="A564" s="3">
        <f>Sheet1!A566</f>
        <v>1415003</v>
      </c>
      <c r="B564" t="s">
        <v>1162</v>
      </c>
      <c r="C564">
        <v>14</v>
      </c>
      <c r="D564" t="s">
        <v>1163</v>
      </c>
      <c r="E564">
        <v>60</v>
      </c>
      <c r="F564" t="s">
        <v>1164</v>
      </c>
      <c r="G564">
        <v>2</v>
      </c>
      <c r="H564" t="s">
        <v>1163</v>
      </c>
      <c r="I564">
        <v>2500000</v>
      </c>
      <c r="J564" t="s">
        <v>1164</v>
      </c>
      <c r="K564">
        <v>1</v>
      </c>
      <c r="L564" t="s">
        <v>1163</v>
      </c>
      <c r="M564">
        <f t="shared" si="29"/>
        <v>3100000</v>
      </c>
      <c r="N564" t="s">
        <v>1165</v>
      </c>
      <c r="O564" t="str">
        <f t="shared" si="28"/>
        <v>[{"id":14,"num":60},{"id":2,"num":2500000},{"id":1,"num":3100000}]</v>
      </c>
    </row>
    <row r="565" spans="1:15" ht="16.5" x14ac:dyDescent="0.15">
      <c r="A565" s="3">
        <f>Sheet1!A567</f>
        <v>1415004</v>
      </c>
      <c r="B565" t="s">
        <v>1162</v>
      </c>
      <c r="C565">
        <v>14</v>
      </c>
      <c r="D565" t="s">
        <v>1163</v>
      </c>
      <c r="E565">
        <v>60</v>
      </c>
      <c r="F565" t="s">
        <v>1164</v>
      </c>
      <c r="G565">
        <v>2</v>
      </c>
      <c r="H565" t="s">
        <v>1163</v>
      </c>
      <c r="I565">
        <v>2500000</v>
      </c>
      <c r="J565" t="s">
        <v>1164</v>
      </c>
      <c r="K565">
        <v>1</v>
      </c>
      <c r="L565" t="s">
        <v>1163</v>
      </c>
      <c r="M565">
        <f t="shared" si="29"/>
        <v>3100000</v>
      </c>
      <c r="N565" t="s">
        <v>1165</v>
      </c>
      <c r="O565" t="str">
        <f t="shared" si="28"/>
        <v>[{"id":14,"num":60},{"id":2,"num":2500000},{"id":1,"num":3100000}]</v>
      </c>
    </row>
    <row r="566" spans="1:15" ht="16.5" x14ac:dyDescent="0.15">
      <c r="A566" s="3">
        <f>Sheet1!A568</f>
        <v>1415005</v>
      </c>
      <c r="B566" t="s">
        <v>1162</v>
      </c>
      <c r="C566">
        <v>14</v>
      </c>
      <c r="D566" t="s">
        <v>1163</v>
      </c>
      <c r="E566">
        <v>60</v>
      </c>
      <c r="F566" t="s">
        <v>1164</v>
      </c>
      <c r="G566">
        <v>2</v>
      </c>
      <c r="H566" t="s">
        <v>1163</v>
      </c>
      <c r="I566">
        <v>2500000</v>
      </c>
      <c r="J566" t="s">
        <v>1164</v>
      </c>
      <c r="K566">
        <v>1</v>
      </c>
      <c r="L566" t="s">
        <v>1163</v>
      </c>
      <c r="M566">
        <f t="shared" si="29"/>
        <v>3100000</v>
      </c>
      <c r="N566" t="s">
        <v>1165</v>
      </c>
      <c r="O566" t="str">
        <f t="shared" si="28"/>
        <v>[{"id":14,"num":60},{"id":2,"num":2500000},{"id":1,"num":3100000}]</v>
      </c>
    </row>
    <row r="567" spans="1:15" ht="16.5" x14ac:dyDescent="0.15">
      <c r="A567" s="3">
        <f>Sheet1!A569</f>
        <v>1415006</v>
      </c>
      <c r="B567" t="s">
        <v>1162</v>
      </c>
      <c r="C567">
        <v>14</v>
      </c>
      <c r="D567" t="s">
        <v>1163</v>
      </c>
      <c r="E567">
        <v>60</v>
      </c>
      <c r="F567" t="s">
        <v>1164</v>
      </c>
      <c r="G567">
        <v>2</v>
      </c>
      <c r="H567" t="s">
        <v>1163</v>
      </c>
      <c r="I567">
        <v>2500000</v>
      </c>
      <c r="J567" t="s">
        <v>1164</v>
      </c>
      <c r="K567">
        <v>1</v>
      </c>
      <c r="L567" t="s">
        <v>1163</v>
      </c>
      <c r="M567">
        <f t="shared" si="29"/>
        <v>3100000</v>
      </c>
      <c r="N567" t="s">
        <v>1165</v>
      </c>
      <c r="O567" t="str">
        <f t="shared" si="28"/>
        <v>[{"id":14,"num":60},{"id":2,"num":2500000},{"id":1,"num":3100000}]</v>
      </c>
    </row>
    <row r="568" spans="1:15" ht="16.5" x14ac:dyDescent="0.15">
      <c r="A568" s="3">
        <f>Sheet1!A570</f>
        <v>1415007</v>
      </c>
      <c r="B568" t="s">
        <v>1162</v>
      </c>
      <c r="C568">
        <v>14</v>
      </c>
      <c r="D568" t="s">
        <v>1163</v>
      </c>
      <c r="E568">
        <v>60</v>
      </c>
      <c r="F568" t="s">
        <v>1164</v>
      </c>
      <c r="G568">
        <v>2</v>
      </c>
      <c r="H568" t="s">
        <v>1163</v>
      </c>
      <c r="I568">
        <v>2500000</v>
      </c>
      <c r="J568" t="s">
        <v>1164</v>
      </c>
      <c r="K568">
        <v>1</v>
      </c>
      <c r="L568" t="s">
        <v>1163</v>
      </c>
      <c r="M568">
        <f t="shared" si="29"/>
        <v>3100000</v>
      </c>
      <c r="N568" t="s">
        <v>1165</v>
      </c>
      <c r="O568" t="str">
        <f t="shared" si="28"/>
        <v>[{"id":14,"num":60},{"id":2,"num":2500000},{"id":1,"num":3100000}]</v>
      </c>
    </row>
    <row r="569" spans="1:15" ht="16.5" x14ac:dyDescent="0.15">
      <c r="A569" s="3">
        <f>Sheet1!A571</f>
        <v>1415008</v>
      </c>
      <c r="B569" t="s">
        <v>1162</v>
      </c>
      <c r="C569">
        <v>14</v>
      </c>
      <c r="D569" t="s">
        <v>1163</v>
      </c>
      <c r="E569">
        <v>60</v>
      </c>
      <c r="F569" t="s">
        <v>1164</v>
      </c>
      <c r="G569">
        <v>2</v>
      </c>
      <c r="H569" t="s">
        <v>1163</v>
      </c>
      <c r="I569">
        <v>2500000</v>
      </c>
      <c r="J569" t="s">
        <v>1164</v>
      </c>
      <c r="K569">
        <v>1</v>
      </c>
      <c r="L569" t="s">
        <v>1163</v>
      </c>
      <c r="M569">
        <f t="shared" si="29"/>
        <v>3100000</v>
      </c>
      <c r="N569" t="s">
        <v>1165</v>
      </c>
      <c r="O569" t="str">
        <f t="shared" si="28"/>
        <v>[{"id":14,"num":60},{"id":2,"num":2500000},{"id":1,"num":3100000}]</v>
      </c>
    </row>
    <row r="570" spans="1:15" ht="16.5" x14ac:dyDescent="0.15">
      <c r="A570" s="3">
        <f>Sheet1!A572</f>
        <v>1415009</v>
      </c>
      <c r="B570" t="s">
        <v>1162</v>
      </c>
      <c r="C570">
        <v>14</v>
      </c>
      <c r="D570" t="s">
        <v>1163</v>
      </c>
      <c r="E570">
        <v>60</v>
      </c>
      <c r="F570" t="s">
        <v>1164</v>
      </c>
      <c r="G570">
        <v>2</v>
      </c>
      <c r="H570" t="s">
        <v>1163</v>
      </c>
      <c r="I570">
        <v>2500000</v>
      </c>
      <c r="J570" t="s">
        <v>1164</v>
      </c>
      <c r="K570">
        <v>1</v>
      </c>
      <c r="L570" t="s">
        <v>1163</v>
      </c>
      <c r="M570">
        <f t="shared" si="29"/>
        <v>3100000</v>
      </c>
      <c r="N570" t="s">
        <v>1165</v>
      </c>
      <c r="O570" t="str">
        <f t="shared" si="28"/>
        <v>[{"id":14,"num":60},{"id":2,"num":2500000},{"id":1,"num":3100000}]</v>
      </c>
    </row>
    <row r="571" spans="1:15" ht="16.5" x14ac:dyDescent="0.15">
      <c r="A571" s="3">
        <f>Sheet1!A573</f>
        <v>1415010</v>
      </c>
      <c r="B571" t="s">
        <v>1162</v>
      </c>
      <c r="C571">
        <v>14</v>
      </c>
      <c r="D571" t="s">
        <v>1163</v>
      </c>
      <c r="E571">
        <v>60</v>
      </c>
      <c r="F571" t="s">
        <v>1164</v>
      </c>
      <c r="G571">
        <v>2</v>
      </c>
      <c r="H571" t="s">
        <v>1163</v>
      </c>
      <c r="I571">
        <v>2500000</v>
      </c>
      <c r="J571" t="s">
        <v>1164</v>
      </c>
      <c r="K571">
        <v>1</v>
      </c>
      <c r="L571" t="s">
        <v>1163</v>
      </c>
      <c r="M571">
        <f t="shared" si="29"/>
        <v>3100000</v>
      </c>
      <c r="N571" t="s">
        <v>1165</v>
      </c>
      <c r="O571" t="str">
        <f t="shared" si="28"/>
        <v>[{"id":14,"num":60},{"id":2,"num":2500000},{"id":1,"num":3100000}]</v>
      </c>
    </row>
    <row r="572" spans="1:15" ht="16.5" x14ac:dyDescent="0.15">
      <c r="A572" s="3">
        <f>Sheet1!A574</f>
        <v>1415011</v>
      </c>
      <c r="B572" t="s">
        <v>1162</v>
      </c>
      <c r="C572">
        <v>14</v>
      </c>
      <c r="D572" t="s">
        <v>1163</v>
      </c>
      <c r="E572">
        <v>60</v>
      </c>
      <c r="F572" t="s">
        <v>1164</v>
      </c>
      <c r="G572">
        <v>2</v>
      </c>
      <c r="H572" t="s">
        <v>1163</v>
      </c>
      <c r="I572">
        <v>2500000</v>
      </c>
      <c r="J572" t="s">
        <v>1164</v>
      </c>
      <c r="K572">
        <v>1</v>
      </c>
      <c r="L572" t="s">
        <v>1163</v>
      </c>
      <c r="M572">
        <f t="shared" si="29"/>
        <v>3100000</v>
      </c>
      <c r="N572" t="s">
        <v>1165</v>
      </c>
      <c r="O572" t="str">
        <f t="shared" si="28"/>
        <v>[{"id":14,"num":60},{"id":2,"num":2500000},{"id":1,"num":3100000}]</v>
      </c>
    </row>
    <row r="573" spans="1:15" ht="16.5" x14ac:dyDescent="0.15">
      <c r="A573" s="3">
        <f>Sheet1!A575</f>
        <v>1415012</v>
      </c>
      <c r="B573" t="s">
        <v>1162</v>
      </c>
      <c r="C573">
        <v>14</v>
      </c>
      <c r="D573" t="s">
        <v>1163</v>
      </c>
      <c r="E573">
        <v>60</v>
      </c>
      <c r="F573" t="s">
        <v>1164</v>
      </c>
      <c r="G573">
        <v>2</v>
      </c>
      <c r="H573" t="s">
        <v>1163</v>
      </c>
      <c r="I573">
        <v>2500000</v>
      </c>
      <c r="J573" t="s">
        <v>1164</v>
      </c>
      <c r="K573">
        <v>1</v>
      </c>
      <c r="L573" t="s">
        <v>1163</v>
      </c>
      <c r="M573">
        <f t="shared" si="29"/>
        <v>3100000</v>
      </c>
      <c r="N573" t="s">
        <v>1165</v>
      </c>
      <c r="O573" t="str">
        <f t="shared" si="28"/>
        <v>[{"id":14,"num":60},{"id":2,"num":2500000},{"id":1,"num":3100000}]</v>
      </c>
    </row>
    <row r="574" spans="1:15" ht="16.5" x14ac:dyDescent="0.15">
      <c r="A574" s="3">
        <f>Sheet1!A576</f>
        <v>1415013</v>
      </c>
      <c r="B574" t="s">
        <v>1162</v>
      </c>
      <c r="C574">
        <v>14</v>
      </c>
      <c r="D574" t="s">
        <v>1163</v>
      </c>
      <c r="E574">
        <v>60</v>
      </c>
      <c r="F574" t="s">
        <v>1164</v>
      </c>
      <c r="G574">
        <v>2</v>
      </c>
      <c r="H574" t="s">
        <v>1163</v>
      </c>
      <c r="I574">
        <v>2500000</v>
      </c>
      <c r="J574" t="s">
        <v>1164</v>
      </c>
      <c r="K574">
        <v>1</v>
      </c>
      <c r="L574" t="s">
        <v>1163</v>
      </c>
      <c r="M574">
        <f t="shared" si="29"/>
        <v>3100000</v>
      </c>
      <c r="N574" t="s">
        <v>1165</v>
      </c>
      <c r="O574" t="str">
        <f t="shared" si="28"/>
        <v>[{"id":14,"num":60},{"id":2,"num":2500000},{"id":1,"num":3100000}]</v>
      </c>
    </row>
    <row r="575" spans="1:15" ht="16.5" x14ac:dyDescent="0.15">
      <c r="A575" s="3">
        <f>Sheet1!A577</f>
        <v>1415014</v>
      </c>
      <c r="B575" t="s">
        <v>1162</v>
      </c>
      <c r="C575">
        <v>14</v>
      </c>
      <c r="D575" t="s">
        <v>1163</v>
      </c>
      <c r="E575">
        <v>60</v>
      </c>
      <c r="F575" t="s">
        <v>1164</v>
      </c>
      <c r="G575">
        <v>2</v>
      </c>
      <c r="H575" t="s">
        <v>1163</v>
      </c>
      <c r="I575">
        <v>2500000</v>
      </c>
      <c r="J575" t="s">
        <v>1164</v>
      </c>
      <c r="K575">
        <v>1</v>
      </c>
      <c r="L575" t="s">
        <v>1163</v>
      </c>
      <c r="M575">
        <f t="shared" si="29"/>
        <v>3100000</v>
      </c>
      <c r="N575" t="s">
        <v>1165</v>
      </c>
      <c r="O575" t="str">
        <f t="shared" si="28"/>
        <v>[{"id":14,"num":60},{"id":2,"num":2500000},{"id":1,"num":3100000}]</v>
      </c>
    </row>
    <row r="576" spans="1:15" ht="16.5" x14ac:dyDescent="0.15">
      <c r="A576" s="3">
        <f>Sheet1!A578</f>
        <v>1415015</v>
      </c>
      <c r="B576" t="s">
        <v>1162</v>
      </c>
      <c r="C576">
        <v>14</v>
      </c>
      <c r="D576" t="s">
        <v>1163</v>
      </c>
      <c r="E576">
        <v>60</v>
      </c>
      <c r="F576" t="s">
        <v>1164</v>
      </c>
      <c r="G576">
        <v>2</v>
      </c>
      <c r="H576" t="s">
        <v>1163</v>
      </c>
      <c r="I576">
        <v>2500000</v>
      </c>
      <c r="J576" t="s">
        <v>1164</v>
      </c>
      <c r="K576">
        <v>1</v>
      </c>
      <c r="L576" t="s">
        <v>1163</v>
      </c>
      <c r="M576">
        <f t="shared" si="29"/>
        <v>3100000</v>
      </c>
      <c r="N576" t="s">
        <v>1165</v>
      </c>
      <c r="O576" t="str">
        <f t="shared" si="28"/>
        <v>[{"id":14,"num":60},{"id":2,"num":2500000},{"id":1,"num":3100000}]</v>
      </c>
    </row>
    <row r="577" spans="1:15" ht="16.5" x14ac:dyDescent="0.15">
      <c r="A577" s="3">
        <f>Sheet1!A579</f>
        <v>1415016</v>
      </c>
      <c r="B577" t="s">
        <v>1162</v>
      </c>
      <c r="C577">
        <v>14</v>
      </c>
      <c r="D577" t="s">
        <v>1163</v>
      </c>
      <c r="E577">
        <v>60</v>
      </c>
      <c r="F577" t="s">
        <v>1164</v>
      </c>
      <c r="G577">
        <v>2</v>
      </c>
      <c r="H577" t="s">
        <v>1163</v>
      </c>
      <c r="I577">
        <v>2500000</v>
      </c>
      <c r="J577" t="s">
        <v>1164</v>
      </c>
      <c r="K577">
        <v>1</v>
      </c>
      <c r="L577" t="s">
        <v>1163</v>
      </c>
      <c r="M577">
        <f t="shared" si="29"/>
        <v>3100000</v>
      </c>
      <c r="N577" t="s">
        <v>1165</v>
      </c>
      <c r="O577" t="str">
        <f t="shared" si="28"/>
        <v>[{"id":14,"num":60},{"id":2,"num":2500000},{"id":1,"num":3100000}]</v>
      </c>
    </row>
    <row r="578" spans="1:15" ht="16.5" x14ac:dyDescent="0.15">
      <c r="A578" s="3">
        <f>Sheet1!A580</f>
        <v>1415017</v>
      </c>
      <c r="B578" t="s">
        <v>1162</v>
      </c>
      <c r="C578">
        <v>14</v>
      </c>
      <c r="D578" t="s">
        <v>1163</v>
      </c>
      <c r="E578">
        <v>60</v>
      </c>
      <c r="F578" t="s">
        <v>1164</v>
      </c>
      <c r="G578">
        <v>2</v>
      </c>
      <c r="H578" t="s">
        <v>1163</v>
      </c>
      <c r="I578">
        <v>2500000</v>
      </c>
      <c r="J578" t="s">
        <v>1164</v>
      </c>
      <c r="K578">
        <v>1</v>
      </c>
      <c r="L578" t="s">
        <v>1163</v>
      </c>
      <c r="M578">
        <f t="shared" si="29"/>
        <v>3100000</v>
      </c>
      <c r="N578" t="s">
        <v>1165</v>
      </c>
      <c r="O578" t="str">
        <f t="shared" si="28"/>
        <v>[{"id":14,"num":60},{"id":2,"num":2500000},{"id":1,"num":3100000}]</v>
      </c>
    </row>
    <row r="579" spans="1:15" ht="16.5" x14ac:dyDescent="0.15">
      <c r="A579" s="3">
        <f>Sheet1!A581</f>
        <v>1415018</v>
      </c>
      <c r="B579" t="s">
        <v>1162</v>
      </c>
      <c r="C579">
        <v>14</v>
      </c>
      <c r="D579" t="s">
        <v>1163</v>
      </c>
      <c r="E579">
        <v>60</v>
      </c>
      <c r="F579" t="s">
        <v>1164</v>
      </c>
      <c r="G579">
        <v>2</v>
      </c>
      <c r="H579" t="s">
        <v>1163</v>
      </c>
      <c r="I579">
        <v>2500000</v>
      </c>
      <c r="J579" t="s">
        <v>1164</v>
      </c>
      <c r="K579">
        <v>1</v>
      </c>
      <c r="L579" t="s">
        <v>1163</v>
      </c>
      <c r="M579">
        <f t="shared" si="29"/>
        <v>3100000</v>
      </c>
      <c r="N579" t="s">
        <v>1165</v>
      </c>
      <c r="O579" t="str">
        <f t="shared" si="28"/>
        <v>[{"id":14,"num":60},{"id":2,"num":2500000},{"id":1,"num":3100000}]</v>
      </c>
    </row>
    <row r="580" spans="1:15" ht="16.5" x14ac:dyDescent="0.15">
      <c r="A580" s="3">
        <f>Sheet1!A582</f>
        <v>1415019</v>
      </c>
      <c r="B580" t="s">
        <v>1162</v>
      </c>
      <c r="C580">
        <v>14</v>
      </c>
      <c r="D580" t="s">
        <v>1163</v>
      </c>
      <c r="E580">
        <v>60</v>
      </c>
      <c r="F580" t="s">
        <v>1164</v>
      </c>
      <c r="G580">
        <v>2</v>
      </c>
      <c r="H580" t="s">
        <v>1163</v>
      </c>
      <c r="I580">
        <v>2500000</v>
      </c>
      <c r="J580" t="s">
        <v>1164</v>
      </c>
      <c r="K580">
        <v>1</v>
      </c>
      <c r="L580" t="s">
        <v>1163</v>
      </c>
      <c r="M580">
        <f t="shared" si="29"/>
        <v>3100000</v>
      </c>
      <c r="N580" t="s">
        <v>1165</v>
      </c>
      <c r="O580" t="str">
        <f t="shared" si="28"/>
        <v>[{"id":14,"num":60},{"id":2,"num":2500000},{"id":1,"num":3100000}]</v>
      </c>
    </row>
    <row r="581" spans="1:15" ht="16.5" x14ac:dyDescent="0.15">
      <c r="A581" s="3">
        <f>Sheet1!A583</f>
        <v>1415020</v>
      </c>
      <c r="B581" t="s">
        <v>1162</v>
      </c>
      <c r="C581">
        <v>14</v>
      </c>
      <c r="D581" t="s">
        <v>1163</v>
      </c>
      <c r="E581">
        <v>60</v>
      </c>
      <c r="F581" t="s">
        <v>1164</v>
      </c>
      <c r="G581">
        <v>2</v>
      </c>
      <c r="H581" t="s">
        <v>1163</v>
      </c>
      <c r="I581">
        <v>2500000</v>
      </c>
      <c r="J581" t="s">
        <v>1164</v>
      </c>
      <c r="K581">
        <v>1</v>
      </c>
      <c r="L581" t="s">
        <v>1163</v>
      </c>
      <c r="M581">
        <f t="shared" si="29"/>
        <v>3100000</v>
      </c>
      <c r="N581" t="s">
        <v>1165</v>
      </c>
      <c r="O581" t="str">
        <f t="shared" si="28"/>
        <v>[{"id":14,"num":60},{"id":2,"num":2500000},{"id":1,"num":3100000}]</v>
      </c>
    </row>
    <row r="582" spans="1:15" ht="16.5" x14ac:dyDescent="0.15">
      <c r="A582" s="3">
        <f>Sheet1!A584</f>
        <v>1415021</v>
      </c>
      <c r="B582" t="s">
        <v>1162</v>
      </c>
      <c r="C582">
        <v>14</v>
      </c>
      <c r="D582" t="s">
        <v>1163</v>
      </c>
      <c r="E582">
        <v>60</v>
      </c>
      <c r="F582" t="s">
        <v>1164</v>
      </c>
      <c r="G582">
        <v>2</v>
      </c>
      <c r="H582" t="s">
        <v>1163</v>
      </c>
      <c r="I582">
        <v>2500000</v>
      </c>
      <c r="J582" t="s">
        <v>1164</v>
      </c>
      <c r="K582">
        <v>1</v>
      </c>
      <c r="L582" t="s">
        <v>1163</v>
      </c>
      <c r="M582">
        <f t="shared" si="29"/>
        <v>3100000</v>
      </c>
      <c r="N582" t="s">
        <v>1165</v>
      </c>
      <c r="O582" t="str">
        <f t="shared" si="28"/>
        <v>[{"id":14,"num":60},{"id":2,"num":2500000},{"id":1,"num":3100000}]</v>
      </c>
    </row>
    <row r="583" spans="1:15" ht="16.5" x14ac:dyDescent="0.15">
      <c r="A583" s="3">
        <f>Sheet1!A585</f>
        <v>1415022</v>
      </c>
      <c r="B583" t="s">
        <v>1162</v>
      </c>
      <c r="C583">
        <v>14</v>
      </c>
      <c r="D583" t="s">
        <v>1163</v>
      </c>
      <c r="E583">
        <v>60</v>
      </c>
      <c r="F583" t="s">
        <v>1164</v>
      </c>
      <c r="G583">
        <v>2</v>
      </c>
      <c r="H583" t="s">
        <v>1163</v>
      </c>
      <c r="I583">
        <v>2500000</v>
      </c>
      <c r="J583" t="s">
        <v>1164</v>
      </c>
      <c r="K583">
        <v>1</v>
      </c>
      <c r="L583" t="s">
        <v>1163</v>
      </c>
      <c r="M583">
        <f t="shared" si="29"/>
        <v>3100000</v>
      </c>
      <c r="N583" t="s">
        <v>1165</v>
      </c>
      <c r="O583" t="str">
        <f t="shared" si="28"/>
        <v>[{"id":14,"num":60},{"id":2,"num":2500000},{"id":1,"num":3100000}]</v>
      </c>
    </row>
    <row r="584" spans="1:15" ht="16.5" x14ac:dyDescent="0.15">
      <c r="A584" s="3">
        <f>Sheet1!A586</f>
        <v>1415023</v>
      </c>
      <c r="B584" t="s">
        <v>1162</v>
      </c>
      <c r="C584">
        <v>14</v>
      </c>
      <c r="D584" t="s">
        <v>1163</v>
      </c>
      <c r="E584">
        <v>60</v>
      </c>
      <c r="F584" t="s">
        <v>1164</v>
      </c>
      <c r="G584">
        <v>2</v>
      </c>
      <c r="H584" t="s">
        <v>1163</v>
      </c>
      <c r="I584">
        <v>2500000</v>
      </c>
      <c r="J584" t="s">
        <v>1164</v>
      </c>
      <c r="K584">
        <v>1</v>
      </c>
      <c r="L584" t="s">
        <v>1163</v>
      </c>
      <c r="M584">
        <f t="shared" si="29"/>
        <v>3100000</v>
      </c>
      <c r="N584" t="s">
        <v>1165</v>
      </c>
      <c r="O584" t="str">
        <f t="shared" si="28"/>
        <v>[{"id":14,"num":60},{"id":2,"num":2500000},{"id":1,"num":3100000}]</v>
      </c>
    </row>
    <row r="585" spans="1:15" ht="16.5" x14ac:dyDescent="0.15">
      <c r="A585" s="3">
        <f>Sheet1!A587</f>
        <v>1415024</v>
      </c>
      <c r="B585" t="s">
        <v>1162</v>
      </c>
      <c r="C585">
        <v>14</v>
      </c>
      <c r="D585" t="s">
        <v>1163</v>
      </c>
      <c r="E585">
        <v>60</v>
      </c>
      <c r="F585" t="s">
        <v>1164</v>
      </c>
      <c r="G585">
        <v>2</v>
      </c>
      <c r="H585" t="s">
        <v>1163</v>
      </c>
      <c r="I585">
        <v>2500000</v>
      </c>
      <c r="J585" t="s">
        <v>1164</v>
      </c>
      <c r="K585">
        <v>1</v>
      </c>
      <c r="L585" t="s">
        <v>1163</v>
      </c>
      <c r="M585">
        <f t="shared" si="29"/>
        <v>3100000</v>
      </c>
      <c r="N585" t="s">
        <v>1165</v>
      </c>
      <c r="O585" t="str">
        <f t="shared" si="28"/>
        <v>[{"id":14,"num":60},{"id":2,"num":2500000},{"id":1,"num":3100000}]</v>
      </c>
    </row>
    <row r="586" spans="1:15" ht="16.5" x14ac:dyDescent="0.15">
      <c r="A586" s="3">
        <f>Sheet1!A588</f>
        <v>1415025</v>
      </c>
      <c r="B586" t="s">
        <v>1162</v>
      </c>
      <c r="C586">
        <v>14</v>
      </c>
      <c r="D586" t="s">
        <v>1163</v>
      </c>
      <c r="E586">
        <v>60</v>
      </c>
      <c r="F586" t="s">
        <v>1164</v>
      </c>
      <c r="G586">
        <v>2</v>
      </c>
      <c r="H586" t="s">
        <v>1163</v>
      </c>
      <c r="I586">
        <v>2500000</v>
      </c>
      <c r="J586" t="s">
        <v>1164</v>
      </c>
      <c r="K586">
        <v>1</v>
      </c>
      <c r="L586" t="s">
        <v>1163</v>
      </c>
      <c r="M586">
        <f t="shared" si="29"/>
        <v>3100000</v>
      </c>
      <c r="N586" t="s">
        <v>1165</v>
      </c>
      <c r="O586" t="str">
        <f t="shared" si="28"/>
        <v>[{"id":14,"num":60},{"id":2,"num":2500000},{"id":1,"num":3100000}]</v>
      </c>
    </row>
    <row r="587" spans="1:15" ht="16.5" x14ac:dyDescent="0.15">
      <c r="A587" s="3">
        <f>Sheet1!A589</f>
        <v>1415026</v>
      </c>
      <c r="B587" t="s">
        <v>1162</v>
      </c>
      <c r="C587">
        <v>14</v>
      </c>
      <c r="D587" t="s">
        <v>1163</v>
      </c>
      <c r="E587">
        <v>60</v>
      </c>
      <c r="F587" t="s">
        <v>1164</v>
      </c>
      <c r="G587">
        <v>2</v>
      </c>
      <c r="H587" t="s">
        <v>1163</v>
      </c>
      <c r="I587">
        <v>2500000</v>
      </c>
      <c r="J587" t="s">
        <v>1164</v>
      </c>
      <c r="K587">
        <v>1</v>
      </c>
      <c r="L587" t="s">
        <v>1163</v>
      </c>
      <c r="M587">
        <f t="shared" si="29"/>
        <v>3100000</v>
      </c>
      <c r="N587" t="s">
        <v>1165</v>
      </c>
      <c r="O587" t="str">
        <f t="shared" si="28"/>
        <v>[{"id":14,"num":60},{"id":2,"num":2500000},{"id":1,"num":3100000}]</v>
      </c>
    </row>
    <row r="588" spans="1:15" ht="16.5" x14ac:dyDescent="0.15">
      <c r="A588" s="3">
        <f>Sheet1!A590</f>
        <v>1415027</v>
      </c>
      <c r="B588" t="s">
        <v>1162</v>
      </c>
      <c r="C588">
        <v>14</v>
      </c>
      <c r="D588" t="s">
        <v>1163</v>
      </c>
      <c r="E588">
        <v>60</v>
      </c>
      <c r="F588" t="s">
        <v>1164</v>
      </c>
      <c r="G588">
        <v>2</v>
      </c>
      <c r="H588" t="s">
        <v>1163</v>
      </c>
      <c r="I588">
        <v>2500000</v>
      </c>
      <c r="J588" t="s">
        <v>1164</v>
      </c>
      <c r="K588">
        <v>1</v>
      </c>
      <c r="L588" t="s">
        <v>1163</v>
      </c>
      <c r="M588">
        <f t="shared" si="29"/>
        <v>3100000</v>
      </c>
      <c r="N588" t="s">
        <v>1165</v>
      </c>
      <c r="O588" t="str">
        <f t="shared" si="28"/>
        <v>[{"id":14,"num":60},{"id":2,"num":2500000},{"id":1,"num":3100000}]</v>
      </c>
    </row>
    <row r="589" spans="1:15" ht="16.5" x14ac:dyDescent="0.15">
      <c r="A589" s="3">
        <f>Sheet1!A591</f>
        <v>1415028</v>
      </c>
      <c r="B589" t="s">
        <v>1162</v>
      </c>
      <c r="C589">
        <v>14</v>
      </c>
      <c r="D589" t="s">
        <v>1163</v>
      </c>
      <c r="E589">
        <v>60</v>
      </c>
      <c r="F589" t="s">
        <v>1164</v>
      </c>
      <c r="G589">
        <v>2</v>
      </c>
      <c r="H589" t="s">
        <v>1163</v>
      </c>
      <c r="I589">
        <v>2500000</v>
      </c>
      <c r="J589" t="s">
        <v>1164</v>
      </c>
      <c r="K589">
        <v>1</v>
      </c>
      <c r="L589" t="s">
        <v>1163</v>
      </c>
      <c r="M589">
        <f t="shared" si="29"/>
        <v>3100000</v>
      </c>
      <c r="N589" t="s">
        <v>1165</v>
      </c>
      <c r="O589" t="str">
        <f t="shared" si="28"/>
        <v>[{"id":14,"num":60},{"id":2,"num":2500000},{"id":1,"num":3100000}]</v>
      </c>
    </row>
    <row r="590" spans="1:15" ht="16.5" x14ac:dyDescent="0.15">
      <c r="A590" s="3">
        <f>Sheet1!A592</f>
        <v>1415029</v>
      </c>
      <c r="B590" t="s">
        <v>1162</v>
      </c>
      <c r="C590">
        <v>14</v>
      </c>
      <c r="D590" t="s">
        <v>1163</v>
      </c>
      <c r="E590">
        <v>60</v>
      </c>
      <c r="F590" t="s">
        <v>1164</v>
      </c>
      <c r="G590">
        <v>2</v>
      </c>
      <c r="H590" t="s">
        <v>1163</v>
      </c>
      <c r="I590">
        <v>2500000</v>
      </c>
      <c r="J590" t="s">
        <v>1164</v>
      </c>
      <c r="K590">
        <v>1</v>
      </c>
      <c r="L590" t="s">
        <v>1163</v>
      </c>
      <c r="M590">
        <f t="shared" si="29"/>
        <v>3100000</v>
      </c>
      <c r="N590" t="s">
        <v>1165</v>
      </c>
      <c r="O590" t="str">
        <f t="shared" si="28"/>
        <v>[{"id":14,"num":60},{"id":2,"num":2500000},{"id":1,"num":3100000}]</v>
      </c>
    </row>
    <row r="591" spans="1:15" ht="16.5" x14ac:dyDescent="0.15">
      <c r="A591" s="3">
        <f>Sheet1!A593</f>
        <v>1415030</v>
      </c>
      <c r="B591" t="s">
        <v>1162</v>
      </c>
      <c r="C591">
        <v>14</v>
      </c>
      <c r="D591" t="s">
        <v>1163</v>
      </c>
      <c r="E591">
        <v>60</v>
      </c>
      <c r="F591" t="s">
        <v>1164</v>
      </c>
      <c r="G591">
        <v>2</v>
      </c>
      <c r="H591" t="s">
        <v>1163</v>
      </c>
      <c r="I591">
        <v>2500000</v>
      </c>
      <c r="J591" t="s">
        <v>1164</v>
      </c>
      <c r="K591">
        <v>1</v>
      </c>
      <c r="L591" t="s">
        <v>1163</v>
      </c>
      <c r="M591">
        <f t="shared" si="29"/>
        <v>3100000</v>
      </c>
      <c r="N591" t="s">
        <v>1165</v>
      </c>
      <c r="O591" t="str">
        <f t="shared" si="28"/>
        <v>[{"id":14,"num":60},{"id":2,"num":2500000},{"id":1,"num":3100000}]</v>
      </c>
    </row>
    <row r="592" spans="1:15" ht="16.5" x14ac:dyDescent="0.15">
      <c r="A592" s="3">
        <f>Sheet1!A594</f>
        <v>1415031</v>
      </c>
      <c r="B592" t="s">
        <v>1162</v>
      </c>
      <c r="C592">
        <v>14</v>
      </c>
      <c r="D592" t="s">
        <v>1163</v>
      </c>
      <c r="E592">
        <v>60</v>
      </c>
      <c r="F592" t="s">
        <v>1164</v>
      </c>
      <c r="G592">
        <v>2</v>
      </c>
      <c r="H592" t="s">
        <v>1163</v>
      </c>
      <c r="I592">
        <v>2500000</v>
      </c>
      <c r="J592" t="s">
        <v>1164</v>
      </c>
      <c r="K592">
        <v>1</v>
      </c>
      <c r="L592" t="s">
        <v>1163</v>
      </c>
      <c r="M592">
        <f t="shared" si="29"/>
        <v>3100000</v>
      </c>
      <c r="N592" t="s">
        <v>1165</v>
      </c>
      <c r="O592" t="str">
        <f t="shared" si="28"/>
        <v>[{"id":14,"num":60},{"id":2,"num":2500000},{"id":1,"num":3100000}]</v>
      </c>
    </row>
    <row r="593" spans="1:15" ht="16.5" x14ac:dyDescent="0.15">
      <c r="A593" s="3">
        <f>Sheet1!A595</f>
        <v>1415032</v>
      </c>
      <c r="B593" t="s">
        <v>1162</v>
      </c>
      <c r="C593">
        <v>14</v>
      </c>
      <c r="D593" t="s">
        <v>1163</v>
      </c>
      <c r="E593">
        <v>60</v>
      </c>
      <c r="F593" t="s">
        <v>1164</v>
      </c>
      <c r="G593">
        <v>2</v>
      </c>
      <c r="H593" t="s">
        <v>1163</v>
      </c>
      <c r="I593">
        <v>2500000</v>
      </c>
      <c r="J593" t="s">
        <v>1164</v>
      </c>
      <c r="K593">
        <v>1</v>
      </c>
      <c r="L593" t="s">
        <v>1163</v>
      </c>
      <c r="M593">
        <f t="shared" si="29"/>
        <v>3100000</v>
      </c>
      <c r="N593" t="s">
        <v>1165</v>
      </c>
      <c r="O593" t="str">
        <f t="shared" si="28"/>
        <v>[{"id":14,"num":60},{"id":2,"num":2500000},{"id":1,"num":3100000}]</v>
      </c>
    </row>
    <row r="594" spans="1:15" ht="16.5" x14ac:dyDescent="0.15">
      <c r="A594" s="3">
        <f>Sheet1!A596</f>
        <v>1415033</v>
      </c>
      <c r="B594" t="s">
        <v>1162</v>
      </c>
      <c r="C594">
        <v>14</v>
      </c>
      <c r="D594" t="s">
        <v>1163</v>
      </c>
      <c r="E594">
        <v>60</v>
      </c>
      <c r="F594" t="s">
        <v>1164</v>
      </c>
      <c r="G594">
        <v>2</v>
      </c>
      <c r="H594" t="s">
        <v>1163</v>
      </c>
      <c r="I594">
        <v>2500000</v>
      </c>
      <c r="J594" t="s">
        <v>1164</v>
      </c>
      <c r="K594">
        <v>1</v>
      </c>
      <c r="L594" t="s">
        <v>1163</v>
      </c>
      <c r="M594">
        <f t="shared" si="29"/>
        <v>3100000</v>
      </c>
      <c r="N594" t="s">
        <v>1165</v>
      </c>
      <c r="O594" t="str">
        <f t="shared" si="28"/>
        <v>[{"id":14,"num":60},{"id":2,"num":2500000},{"id":1,"num":3100000}]</v>
      </c>
    </row>
    <row r="595" spans="1:15" ht="16.5" x14ac:dyDescent="0.15">
      <c r="A595" s="3">
        <f>Sheet1!A597</f>
        <v>1415034</v>
      </c>
      <c r="B595" t="s">
        <v>1162</v>
      </c>
      <c r="C595">
        <v>14</v>
      </c>
      <c r="D595" t="s">
        <v>1163</v>
      </c>
      <c r="E595">
        <v>60</v>
      </c>
      <c r="F595" t="s">
        <v>1164</v>
      </c>
      <c r="G595">
        <v>2</v>
      </c>
      <c r="H595" t="s">
        <v>1163</v>
      </c>
      <c r="I595">
        <v>2500000</v>
      </c>
      <c r="J595" t="s">
        <v>1164</v>
      </c>
      <c r="K595">
        <v>1</v>
      </c>
      <c r="L595" t="s">
        <v>1163</v>
      </c>
      <c r="M595">
        <f t="shared" si="29"/>
        <v>3100000</v>
      </c>
      <c r="N595" t="s">
        <v>1165</v>
      </c>
      <c r="O595" t="str">
        <f t="shared" si="28"/>
        <v>[{"id":14,"num":60},{"id":2,"num":2500000},{"id":1,"num":3100000}]</v>
      </c>
    </row>
    <row r="596" spans="1:15" ht="16.5" x14ac:dyDescent="0.15">
      <c r="A596" s="3">
        <f>Sheet1!A598</f>
        <v>1415035</v>
      </c>
      <c r="B596" t="s">
        <v>1162</v>
      </c>
      <c r="C596">
        <v>14</v>
      </c>
      <c r="D596" t="s">
        <v>1163</v>
      </c>
      <c r="E596">
        <v>60</v>
      </c>
      <c r="F596" t="s">
        <v>1164</v>
      </c>
      <c r="G596">
        <v>2</v>
      </c>
      <c r="H596" t="s">
        <v>1163</v>
      </c>
      <c r="I596">
        <v>2500000</v>
      </c>
      <c r="J596" t="s">
        <v>1164</v>
      </c>
      <c r="K596">
        <v>1</v>
      </c>
      <c r="L596" t="s">
        <v>1163</v>
      </c>
      <c r="M596">
        <f t="shared" si="29"/>
        <v>3100000</v>
      </c>
      <c r="N596" t="s">
        <v>1165</v>
      </c>
      <c r="O596" t="str">
        <f t="shared" si="28"/>
        <v>[{"id":14,"num":60},{"id":2,"num":2500000},{"id":1,"num":3100000}]</v>
      </c>
    </row>
    <row r="597" spans="1:15" ht="16.5" x14ac:dyDescent="0.15">
      <c r="A597" s="3">
        <f>Sheet1!A599</f>
        <v>1415036</v>
      </c>
      <c r="B597" t="s">
        <v>1162</v>
      </c>
      <c r="C597">
        <v>14</v>
      </c>
      <c r="D597" t="s">
        <v>1163</v>
      </c>
      <c r="E597">
        <v>60</v>
      </c>
      <c r="F597" t="s">
        <v>1164</v>
      </c>
      <c r="G597">
        <v>2</v>
      </c>
      <c r="H597" t="s">
        <v>1163</v>
      </c>
      <c r="I597">
        <v>2500000</v>
      </c>
      <c r="J597" t="s">
        <v>1164</v>
      </c>
      <c r="K597">
        <v>1</v>
      </c>
      <c r="L597" t="s">
        <v>1163</v>
      </c>
      <c r="M597">
        <f t="shared" si="29"/>
        <v>3100000</v>
      </c>
      <c r="N597" t="s">
        <v>1165</v>
      </c>
      <c r="O597" t="str">
        <f t="shared" si="28"/>
        <v>[{"id":14,"num":60},{"id":2,"num":2500000},{"id":1,"num":3100000}]</v>
      </c>
    </row>
    <row r="598" spans="1:15" ht="16.5" x14ac:dyDescent="0.15">
      <c r="A598" s="3">
        <f>Sheet1!A600</f>
        <v>1415037</v>
      </c>
      <c r="B598" t="s">
        <v>1162</v>
      </c>
      <c r="C598">
        <v>14</v>
      </c>
      <c r="D598" t="s">
        <v>1163</v>
      </c>
      <c r="E598">
        <v>60</v>
      </c>
      <c r="F598" t="s">
        <v>1164</v>
      </c>
      <c r="G598">
        <v>2</v>
      </c>
      <c r="H598" t="s">
        <v>1163</v>
      </c>
      <c r="I598">
        <v>2500000</v>
      </c>
      <c r="J598" t="s">
        <v>1164</v>
      </c>
      <c r="K598">
        <v>1</v>
      </c>
      <c r="L598" t="s">
        <v>1163</v>
      </c>
      <c r="M598">
        <f t="shared" si="29"/>
        <v>3100000</v>
      </c>
      <c r="N598" t="s">
        <v>1165</v>
      </c>
      <c r="O598" t="str">
        <f t="shared" si="28"/>
        <v>[{"id":14,"num":60},{"id":2,"num":2500000},{"id":1,"num":3100000}]</v>
      </c>
    </row>
    <row r="599" spans="1:15" ht="16.5" x14ac:dyDescent="0.15">
      <c r="A599" s="3">
        <f>Sheet1!A601</f>
        <v>1415038</v>
      </c>
      <c r="B599" t="s">
        <v>1162</v>
      </c>
      <c r="C599">
        <v>14</v>
      </c>
      <c r="D599" t="s">
        <v>1163</v>
      </c>
      <c r="E599">
        <v>60</v>
      </c>
      <c r="F599" t="s">
        <v>1164</v>
      </c>
      <c r="G599">
        <v>2</v>
      </c>
      <c r="H599" t="s">
        <v>1163</v>
      </c>
      <c r="I599">
        <v>2500000</v>
      </c>
      <c r="J599" t="s">
        <v>1164</v>
      </c>
      <c r="K599">
        <v>1</v>
      </c>
      <c r="L599" t="s">
        <v>1163</v>
      </c>
      <c r="M599">
        <f t="shared" si="29"/>
        <v>3100000</v>
      </c>
      <c r="N599" t="s">
        <v>1165</v>
      </c>
      <c r="O599" t="str">
        <f t="shared" si="28"/>
        <v>[{"id":14,"num":60},{"id":2,"num":2500000},{"id":1,"num":3100000}]</v>
      </c>
    </row>
    <row r="600" spans="1:15" ht="16.5" x14ac:dyDescent="0.15">
      <c r="A600" s="3">
        <f>Sheet1!A602</f>
        <v>1415039</v>
      </c>
      <c r="B600" t="s">
        <v>1162</v>
      </c>
      <c r="C600">
        <v>14</v>
      </c>
      <c r="D600" t="s">
        <v>1163</v>
      </c>
      <c r="E600">
        <v>60</v>
      </c>
      <c r="F600" t="s">
        <v>1164</v>
      </c>
      <c r="G600">
        <v>2</v>
      </c>
      <c r="H600" t="s">
        <v>1163</v>
      </c>
      <c r="I600">
        <v>2500000</v>
      </c>
      <c r="J600" t="s">
        <v>1164</v>
      </c>
      <c r="K600">
        <v>1</v>
      </c>
      <c r="L600" t="s">
        <v>1163</v>
      </c>
      <c r="M600">
        <f t="shared" si="29"/>
        <v>3100000</v>
      </c>
      <c r="N600" t="s">
        <v>1165</v>
      </c>
      <c r="O600" t="str">
        <f t="shared" si="28"/>
        <v>[{"id":14,"num":60},{"id":2,"num":2500000},{"id":1,"num":3100000}]</v>
      </c>
    </row>
    <row r="601" spans="1:15" ht="16.5" x14ac:dyDescent="0.15">
      <c r="A601" s="3">
        <f>Sheet1!A603</f>
        <v>1415040</v>
      </c>
      <c r="B601" t="s">
        <v>1162</v>
      </c>
      <c r="C601">
        <v>14</v>
      </c>
      <c r="D601" t="s">
        <v>1163</v>
      </c>
      <c r="E601">
        <v>60</v>
      </c>
      <c r="F601" t="s">
        <v>1164</v>
      </c>
      <c r="G601">
        <v>2</v>
      </c>
      <c r="H601" t="s">
        <v>1163</v>
      </c>
      <c r="I601">
        <v>2500000</v>
      </c>
      <c r="J601" t="s">
        <v>1164</v>
      </c>
      <c r="K601">
        <v>1</v>
      </c>
      <c r="L601" t="s">
        <v>1163</v>
      </c>
      <c r="M601">
        <f t="shared" si="29"/>
        <v>3100000</v>
      </c>
      <c r="N601" t="s">
        <v>1165</v>
      </c>
      <c r="O601" t="str">
        <f t="shared" si="28"/>
        <v>[{"id":14,"num":60},{"id":2,"num":2500000},{"id":1,"num":3100000}]</v>
      </c>
    </row>
    <row r="602" spans="1:15" ht="16.5" x14ac:dyDescent="0.15">
      <c r="A602" s="3">
        <f>Sheet1!A604</f>
        <v>1416001</v>
      </c>
      <c r="B602" t="s">
        <v>1162</v>
      </c>
      <c r="C602">
        <v>14</v>
      </c>
      <c r="D602" t="s">
        <v>1163</v>
      </c>
      <c r="E602">
        <v>60</v>
      </c>
      <c r="F602" t="s">
        <v>1164</v>
      </c>
      <c r="G602">
        <v>2</v>
      </c>
      <c r="H602" t="s">
        <v>1163</v>
      </c>
      <c r="I602">
        <v>2500000</v>
      </c>
      <c r="J602" t="s">
        <v>1164</v>
      </c>
      <c r="K602">
        <v>1</v>
      </c>
      <c r="L602" t="s">
        <v>1163</v>
      </c>
      <c r="M602">
        <f t="shared" si="29"/>
        <v>3300000</v>
      </c>
      <c r="N602" t="s">
        <v>1165</v>
      </c>
      <c r="O602" t="str">
        <f t="shared" si="28"/>
        <v>[{"id":14,"num":60},{"id":2,"num":2500000},{"id":1,"num":3300000}]</v>
      </c>
    </row>
    <row r="603" spans="1:15" ht="16.5" x14ac:dyDescent="0.15">
      <c r="A603" s="3">
        <f>Sheet1!A605</f>
        <v>1416002</v>
      </c>
      <c r="B603" t="s">
        <v>1162</v>
      </c>
      <c r="C603">
        <v>14</v>
      </c>
      <c r="D603" t="s">
        <v>1163</v>
      </c>
      <c r="E603">
        <v>60</v>
      </c>
      <c r="F603" t="s">
        <v>1164</v>
      </c>
      <c r="G603">
        <v>2</v>
      </c>
      <c r="H603" t="s">
        <v>1163</v>
      </c>
      <c r="I603">
        <v>2500000</v>
      </c>
      <c r="J603" t="s">
        <v>1164</v>
      </c>
      <c r="K603">
        <v>1</v>
      </c>
      <c r="L603" t="s">
        <v>1163</v>
      </c>
      <c r="M603">
        <f t="shared" si="29"/>
        <v>3300000</v>
      </c>
      <c r="N603" t="s">
        <v>1165</v>
      </c>
      <c r="O603" t="str">
        <f t="shared" si="28"/>
        <v>[{"id":14,"num":60},{"id":2,"num":2500000},{"id":1,"num":3300000}]</v>
      </c>
    </row>
    <row r="604" spans="1:15" ht="16.5" x14ac:dyDescent="0.15">
      <c r="A604" s="3">
        <f>Sheet1!A606</f>
        <v>1416003</v>
      </c>
      <c r="B604" t="s">
        <v>1162</v>
      </c>
      <c r="C604">
        <v>14</v>
      </c>
      <c r="D604" t="s">
        <v>1163</v>
      </c>
      <c r="E604">
        <v>60</v>
      </c>
      <c r="F604" t="s">
        <v>1164</v>
      </c>
      <c r="G604">
        <v>2</v>
      </c>
      <c r="H604" t="s">
        <v>1163</v>
      </c>
      <c r="I604">
        <v>2500000</v>
      </c>
      <c r="J604" t="s">
        <v>1164</v>
      </c>
      <c r="K604">
        <v>1</v>
      </c>
      <c r="L604" t="s">
        <v>1163</v>
      </c>
      <c r="M604">
        <f t="shared" si="29"/>
        <v>3300000</v>
      </c>
      <c r="N604" t="s">
        <v>1165</v>
      </c>
      <c r="O604" t="str">
        <f t="shared" si="28"/>
        <v>[{"id":14,"num":60},{"id":2,"num":2500000},{"id":1,"num":3300000}]</v>
      </c>
    </row>
    <row r="605" spans="1:15" ht="16.5" x14ac:dyDescent="0.15">
      <c r="A605" s="3">
        <f>Sheet1!A607</f>
        <v>1416004</v>
      </c>
      <c r="B605" t="s">
        <v>1162</v>
      </c>
      <c r="C605">
        <v>14</v>
      </c>
      <c r="D605" t="s">
        <v>1163</v>
      </c>
      <c r="E605">
        <v>60</v>
      </c>
      <c r="F605" t="s">
        <v>1164</v>
      </c>
      <c r="G605">
        <v>2</v>
      </c>
      <c r="H605" t="s">
        <v>1163</v>
      </c>
      <c r="I605">
        <v>2500000</v>
      </c>
      <c r="J605" t="s">
        <v>1164</v>
      </c>
      <c r="K605">
        <v>1</v>
      </c>
      <c r="L605" t="s">
        <v>1163</v>
      </c>
      <c r="M605">
        <f t="shared" si="29"/>
        <v>3300000</v>
      </c>
      <c r="N605" t="s">
        <v>1165</v>
      </c>
      <c r="O605" t="str">
        <f t="shared" si="28"/>
        <v>[{"id":14,"num":60},{"id":2,"num":2500000},{"id":1,"num":3300000}]</v>
      </c>
    </row>
    <row r="606" spans="1:15" ht="16.5" x14ac:dyDescent="0.15">
      <c r="A606" s="3">
        <f>Sheet1!A608</f>
        <v>1416005</v>
      </c>
      <c r="B606" t="s">
        <v>1162</v>
      </c>
      <c r="C606">
        <v>14</v>
      </c>
      <c r="D606" t="s">
        <v>1163</v>
      </c>
      <c r="E606">
        <v>60</v>
      </c>
      <c r="F606" t="s">
        <v>1164</v>
      </c>
      <c r="G606">
        <v>2</v>
      </c>
      <c r="H606" t="s">
        <v>1163</v>
      </c>
      <c r="I606">
        <v>2500000</v>
      </c>
      <c r="J606" t="s">
        <v>1164</v>
      </c>
      <c r="K606">
        <v>1</v>
      </c>
      <c r="L606" t="s">
        <v>1163</v>
      </c>
      <c r="M606">
        <f t="shared" si="29"/>
        <v>3300000</v>
      </c>
      <c r="N606" t="s">
        <v>1165</v>
      </c>
      <c r="O606" t="str">
        <f t="shared" si="28"/>
        <v>[{"id":14,"num":60},{"id":2,"num":2500000},{"id":1,"num":3300000}]</v>
      </c>
    </row>
    <row r="607" spans="1:15" ht="16.5" x14ac:dyDescent="0.15">
      <c r="A607" s="3">
        <f>Sheet1!A609</f>
        <v>1416006</v>
      </c>
      <c r="B607" t="s">
        <v>1162</v>
      </c>
      <c r="C607">
        <v>14</v>
      </c>
      <c r="D607" t="s">
        <v>1163</v>
      </c>
      <c r="E607">
        <v>60</v>
      </c>
      <c r="F607" t="s">
        <v>1164</v>
      </c>
      <c r="G607">
        <v>2</v>
      </c>
      <c r="H607" t="s">
        <v>1163</v>
      </c>
      <c r="I607">
        <v>2500000</v>
      </c>
      <c r="J607" t="s">
        <v>1164</v>
      </c>
      <c r="K607">
        <v>1</v>
      </c>
      <c r="L607" t="s">
        <v>1163</v>
      </c>
      <c r="M607">
        <f t="shared" si="29"/>
        <v>3300000</v>
      </c>
      <c r="N607" t="s">
        <v>1165</v>
      </c>
      <c r="O607" t="str">
        <f t="shared" si="28"/>
        <v>[{"id":14,"num":60},{"id":2,"num":2500000},{"id":1,"num":3300000}]</v>
      </c>
    </row>
    <row r="608" spans="1:15" ht="16.5" x14ac:dyDescent="0.15">
      <c r="A608" s="3">
        <f>Sheet1!A610</f>
        <v>1416007</v>
      </c>
      <c r="B608" t="s">
        <v>1162</v>
      </c>
      <c r="C608">
        <v>14</v>
      </c>
      <c r="D608" t="s">
        <v>1163</v>
      </c>
      <c r="E608">
        <v>60</v>
      </c>
      <c r="F608" t="s">
        <v>1164</v>
      </c>
      <c r="G608">
        <v>2</v>
      </c>
      <c r="H608" t="s">
        <v>1163</v>
      </c>
      <c r="I608">
        <v>2500000</v>
      </c>
      <c r="J608" t="s">
        <v>1164</v>
      </c>
      <c r="K608">
        <v>1</v>
      </c>
      <c r="L608" t="s">
        <v>1163</v>
      </c>
      <c r="M608">
        <f t="shared" si="29"/>
        <v>3300000</v>
      </c>
      <c r="N608" t="s">
        <v>1165</v>
      </c>
      <c r="O608" t="str">
        <f t="shared" si="28"/>
        <v>[{"id":14,"num":60},{"id":2,"num":2500000},{"id":1,"num":3300000}]</v>
      </c>
    </row>
    <row r="609" spans="1:15" ht="16.5" x14ac:dyDescent="0.15">
      <c r="A609" s="3">
        <f>Sheet1!A611</f>
        <v>1416008</v>
      </c>
      <c r="B609" t="s">
        <v>1162</v>
      </c>
      <c r="C609">
        <v>14</v>
      </c>
      <c r="D609" t="s">
        <v>1163</v>
      </c>
      <c r="E609">
        <v>60</v>
      </c>
      <c r="F609" t="s">
        <v>1164</v>
      </c>
      <c r="G609">
        <v>2</v>
      </c>
      <c r="H609" t="s">
        <v>1163</v>
      </c>
      <c r="I609">
        <v>2500000</v>
      </c>
      <c r="J609" t="s">
        <v>1164</v>
      </c>
      <c r="K609">
        <v>1</v>
      </c>
      <c r="L609" t="s">
        <v>1163</v>
      </c>
      <c r="M609">
        <f t="shared" si="29"/>
        <v>3300000</v>
      </c>
      <c r="N609" t="s">
        <v>1165</v>
      </c>
      <c r="O609" t="str">
        <f t="shared" si="28"/>
        <v>[{"id":14,"num":60},{"id":2,"num":2500000},{"id":1,"num":3300000}]</v>
      </c>
    </row>
    <row r="610" spans="1:15" ht="16.5" x14ac:dyDescent="0.15">
      <c r="A610" s="3">
        <f>Sheet1!A612</f>
        <v>1416009</v>
      </c>
      <c r="B610" t="s">
        <v>1162</v>
      </c>
      <c r="C610">
        <v>14</v>
      </c>
      <c r="D610" t="s">
        <v>1163</v>
      </c>
      <c r="E610">
        <v>60</v>
      </c>
      <c r="F610" t="s">
        <v>1164</v>
      </c>
      <c r="G610">
        <v>2</v>
      </c>
      <c r="H610" t="s">
        <v>1163</v>
      </c>
      <c r="I610">
        <v>2500000</v>
      </c>
      <c r="J610" t="s">
        <v>1164</v>
      </c>
      <c r="K610">
        <v>1</v>
      </c>
      <c r="L610" t="s">
        <v>1163</v>
      </c>
      <c r="M610">
        <f t="shared" si="29"/>
        <v>3300000</v>
      </c>
      <c r="N610" t="s">
        <v>1165</v>
      </c>
      <c r="O610" t="str">
        <f t="shared" ref="O610:O673" si="30">_xlfn.TEXTJOIN(,TRUE,B610:N610)</f>
        <v>[{"id":14,"num":60},{"id":2,"num":2500000},{"id":1,"num":3300000}]</v>
      </c>
    </row>
    <row r="611" spans="1:15" ht="16.5" x14ac:dyDescent="0.15">
      <c r="A611" s="3">
        <f>Sheet1!A613</f>
        <v>1416010</v>
      </c>
      <c r="B611" t="s">
        <v>1162</v>
      </c>
      <c r="C611">
        <v>14</v>
      </c>
      <c r="D611" t="s">
        <v>1163</v>
      </c>
      <c r="E611">
        <v>60</v>
      </c>
      <c r="F611" t="s">
        <v>1164</v>
      </c>
      <c r="G611">
        <v>2</v>
      </c>
      <c r="H611" t="s">
        <v>1163</v>
      </c>
      <c r="I611">
        <v>2500000</v>
      </c>
      <c r="J611" t="s">
        <v>1164</v>
      </c>
      <c r="K611">
        <v>1</v>
      </c>
      <c r="L611" t="s">
        <v>1163</v>
      </c>
      <c r="M611">
        <f t="shared" ref="M611:M674" si="31">M571+200000</f>
        <v>3300000</v>
      </c>
      <c r="N611" t="s">
        <v>1165</v>
      </c>
      <c r="O611" t="str">
        <f t="shared" si="30"/>
        <v>[{"id":14,"num":60},{"id":2,"num":2500000},{"id":1,"num":3300000}]</v>
      </c>
    </row>
    <row r="612" spans="1:15" ht="16.5" x14ac:dyDescent="0.15">
      <c r="A612" s="3">
        <f>Sheet1!A614</f>
        <v>1416011</v>
      </c>
      <c r="B612" t="s">
        <v>1162</v>
      </c>
      <c r="C612">
        <v>14</v>
      </c>
      <c r="D612" t="s">
        <v>1163</v>
      </c>
      <c r="E612">
        <v>60</v>
      </c>
      <c r="F612" t="s">
        <v>1164</v>
      </c>
      <c r="G612">
        <v>2</v>
      </c>
      <c r="H612" t="s">
        <v>1163</v>
      </c>
      <c r="I612">
        <v>2500000</v>
      </c>
      <c r="J612" t="s">
        <v>1164</v>
      </c>
      <c r="K612">
        <v>1</v>
      </c>
      <c r="L612" t="s">
        <v>1163</v>
      </c>
      <c r="M612">
        <f t="shared" si="31"/>
        <v>3300000</v>
      </c>
      <c r="N612" t="s">
        <v>1165</v>
      </c>
      <c r="O612" t="str">
        <f t="shared" si="30"/>
        <v>[{"id":14,"num":60},{"id":2,"num":2500000},{"id":1,"num":3300000}]</v>
      </c>
    </row>
    <row r="613" spans="1:15" ht="16.5" x14ac:dyDescent="0.15">
      <c r="A613" s="3">
        <f>Sheet1!A615</f>
        <v>1416012</v>
      </c>
      <c r="B613" t="s">
        <v>1162</v>
      </c>
      <c r="C613">
        <v>14</v>
      </c>
      <c r="D613" t="s">
        <v>1163</v>
      </c>
      <c r="E613">
        <v>60</v>
      </c>
      <c r="F613" t="s">
        <v>1164</v>
      </c>
      <c r="G613">
        <v>2</v>
      </c>
      <c r="H613" t="s">
        <v>1163</v>
      </c>
      <c r="I613">
        <v>2500000</v>
      </c>
      <c r="J613" t="s">
        <v>1164</v>
      </c>
      <c r="K613">
        <v>1</v>
      </c>
      <c r="L613" t="s">
        <v>1163</v>
      </c>
      <c r="M613">
        <f t="shared" si="31"/>
        <v>3300000</v>
      </c>
      <c r="N613" t="s">
        <v>1165</v>
      </c>
      <c r="O613" t="str">
        <f t="shared" si="30"/>
        <v>[{"id":14,"num":60},{"id":2,"num":2500000},{"id":1,"num":3300000}]</v>
      </c>
    </row>
    <row r="614" spans="1:15" ht="16.5" x14ac:dyDescent="0.15">
      <c r="A614" s="3">
        <f>Sheet1!A616</f>
        <v>1416013</v>
      </c>
      <c r="B614" t="s">
        <v>1162</v>
      </c>
      <c r="C614">
        <v>14</v>
      </c>
      <c r="D614" t="s">
        <v>1163</v>
      </c>
      <c r="E614">
        <v>60</v>
      </c>
      <c r="F614" t="s">
        <v>1164</v>
      </c>
      <c r="G614">
        <v>2</v>
      </c>
      <c r="H614" t="s">
        <v>1163</v>
      </c>
      <c r="I614">
        <v>2500000</v>
      </c>
      <c r="J614" t="s">
        <v>1164</v>
      </c>
      <c r="K614">
        <v>1</v>
      </c>
      <c r="L614" t="s">
        <v>1163</v>
      </c>
      <c r="M614">
        <f t="shared" si="31"/>
        <v>3300000</v>
      </c>
      <c r="N614" t="s">
        <v>1165</v>
      </c>
      <c r="O614" t="str">
        <f t="shared" si="30"/>
        <v>[{"id":14,"num":60},{"id":2,"num":2500000},{"id":1,"num":3300000}]</v>
      </c>
    </row>
    <row r="615" spans="1:15" ht="16.5" x14ac:dyDescent="0.15">
      <c r="A615" s="3">
        <f>Sheet1!A617</f>
        <v>1416014</v>
      </c>
      <c r="B615" t="s">
        <v>1162</v>
      </c>
      <c r="C615">
        <v>14</v>
      </c>
      <c r="D615" t="s">
        <v>1163</v>
      </c>
      <c r="E615">
        <v>60</v>
      </c>
      <c r="F615" t="s">
        <v>1164</v>
      </c>
      <c r="G615">
        <v>2</v>
      </c>
      <c r="H615" t="s">
        <v>1163</v>
      </c>
      <c r="I615">
        <v>2500000</v>
      </c>
      <c r="J615" t="s">
        <v>1164</v>
      </c>
      <c r="K615">
        <v>1</v>
      </c>
      <c r="L615" t="s">
        <v>1163</v>
      </c>
      <c r="M615">
        <f t="shared" si="31"/>
        <v>3300000</v>
      </c>
      <c r="N615" t="s">
        <v>1165</v>
      </c>
      <c r="O615" t="str">
        <f t="shared" si="30"/>
        <v>[{"id":14,"num":60},{"id":2,"num":2500000},{"id":1,"num":3300000}]</v>
      </c>
    </row>
    <row r="616" spans="1:15" ht="16.5" x14ac:dyDescent="0.15">
      <c r="A616" s="3">
        <f>Sheet1!A618</f>
        <v>1416015</v>
      </c>
      <c r="B616" t="s">
        <v>1162</v>
      </c>
      <c r="C616">
        <v>14</v>
      </c>
      <c r="D616" t="s">
        <v>1163</v>
      </c>
      <c r="E616">
        <v>60</v>
      </c>
      <c r="F616" t="s">
        <v>1164</v>
      </c>
      <c r="G616">
        <v>2</v>
      </c>
      <c r="H616" t="s">
        <v>1163</v>
      </c>
      <c r="I616">
        <v>2500000</v>
      </c>
      <c r="J616" t="s">
        <v>1164</v>
      </c>
      <c r="K616">
        <v>1</v>
      </c>
      <c r="L616" t="s">
        <v>1163</v>
      </c>
      <c r="M616">
        <f t="shared" si="31"/>
        <v>3300000</v>
      </c>
      <c r="N616" t="s">
        <v>1165</v>
      </c>
      <c r="O616" t="str">
        <f t="shared" si="30"/>
        <v>[{"id":14,"num":60},{"id":2,"num":2500000},{"id":1,"num":3300000}]</v>
      </c>
    </row>
    <row r="617" spans="1:15" ht="16.5" x14ac:dyDescent="0.15">
      <c r="A617" s="3">
        <f>Sheet1!A619</f>
        <v>1416016</v>
      </c>
      <c r="B617" t="s">
        <v>1162</v>
      </c>
      <c r="C617">
        <v>14</v>
      </c>
      <c r="D617" t="s">
        <v>1163</v>
      </c>
      <c r="E617">
        <v>60</v>
      </c>
      <c r="F617" t="s">
        <v>1164</v>
      </c>
      <c r="G617">
        <v>2</v>
      </c>
      <c r="H617" t="s">
        <v>1163</v>
      </c>
      <c r="I617">
        <v>2500000</v>
      </c>
      <c r="J617" t="s">
        <v>1164</v>
      </c>
      <c r="K617">
        <v>1</v>
      </c>
      <c r="L617" t="s">
        <v>1163</v>
      </c>
      <c r="M617">
        <f t="shared" si="31"/>
        <v>3300000</v>
      </c>
      <c r="N617" t="s">
        <v>1165</v>
      </c>
      <c r="O617" t="str">
        <f t="shared" si="30"/>
        <v>[{"id":14,"num":60},{"id":2,"num":2500000},{"id":1,"num":3300000}]</v>
      </c>
    </row>
    <row r="618" spans="1:15" ht="16.5" x14ac:dyDescent="0.15">
      <c r="A618" s="3">
        <f>Sheet1!A620</f>
        <v>1416017</v>
      </c>
      <c r="B618" t="s">
        <v>1162</v>
      </c>
      <c r="C618">
        <v>14</v>
      </c>
      <c r="D618" t="s">
        <v>1163</v>
      </c>
      <c r="E618">
        <v>60</v>
      </c>
      <c r="F618" t="s">
        <v>1164</v>
      </c>
      <c r="G618">
        <v>2</v>
      </c>
      <c r="H618" t="s">
        <v>1163</v>
      </c>
      <c r="I618">
        <v>2500000</v>
      </c>
      <c r="J618" t="s">
        <v>1164</v>
      </c>
      <c r="K618">
        <v>1</v>
      </c>
      <c r="L618" t="s">
        <v>1163</v>
      </c>
      <c r="M618">
        <f t="shared" si="31"/>
        <v>3300000</v>
      </c>
      <c r="N618" t="s">
        <v>1165</v>
      </c>
      <c r="O618" t="str">
        <f t="shared" si="30"/>
        <v>[{"id":14,"num":60},{"id":2,"num":2500000},{"id":1,"num":3300000}]</v>
      </c>
    </row>
    <row r="619" spans="1:15" ht="16.5" x14ac:dyDescent="0.15">
      <c r="A619" s="3">
        <f>Sheet1!A621</f>
        <v>1416018</v>
      </c>
      <c r="B619" t="s">
        <v>1162</v>
      </c>
      <c r="C619">
        <v>14</v>
      </c>
      <c r="D619" t="s">
        <v>1163</v>
      </c>
      <c r="E619">
        <v>60</v>
      </c>
      <c r="F619" t="s">
        <v>1164</v>
      </c>
      <c r="G619">
        <v>2</v>
      </c>
      <c r="H619" t="s">
        <v>1163</v>
      </c>
      <c r="I619">
        <v>2500000</v>
      </c>
      <c r="J619" t="s">
        <v>1164</v>
      </c>
      <c r="K619">
        <v>1</v>
      </c>
      <c r="L619" t="s">
        <v>1163</v>
      </c>
      <c r="M619">
        <f t="shared" si="31"/>
        <v>3300000</v>
      </c>
      <c r="N619" t="s">
        <v>1165</v>
      </c>
      <c r="O619" t="str">
        <f t="shared" si="30"/>
        <v>[{"id":14,"num":60},{"id":2,"num":2500000},{"id":1,"num":3300000}]</v>
      </c>
    </row>
    <row r="620" spans="1:15" ht="16.5" x14ac:dyDescent="0.15">
      <c r="A620" s="3">
        <f>Sheet1!A622</f>
        <v>1416019</v>
      </c>
      <c r="B620" t="s">
        <v>1162</v>
      </c>
      <c r="C620">
        <v>14</v>
      </c>
      <c r="D620" t="s">
        <v>1163</v>
      </c>
      <c r="E620">
        <v>60</v>
      </c>
      <c r="F620" t="s">
        <v>1164</v>
      </c>
      <c r="G620">
        <v>2</v>
      </c>
      <c r="H620" t="s">
        <v>1163</v>
      </c>
      <c r="I620">
        <v>2500000</v>
      </c>
      <c r="J620" t="s">
        <v>1164</v>
      </c>
      <c r="K620">
        <v>1</v>
      </c>
      <c r="L620" t="s">
        <v>1163</v>
      </c>
      <c r="M620">
        <f t="shared" si="31"/>
        <v>3300000</v>
      </c>
      <c r="N620" t="s">
        <v>1165</v>
      </c>
      <c r="O620" t="str">
        <f t="shared" si="30"/>
        <v>[{"id":14,"num":60},{"id":2,"num":2500000},{"id":1,"num":3300000}]</v>
      </c>
    </row>
    <row r="621" spans="1:15" ht="16.5" x14ac:dyDescent="0.15">
      <c r="A621" s="3">
        <f>Sheet1!A623</f>
        <v>1416020</v>
      </c>
      <c r="B621" t="s">
        <v>1162</v>
      </c>
      <c r="C621">
        <v>14</v>
      </c>
      <c r="D621" t="s">
        <v>1163</v>
      </c>
      <c r="E621">
        <v>60</v>
      </c>
      <c r="F621" t="s">
        <v>1164</v>
      </c>
      <c r="G621">
        <v>2</v>
      </c>
      <c r="H621" t="s">
        <v>1163</v>
      </c>
      <c r="I621">
        <v>2500000</v>
      </c>
      <c r="J621" t="s">
        <v>1164</v>
      </c>
      <c r="K621">
        <v>1</v>
      </c>
      <c r="L621" t="s">
        <v>1163</v>
      </c>
      <c r="M621">
        <f t="shared" si="31"/>
        <v>3300000</v>
      </c>
      <c r="N621" t="s">
        <v>1165</v>
      </c>
      <c r="O621" t="str">
        <f t="shared" si="30"/>
        <v>[{"id":14,"num":60},{"id":2,"num":2500000},{"id":1,"num":3300000}]</v>
      </c>
    </row>
    <row r="622" spans="1:15" ht="16.5" x14ac:dyDescent="0.15">
      <c r="A622" s="3">
        <f>Sheet1!A624</f>
        <v>1416021</v>
      </c>
      <c r="B622" t="s">
        <v>1162</v>
      </c>
      <c r="C622">
        <v>14</v>
      </c>
      <c r="D622" t="s">
        <v>1163</v>
      </c>
      <c r="E622">
        <v>60</v>
      </c>
      <c r="F622" t="s">
        <v>1164</v>
      </c>
      <c r="G622">
        <v>2</v>
      </c>
      <c r="H622" t="s">
        <v>1163</v>
      </c>
      <c r="I622">
        <v>2500000</v>
      </c>
      <c r="J622" t="s">
        <v>1164</v>
      </c>
      <c r="K622">
        <v>1</v>
      </c>
      <c r="L622" t="s">
        <v>1163</v>
      </c>
      <c r="M622">
        <f t="shared" si="31"/>
        <v>3300000</v>
      </c>
      <c r="N622" t="s">
        <v>1165</v>
      </c>
      <c r="O622" t="str">
        <f t="shared" si="30"/>
        <v>[{"id":14,"num":60},{"id":2,"num":2500000},{"id":1,"num":3300000}]</v>
      </c>
    </row>
    <row r="623" spans="1:15" ht="16.5" x14ac:dyDescent="0.15">
      <c r="A623" s="3">
        <f>Sheet1!A625</f>
        <v>1416022</v>
      </c>
      <c r="B623" t="s">
        <v>1162</v>
      </c>
      <c r="C623">
        <v>14</v>
      </c>
      <c r="D623" t="s">
        <v>1163</v>
      </c>
      <c r="E623">
        <v>60</v>
      </c>
      <c r="F623" t="s">
        <v>1164</v>
      </c>
      <c r="G623">
        <v>2</v>
      </c>
      <c r="H623" t="s">
        <v>1163</v>
      </c>
      <c r="I623">
        <v>2500000</v>
      </c>
      <c r="J623" t="s">
        <v>1164</v>
      </c>
      <c r="K623">
        <v>1</v>
      </c>
      <c r="L623" t="s">
        <v>1163</v>
      </c>
      <c r="M623">
        <f t="shared" si="31"/>
        <v>3300000</v>
      </c>
      <c r="N623" t="s">
        <v>1165</v>
      </c>
      <c r="O623" t="str">
        <f t="shared" si="30"/>
        <v>[{"id":14,"num":60},{"id":2,"num":2500000},{"id":1,"num":3300000}]</v>
      </c>
    </row>
    <row r="624" spans="1:15" ht="16.5" x14ac:dyDescent="0.15">
      <c r="A624" s="3">
        <f>Sheet1!A626</f>
        <v>1416023</v>
      </c>
      <c r="B624" t="s">
        <v>1162</v>
      </c>
      <c r="C624">
        <v>14</v>
      </c>
      <c r="D624" t="s">
        <v>1163</v>
      </c>
      <c r="E624">
        <v>60</v>
      </c>
      <c r="F624" t="s">
        <v>1164</v>
      </c>
      <c r="G624">
        <v>2</v>
      </c>
      <c r="H624" t="s">
        <v>1163</v>
      </c>
      <c r="I624">
        <v>2500000</v>
      </c>
      <c r="J624" t="s">
        <v>1164</v>
      </c>
      <c r="K624">
        <v>1</v>
      </c>
      <c r="L624" t="s">
        <v>1163</v>
      </c>
      <c r="M624">
        <f t="shared" si="31"/>
        <v>3300000</v>
      </c>
      <c r="N624" t="s">
        <v>1165</v>
      </c>
      <c r="O624" t="str">
        <f t="shared" si="30"/>
        <v>[{"id":14,"num":60},{"id":2,"num":2500000},{"id":1,"num":3300000}]</v>
      </c>
    </row>
    <row r="625" spans="1:15" ht="16.5" x14ac:dyDescent="0.15">
      <c r="A625" s="3">
        <f>Sheet1!A627</f>
        <v>1416024</v>
      </c>
      <c r="B625" t="s">
        <v>1162</v>
      </c>
      <c r="C625">
        <v>14</v>
      </c>
      <c r="D625" t="s">
        <v>1163</v>
      </c>
      <c r="E625">
        <v>60</v>
      </c>
      <c r="F625" t="s">
        <v>1164</v>
      </c>
      <c r="G625">
        <v>2</v>
      </c>
      <c r="H625" t="s">
        <v>1163</v>
      </c>
      <c r="I625">
        <v>2500000</v>
      </c>
      <c r="J625" t="s">
        <v>1164</v>
      </c>
      <c r="K625">
        <v>1</v>
      </c>
      <c r="L625" t="s">
        <v>1163</v>
      </c>
      <c r="M625">
        <f t="shared" si="31"/>
        <v>3300000</v>
      </c>
      <c r="N625" t="s">
        <v>1165</v>
      </c>
      <c r="O625" t="str">
        <f t="shared" si="30"/>
        <v>[{"id":14,"num":60},{"id":2,"num":2500000},{"id":1,"num":3300000}]</v>
      </c>
    </row>
    <row r="626" spans="1:15" ht="16.5" x14ac:dyDescent="0.15">
      <c r="A626" s="3">
        <f>Sheet1!A628</f>
        <v>1416025</v>
      </c>
      <c r="B626" t="s">
        <v>1162</v>
      </c>
      <c r="C626">
        <v>14</v>
      </c>
      <c r="D626" t="s">
        <v>1163</v>
      </c>
      <c r="E626">
        <v>60</v>
      </c>
      <c r="F626" t="s">
        <v>1164</v>
      </c>
      <c r="G626">
        <v>2</v>
      </c>
      <c r="H626" t="s">
        <v>1163</v>
      </c>
      <c r="I626">
        <v>2500000</v>
      </c>
      <c r="J626" t="s">
        <v>1164</v>
      </c>
      <c r="K626">
        <v>1</v>
      </c>
      <c r="L626" t="s">
        <v>1163</v>
      </c>
      <c r="M626">
        <f t="shared" si="31"/>
        <v>3300000</v>
      </c>
      <c r="N626" t="s">
        <v>1165</v>
      </c>
      <c r="O626" t="str">
        <f t="shared" si="30"/>
        <v>[{"id":14,"num":60},{"id":2,"num":2500000},{"id":1,"num":3300000}]</v>
      </c>
    </row>
    <row r="627" spans="1:15" ht="16.5" x14ac:dyDescent="0.15">
      <c r="A627" s="3">
        <f>Sheet1!A629</f>
        <v>1416026</v>
      </c>
      <c r="B627" t="s">
        <v>1162</v>
      </c>
      <c r="C627">
        <v>14</v>
      </c>
      <c r="D627" t="s">
        <v>1163</v>
      </c>
      <c r="E627">
        <v>60</v>
      </c>
      <c r="F627" t="s">
        <v>1164</v>
      </c>
      <c r="G627">
        <v>2</v>
      </c>
      <c r="H627" t="s">
        <v>1163</v>
      </c>
      <c r="I627">
        <v>2500000</v>
      </c>
      <c r="J627" t="s">
        <v>1164</v>
      </c>
      <c r="K627">
        <v>1</v>
      </c>
      <c r="L627" t="s">
        <v>1163</v>
      </c>
      <c r="M627">
        <f t="shared" si="31"/>
        <v>3300000</v>
      </c>
      <c r="N627" t="s">
        <v>1165</v>
      </c>
      <c r="O627" t="str">
        <f t="shared" si="30"/>
        <v>[{"id":14,"num":60},{"id":2,"num":2500000},{"id":1,"num":3300000}]</v>
      </c>
    </row>
    <row r="628" spans="1:15" ht="16.5" x14ac:dyDescent="0.15">
      <c r="A628" s="3">
        <f>Sheet1!A630</f>
        <v>1416027</v>
      </c>
      <c r="B628" t="s">
        <v>1162</v>
      </c>
      <c r="C628">
        <v>14</v>
      </c>
      <c r="D628" t="s">
        <v>1163</v>
      </c>
      <c r="E628">
        <v>60</v>
      </c>
      <c r="F628" t="s">
        <v>1164</v>
      </c>
      <c r="G628">
        <v>2</v>
      </c>
      <c r="H628" t="s">
        <v>1163</v>
      </c>
      <c r="I628">
        <v>2500000</v>
      </c>
      <c r="J628" t="s">
        <v>1164</v>
      </c>
      <c r="K628">
        <v>1</v>
      </c>
      <c r="L628" t="s">
        <v>1163</v>
      </c>
      <c r="M628">
        <f t="shared" si="31"/>
        <v>3300000</v>
      </c>
      <c r="N628" t="s">
        <v>1165</v>
      </c>
      <c r="O628" t="str">
        <f t="shared" si="30"/>
        <v>[{"id":14,"num":60},{"id":2,"num":2500000},{"id":1,"num":3300000}]</v>
      </c>
    </row>
    <row r="629" spans="1:15" ht="16.5" x14ac:dyDescent="0.15">
      <c r="A629" s="3">
        <f>Sheet1!A631</f>
        <v>1416028</v>
      </c>
      <c r="B629" t="s">
        <v>1162</v>
      </c>
      <c r="C629">
        <v>14</v>
      </c>
      <c r="D629" t="s">
        <v>1163</v>
      </c>
      <c r="E629">
        <v>60</v>
      </c>
      <c r="F629" t="s">
        <v>1164</v>
      </c>
      <c r="G629">
        <v>2</v>
      </c>
      <c r="H629" t="s">
        <v>1163</v>
      </c>
      <c r="I629">
        <v>2500000</v>
      </c>
      <c r="J629" t="s">
        <v>1164</v>
      </c>
      <c r="K629">
        <v>1</v>
      </c>
      <c r="L629" t="s">
        <v>1163</v>
      </c>
      <c r="M629">
        <f t="shared" si="31"/>
        <v>3300000</v>
      </c>
      <c r="N629" t="s">
        <v>1165</v>
      </c>
      <c r="O629" t="str">
        <f t="shared" si="30"/>
        <v>[{"id":14,"num":60},{"id":2,"num":2500000},{"id":1,"num":3300000}]</v>
      </c>
    </row>
    <row r="630" spans="1:15" ht="16.5" x14ac:dyDescent="0.15">
      <c r="A630" s="3">
        <f>Sheet1!A632</f>
        <v>1416029</v>
      </c>
      <c r="B630" t="s">
        <v>1162</v>
      </c>
      <c r="C630">
        <v>14</v>
      </c>
      <c r="D630" t="s">
        <v>1163</v>
      </c>
      <c r="E630">
        <v>60</v>
      </c>
      <c r="F630" t="s">
        <v>1164</v>
      </c>
      <c r="G630">
        <v>2</v>
      </c>
      <c r="H630" t="s">
        <v>1163</v>
      </c>
      <c r="I630">
        <v>2500000</v>
      </c>
      <c r="J630" t="s">
        <v>1164</v>
      </c>
      <c r="K630">
        <v>1</v>
      </c>
      <c r="L630" t="s">
        <v>1163</v>
      </c>
      <c r="M630">
        <f t="shared" si="31"/>
        <v>3300000</v>
      </c>
      <c r="N630" t="s">
        <v>1165</v>
      </c>
      <c r="O630" t="str">
        <f t="shared" si="30"/>
        <v>[{"id":14,"num":60},{"id":2,"num":2500000},{"id":1,"num":3300000}]</v>
      </c>
    </row>
    <row r="631" spans="1:15" ht="16.5" x14ac:dyDescent="0.15">
      <c r="A631" s="3">
        <f>Sheet1!A633</f>
        <v>1416030</v>
      </c>
      <c r="B631" t="s">
        <v>1162</v>
      </c>
      <c r="C631">
        <v>14</v>
      </c>
      <c r="D631" t="s">
        <v>1163</v>
      </c>
      <c r="E631">
        <v>60</v>
      </c>
      <c r="F631" t="s">
        <v>1164</v>
      </c>
      <c r="G631">
        <v>2</v>
      </c>
      <c r="H631" t="s">
        <v>1163</v>
      </c>
      <c r="I631">
        <v>2500000</v>
      </c>
      <c r="J631" t="s">
        <v>1164</v>
      </c>
      <c r="K631">
        <v>1</v>
      </c>
      <c r="L631" t="s">
        <v>1163</v>
      </c>
      <c r="M631">
        <f t="shared" si="31"/>
        <v>3300000</v>
      </c>
      <c r="N631" t="s">
        <v>1165</v>
      </c>
      <c r="O631" t="str">
        <f t="shared" si="30"/>
        <v>[{"id":14,"num":60},{"id":2,"num":2500000},{"id":1,"num":3300000}]</v>
      </c>
    </row>
    <row r="632" spans="1:15" ht="16.5" x14ac:dyDescent="0.15">
      <c r="A632" s="3">
        <f>Sheet1!A634</f>
        <v>1416031</v>
      </c>
      <c r="B632" t="s">
        <v>1162</v>
      </c>
      <c r="C632">
        <v>14</v>
      </c>
      <c r="D632" t="s">
        <v>1163</v>
      </c>
      <c r="E632">
        <v>60</v>
      </c>
      <c r="F632" t="s">
        <v>1164</v>
      </c>
      <c r="G632">
        <v>2</v>
      </c>
      <c r="H632" t="s">
        <v>1163</v>
      </c>
      <c r="I632">
        <v>2500000</v>
      </c>
      <c r="J632" t="s">
        <v>1164</v>
      </c>
      <c r="K632">
        <v>1</v>
      </c>
      <c r="L632" t="s">
        <v>1163</v>
      </c>
      <c r="M632">
        <f t="shared" si="31"/>
        <v>3300000</v>
      </c>
      <c r="N632" t="s">
        <v>1165</v>
      </c>
      <c r="O632" t="str">
        <f t="shared" si="30"/>
        <v>[{"id":14,"num":60},{"id":2,"num":2500000},{"id":1,"num":3300000}]</v>
      </c>
    </row>
    <row r="633" spans="1:15" ht="16.5" x14ac:dyDescent="0.15">
      <c r="A633" s="3">
        <f>Sheet1!A635</f>
        <v>1416032</v>
      </c>
      <c r="B633" t="s">
        <v>1162</v>
      </c>
      <c r="C633">
        <v>14</v>
      </c>
      <c r="D633" t="s">
        <v>1163</v>
      </c>
      <c r="E633">
        <v>60</v>
      </c>
      <c r="F633" t="s">
        <v>1164</v>
      </c>
      <c r="G633">
        <v>2</v>
      </c>
      <c r="H633" t="s">
        <v>1163</v>
      </c>
      <c r="I633">
        <v>2500000</v>
      </c>
      <c r="J633" t="s">
        <v>1164</v>
      </c>
      <c r="K633">
        <v>1</v>
      </c>
      <c r="L633" t="s">
        <v>1163</v>
      </c>
      <c r="M633">
        <f t="shared" si="31"/>
        <v>3300000</v>
      </c>
      <c r="N633" t="s">
        <v>1165</v>
      </c>
      <c r="O633" t="str">
        <f t="shared" si="30"/>
        <v>[{"id":14,"num":60},{"id":2,"num":2500000},{"id":1,"num":3300000}]</v>
      </c>
    </row>
    <row r="634" spans="1:15" ht="16.5" x14ac:dyDescent="0.15">
      <c r="A634" s="3">
        <f>Sheet1!A636</f>
        <v>1416033</v>
      </c>
      <c r="B634" t="s">
        <v>1162</v>
      </c>
      <c r="C634">
        <v>14</v>
      </c>
      <c r="D634" t="s">
        <v>1163</v>
      </c>
      <c r="E634">
        <v>60</v>
      </c>
      <c r="F634" t="s">
        <v>1164</v>
      </c>
      <c r="G634">
        <v>2</v>
      </c>
      <c r="H634" t="s">
        <v>1163</v>
      </c>
      <c r="I634">
        <v>2500000</v>
      </c>
      <c r="J634" t="s">
        <v>1164</v>
      </c>
      <c r="K634">
        <v>1</v>
      </c>
      <c r="L634" t="s">
        <v>1163</v>
      </c>
      <c r="M634">
        <f t="shared" si="31"/>
        <v>3300000</v>
      </c>
      <c r="N634" t="s">
        <v>1165</v>
      </c>
      <c r="O634" t="str">
        <f t="shared" si="30"/>
        <v>[{"id":14,"num":60},{"id":2,"num":2500000},{"id":1,"num":3300000}]</v>
      </c>
    </row>
    <row r="635" spans="1:15" ht="16.5" x14ac:dyDescent="0.15">
      <c r="A635" s="3">
        <f>Sheet1!A637</f>
        <v>1416034</v>
      </c>
      <c r="B635" t="s">
        <v>1162</v>
      </c>
      <c r="C635">
        <v>14</v>
      </c>
      <c r="D635" t="s">
        <v>1163</v>
      </c>
      <c r="E635">
        <v>60</v>
      </c>
      <c r="F635" t="s">
        <v>1164</v>
      </c>
      <c r="G635">
        <v>2</v>
      </c>
      <c r="H635" t="s">
        <v>1163</v>
      </c>
      <c r="I635">
        <v>2500000</v>
      </c>
      <c r="J635" t="s">
        <v>1164</v>
      </c>
      <c r="K635">
        <v>1</v>
      </c>
      <c r="L635" t="s">
        <v>1163</v>
      </c>
      <c r="M635">
        <f t="shared" si="31"/>
        <v>3300000</v>
      </c>
      <c r="N635" t="s">
        <v>1165</v>
      </c>
      <c r="O635" t="str">
        <f t="shared" si="30"/>
        <v>[{"id":14,"num":60},{"id":2,"num":2500000},{"id":1,"num":3300000}]</v>
      </c>
    </row>
    <row r="636" spans="1:15" ht="16.5" x14ac:dyDescent="0.15">
      <c r="A636" s="3">
        <f>Sheet1!A638</f>
        <v>1416035</v>
      </c>
      <c r="B636" t="s">
        <v>1162</v>
      </c>
      <c r="C636">
        <v>14</v>
      </c>
      <c r="D636" t="s">
        <v>1163</v>
      </c>
      <c r="E636">
        <v>60</v>
      </c>
      <c r="F636" t="s">
        <v>1164</v>
      </c>
      <c r="G636">
        <v>2</v>
      </c>
      <c r="H636" t="s">
        <v>1163</v>
      </c>
      <c r="I636">
        <v>2500000</v>
      </c>
      <c r="J636" t="s">
        <v>1164</v>
      </c>
      <c r="K636">
        <v>1</v>
      </c>
      <c r="L636" t="s">
        <v>1163</v>
      </c>
      <c r="M636">
        <f t="shared" si="31"/>
        <v>3300000</v>
      </c>
      <c r="N636" t="s">
        <v>1165</v>
      </c>
      <c r="O636" t="str">
        <f t="shared" si="30"/>
        <v>[{"id":14,"num":60},{"id":2,"num":2500000},{"id":1,"num":3300000}]</v>
      </c>
    </row>
    <row r="637" spans="1:15" ht="16.5" x14ac:dyDescent="0.15">
      <c r="A637" s="3">
        <f>Sheet1!A639</f>
        <v>1416036</v>
      </c>
      <c r="B637" t="s">
        <v>1162</v>
      </c>
      <c r="C637">
        <v>14</v>
      </c>
      <c r="D637" t="s">
        <v>1163</v>
      </c>
      <c r="E637">
        <v>60</v>
      </c>
      <c r="F637" t="s">
        <v>1164</v>
      </c>
      <c r="G637">
        <v>2</v>
      </c>
      <c r="H637" t="s">
        <v>1163</v>
      </c>
      <c r="I637">
        <v>2500000</v>
      </c>
      <c r="J637" t="s">
        <v>1164</v>
      </c>
      <c r="K637">
        <v>1</v>
      </c>
      <c r="L637" t="s">
        <v>1163</v>
      </c>
      <c r="M637">
        <f t="shared" si="31"/>
        <v>3300000</v>
      </c>
      <c r="N637" t="s">
        <v>1165</v>
      </c>
      <c r="O637" t="str">
        <f t="shared" si="30"/>
        <v>[{"id":14,"num":60},{"id":2,"num":2500000},{"id":1,"num":3300000}]</v>
      </c>
    </row>
    <row r="638" spans="1:15" ht="16.5" x14ac:dyDescent="0.15">
      <c r="A638" s="3">
        <f>Sheet1!A640</f>
        <v>1416037</v>
      </c>
      <c r="B638" t="s">
        <v>1162</v>
      </c>
      <c r="C638">
        <v>14</v>
      </c>
      <c r="D638" t="s">
        <v>1163</v>
      </c>
      <c r="E638">
        <v>60</v>
      </c>
      <c r="F638" t="s">
        <v>1164</v>
      </c>
      <c r="G638">
        <v>2</v>
      </c>
      <c r="H638" t="s">
        <v>1163</v>
      </c>
      <c r="I638">
        <v>2500000</v>
      </c>
      <c r="J638" t="s">
        <v>1164</v>
      </c>
      <c r="K638">
        <v>1</v>
      </c>
      <c r="L638" t="s">
        <v>1163</v>
      </c>
      <c r="M638">
        <f t="shared" si="31"/>
        <v>3300000</v>
      </c>
      <c r="N638" t="s">
        <v>1165</v>
      </c>
      <c r="O638" t="str">
        <f t="shared" si="30"/>
        <v>[{"id":14,"num":60},{"id":2,"num":2500000},{"id":1,"num":3300000}]</v>
      </c>
    </row>
    <row r="639" spans="1:15" ht="16.5" x14ac:dyDescent="0.15">
      <c r="A639" s="3">
        <f>Sheet1!A641</f>
        <v>1416038</v>
      </c>
      <c r="B639" t="s">
        <v>1162</v>
      </c>
      <c r="C639">
        <v>14</v>
      </c>
      <c r="D639" t="s">
        <v>1163</v>
      </c>
      <c r="E639">
        <v>60</v>
      </c>
      <c r="F639" t="s">
        <v>1164</v>
      </c>
      <c r="G639">
        <v>2</v>
      </c>
      <c r="H639" t="s">
        <v>1163</v>
      </c>
      <c r="I639">
        <v>2500000</v>
      </c>
      <c r="J639" t="s">
        <v>1164</v>
      </c>
      <c r="K639">
        <v>1</v>
      </c>
      <c r="L639" t="s">
        <v>1163</v>
      </c>
      <c r="M639">
        <f t="shared" si="31"/>
        <v>3300000</v>
      </c>
      <c r="N639" t="s">
        <v>1165</v>
      </c>
      <c r="O639" t="str">
        <f t="shared" si="30"/>
        <v>[{"id":14,"num":60},{"id":2,"num":2500000},{"id":1,"num":3300000}]</v>
      </c>
    </row>
    <row r="640" spans="1:15" ht="16.5" x14ac:dyDescent="0.15">
      <c r="A640" s="3">
        <f>Sheet1!A642</f>
        <v>1416039</v>
      </c>
      <c r="B640" t="s">
        <v>1162</v>
      </c>
      <c r="C640">
        <v>14</v>
      </c>
      <c r="D640" t="s">
        <v>1163</v>
      </c>
      <c r="E640">
        <v>60</v>
      </c>
      <c r="F640" t="s">
        <v>1164</v>
      </c>
      <c r="G640">
        <v>2</v>
      </c>
      <c r="H640" t="s">
        <v>1163</v>
      </c>
      <c r="I640">
        <v>2500000</v>
      </c>
      <c r="J640" t="s">
        <v>1164</v>
      </c>
      <c r="K640">
        <v>1</v>
      </c>
      <c r="L640" t="s">
        <v>1163</v>
      </c>
      <c r="M640">
        <f t="shared" si="31"/>
        <v>3300000</v>
      </c>
      <c r="N640" t="s">
        <v>1165</v>
      </c>
      <c r="O640" t="str">
        <f t="shared" si="30"/>
        <v>[{"id":14,"num":60},{"id":2,"num":2500000},{"id":1,"num":3300000}]</v>
      </c>
    </row>
    <row r="641" spans="1:15" ht="16.5" x14ac:dyDescent="0.15">
      <c r="A641" s="3">
        <f>Sheet1!A643</f>
        <v>1416040</v>
      </c>
      <c r="B641" t="s">
        <v>1162</v>
      </c>
      <c r="C641">
        <v>14</v>
      </c>
      <c r="D641" t="s">
        <v>1163</v>
      </c>
      <c r="E641">
        <v>60</v>
      </c>
      <c r="F641" t="s">
        <v>1164</v>
      </c>
      <c r="G641">
        <v>2</v>
      </c>
      <c r="H641" t="s">
        <v>1163</v>
      </c>
      <c r="I641">
        <v>2500000</v>
      </c>
      <c r="J641" t="s">
        <v>1164</v>
      </c>
      <c r="K641">
        <v>1</v>
      </c>
      <c r="L641" t="s">
        <v>1163</v>
      </c>
      <c r="M641">
        <f t="shared" si="31"/>
        <v>3300000</v>
      </c>
      <c r="N641" t="s">
        <v>1165</v>
      </c>
      <c r="O641" t="str">
        <f t="shared" si="30"/>
        <v>[{"id":14,"num":60},{"id":2,"num":2500000},{"id":1,"num":3300000}]</v>
      </c>
    </row>
    <row r="642" spans="1:15" ht="16.5" x14ac:dyDescent="0.15">
      <c r="A642" s="3">
        <f>Sheet1!A644</f>
        <v>1417001</v>
      </c>
      <c r="B642" t="s">
        <v>1162</v>
      </c>
      <c r="C642">
        <v>14</v>
      </c>
      <c r="D642" t="s">
        <v>1163</v>
      </c>
      <c r="E642">
        <v>60</v>
      </c>
      <c r="F642" t="s">
        <v>1164</v>
      </c>
      <c r="G642">
        <v>2</v>
      </c>
      <c r="H642" t="s">
        <v>1163</v>
      </c>
      <c r="I642">
        <v>2500000</v>
      </c>
      <c r="J642" t="s">
        <v>1164</v>
      </c>
      <c r="K642">
        <v>1</v>
      </c>
      <c r="L642" t="s">
        <v>1163</v>
      </c>
      <c r="M642">
        <f t="shared" si="31"/>
        <v>3500000</v>
      </c>
      <c r="N642" t="s">
        <v>1165</v>
      </c>
      <c r="O642" t="str">
        <f t="shared" si="30"/>
        <v>[{"id":14,"num":60},{"id":2,"num":2500000},{"id":1,"num":3500000}]</v>
      </c>
    </row>
    <row r="643" spans="1:15" ht="16.5" x14ac:dyDescent="0.15">
      <c r="A643" s="3">
        <f>Sheet1!A645</f>
        <v>1417002</v>
      </c>
      <c r="B643" t="s">
        <v>1162</v>
      </c>
      <c r="C643">
        <v>14</v>
      </c>
      <c r="D643" t="s">
        <v>1163</v>
      </c>
      <c r="E643">
        <v>60</v>
      </c>
      <c r="F643" t="s">
        <v>1164</v>
      </c>
      <c r="G643">
        <v>2</v>
      </c>
      <c r="H643" t="s">
        <v>1163</v>
      </c>
      <c r="I643">
        <v>2500000</v>
      </c>
      <c r="J643" t="s">
        <v>1164</v>
      </c>
      <c r="K643">
        <v>1</v>
      </c>
      <c r="L643" t="s">
        <v>1163</v>
      </c>
      <c r="M643">
        <f t="shared" si="31"/>
        <v>3500000</v>
      </c>
      <c r="N643" t="s">
        <v>1165</v>
      </c>
      <c r="O643" t="str">
        <f t="shared" si="30"/>
        <v>[{"id":14,"num":60},{"id":2,"num":2500000},{"id":1,"num":3500000}]</v>
      </c>
    </row>
    <row r="644" spans="1:15" ht="16.5" x14ac:dyDescent="0.15">
      <c r="A644" s="3">
        <f>Sheet1!A646</f>
        <v>1417003</v>
      </c>
      <c r="B644" t="s">
        <v>1162</v>
      </c>
      <c r="C644">
        <v>14</v>
      </c>
      <c r="D644" t="s">
        <v>1163</v>
      </c>
      <c r="E644">
        <v>60</v>
      </c>
      <c r="F644" t="s">
        <v>1164</v>
      </c>
      <c r="G644">
        <v>2</v>
      </c>
      <c r="H644" t="s">
        <v>1163</v>
      </c>
      <c r="I644">
        <v>2500000</v>
      </c>
      <c r="J644" t="s">
        <v>1164</v>
      </c>
      <c r="K644">
        <v>1</v>
      </c>
      <c r="L644" t="s">
        <v>1163</v>
      </c>
      <c r="M644">
        <f t="shared" si="31"/>
        <v>3500000</v>
      </c>
      <c r="N644" t="s">
        <v>1165</v>
      </c>
      <c r="O644" t="str">
        <f t="shared" si="30"/>
        <v>[{"id":14,"num":60},{"id":2,"num":2500000},{"id":1,"num":3500000}]</v>
      </c>
    </row>
    <row r="645" spans="1:15" ht="16.5" x14ac:dyDescent="0.15">
      <c r="A645" s="3">
        <f>Sheet1!A647</f>
        <v>1417004</v>
      </c>
      <c r="B645" t="s">
        <v>1162</v>
      </c>
      <c r="C645">
        <v>14</v>
      </c>
      <c r="D645" t="s">
        <v>1163</v>
      </c>
      <c r="E645">
        <v>60</v>
      </c>
      <c r="F645" t="s">
        <v>1164</v>
      </c>
      <c r="G645">
        <v>2</v>
      </c>
      <c r="H645" t="s">
        <v>1163</v>
      </c>
      <c r="I645">
        <v>2500000</v>
      </c>
      <c r="J645" t="s">
        <v>1164</v>
      </c>
      <c r="K645">
        <v>1</v>
      </c>
      <c r="L645" t="s">
        <v>1163</v>
      </c>
      <c r="M645">
        <f t="shared" si="31"/>
        <v>3500000</v>
      </c>
      <c r="N645" t="s">
        <v>1165</v>
      </c>
      <c r="O645" t="str">
        <f t="shared" si="30"/>
        <v>[{"id":14,"num":60},{"id":2,"num":2500000},{"id":1,"num":3500000}]</v>
      </c>
    </row>
    <row r="646" spans="1:15" ht="16.5" x14ac:dyDescent="0.15">
      <c r="A646" s="3">
        <f>Sheet1!A648</f>
        <v>1417005</v>
      </c>
      <c r="B646" t="s">
        <v>1162</v>
      </c>
      <c r="C646">
        <v>14</v>
      </c>
      <c r="D646" t="s">
        <v>1163</v>
      </c>
      <c r="E646">
        <v>60</v>
      </c>
      <c r="F646" t="s">
        <v>1164</v>
      </c>
      <c r="G646">
        <v>2</v>
      </c>
      <c r="H646" t="s">
        <v>1163</v>
      </c>
      <c r="I646">
        <v>2500000</v>
      </c>
      <c r="J646" t="s">
        <v>1164</v>
      </c>
      <c r="K646">
        <v>1</v>
      </c>
      <c r="L646" t="s">
        <v>1163</v>
      </c>
      <c r="M646">
        <f t="shared" si="31"/>
        <v>3500000</v>
      </c>
      <c r="N646" t="s">
        <v>1165</v>
      </c>
      <c r="O646" t="str">
        <f t="shared" si="30"/>
        <v>[{"id":14,"num":60},{"id":2,"num":2500000},{"id":1,"num":3500000}]</v>
      </c>
    </row>
    <row r="647" spans="1:15" ht="16.5" x14ac:dyDescent="0.15">
      <c r="A647" s="3">
        <f>Sheet1!A649</f>
        <v>1417006</v>
      </c>
      <c r="B647" t="s">
        <v>1162</v>
      </c>
      <c r="C647">
        <v>14</v>
      </c>
      <c r="D647" t="s">
        <v>1163</v>
      </c>
      <c r="E647">
        <v>60</v>
      </c>
      <c r="F647" t="s">
        <v>1164</v>
      </c>
      <c r="G647">
        <v>2</v>
      </c>
      <c r="H647" t="s">
        <v>1163</v>
      </c>
      <c r="I647">
        <v>2500000</v>
      </c>
      <c r="J647" t="s">
        <v>1164</v>
      </c>
      <c r="K647">
        <v>1</v>
      </c>
      <c r="L647" t="s">
        <v>1163</v>
      </c>
      <c r="M647">
        <f t="shared" si="31"/>
        <v>3500000</v>
      </c>
      <c r="N647" t="s">
        <v>1165</v>
      </c>
      <c r="O647" t="str">
        <f t="shared" si="30"/>
        <v>[{"id":14,"num":60},{"id":2,"num":2500000},{"id":1,"num":3500000}]</v>
      </c>
    </row>
    <row r="648" spans="1:15" ht="16.5" x14ac:dyDescent="0.15">
      <c r="A648" s="3">
        <f>Sheet1!A650</f>
        <v>1417007</v>
      </c>
      <c r="B648" t="s">
        <v>1162</v>
      </c>
      <c r="C648">
        <v>14</v>
      </c>
      <c r="D648" t="s">
        <v>1163</v>
      </c>
      <c r="E648">
        <v>60</v>
      </c>
      <c r="F648" t="s">
        <v>1164</v>
      </c>
      <c r="G648">
        <v>2</v>
      </c>
      <c r="H648" t="s">
        <v>1163</v>
      </c>
      <c r="I648">
        <v>2500000</v>
      </c>
      <c r="J648" t="s">
        <v>1164</v>
      </c>
      <c r="K648">
        <v>1</v>
      </c>
      <c r="L648" t="s">
        <v>1163</v>
      </c>
      <c r="M648">
        <f t="shared" si="31"/>
        <v>3500000</v>
      </c>
      <c r="N648" t="s">
        <v>1165</v>
      </c>
      <c r="O648" t="str">
        <f t="shared" si="30"/>
        <v>[{"id":14,"num":60},{"id":2,"num":2500000},{"id":1,"num":3500000}]</v>
      </c>
    </row>
    <row r="649" spans="1:15" ht="16.5" x14ac:dyDescent="0.15">
      <c r="A649" s="3">
        <f>Sheet1!A651</f>
        <v>1417008</v>
      </c>
      <c r="B649" t="s">
        <v>1162</v>
      </c>
      <c r="C649">
        <v>14</v>
      </c>
      <c r="D649" t="s">
        <v>1163</v>
      </c>
      <c r="E649">
        <v>60</v>
      </c>
      <c r="F649" t="s">
        <v>1164</v>
      </c>
      <c r="G649">
        <v>2</v>
      </c>
      <c r="H649" t="s">
        <v>1163</v>
      </c>
      <c r="I649">
        <v>2500000</v>
      </c>
      <c r="J649" t="s">
        <v>1164</v>
      </c>
      <c r="K649">
        <v>1</v>
      </c>
      <c r="L649" t="s">
        <v>1163</v>
      </c>
      <c r="M649">
        <f t="shared" si="31"/>
        <v>3500000</v>
      </c>
      <c r="N649" t="s">
        <v>1165</v>
      </c>
      <c r="O649" t="str">
        <f t="shared" si="30"/>
        <v>[{"id":14,"num":60},{"id":2,"num":2500000},{"id":1,"num":3500000}]</v>
      </c>
    </row>
    <row r="650" spans="1:15" ht="16.5" x14ac:dyDescent="0.15">
      <c r="A650" s="3">
        <f>Sheet1!A652</f>
        <v>1417009</v>
      </c>
      <c r="B650" t="s">
        <v>1162</v>
      </c>
      <c r="C650">
        <v>14</v>
      </c>
      <c r="D650" t="s">
        <v>1163</v>
      </c>
      <c r="E650">
        <v>60</v>
      </c>
      <c r="F650" t="s">
        <v>1164</v>
      </c>
      <c r="G650">
        <v>2</v>
      </c>
      <c r="H650" t="s">
        <v>1163</v>
      </c>
      <c r="I650">
        <v>2500000</v>
      </c>
      <c r="J650" t="s">
        <v>1164</v>
      </c>
      <c r="K650">
        <v>1</v>
      </c>
      <c r="L650" t="s">
        <v>1163</v>
      </c>
      <c r="M650">
        <f t="shared" si="31"/>
        <v>3500000</v>
      </c>
      <c r="N650" t="s">
        <v>1165</v>
      </c>
      <c r="O650" t="str">
        <f t="shared" si="30"/>
        <v>[{"id":14,"num":60},{"id":2,"num":2500000},{"id":1,"num":3500000}]</v>
      </c>
    </row>
    <row r="651" spans="1:15" ht="16.5" x14ac:dyDescent="0.15">
      <c r="A651" s="3">
        <f>Sheet1!A653</f>
        <v>1417010</v>
      </c>
      <c r="B651" t="s">
        <v>1162</v>
      </c>
      <c r="C651">
        <v>14</v>
      </c>
      <c r="D651" t="s">
        <v>1163</v>
      </c>
      <c r="E651">
        <v>60</v>
      </c>
      <c r="F651" t="s">
        <v>1164</v>
      </c>
      <c r="G651">
        <v>2</v>
      </c>
      <c r="H651" t="s">
        <v>1163</v>
      </c>
      <c r="I651">
        <v>2500000</v>
      </c>
      <c r="J651" t="s">
        <v>1164</v>
      </c>
      <c r="K651">
        <v>1</v>
      </c>
      <c r="L651" t="s">
        <v>1163</v>
      </c>
      <c r="M651">
        <f t="shared" si="31"/>
        <v>3500000</v>
      </c>
      <c r="N651" t="s">
        <v>1165</v>
      </c>
      <c r="O651" t="str">
        <f t="shared" si="30"/>
        <v>[{"id":14,"num":60},{"id":2,"num":2500000},{"id":1,"num":3500000}]</v>
      </c>
    </row>
    <row r="652" spans="1:15" ht="16.5" x14ac:dyDescent="0.15">
      <c r="A652" s="3">
        <f>Sheet1!A654</f>
        <v>1417011</v>
      </c>
      <c r="B652" t="s">
        <v>1162</v>
      </c>
      <c r="C652">
        <v>14</v>
      </c>
      <c r="D652" t="s">
        <v>1163</v>
      </c>
      <c r="E652">
        <v>60</v>
      </c>
      <c r="F652" t="s">
        <v>1164</v>
      </c>
      <c r="G652">
        <v>2</v>
      </c>
      <c r="H652" t="s">
        <v>1163</v>
      </c>
      <c r="I652">
        <v>2500000</v>
      </c>
      <c r="J652" t="s">
        <v>1164</v>
      </c>
      <c r="K652">
        <v>1</v>
      </c>
      <c r="L652" t="s">
        <v>1163</v>
      </c>
      <c r="M652">
        <f t="shared" si="31"/>
        <v>3500000</v>
      </c>
      <c r="N652" t="s">
        <v>1165</v>
      </c>
      <c r="O652" t="str">
        <f t="shared" si="30"/>
        <v>[{"id":14,"num":60},{"id":2,"num":2500000},{"id":1,"num":3500000}]</v>
      </c>
    </row>
    <row r="653" spans="1:15" ht="16.5" x14ac:dyDescent="0.15">
      <c r="A653" s="3">
        <f>Sheet1!A655</f>
        <v>1417012</v>
      </c>
      <c r="B653" t="s">
        <v>1162</v>
      </c>
      <c r="C653">
        <v>14</v>
      </c>
      <c r="D653" t="s">
        <v>1163</v>
      </c>
      <c r="E653">
        <v>60</v>
      </c>
      <c r="F653" t="s">
        <v>1164</v>
      </c>
      <c r="G653">
        <v>2</v>
      </c>
      <c r="H653" t="s">
        <v>1163</v>
      </c>
      <c r="I653">
        <v>2500000</v>
      </c>
      <c r="J653" t="s">
        <v>1164</v>
      </c>
      <c r="K653">
        <v>1</v>
      </c>
      <c r="L653" t="s">
        <v>1163</v>
      </c>
      <c r="M653">
        <f t="shared" si="31"/>
        <v>3500000</v>
      </c>
      <c r="N653" t="s">
        <v>1165</v>
      </c>
      <c r="O653" t="str">
        <f t="shared" si="30"/>
        <v>[{"id":14,"num":60},{"id":2,"num":2500000},{"id":1,"num":3500000}]</v>
      </c>
    </row>
    <row r="654" spans="1:15" ht="16.5" x14ac:dyDescent="0.15">
      <c r="A654" s="3">
        <f>Sheet1!A656</f>
        <v>1417013</v>
      </c>
      <c r="B654" t="s">
        <v>1162</v>
      </c>
      <c r="C654">
        <v>14</v>
      </c>
      <c r="D654" t="s">
        <v>1163</v>
      </c>
      <c r="E654">
        <v>60</v>
      </c>
      <c r="F654" t="s">
        <v>1164</v>
      </c>
      <c r="G654">
        <v>2</v>
      </c>
      <c r="H654" t="s">
        <v>1163</v>
      </c>
      <c r="I654">
        <v>2500000</v>
      </c>
      <c r="J654" t="s">
        <v>1164</v>
      </c>
      <c r="K654">
        <v>1</v>
      </c>
      <c r="L654" t="s">
        <v>1163</v>
      </c>
      <c r="M654">
        <f t="shared" si="31"/>
        <v>3500000</v>
      </c>
      <c r="N654" t="s">
        <v>1165</v>
      </c>
      <c r="O654" t="str">
        <f t="shared" si="30"/>
        <v>[{"id":14,"num":60},{"id":2,"num":2500000},{"id":1,"num":3500000}]</v>
      </c>
    </row>
    <row r="655" spans="1:15" ht="16.5" x14ac:dyDescent="0.15">
      <c r="A655" s="3">
        <f>Sheet1!A657</f>
        <v>1417014</v>
      </c>
      <c r="B655" t="s">
        <v>1162</v>
      </c>
      <c r="C655">
        <v>14</v>
      </c>
      <c r="D655" t="s">
        <v>1163</v>
      </c>
      <c r="E655">
        <v>60</v>
      </c>
      <c r="F655" t="s">
        <v>1164</v>
      </c>
      <c r="G655">
        <v>2</v>
      </c>
      <c r="H655" t="s">
        <v>1163</v>
      </c>
      <c r="I655">
        <v>2500000</v>
      </c>
      <c r="J655" t="s">
        <v>1164</v>
      </c>
      <c r="K655">
        <v>1</v>
      </c>
      <c r="L655" t="s">
        <v>1163</v>
      </c>
      <c r="M655">
        <f t="shared" si="31"/>
        <v>3500000</v>
      </c>
      <c r="N655" t="s">
        <v>1165</v>
      </c>
      <c r="O655" t="str">
        <f t="shared" si="30"/>
        <v>[{"id":14,"num":60},{"id":2,"num":2500000},{"id":1,"num":3500000}]</v>
      </c>
    </row>
    <row r="656" spans="1:15" ht="16.5" x14ac:dyDescent="0.15">
      <c r="A656" s="3">
        <f>Sheet1!A658</f>
        <v>1417015</v>
      </c>
      <c r="B656" t="s">
        <v>1162</v>
      </c>
      <c r="C656">
        <v>14</v>
      </c>
      <c r="D656" t="s">
        <v>1163</v>
      </c>
      <c r="E656">
        <v>60</v>
      </c>
      <c r="F656" t="s">
        <v>1164</v>
      </c>
      <c r="G656">
        <v>2</v>
      </c>
      <c r="H656" t="s">
        <v>1163</v>
      </c>
      <c r="I656">
        <v>2500000</v>
      </c>
      <c r="J656" t="s">
        <v>1164</v>
      </c>
      <c r="K656">
        <v>1</v>
      </c>
      <c r="L656" t="s">
        <v>1163</v>
      </c>
      <c r="M656">
        <f t="shared" si="31"/>
        <v>3500000</v>
      </c>
      <c r="N656" t="s">
        <v>1165</v>
      </c>
      <c r="O656" t="str">
        <f t="shared" si="30"/>
        <v>[{"id":14,"num":60},{"id":2,"num":2500000},{"id":1,"num":3500000}]</v>
      </c>
    </row>
    <row r="657" spans="1:15" ht="16.5" x14ac:dyDescent="0.15">
      <c r="A657" s="3">
        <f>Sheet1!A659</f>
        <v>1417016</v>
      </c>
      <c r="B657" t="s">
        <v>1162</v>
      </c>
      <c r="C657">
        <v>14</v>
      </c>
      <c r="D657" t="s">
        <v>1163</v>
      </c>
      <c r="E657">
        <v>60</v>
      </c>
      <c r="F657" t="s">
        <v>1164</v>
      </c>
      <c r="G657">
        <v>2</v>
      </c>
      <c r="H657" t="s">
        <v>1163</v>
      </c>
      <c r="I657">
        <v>2500000</v>
      </c>
      <c r="J657" t="s">
        <v>1164</v>
      </c>
      <c r="K657">
        <v>1</v>
      </c>
      <c r="L657" t="s">
        <v>1163</v>
      </c>
      <c r="M657">
        <f t="shared" si="31"/>
        <v>3500000</v>
      </c>
      <c r="N657" t="s">
        <v>1165</v>
      </c>
      <c r="O657" t="str">
        <f t="shared" si="30"/>
        <v>[{"id":14,"num":60},{"id":2,"num":2500000},{"id":1,"num":3500000}]</v>
      </c>
    </row>
    <row r="658" spans="1:15" ht="16.5" x14ac:dyDescent="0.15">
      <c r="A658" s="3">
        <f>Sheet1!A660</f>
        <v>1417017</v>
      </c>
      <c r="B658" t="s">
        <v>1162</v>
      </c>
      <c r="C658">
        <v>14</v>
      </c>
      <c r="D658" t="s">
        <v>1163</v>
      </c>
      <c r="E658">
        <v>60</v>
      </c>
      <c r="F658" t="s">
        <v>1164</v>
      </c>
      <c r="G658">
        <v>2</v>
      </c>
      <c r="H658" t="s">
        <v>1163</v>
      </c>
      <c r="I658">
        <v>2500000</v>
      </c>
      <c r="J658" t="s">
        <v>1164</v>
      </c>
      <c r="K658">
        <v>1</v>
      </c>
      <c r="L658" t="s">
        <v>1163</v>
      </c>
      <c r="M658">
        <f t="shared" si="31"/>
        <v>3500000</v>
      </c>
      <c r="N658" t="s">
        <v>1165</v>
      </c>
      <c r="O658" t="str">
        <f t="shared" si="30"/>
        <v>[{"id":14,"num":60},{"id":2,"num":2500000},{"id":1,"num":3500000}]</v>
      </c>
    </row>
    <row r="659" spans="1:15" ht="16.5" x14ac:dyDescent="0.15">
      <c r="A659" s="3">
        <f>Sheet1!A661</f>
        <v>1417018</v>
      </c>
      <c r="B659" t="s">
        <v>1162</v>
      </c>
      <c r="C659">
        <v>14</v>
      </c>
      <c r="D659" t="s">
        <v>1163</v>
      </c>
      <c r="E659">
        <v>60</v>
      </c>
      <c r="F659" t="s">
        <v>1164</v>
      </c>
      <c r="G659">
        <v>2</v>
      </c>
      <c r="H659" t="s">
        <v>1163</v>
      </c>
      <c r="I659">
        <v>2500000</v>
      </c>
      <c r="J659" t="s">
        <v>1164</v>
      </c>
      <c r="K659">
        <v>1</v>
      </c>
      <c r="L659" t="s">
        <v>1163</v>
      </c>
      <c r="M659">
        <f t="shared" si="31"/>
        <v>3500000</v>
      </c>
      <c r="N659" t="s">
        <v>1165</v>
      </c>
      <c r="O659" t="str">
        <f t="shared" si="30"/>
        <v>[{"id":14,"num":60},{"id":2,"num":2500000},{"id":1,"num":3500000}]</v>
      </c>
    </row>
    <row r="660" spans="1:15" ht="16.5" x14ac:dyDescent="0.15">
      <c r="A660" s="3">
        <f>Sheet1!A662</f>
        <v>1417019</v>
      </c>
      <c r="B660" t="s">
        <v>1162</v>
      </c>
      <c r="C660">
        <v>14</v>
      </c>
      <c r="D660" t="s">
        <v>1163</v>
      </c>
      <c r="E660">
        <v>60</v>
      </c>
      <c r="F660" t="s">
        <v>1164</v>
      </c>
      <c r="G660">
        <v>2</v>
      </c>
      <c r="H660" t="s">
        <v>1163</v>
      </c>
      <c r="I660">
        <v>2500000</v>
      </c>
      <c r="J660" t="s">
        <v>1164</v>
      </c>
      <c r="K660">
        <v>1</v>
      </c>
      <c r="L660" t="s">
        <v>1163</v>
      </c>
      <c r="M660">
        <f t="shared" si="31"/>
        <v>3500000</v>
      </c>
      <c r="N660" t="s">
        <v>1165</v>
      </c>
      <c r="O660" t="str">
        <f t="shared" si="30"/>
        <v>[{"id":14,"num":60},{"id":2,"num":2500000},{"id":1,"num":3500000}]</v>
      </c>
    </row>
    <row r="661" spans="1:15" ht="16.5" x14ac:dyDescent="0.15">
      <c r="A661" s="3">
        <f>Sheet1!A663</f>
        <v>1417020</v>
      </c>
      <c r="B661" t="s">
        <v>1162</v>
      </c>
      <c r="C661">
        <v>14</v>
      </c>
      <c r="D661" t="s">
        <v>1163</v>
      </c>
      <c r="E661">
        <v>60</v>
      </c>
      <c r="F661" t="s">
        <v>1164</v>
      </c>
      <c r="G661">
        <v>2</v>
      </c>
      <c r="H661" t="s">
        <v>1163</v>
      </c>
      <c r="I661">
        <v>2500000</v>
      </c>
      <c r="J661" t="s">
        <v>1164</v>
      </c>
      <c r="K661">
        <v>1</v>
      </c>
      <c r="L661" t="s">
        <v>1163</v>
      </c>
      <c r="M661">
        <f t="shared" si="31"/>
        <v>3500000</v>
      </c>
      <c r="N661" t="s">
        <v>1165</v>
      </c>
      <c r="O661" t="str">
        <f t="shared" si="30"/>
        <v>[{"id":14,"num":60},{"id":2,"num":2500000},{"id":1,"num":3500000}]</v>
      </c>
    </row>
    <row r="662" spans="1:15" ht="16.5" x14ac:dyDescent="0.15">
      <c r="A662" s="3">
        <f>Sheet1!A664</f>
        <v>1417021</v>
      </c>
      <c r="B662" t="s">
        <v>1162</v>
      </c>
      <c r="C662">
        <v>14</v>
      </c>
      <c r="D662" t="s">
        <v>1163</v>
      </c>
      <c r="E662">
        <v>60</v>
      </c>
      <c r="F662" t="s">
        <v>1164</v>
      </c>
      <c r="G662">
        <v>2</v>
      </c>
      <c r="H662" t="s">
        <v>1163</v>
      </c>
      <c r="I662">
        <v>2500000</v>
      </c>
      <c r="J662" t="s">
        <v>1164</v>
      </c>
      <c r="K662">
        <v>1</v>
      </c>
      <c r="L662" t="s">
        <v>1163</v>
      </c>
      <c r="M662">
        <f t="shared" si="31"/>
        <v>3500000</v>
      </c>
      <c r="N662" t="s">
        <v>1165</v>
      </c>
      <c r="O662" t="str">
        <f t="shared" si="30"/>
        <v>[{"id":14,"num":60},{"id":2,"num":2500000},{"id":1,"num":3500000}]</v>
      </c>
    </row>
    <row r="663" spans="1:15" ht="16.5" x14ac:dyDescent="0.15">
      <c r="A663" s="3">
        <f>Sheet1!A665</f>
        <v>1417022</v>
      </c>
      <c r="B663" t="s">
        <v>1162</v>
      </c>
      <c r="C663">
        <v>14</v>
      </c>
      <c r="D663" t="s">
        <v>1163</v>
      </c>
      <c r="E663">
        <v>60</v>
      </c>
      <c r="F663" t="s">
        <v>1164</v>
      </c>
      <c r="G663">
        <v>2</v>
      </c>
      <c r="H663" t="s">
        <v>1163</v>
      </c>
      <c r="I663">
        <v>2500000</v>
      </c>
      <c r="J663" t="s">
        <v>1164</v>
      </c>
      <c r="K663">
        <v>1</v>
      </c>
      <c r="L663" t="s">
        <v>1163</v>
      </c>
      <c r="M663">
        <f t="shared" si="31"/>
        <v>3500000</v>
      </c>
      <c r="N663" t="s">
        <v>1165</v>
      </c>
      <c r="O663" t="str">
        <f t="shared" si="30"/>
        <v>[{"id":14,"num":60},{"id":2,"num":2500000},{"id":1,"num":3500000}]</v>
      </c>
    </row>
    <row r="664" spans="1:15" ht="16.5" x14ac:dyDescent="0.15">
      <c r="A664" s="3">
        <f>Sheet1!A666</f>
        <v>1417023</v>
      </c>
      <c r="B664" t="s">
        <v>1162</v>
      </c>
      <c r="C664">
        <v>14</v>
      </c>
      <c r="D664" t="s">
        <v>1163</v>
      </c>
      <c r="E664">
        <v>60</v>
      </c>
      <c r="F664" t="s">
        <v>1164</v>
      </c>
      <c r="G664">
        <v>2</v>
      </c>
      <c r="H664" t="s">
        <v>1163</v>
      </c>
      <c r="I664">
        <v>2500000</v>
      </c>
      <c r="J664" t="s">
        <v>1164</v>
      </c>
      <c r="K664">
        <v>1</v>
      </c>
      <c r="L664" t="s">
        <v>1163</v>
      </c>
      <c r="M664">
        <f t="shared" si="31"/>
        <v>3500000</v>
      </c>
      <c r="N664" t="s">
        <v>1165</v>
      </c>
      <c r="O664" t="str">
        <f t="shared" si="30"/>
        <v>[{"id":14,"num":60},{"id":2,"num":2500000},{"id":1,"num":3500000}]</v>
      </c>
    </row>
    <row r="665" spans="1:15" ht="16.5" x14ac:dyDescent="0.15">
      <c r="A665" s="3">
        <f>Sheet1!A667</f>
        <v>1417024</v>
      </c>
      <c r="B665" t="s">
        <v>1162</v>
      </c>
      <c r="C665">
        <v>14</v>
      </c>
      <c r="D665" t="s">
        <v>1163</v>
      </c>
      <c r="E665">
        <v>60</v>
      </c>
      <c r="F665" t="s">
        <v>1164</v>
      </c>
      <c r="G665">
        <v>2</v>
      </c>
      <c r="H665" t="s">
        <v>1163</v>
      </c>
      <c r="I665">
        <v>2500000</v>
      </c>
      <c r="J665" t="s">
        <v>1164</v>
      </c>
      <c r="K665">
        <v>1</v>
      </c>
      <c r="L665" t="s">
        <v>1163</v>
      </c>
      <c r="M665">
        <f t="shared" si="31"/>
        <v>3500000</v>
      </c>
      <c r="N665" t="s">
        <v>1165</v>
      </c>
      <c r="O665" t="str">
        <f t="shared" si="30"/>
        <v>[{"id":14,"num":60},{"id":2,"num":2500000},{"id":1,"num":3500000}]</v>
      </c>
    </row>
    <row r="666" spans="1:15" ht="16.5" x14ac:dyDescent="0.15">
      <c r="A666" s="3">
        <f>Sheet1!A668</f>
        <v>1417025</v>
      </c>
      <c r="B666" t="s">
        <v>1162</v>
      </c>
      <c r="C666">
        <v>14</v>
      </c>
      <c r="D666" t="s">
        <v>1163</v>
      </c>
      <c r="E666">
        <v>60</v>
      </c>
      <c r="F666" t="s">
        <v>1164</v>
      </c>
      <c r="G666">
        <v>2</v>
      </c>
      <c r="H666" t="s">
        <v>1163</v>
      </c>
      <c r="I666">
        <v>2500000</v>
      </c>
      <c r="J666" t="s">
        <v>1164</v>
      </c>
      <c r="K666">
        <v>1</v>
      </c>
      <c r="L666" t="s">
        <v>1163</v>
      </c>
      <c r="M666">
        <f t="shared" si="31"/>
        <v>3500000</v>
      </c>
      <c r="N666" t="s">
        <v>1165</v>
      </c>
      <c r="O666" t="str">
        <f t="shared" si="30"/>
        <v>[{"id":14,"num":60},{"id":2,"num":2500000},{"id":1,"num":3500000}]</v>
      </c>
    </row>
    <row r="667" spans="1:15" ht="16.5" x14ac:dyDescent="0.15">
      <c r="A667" s="3">
        <f>Sheet1!A669</f>
        <v>1417026</v>
      </c>
      <c r="B667" t="s">
        <v>1162</v>
      </c>
      <c r="C667">
        <v>14</v>
      </c>
      <c r="D667" t="s">
        <v>1163</v>
      </c>
      <c r="E667">
        <v>60</v>
      </c>
      <c r="F667" t="s">
        <v>1164</v>
      </c>
      <c r="G667">
        <v>2</v>
      </c>
      <c r="H667" t="s">
        <v>1163</v>
      </c>
      <c r="I667">
        <v>2500000</v>
      </c>
      <c r="J667" t="s">
        <v>1164</v>
      </c>
      <c r="K667">
        <v>1</v>
      </c>
      <c r="L667" t="s">
        <v>1163</v>
      </c>
      <c r="M667">
        <f t="shared" si="31"/>
        <v>3500000</v>
      </c>
      <c r="N667" t="s">
        <v>1165</v>
      </c>
      <c r="O667" t="str">
        <f t="shared" si="30"/>
        <v>[{"id":14,"num":60},{"id":2,"num":2500000},{"id":1,"num":3500000}]</v>
      </c>
    </row>
    <row r="668" spans="1:15" ht="16.5" x14ac:dyDescent="0.15">
      <c r="A668" s="3">
        <f>Sheet1!A670</f>
        <v>1417027</v>
      </c>
      <c r="B668" t="s">
        <v>1162</v>
      </c>
      <c r="C668">
        <v>14</v>
      </c>
      <c r="D668" t="s">
        <v>1163</v>
      </c>
      <c r="E668">
        <v>60</v>
      </c>
      <c r="F668" t="s">
        <v>1164</v>
      </c>
      <c r="G668">
        <v>2</v>
      </c>
      <c r="H668" t="s">
        <v>1163</v>
      </c>
      <c r="I668">
        <v>2500000</v>
      </c>
      <c r="J668" t="s">
        <v>1164</v>
      </c>
      <c r="K668">
        <v>1</v>
      </c>
      <c r="L668" t="s">
        <v>1163</v>
      </c>
      <c r="M668">
        <f t="shared" si="31"/>
        <v>3500000</v>
      </c>
      <c r="N668" t="s">
        <v>1165</v>
      </c>
      <c r="O668" t="str">
        <f t="shared" si="30"/>
        <v>[{"id":14,"num":60},{"id":2,"num":2500000},{"id":1,"num":3500000}]</v>
      </c>
    </row>
    <row r="669" spans="1:15" ht="16.5" x14ac:dyDescent="0.15">
      <c r="A669" s="3">
        <f>Sheet1!A671</f>
        <v>1417028</v>
      </c>
      <c r="B669" t="s">
        <v>1162</v>
      </c>
      <c r="C669">
        <v>14</v>
      </c>
      <c r="D669" t="s">
        <v>1163</v>
      </c>
      <c r="E669">
        <v>60</v>
      </c>
      <c r="F669" t="s">
        <v>1164</v>
      </c>
      <c r="G669">
        <v>2</v>
      </c>
      <c r="H669" t="s">
        <v>1163</v>
      </c>
      <c r="I669">
        <v>2500000</v>
      </c>
      <c r="J669" t="s">
        <v>1164</v>
      </c>
      <c r="K669">
        <v>1</v>
      </c>
      <c r="L669" t="s">
        <v>1163</v>
      </c>
      <c r="M669">
        <f t="shared" si="31"/>
        <v>3500000</v>
      </c>
      <c r="N669" t="s">
        <v>1165</v>
      </c>
      <c r="O669" t="str">
        <f t="shared" si="30"/>
        <v>[{"id":14,"num":60},{"id":2,"num":2500000},{"id":1,"num":3500000}]</v>
      </c>
    </row>
    <row r="670" spans="1:15" ht="16.5" x14ac:dyDescent="0.15">
      <c r="A670" s="3">
        <f>Sheet1!A672</f>
        <v>1417029</v>
      </c>
      <c r="B670" t="s">
        <v>1162</v>
      </c>
      <c r="C670">
        <v>14</v>
      </c>
      <c r="D670" t="s">
        <v>1163</v>
      </c>
      <c r="E670">
        <v>60</v>
      </c>
      <c r="F670" t="s">
        <v>1164</v>
      </c>
      <c r="G670">
        <v>2</v>
      </c>
      <c r="H670" t="s">
        <v>1163</v>
      </c>
      <c r="I670">
        <v>2500000</v>
      </c>
      <c r="J670" t="s">
        <v>1164</v>
      </c>
      <c r="K670">
        <v>1</v>
      </c>
      <c r="L670" t="s">
        <v>1163</v>
      </c>
      <c r="M670">
        <f t="shared" si="31"/>
        <v>3500000</v>
      </c>
      <c r="N670" t="s">
        <v>1165</v>
      </c>
      <c r="O670" t="str">
        <f t="shared" si="30"/>
        <v>[{"id":14,"num":60},{"id":2,"num":2500000},{"id":1,"num":3500000}]</v>
      </c>
    </row>
    <row r="671" spans="1:15" ht="16.5" x14ac:dyDescent="0.15">
      <c r="A671" s="3">
        <f>Sheet1!A673</f>
        <v>1417030</v>
      </c>
      <c r="B671" t="s">
        <v>1162</v>
      </c>
      <c r="C671">
        <v>14</v>
      </c>
      <c r="D671" t="s">
        <v>1163</v>
      </c>
      <c r="E671">
        <v>60</v>
      </c>
      <c r="F671" t="s">
        <v>1164</v>
      </c>
      <c r="G671">
        <v>2</v>
      </c>
      <c r="H671" t="s">
        <v>1163</v>
      </c>
      <c r="I671">
        <v>2500000</v>
      </c>
      <c r="J671" t="s">
        <v>1164</v>
      </c>
      <c r="K671">
        <v>1</v>
      </c>
      <c r="L671" t="s">
        <v>1163</v>
      </c>
      <c r="M671">
        <f t="shared" si="31"/>
        <v>3500000</v>
      </c>
      <c r="N671" t="s">
        <v>1165</v>
      </c>
      <c r="O671" t="str">
        <f t="shared" si="30"/>
        <v>[{"id":14,"num":60},{"id":2,"num":2500000},{"id":1,"num":3500000}]</v>
      </c>
    </row>
    <row r="672" spans="1:15" ht="16.5" x14ac:dyDescent="0.15">
      <c r="A672" s="3">
        <f>Sheet1!A674</f>
        <v>1417031</v>
      </c>
      <c r="B672" t="s">
        <v>1162</v>
      </c>
      <c r="C672">
        <v>14</v>
      </c>
      <c r="D672" t="s">
        <v>1163</v>
      </c>
      <c r="E672">
        <v>60</v>
      </c>
      <c r="F672" t="s">
        <v>1164</v>
      </c>
      <c r="G672">
        <v>2</v>
      </c>
      <c r="H672" t="s">
        <v>1163</v>
      </c>
      <c r="I672">
        <v>2500000</v>
      </c>
      <c r="J672" t="s">
        <v>1164</v>
      </c>
      <c r="K672">
        <v>1</v>
      </c>
      <c r="L672" t="s">
        <v>1163</v>
      </c>
      <c r="M672">
        <f t="shared" si="31"/>
        <v>3500000</v>
      </c>
      <c r="N672" t="s">
        <v>1165</v>
      </c>
      <c r="O672" t="str">
        <f t="shared" si="30"/>
        <v>[{"id":14,"num":60},{"id":2,"num":2500000},{"id":1,"num":3500000}]</v>
      </c>
    </row>
    <row r="673" spans="1:15" ht="16.5" x14ac:dyDescent="0.15">
      <c r="A673" s="3">
        <f>Sheet1!A675</f>
        <v>1417032</v>
      </c>
      <c r="B673" t="s">
        <v>1162</v>
      </c>
      <c r="C673">
        <v>14</v>
      </c>
      <c r="D673" t="s">
        <v>1163</v>
      </c>
      <c r="E673">
        <v>60</v>
      </c>
      <c r="F673" t="s">
        <v>1164</v>
      </c>
      <c r="G673">
        <v>2</v>
      </c>
      <c r="H673" t="s">
        <v>1163</v>
      </c>
      <c r="I673">
        <v>2500000</v>
      </c>
      <c r="J673" t="s">
        <v>1164</v>
      </c>
      <c r="K673">
        <v>1</v>
      </c>
      <c r="L673" t="s">
        <v>1163</v>
      </c>
      <c r="M673">
        <f t="shared" si="31"/>
        <v>3500000</v>
      </c>
      <c r="N673" t="s">
        <v>1165</v>
      </c>
      <c r="O673" t="str">
        <f t="shared" si="30"/>
        <v>[{"id":14,"num":60},{"id":2,"num":2500000},{"id":1,"num":3500000}]</v>
      </c>
    </row>
    <row r="674" spans="1:15" ht="16.5" x14ac:dyDescent="0.15">
      <c r="A674" s="3">
        <f>Sheet1!A676</f>
        <v>1417033</v>
      </c>
      <c r="B674" t="s">
        <v>1162</v>
      </c>
      <c r="C674">
        <v>14</v>
      </c>
      <c r="D674" t="s">
        <v>1163</v>
      </c>
      <c r="E674">
        <v>60</v>
      </c>
      <c r="F674" t="s">
        <v>1164</v>
      </c>
      <c r="G674">
        <v>2</v>
      </c>
      <c r="H674" t="s">
        <v>1163</v>
      </c>
      <c r="I674">
        <v>2500000</v>
      </c>
      <c r="J674" t="s">
        <v>1164</v>
      </c>
      <c r="K674">
        <v>1</v>
      </c>
      <c r="L674" t="s">
        <v>1163</v>
      </c>
      <c r="M674">
        <f t="shared" si="31"/>
        <v>3500000</v>
      </c>
      <c r="N674" t="s">
        <v>1165</v>
      </c>
      <c r="O674" t="str">
        <f t="shared" ref="O674:O737" si="32">_xlfn.TEXTJOIN(,TRUE,B674:N674)</f>
        <v>[{"id":14,"num":60},{"id":2,"num":2500000},{"id":1,"num":3500000}]</v>
      </c>
    </row>
    <row r="675" spans="1:15" ht="16.5" x14ac:dyDescent="0.15">
      <c r="A675" s="3">
        <f>Sheet1!A677</f>
        <v>1417034</v>
      </c>
      <c r="B675" t="s">
        <v>1162</v>
      </c>
      <c r="C675">
        <v>14</v>
      </c>
      <c r="D675" t="s">
        <v>1163</v>
      </c>
      <c r="E675">
        <v>60</v>
      </c>
      <c r="F675" t="s">
        <v>1164</v>
      </c>
      <c r="G675">
        <v>2</v>
      </c>
      <c r="H675" t="s">
        <v>1163</v>
      </c>
      <c r="I675">
        <v>2500000</v>
      </c>
      <c r="J675" t="s">
        <v>1164</v>
      </c>
      <c r="K675">
        <v>1</v>
      </c>
      <c r="L675" t="s">
        <v>1163</v>
      </c>
      <c r="M675">
        <f t="shared" ref="M675:M738" si="33">M635+200000</f>
        <v>3500000</v>
      </c>
      <c r="N675" t="s">
        <v>1165</v>
      </c>
      <c r="O675" t="str">
        <f t="shared" si="32"/>
        <v>[{"id":14,"num":60},{"id":2,"num":2500000},{"id":1,"num":3500000}]</v>
      </c>
    </row>
    <row r="676" spans="1:15" ht="16.5" x14ac:dyDescent="0.15">
      <c r="A676" s="3">
        <f>Sheet1!A678</f>
        <v>1417035</v>
      </c>
      <c r="B676" t="s">
        <v>1162</v>
      </c>
      <c r="C676">
        <v>14</v>
      </c>
      <c r="D676" t="s">
        <v>1163</v>
      </c>
      <c r="E676">
        <v>60</v>
      </c>
      <c r="F676" t="s">
        <v>1164</v>
      </c>
      <c r="G676">
        <v>2</v>
      </c>
      <c r="H676" t="s">
        <v>1163</v>
      </c>
      <c r="I676">
        <v>2500000</v>
      </c>
      <c r="J676" t="s">
        <v>1164</v>
      </c>
      <c r="K676">
        <v>1</v>
      </c>
      <c r="L676" t="s">
        <v>1163</v>
      </c>
      <c r="M676">
        <f t="shared" si="33"/>
        <v>3500000</v>
      </c>
      <c r="N676" t="s">
        <v>1165</v>
      </c>
      <c r="O676" t="str">
        <f t="shared" si="32"/>
        <v>[{"id":14,"num":60},{"id":2,"num":2500000},{"id":1,"num":3500000}]</v>
      </c>
    </row>
    <row r="677" spans="1:15" ht="16.5" x14ac:dyDescent="0.15">
      <c r="A677" s="3">
        <f>Sheet1!A679</f>
        <v>1417036</v>
      </c>
      <c r="B677" t="s">
        <v>1162</v>
      </c>
      <c r="C677">
        <v>14</v>
      </c>
      <c r="D677" t="s">
        <v>1163</v>
      </c>
      <c r="E677">
        <v>60</v>
      </c>
      <c r="F677" t="s">
        <v>1164</v>
      </c>
      <c r="G677">
        <v>2</v>
      </c>
      <c r="H677" t="s">
        <v>1163</v>
      </c>
      <c r="I677">
        <v>2500000</v>
      </c>
      <c r="J677" t="s">
        <v>1164</v>
      </c>
      <c r="K677">
        <v>1</v>
      </c>
      <c r="L677" t="s">
        <v>1163</v>
      </c>
      <c r="M677">
        <f t="shared" si="33"/>
        <v>3500000</v>
      </c>
      <c r="N677" t="s">
        <v>1165</v>
      </c>
      <c r="O677" t="str">
        <f t="shared" si="32"/>
        <v>[{"id":14,"num":60},{"id":2,"num":2500000},{"id":1,"num":3500000}]</v>
      </c>
    </row>
    <row r="678" spans="1:15" ht="16.5" x14ac:dyDescent="0.15">
      <c r="A678" s="3">
        <f>Sheet1!A680</f>
        <v>1417037</v>
      </c>
      <c r="B678" t="s">
        <v>1162</v>
      </c>
      <c r="C678">
        <v>14</v>
      </c>
      <c r="D678" t="s">
        <v>1163</v>
      </c>
      <c r="E678">
        <v>60</v>
      </c>
      <c r="F678" t="s">
        <v>1164</v>
      </c>
      <c r="G678">
        <v>2</v>
      </c>
      <c r="H678" t="s">
        <v>1163</v>
      </c>
      <c r="I678">
        <v>2500000</v>
      </c>
      <c r="J678" t="s">
        <v>1164</v>
      </c>
      <c r="K678">
        <v>1</v>
      </c>
      <c r="L678" t="s">
        <v>1163</v>
      </c>
      <c r="M678">
        <f t="shared" si="33"/>
        <v>3500000</v>
      </c>
      <c r="N678" t="s">
        <v>1165</v>
      </c>
      <c r="O678" t="str">
        <f t="shared" si="32"/>
        <v>[{"id":14,"num":60},{"id":2,"num":2500000},{"id":1,"num":3500000}]</v>
      </c>
    </row>
    <row r="679" spans="1:15" ht="16.5" x14ac:dyDescent="0.15">
      <c r="A679" s="3">
        <f>Sheet1!A681</f>
        <v>1417038</v>
      </c>
      <c r="B679" t="s">
        <v>1162</v>
      </c>
      <c r="C679">
        <v>14</v>
      </c>
      <c r="D679" t="s">
        <v>1163</v>
      </c>
      <c r="E679">
        <v>60</v>
      </c>
      <c r="F679" t="s">
        <v>1164</v>
      </c>
      <c r="G679">
        <v>2</v>
      </c>
      <c r="H679" t="s">
        <v>1163</v>
      </c>
      <c r="I679">
        <v>2500000</v>
      </c>
      <c r="J679" t="s">
        <v>1164</v>
      </c>
      <c r="K679">
        <v>1</v>
      </c>
      <c r="L679" t="s">
        <v>1163</v>
      </c>
      <c r="M679">
        <f t="shared" si="33"/>
        <v>3500000</v>
      </c>
      <c r="N679" t="s">
        <v>1165</v>
      </c>
      <c r="O679" t="str">
        <f t="shared" si="32"/>
        <v>[{"id":14,"num":60},{"id":2,"num":2500000},{"id":1,"num":3500000}]</v>
      </c>
    </row>
    <row r="680" spans="1:15" ht="16.5" x14ac:dyDescent="0.15">
      <c r="A680" s="3">
        <f>Sheet1!A682</f>
        <v>1417039</v>
      </c>
      <c r="B680" t="s">
        <v>1162</v>
      </c>
      <c r="C680">
        <v>14</v>
      </c>
      <c r="D680" t="s">
        <v>1163</v>
      </c>
      <c r="E680">
        <v>60</v>
      </c>
      <c r="F680" t="s">
        <v>1164</v>
      </c>
      <c r="G680">
        <v>2</v>
      </c>
      <c r="H680" t="s">
        <v>1163</v>
      </c>
      <c r="I680">
        <v>2500000</v>
      </c>
      <c r="J680" t="s">
        <v>1164</v>
      </c>
      <c r="K680">
        <v>1</v>
      </c>
      <c r="L680" t="s">
        <v>1163</v>
      </c>
      <c r="M680">
        <f t="shared" si="33"/>
        <v>3500000</v>
      </c>
      <c r="N680" t="s">
        <v>1165</v>
      </c>
      <c r="O680" t="str">
        <f t="shared" si="32"/>
        <v>[{"id":14,"num":60},{"id":2,"num":2500000},{"id":1,"num":3500000}]</v>
      </c>
    </row>
    <row r="681" spans="1:15" ht="16.5" x14ac:dyDescent="0.15">
      <c r="A681" s="3">
        <f>Sheet1!A683</f>
        <v>1417040</v>
      </c>
      <c r="B681" t="s">
        <v>1162</v>
      </c>
      <c r="C681">
        <v>14</v>
      </c>
      <c r="D681" t="s">
        <v>1163</v>
      </c>
      <c r="E681">
        <v>60</v>
      </c>
      <c r="F681" t="s">
        <v>1164</v>
      </c>
      <c r="G681">
        <v>2</v>
      </c>
      <c r="H681" t="s">
        <v>1163</v>
      </c>
      <c r="I681">
        <v>2500000</v>
      </c>
      <c r="J681" t="s">
        <v>1164</v>
      </c>
      <c r="K681">
        <v>1</v>
      </c>
      <c r="L681" t="s">
        <v>1163</v>
      </c>
      <c r="M681">
        <f t="shared" si="33"/>
        <v>3500000</v>
      </c>
      <c r="N681" t="s">
        <v>1165</v>
      </c>
      <c r="O681" t="str">
        <f t="shared" si="32"/>
        <v>[{"id":14,"num":60},{"id":2,"num":2500000},{"id":1,"num":3500000}]</v>
      </c>
    </row>
    <row r="682" spans="1:15" ht="16.5" x14ac:dyDescent="0.15">
      <c r="A682" s="3">
        <f>Sheet1!A684</f>
        <v>1418001</v>
      </c>
      <c r="B682" t="s">
        <v>1162</v>
      </c>
      <c r="C682">
        <v>14</v>
      </c>
      <c r="D682" t="s">
        <v>1163</v>
      </c>
      <c r="E682">
        <v>60</v>
      </c>
      <c r="F682" t="s">
        <v>1164</v>
      </c>
      <c r="G682">
        <v>2</v>
      </c>
      <c r="H682" t="s">
        <v>1163</v>
      </c>
      <c r="I682">
        <v>2500000</v>
      </c>
      <c r="J682" t="s">
        <v>1164</v>
      </c>
      <c r="K682">
        <v>1</v>
      </c>
      <c r="L682" t="s">
        <v>1163</v>
      </c>
      <c r="M682">
        <f t="shared" si="33"/>
        <v>3700000</v>
      </c>
      <c r="N682" t="s">
        <v>1165</v>
      </c>
      <c r="O682" t="str">
        <f t="shared" si="32"/>
        <v>[{"id":14,"num":60},{"id":2,"num":2500000},{"id":1,"num":3700000}]</v>
      </c>
    </row>
    <row r="683" spans="1:15" ht="16.5" x14ac:dyDescent="0.15">
      <c r="A683" s="3">
        <f>Sheet1!A685</f>
        <v>1418002</v>
      </c>
      <c r="B683" t="s">
        <v>1162</v>
      </c>
      <c r="C683">
        <v>14</v>
      </c>
      <c r="D683" t="s">
        <v>1163</v>
      </c>
      <c r="E683">
        <v>60</v>
      </c>
      <c r="F683" t="s">
        <v>1164</v>
      </c>
      <c r="G683">
        <v>2</v>
      </c>
      <c r="H683" t="s">
        <v>1163</v>
      </c>
      <c r="I683">
        <v>2500000</v>
      </c>
      <c r="J683" t="s">
        <v>1164</v>
      </c>
      <c r="K683">
        <v>1</v>
      </c>
      <c r="L683" t="s">
        <v>1163</v>
      </c>
      <c r="M683">
        <f t="shared" si="33"/>
        <v>3700000</v>
      </c>
      <c r="N683" t="s">
        <v>1165</v>
      </c>
      <c r="O683" t="str">
        <f t="shared" si="32"/>
        <v>[{"id":14,"num":60},{"id":2,"num":2500000},{"id":1,"num":3700000}]</v>
      </c>
    </row>
    <row r="684" spans="1:15" ht="16.5" x14ac:dyDescent="0.15">
      <c r="A684" s="3">
        <f>Sheet1!A686</f>
        <v>1418003</v>
      </c>
      <c r="B684" t="s">
        <v>1162</v>
      </c>
      <c r="C684">
        <v>14</v>
      </c>
      <c r="D684" t="s">
        <v>1163</v>
      </c>
      <c r="E684">
        <v>60</v>
      </c>
      <c r="F684" t="s">
        <v>1164</v>
      </c>
      <c r="G684">
        <v>2</v>
      </c>
      <c r="H684" t="s">
        <v>1163</v>
      </c>
      <c r="I684">
        <v>2500000</v>
      </c>
      <c r="J684" t="s">
        <v>1164</v>
      </c>
      <c r="K684">
        <v>1</v>
      </c>
      <c r="L684" t="s">
        <v>1163</v>
      </c>
      <c r="M684">
        <f t="shared" si="33"/>
        <v>3700000</v>
      </c>
      <c r="N684" t="s">
        <v>1165</v>
      </c>
      <c r="O684" t="str">
        <f t="shared" si="32"/>
        <v>[{"id":14,"num":60},{"id":2,"num":2500000},{"id":1,"num":3700000}]</v>
      </c>
    </row>
    <row r="685" spans="1:15" ht="16.5" x14ac:dyDescent="0.15">
      <c r="A685" s="3">
        <f>Sheet1!A687</f>
        <v>1418004</v>
      </c>
      <c r="B685" t="s">
        <v>1162</v>
      </c>
      <c r="C685">
        <v>14</v>
      </c>
      <c r="D685" t="s">
        <v>1163</v>
      </c>
      <c r="E685">
        <v>60</v>
      </c>
      <c r="F685" t="s">
        <v>1164</v>
      </c>
      <c r="G685">
        <v>2</v>
      </c>
      <c r="H685" t="s">
        <v>1163</v>
      </c>
      <c r="I685">
        <v>2500000</v>
      </c>
      <c r="J685" t="s">
        <v>1164</v>
      </c>
      <c r="K685">
        <v>1</v>
      </c>
      <c r="L685" t="s">
        <v>1163</v>
      </c>
      <c r="M685">
        <f t="shared" si="33"/>
        <v>3700000</v>
      </c>
      <c r="N685" t="s">
        <v>1165</v>
      </c>
      <c r="O685" t="str">
        <f t="shared" si="32"/>
        <v>[{"id":14,"num":60},{"id":2,"num":2500000},{"id":1,"num":3700000}]</v>
      </c>
    </row>
    <row r="686" spans="1:15" ht="16.5" x14ac:dyDescent="0.15">
      <c r="A686" s="3">
        <f>Sheet1!A688</f>
        <v>1418005</v>
      </c>
      <c r="B686" t="s">
        <v>1162</v>
      </c>
      <c r="C686">
        <v>14</v>
      </c>
      <c r="D686" t="s">
        <v>1163</v>
      </c>
      <c r="E686">
        <v>60</v>
      </c>
      <c r="F686" t="s">
        <v>1164</v>
      </c>
      <c r="G686">
        <v>2</v>
      </c>
      <c r="H686" t="s">
        <v>1163</v>
      </c>
      <c r="I686">
        <v>2500000</v>
      </c>
      <c r="J686" t="s">
        <v>1164</v>
      </c>
      <c r="K686">
        <v>1</v>
      </c>
      <c r="L686" t="s">
        <v>1163</v>
      </c>
      <c r="M686">
        <f t="shared" si="33"/>
        <v>3700000</v>
      </c>
      <c r="N686" t="s">
        <v>1165</v>
      </c>
      <c r="O686" t="str">
        <f t="shared" si="32"/>
        <v>[{"id":14,"num":60},{"id":2,"num":2500000},{"id":1,"num":3700000}]</v>
      </c>
    </row>
    <row r="687" spans="1:15" ht="16.5" x14ac:dyDescent="0.15">
      <c r="A687" s="3">
        <f>Sheet1!A689</f>
        <v>1418006</v>
      </c>
      <c r="B687" t="s">
        <v>1162</v>
      </c>
      <c r="C687">
        <v>14</v>
      </c>
      <c r="D687" t="s">
        <v>1163</v>
      </c>
      <c r="E687">
        <v>60</v>
      </c>
      <c r="F687" t="s">
        <v>1164</v>
      </c>
      <c r="G687">
        <v>2</v>
      </c>
      <c r="H687" t="s">
        <v>1163</v>
      </c>
      <c r="I687">
        <v>2500000</v>
      </c>
      <c r="J687" t="s">
        <v>1164</v>
      </c>
      <c r="K687">
        <v>1</v>
      </c>
      <c r="L687" t="s">
        <v>1163</v>
      </c>
      <c r="M687">
        <f t="shared" si="33"/>
        <v>3700000</v>
      </c>
      <c r="N687" t="s">
        <v>1165</v>
      </c>
      <c r="O687" t="str">
        <f t="shared" si="32"/>
        <v>[{"id":14,"num":60},{"id":2,"num":2500000},{"id":1,"num":3700000}]</v>
      </c>
    </row>
    <row r="688" spans="1:15" ht="16.5" x14ac:dyDescent="0.15">
      <c r="A688" s="3">
        <f>Sheet1!A690</f>
        <v>1418007</v>
      </c>
      <c r="B688" t="s">
        <v>1162</v>
      </c>
      <c r="C688">
        <v>14</v>
      </c>
      <c r="D688" t="s">
        <v>1163</v>
      </c>
      <c r="E688">
        <v>60</v>
      </c>
      <c r="F688" t="s">
        <v>1164</v>
      </c>
      <c r="G688">
        <v>2</v>
      </c>
      <c r="H688" t="s">
        <v>1163</v>
      </c>
      <c r="I688">
        <v>2500000</v>
      </c>
      <c r="J688" t="s">
        <v>1164</v>
      </c>
      <c r="K688">
        <v>1</v>
      </c>
      <c r="L688" t="s">
        <v>1163</v>
      </c>
      <c r="M688">
        <f t="shared" si="33"/>
        <v>3700000</v>
      </c>
      <c r="N688" t="s">
        <v>1165</v>
      </c>
      <c r="O688" t="str">
        <f t="shared" si="32"/>
        <v>[{"id":14,"num":60},{"id":2,"num":2500000},{"id":1,"num":3700000}]</v>
      </c>
    </row>
    <row r="689" spans="1:15" ht="16.5" x14ac:dyDescent="0.15">
      <c r="A689" s="3">
        <f>Sheet1!A691</f>
        <v>1418008</v>
      </c>
      <c r="B689" t="s">
        <v>1162</v>
      </c>
      <c r="C689">
        <v>14</v>
      </c>
      <c r="D689" t="s">
        <v>1163</v>
      </c>
      <c r="E689">
        <v>60</v>
      </c>
      <c r="F689" t="s">
        <v>1164</v>
      </c>
      <c r="G689">
        <v>2</v>
      </c>
      <c r="H689" t="s">
        <v>1163</v>
      </c>
      <c r="I689">
        <v>2500000</v>
      </c>
      <c r="J689" t="s">
        <v>1164</v>
      </c>
      <c r="K689">
        <v>1</v>
      </c>
      <c r="L689" t="s">
        <v>1163</v>
      </c>
      <c r="M689">
        <f t="shared" si="33"/>
        <v>3700000</v>
      </c>
      <c r="N689" t="s">
        <v>1165</v>
      </c>
      <c r="O689" t="str">
        <f t="shared" si="32"/>
        <v>[{"id":14,"num":60},{"id":2,"num":2500000},{"id":1,"num":3700000}]</v>
      </c>
    </row>
    <row r="690" spans="1:15" ht="16.5" x14ac:dyDescent="0.15">
      <c r="A690" s="3">
        <f>Sheet1!A692</f>
        <v>1418009</v>
      </c>
      <c r="B690" t="s">
        <v>1162</v>
      </c>
      <c r="C690">
        <v>14</v>
      </c>
      <c r="D690" t="s">
        <v>1163</v>
      </c>
      <c r="E690">
        <v>60</v>
      </c>
      <c r="F690" t="s">
        <v>1164</v>
      </c>
      <c r="G690">
        <v>2</v>
      </c>
      <c r="H690" t="s">
        <v>1163</v>
      </c>
      <c r="I690">
        <v>2500000</v>
      </c>
      <c r="J690" t="s">
        <v>1164</v>
      </c>
      <c r="K690">
        <v>1</v>
      </c>
      <c r="L690" t="s">
        <v>1163</v>
      </c>
      <c r="M690">
        <f t="shared" si="33"/>
        <v>3700000</v>
      </c>
      <c r="N690" t="s">
        <v>1165</v>
      </c>
      <c r="O690" t="str">
        <f t="shared" si="32"/>
        <v>[{"id":14,"num":60},{"id":2,"num":2500000},{"id":1,"num":3700000}]</v>
      </c>
    </row>
    <row r="691" spans="1:15" ht="16.5" x14ac:dyDescent="0.15">
      <c r="A691" s="3">
        <f>Sheet1!A693</f>
        <v>1418010</v>
      </c>
      <c r="B691" t="s">
        <v>1162</v>
      </c>
      <c r="C691">
        <v>14</v>
      </c>
      <c r="D691" t="s">
        <v>1163</v>
      </c>
      <c r="E691">
        <v>60</v>
      </c>
      <c r="F691" t="s">
        <v>1164</v>
      </c>
      <c r="G691">
        <v>2</v>
      </c>
      <c r="H691" t="s">
        <v>1163</v>
      </c>
      <c r="I691">
        <v>2500000</v>
      </c>
      <c r="J691" t="s">
        <v>1164</v>
      </c>
      <c r="K691">
        <v>1</v>
      </c>
      <c r="L691" t="s">
        <v>1163</v>
      </c>
      <c r="M691">
        <f t="shared" si="33"/>
        <v>3700000</v>
      </c>
      <c r="N691" t="s">
        <v>1165</v>
      </c>
      <c r="O691" t="str">
        <f t="shared" si="32"/>
        <v>[{"id":14,"num":60},{"id":2,"num":2500000},{"id":1,"num":3700000}]</v>
      </c>
    </row>
    <row r="692" spans="1:15" ht="16.5" x14ac:dyDescent="0.15">
      <c r="A692" s="3">
        <f>Sheet1!A694</f>
        <v>1418011</v>
      </c>
      <c r="B692" t="s">
        <v>1162</v>
      </c>
      <c r="C692">
        <v>14</v>
      </c>
      <c r="D692" t="s">
        <v>1163</v>
      </c>
      <c r="E692">
        <v>60</v>
      </c>
      <c r="F692" t="s">
        <v>1164</v>
      </c>
      <c r="G692">
        <v>2</v>
      </c>
      <c r="H692" t="s">
        <v>1163</v>
      </c>
      <c r="I692">
        <v>2500000</v>
      </c>
      <c r="J692" t="s">
        <v>1164</v>
      </c>
      <c r="K692">
        <v>1</v>
      </c>
      <c r="L692" t="s">
        <v>1163</v>
      </c>
      <c r="M692">
        <f t="shared" si="33"/>
        <v>3700000</v>
      </c>
      <c r="N692" t="s">
        <v>1165</v>
      </c>
      <c r="O692" t="str">
        <f t="shared" si="32"/>
        <v>[{"id":14,"num":60},{"id":2,"num":2500000},{"id":1,"num":3700000}]</v>
      </c>
    </row>
    <row r="693" spans="1:15" ht="16.5" x14ac:dyDescent="0.15">
      <c r="A693" s="3">
        <f>Sheet1!A695</f>
        <v>1418012</v>
      </c>
      <c r="B693" t="s">
        <v>1162</v>
      </c>
      <c r="C693">
        <v>14</v>
      </c>
      <c r="D693" t="s">
        <v>1163</v>
      </c>
      <c r="E693">
        <v>60</v>
      </c>
      <c r="F693" t="s">
        <v>1164</v>
      </c>
      <c r="G693">
        <v>2</v>
      </c>
      <c r="H693" t="s">
        <v>1163</v>
      </c>
      <c r="I693">
        <v>2500000</v>
      </c>
      <c r="J693" t="s">
        <v>1164</v>
      </c>
      <c r="K693">
        <v>1</v>
      </c>
      <c r="L693" t="s">
        <v>1163</v>
      </c>
      <c r="M693">
        <f t="shared" si="33"/>
        <v>3700000</v>
      </c>
      <c r="N693" t="s">
        <v>1165</v>
      </c>
      <c r="O693" t="str">
        <f t="shared" si="32"/>
        <v>[{"id":14,"num":60},{"id":2,"num":2500000},{"id":1,"num":3700000}]</v>
      </c>
    </row>
    <row r="694" spans="1:15" ht="16.5" x14ac:dyDescent="0.15">
      <c r="A694" s="3">
        <f>Sheet1!A696</f>
        <v>1418013</v>
      </c>
      <c r="B694" t="s">
        <v>1162</v>
      </c>
      <c r="C694">
        <v>14</v>
      </c>
      <c r="D694" t="s">
        <v>1163</v>
      </c>
      <c r="E694">
        <v>60</v>
      </c>
      <c r="F694" t="s">
        <v>1164</v>
      </c>
      <c r="G694">
        <v>2</v>
      </c>
      <c r="H694" t="s">
        <v>1163</v>
      </c>
      <c r="I694">
        <v>2500000</v>
      </c>
      <c r="J694" t="s">
        <v>1164</v>
      </c>
      <c r="K694">
        <v>1</v>
      </c>
      <c r="L694" t="s">
        <v>1163</v>
      </c>
      <c r="M694">
        <f t="shared" si="33"/>
        <v>3700000</v>
      </c>
      <c r="N694" t="s">
        <v>1165</v>
      </c>
      <c r="O694" t="str">
        <f t="shared" si="32"/>
        <v>[{"id":14,"num":60},{"id":2,"num":2500000},{"id":1,"num":3700000}]</v>
      </c>
    </row>
    <row r="695" spans="1:15" ht="16.5" x14ac:dyDescent="0.15">
      <c r="A695" s="3">
        <f>Sheet1!A697</f>
        <v>1418014</v>
      </c>
      <c r="B695" t="s">
        <v>1162</v>
      </c>
      <c r="C695">
        <v>14</v>
      </c>
      <c r="D695" t="s">
        <v>1163</v>
      </c>
      <c r="E695">
        <v>60</v>
      </c>
      <c r="F695" t="s">
        <v>1164</v>
      </c>
      <c r="G695">
        <v>2</v>
      </c>
      <c r="H695" t="s">
        <v>1163</v>
      </c>
      <c r="I695">
        <v>2500000</v>
      </c>
      <c r="J695" t="s">
        <v>1164</v>
      </c>
      <c r="K695">
        <v>1</v>
      </c>
      <c r="L695" t="s">
        <v>1163</v>
      </c>
      <c r="M695">
        <f t="shared" si="33"/>
        <v>3700000</v>
      </c>
      <c r="N695" t="s">
        <v>1165</v>
      </c>
      <c r="O695" t="str">
        <f t="shared" si="32"/>
        <v>[{"id":14,"num":60},{"id":2,"num":2500000},{"id":1,"num":3700000}]</v>
      </c>
    </row>
    <row r="696" spans="1:15" ht="16.5" x14ac:dyDescent="0.15">
      <c r="A696" s="3">
        <f>Sheet1!A698</f>
        <v>1418015</v>
      </c>
      <c r="B696" t="s">
        <v>1162</v>
      </c>
      <c r="C696">
        <v>14</v>
      </c>
      <c r="D696" t="s">
        <v>1163</v>
      </c>
      <c r="E696">
        <v>60</v>
      </c>
      <c r="F696" t="s">
        <v>1164</v>
      </c>
      <c r="G696">
        <v>2</v>
      </c>
      <c r="H696" t="s">
        <v>1163</v>
      </c>
      <c r="I696">
        <v>2500000</v>
      </c>
      <c r="J696" t="s">
        <v>1164</v>
      </c>
      <c r="K696">
        <v>1</v>
      </c>
      <c r="L696" t="s">
        <v>1163</v>
      </c>
      <c r="M696">
        <f t="shared" si="33"/>
        <v>3700000</v>
      </c>
      <c r="N696" t="s">
        <v>1165</v>
      </c>
      <c r="O696" t="str">
        <f t="shared" si="32"/>
        <v>[{"id":14,"num":60},{"id":2,"num":2500000},{"id":1,"num":3700000}]</v>
      </c>
    </row>
    <row r="697" spans="1:15" ht="16.5" x14ac:dyDescent="0.15">
      <c r="A697" s="3">
        <f>Sheet1!A699</f>
        <v>1418016</v>
      </c>
      <c r="B697" t="s">
        <v>1162</v>
      </c>
      <c r="C697">
        <v>14</v>
      </c>
      <c r="D697" t="s">
        <v>1163</v>
      </c>
      <c r="E697">
        <v>60</v>
      </c>
      <c r="F697" t="s">
        <v>1164</v>
      </c>
      <c r="G697">
        <v>2</v>
      </c>
      <c r="H697" t="s">
        <v>1163</v>
      </c>
      <c r="I697">
        <v>2500000</v>
      </c>
      <c r="J697" t="s">
        <v>1164</v>
      </c>
      <c r="K697">
        <v>1</v>
      </c>
      <c r="L697" t="s">
        <v>1163</v>
      </c>
      <c r="M697">
        <f t="shared" si="33"/>
        <v>3700000</v>
      </c>
      <c r="N697" t="s">
        <v>1165</v>
      </c>
      <c r="O697" t="str">
        <f t="shared" si="32"/>
        <v>[{"id":14,"num":60},{"id":2,"num":2500000},{"id":1,"num":3700000}]</v>
      </c>
    </row>
    <row r="698" spans="1:15" ht="16.5" x14ac:dyDescent="0.15">
      <c r="A698" s="3">
        <f>Sheet1!A700</f>
        <v>1418017</v>
      </c>
      <c r="B698" t="s">
        <v>1162</v>
      </c>
      <c r="C698">
        <v>14</v>
      </c>
      <c r="D698" t="s">
        <v>1163</v>
      </c>
      <c r="E698">
        <v>60</v>
      </c>
      <c r="F698" t="s">
        <v>1164</v>
      </c>
      <c r="G698">
        <v>2</v>
      </c>
      <c r="H698" t="s">
        <v>1163</v>
      </c>
      <c r="I698">
        <v>2500000</v>
      </c>
      <c r="J698" t="s">
        <v>1164</v>
      </c>
      <c r="K698">
        <v>1</v>
      </c>
      <c r="L698" t="s">
        <v>1163</v>
      </c>
      <c r="M698">
        <f t="shared" si="33"/>
        <v>3700000</v>
      </c>
      <c r="N698" t="s">
        <v>1165</v>
      </c>
      <c r="O698" t="str">
        <f t="shared" si="32"/>
        <v>[{"id":14,"num":60},{"id":2,"num":2500000},{"id":1,"num":3700000}]</v>
      </c>
    </row>
    <row r="699" spans="1:15" ht="16.5" x14ac:dyDescent="0.15">
      <c r="A699" s="3">
        <f>Sheet1!A701</f>
        <v>1418018</v>
      </c>
      <c r="B699" t="s">
        <v>1162</v>
      </c>
      <c r="C699">
        <v>14</v>
      </c>
      <c r="D699" t="s">
        <v>1163</v>
      </c>
      <c r="E699">
        <v>60</v>
      </c>
      <c r="F699" t="s">
        <v>1164</v>
      </c>
      <c r="G699">
        <v>2</v>
      </c>
      <c r="H699" t="s">
        <v>1163</v>
      </c>
      <c r="I699">
        <v>2500000</v>
      </c>
      <c r="J699" t="s">
        <v>1164</v>
      </c>
      <c r="K699">
        <v>1</v>
      </c>
      <c r="L699" t="s">
        <v>1163</v>
      </c>
      <c r="M699">
        <f t="shared" si="33"/>
        <v>3700000</v>
      </c>
      <c r="N699" t="s">
        <v>1165</v>
      </c>
      <c r="O699" t="str">
        <f t="shared" si="32"/>
        <v>[{"id":14,"num":60},{"id":2,"num":2500000},{"id":1,"num":3700000}]</v>
      </c>
    </row>
    <row r="700" spans="1:15" ht="16.5" x14ac:dyDescent="0.15">
      <c r="A700" s="3">
        <f>Sheet1!A702</f>
        <v>1418019</v>
      </c>
      <c r="B700" t="s">
        <v>1162</v>
      </c>
      <c r="C700">
        <v>14</v>
      </c>
      <c r="D700" t="s">
        <v>1163</v>
      </c>
      <c r="E700">
        <v>60</v>
      </c>
      <c r="F700" t="s">
        <v>1164</v>
      </c>
      <c r="G700">
        <v>2</v>
      </c>
      <c r="H700" t="s">
        <v>1163</v>
      </c>
      <c r="I700">
        <v>2500000</v>
      </c>
      <c r="J700" t="s">
        <v>1164</v>
      </c>
      <c r="K700">
        <v>1</v>
      </c>
      <c r="L700" t="s">
        <v>1163</v>
      </c>
      <c r="M700">
        <f t="shared" si="33"/>
        <v>3700000</v>
      </c>
      <c r="N700" t="s">
        <v>1165</v>
      </c>
      <c r="O700" t="str">
        <f t="shared" si="32"/>
        <v>[{"id":14,"num":60},{"id":2,"num":2500000},{"id":1,"num":3700000}]</v>
      </c>
    </row>
    <row r="701" spans="1:15" ht="16.5" x14ac:dyDescent="0.15">
      <c r="A701" s="3">
        <f>Sheet1!A703</f>
        <v>1418020</v>
      </c>
      <c r="B701" t="s">
        <v>1162</v>
      </c>
      <c r="C701">
        <v>14</v>
      </c>
      <c r="D701" t="s">
        <v>1163</v>
      </c>
      <c r="E701">
        <v>60</v>
      </c>
      <c r="F701" t="s">
        <v>1164</v>
      </c>
      <c r="G701">
        <v>2</v>
      </c>
      <c r="H701" t="s">
        <v>1163</v>
      </c>
      <c r="I701">
        <v>2500000</v>
      </c>
      <c r="J701" t="s">
        <v>1164</v>
      </c>
      <c r="K701">
        <v>1</v>
      </c>
      <c r="L701" t="s">
        <v>1163</v>
      </c>
      <c r="M701">
        <f t="shared" si="33"/>
        <v>3700000</v>
      </c>
      <c r="N701" t="s">
        <v>1165</v>
      </c>
      <c r="O701" t="str">
        <f t="shared" si="32"/>
        <v>[{"id":14,"num":60},{"id":2,"num":2500000},{"id":1,"num":3700000}]</v>
      </c>
    </row>
    <row r="702" spans="1:15" ht="16.5" x14ac:dyDescent="0.15">
      <c r="A702" s="3">
        <f>Sheet1!A704</f>
        <v>1418021</v>
      </c>
      <c r="B702" t="s">
        <v>1162</v>
      </c>
      <c r="C702">
        <v>14</v>
      </c>
      <c r="D702" t="s">
        <v>1163</v>
      </c>
      <c r="E702">
        <v>60</v>
      </c>
      <c r="F702" t="s">
        <v>1164</v>
      </c>
      <c r="G702">
        <v>2</v>
      </c>
      <c r="H702" t="s">
        <v>1163</v>
      </c>
      <c r="I702">
        <v>2500000</v>
      </c>
      <c r="J702" t="s">
        <v>1164</v>
      </c>
      <c r="K702">
        <v>1</v>
      </c>
      <c r="L702" t="s">
        <v>1163</v>
      </c>
      <c r="M702">
        <f t="shared" si="33"/>
        <v>3700000</v>
      </c>
      <c r="N702" t="s">
        <v>1165</v>
      </c>
      <c r="O702" t="str">
        <f t="shared" si="32"/>
        <v>[{"id":14,"num":60},{"id":2,"num":2500000},{"id":1,"num":3700000}]</v>
      </c>
    </row>
    <row r="703" spans="1:15" ht="16.5" x14ac:dyDescent="0.15">
      <c r="A703" s="3">
        <f>Sheet1!A705</f>
        <v>1418022</v>
      </c>
      <c r="B703" t="s">
        <v>1162</v>
      </c>
      <c r="C703">
        <v>14</v>
      </c>
      <c r="D703" t="s">
        <v>1163</v>
      </c>
      <c r="E703">
        <v>60</v>
      </c>
      <c r="F703" t="s">
        <v>1164</v>
      </c>
      <c r="G703">
        <v>2</v>
      </c>
      <c r="H703" t="s">
        <v>1163</v>
      </c>
      <c r="I703">
        <v>2500000</v>
      </c>
      <c r="J703" t="s">
        <v>1164</v>
      </c>
      <c r="K703">
        <v>1</v>
      </c>
      <c r="L703" t="s">
        <v>1163</v>
      </c>
      <c r="M703">
        <f t="shared" si="33"/>
        <v>3700000</v>
      </c>
      <c r="N703" t="s">
        <v>1165</v>
      </c>
      <c r="O703" t="str">
        <f t="shared" si="32"/>
        <v>[{"id":14,"num":60},{"id":2,"num":2500000},{"id":1,"num":3700000}]</v>
      </c>
    </row>
    <row r="704" spans="1:15" ht="16.5" x14ac:dyDescent="0.15">
      <c r="A704" s="3">
        <f>Sheet1!A706</f>
        <v>1418023</v>
      </c>
      <c r="B704" t="s">
        <v>1162</v>
      </c>
      <c r="C704">
        <v>14</v>
      </c>
      <c r="D704" t="s">
        <v>1163</v>
      </c>
      <c r="E704">
        <v>60</v>
      </c>
      <c r="F704" t="s">
        <v>1164</v>
      </c>
      <c r="G704">
        <v>2</v>
      </c>
      <c r="H704" t="s">
        <v>1163</v>
      </c>
      <c r="I704">
        <v>2500000</v>
      </c>
      <c r="J704" t="s">
        <v>1164</v>
      </c>
      <c r="K704">
        <v>1</v>
      </c>
      <c r="L704" t="s">
        <v>1163</v>
      </c>
      <c r="M704">
        <f t="shared" si="33"/>
        <v>3700000</v>
      </c>
      <c r="N704" t="s">
        <v>1165</v>
      </c>
      <c r="O704" t="str">
        <f t="shared" si="32"/>
        <v>[{"id":14,"num":60},{"id":2,"num":2500000},{"id":1,"num":3700000}]</v>
      </c>
    </row>
    <row r="705" spans="1:15" ht="16.5" x14ac:dyDescent="0.15">
      <c r="A705" s="3">
        <f>Sheet1!A707</f>
        <v>1418024</v>
      </c>
      <c r="B705" t="s">
        <v>1162</v>
      </c>
      <c r="C705">
        <v>14</v>
      </c>
      <c r="D705" t="s">
        <v>1163</v>
      </c>
      <c r="E705">
        <v>60</v>
      </c>
      <c r="F705" t="s">
        <v>1164</v>
      </c>
      <c r="G705">
        <v>2</v>
      </c>
      <c r="H705" t="s">
        <v>1163</v>
      </c>
      <c r="I705">
        <v>2500000</v>
      </c>
      <c r="J705" t="s">
        <v>1164</v>
      </c>
      <c r="K705">
        <v>1</v>
      </c>
      <c r="L705" t="s">
        <v>1163</v>
      </c>
      <c r="M705">
        <f t="shared" si="33"/>
        <v>3700000</v>
      </c>
      <c r="N705" t="s">
        <v>1165</v>
      </c>
      <c r="O705" t="str">
        <f t="shared" si="32"/>
        <v>[{"id":14,"num":60},{"id":2,"num":2500000},{"id":1,"num":3700000}]</v>
      </c>
    </row>
    <row r="706" spans="1:15" ht="16.5" x14ac:dyDescent="0.15">
      <c r="A706" s="3">
        <f>Sheet1!A708</f>
        <v>1418025</v>
      </c>
      <c r="B706" t="s">
        <v>1162</v>
      </c>
      <c r="C706">
        <v>14</v>
      </c>
      <c r="D706" t="s">
        <v>1163</v>
      </c>
      <c r="E706">
        <v>60</v>
      </c>
      <c r="F706" t="s">
        <v>1164</v>
      </c>
      <c r="G706">
        <v>2</v>
      </c>
      <c r="H706" t="s">
        <v>1163</v>
      </c>
      <c r="I706">
        <v>2500000</v>
      </c>
      <c r="J706" t="s">
        <v>1164</v>
      </c>
      <c r="K706">
        <v>1</v>
      </c>
      <c r="L706" t="s">
        <v>1163</v>
      </c>
      <c r="M706">
        <f t="shared" si="33"/>
        <v>3700000</v>
      </c>
      <c r="N706" t="s">
        <v>1165</v>
      </c>
      <c r="O706" t="str">
        <f t="shared" si="32"/>
        <v>[{"id":14,"num":60},{"id":2,"num":2500000},{"id":1,"num":3700000}]</v>
      </c>
    </row>
    <row r="707" spans="1:15" ht="16.5" x14ac:dyDescent="0.15">
      <c r="A707" s="3">
        <f>Sheet1!A709</f>
        <v>1418026</v>
      </c>
      <c r="B707" t="s">
        <v>1162</v>
      </c>
      <c r="C707">
        <v>14</v>
      </c>
      <c r="D707" t="s">
        <v>1163</v>
      </c>
      <c r="E707">
        <v>60</v>
      </c>
      <c r="F707" t="s">
        <v>1164</v>
      </c>
      <c r="G707">
        <v>2</v>
      </c>
      <c r="H707" t="s">
        <v>1163</v>
      </c>
      <c r="I707">
        <v>2500000</v>
      </c>
      <c r="J707" t="s">
        <v>1164</v>
      </c>
      <c r="K707">
        <v>1</v>
      </c>
      <c r="L707" t="s">
        <v>1163</v>
      </c>
      <c r="M707">
        <f t="shared" si="33"/>
        <v>3700000</v>
      </c>
      <c r="N707" t="s">
        <v>1165</v>
      </c>
      <c r="O707" t="str">
        <f t="shared" si="32"/>
        <v>[{"id":14,"num":60},{"id":2,"num":2500000},{"id":1,"num":3700000}]</v>
      </c>
    </row>
    <row r="708" spans="1:15" ht="16.5" x14ac:dyDescent="0.15">
      <c r="A708" s="3">
        <f>Sheet1!A710</f>
        <v>1418027</v>
      </c>
      <c r="B708" t="s">
        <v>1162</v>
      </c>
      <c r="C708">
        <v>14</v>
      </c>
      <c r="D708" t="s">
        <v>1163</v>
      </c>
      <c r="E708">
        <v>60</v>
      </c>
      <c r="F708" t="s">
        <v>1164</v>
      </c>
      <c r="G708">
        <v>2</v>
      </c>
      <c r="H708" t="s">
        <v>1163</v>
      </c>
      <c r="I708">
        <v>2500000</v>
      </c>
      <c r="J708" t="s">
        <v>1164</v>
      </c>
      <c r="K708">
        <v>1</v>
      </c>
      <c r="L708" t="s">
        <v>1163</v>
      </c>
      <c r="M708">
        <f t="shared" si="33"/>
        <v>3700000</v>
      </c>
      <c r="N708" t="s">
        <v>1165</v>
      </c>
      <c r="O708" t="str">
        <f t="shared" si="32"/>
        <v>[{"id":14,"num":60},{"id":2,"num":2500000},{"id":1,"num":3700000}]</v>
      </c>
    </row>
    <row r="709" spans="1:15" ht="16.5" x14ac:dyDescent="0.15">
      <c r="A709" s="3">
        <f>Sheet1!A711</f>
        <v>1418028</v>
      </c>
      <c r="B709" t="s">
        <v>1162</v>
      </c>
      <c r="C709">
        <v>14</v>
      </c>
      <c r="D709" t="s">
        <v>1163</v>
      </c>
      <c r="E709">
        <v>60</v>
      </c>
      <c r="F709" t="s">
        <v>1164</v>
      </c>
      <c r="G709">
        <v>2</v>
      </c>
      <c r="H709" t="s">
        <v>1163</v>
      </c>
      <c r="I709">
        <v>2500000</v>
      </c>
      <c r="J709" t="s">
        <v>1164</v>
      </c>
      <c r="K709">
        <v>1</v>
      </c>
      <c r="L709" t="s">
        <v>1163</v>
      </c>
      <c r="M709">
        <f t="shared" si="33"/>
        <v>3700000</v>
      </c>
      <c r="N709" t="s">
        <v>1165</v>
      </c>
      <c r="O709" t="str">
        <f t="shared" si="32"/>
        <v>[{"id":14,"num":60},{"id":2,"num":2500000},{"id":1,"num":3700000}]</v>
      </c>
    </row>
    <row r="710" spans="1:15" ht="16.5" x14ac:dyDescent="0.15">
      <c r="A710" s="3">
        <f>Sheet1!A712</f>
        <v>1418029</v>
      </c>
      <c r="B710" t="s">
        <v>1162</v>
      </c>
      <c r="C710">
        <v>14</v>
      </c>
      <c r="D710" t="s">
        <v>1163</v>
      </c>
      <c r="E710">
        <v>60</v>
      </c>
      <c r="F710" t="s">
        <v>1164</v>
      </c>
      <c r="G710">
        <v>2</v>
      </c>
      <c r="H710" t="s">
        <v>1163</v>
      </c>
      <c r="I710">
        <v>2500000</v>
      </c>
      <c r="J710" t="s">
        <v>1164</v>
      </c>
      <c r="K710">
        <v>1</v>
      </c>
      <c r="L710" t="s">
        <v>1163</v>
      </c>
      <c r="M710">
        <f t="shared" si="33"/>
        <v>3700000</v>
      </c>
      <c r="N710" t="s">
        <v>1165</v>
      </c>
      <c r="O710" t="str">
        <f t="shared" si="32"/>
        <v>[{"id":14,"num":60},{"id":2,"num":2500000},{"id":1,"num":3700000}]</v>
      </c>
    </row>
    <row r="711" spans="1:15" ht="16.5" x14ac:dyDescent="0.15">
      <c r="A711" s="3">
        <f>Sheet1!A713</f>
        <v>1418030</v>
      </c>
      <c r="B711" t="s">
        <v>1162</v>
      </c>
      <c r="C711">
        <v>14</v>
      </c>
      <c r="D711" t="s">
        <v>1163</v>
      </c>
      <c r="E711">
        <v>60</v>
      </c>
      <c r="F711" t="s">
        <v>1164</v>
      </c>
      <c r="G711">
        <v>2</v>
      </c>
      <c r="H711" t="s">
        <v>1163</v>
      </c>
      <c r="I711">
        <v>2500000</v>
      </c>
      <c r="J711" t="s">
        <v>1164</v>
      </c>
      <c r="K711">
        <v>1</v>
      </c>
      <c r="L711" t="s">
        <v>1163</v>
      </c>
      <c r="M711">
        <f t="shared" si="33"/>
        <v>3700000</v>
      </c>
      <c r="N711" t="s">
        <v>1165</v>
      </c>
      <c r="O711" t="str">
        <f t="shared" si="32"/>
        <v>[{"id":14,"num":60},{"id":2,"num":2500000},{"id":1,"num":3700000}]</v>
      </c>
    </row>
    <row r="712" spans="1:15" ht="16.5" x14ac:dyDescent="0.15">
      <c r="A712" s="3">
        <f>Sheet1!A714</f>
        <v>1418031</v>
      </c>
      <c r="B712" t="s">
        <v>1162</v>
      </c>
      <c r="C712">
        <v>14</v>
      </c>
      <c r="D712" t="s">
        <v>1163</v>
      </c>
      <c r="E712">
        <v>60</v>
      </c>
      <c r="F712" t="s">
        <v>1164</v>
      </c>
      <c r="G712">
        <v>2</v>
      </c>
      <c r="H712" t="s">
        <v>1163</v>
      </c>
      <c r="I712">
        <v>2500000</v>
      </c>
      <c r="J712" t="s">
        <v>1164</v>
      </c>
      <c r="K712">
        <v>1</v>
      </c>
      <c r="L712" t="s">
        <v>1163</v>
      </c>
      <c r="M712">
        <f t="shared" si="33"/>
        <v>3700000</v>
      </c>
      <c r="N712" t="s">
        <v>1165</v>
      </c>
      <c r="O712" t="str">
        <f t="shared" si="32"/>
        <v>[{"id":14,"num":60},{"id":2,"num":2500000},{"id":1,"num":3700000}]</v>
      </c>
    </row>
    <row r="713" spans="1:15" ht="16.5" x14ac:dyDescent="0.15">
      <c r="A713" s="3">
        <f>Sheet1!A715</f>
        <v>1418032</v>
      </c>
      <c r="B713" t="s">
        <v>1162</v>
      </c>
      <c r="C713">
        <v>14</v>
      </c>
      <c r="D713" t="s">
        <v>1163</v>
      </c>
      <c r="E713">
        <v>60</v>
      </c>
      <c r="F713" t="s">
        <v>1164</v>
      </c>
      <c r="G713">
        <v>2</v>
      </c>
      <c r="H713" t="s">
        <v>1163</v>
      </c>
      <c r="I713">
        <v>2500000</v>
      </c>
      <c r="J713" t="s">
        <v>1164</v>
      </c>
      <c r="K713">
        <v>1</v>
      </c>
      <c r="L713" t="s">
        <v>1163</v>
      </c>
      <c r="M713">
        <f t="shared" si="33"/>
        <v>3700000</v>
      </c>
      <c r="N713" t="s">
        <v>1165</v>
      </c>
      <c r="O713" t="str">
        <f t="shared" si="32"/>
        <v>[{"id":14,"num":60},{"id":2,"num":2500000},{"id":1,"num":3700000}]</v>
      </c>
    </row>
    <row r="714" spans="1:15" ht="16.5" x14ac:dyDescent="0.15">
      <c r="A714" s="3">
        <f>Sheet1!A716</f>
        <v>1418033</v>
      </c>
      <c r="B714" t="s">
        <v>1162</v>
      </c>
      <c r="C714">
        <v>14</v>
      </c>
      <c r="D714" t="s">
        <v>1163</v>
      </c>
      <c r="E714">
        <v>60</v>
      </c>
      <c r="F714" t="s">
        <v>1164</v>
      </c>
      <c r="G714">
        <v>2</v>
      </c>
      <c r="H714" t="s">
        <v>1163</v>
      </c>
      <c r="I714">
        <v>2500000</v>
      </c>
      <c r="J714" t="s">
        <v>1164</v>
      </c>
      <c r="K714">
        <v>1</v>
      </c>
      <c r="L714" t="s">
        <v>1163</v>
      </c>
      <c r="M714">
        <f t="shared" si="33"/>
        <v>3700000</v>
      </c>
      <c r="N714" t="s">
        <v>1165</v>
      </c>
      <c r="O714" t="str">
        <f t="shared" si="32"/>
        <v>[{"id":14,"num":60},{"id":2,"num":2500000},{"id":1,"num":3700000}]</v>
      </c>
    </row>
    <row r="715" spans="1:15" ht="16.5" x14ac:dyDescent="0.15">
      <c r="A715" s="3">
        <f>Sheet1!A717</f>
        <v>1418034</v>
      </c>
      <c r="B715" t="s">
        <v>1162</v>
      </c>
      <c r="C715">
        <v>14</v>
      </c>
      <c r="D715" t="s">
        <v>1163</v>
      </c>
      <c r="E715">
        <v>60</v>
      </c>
      <c r="F715" t="s">
        <v>1164</v>
      </c>
      <c r="G715">
        <v>2</v>
      </c>
      <c r="H715" t="s">
        <v>1163</v>
      </c>
      <c r="I715">
        <v>2500000</v>
      </c>
      <c r="J715" t="s">
        <v>1164</v>
      </c>
      <c r="K715">
        <v>1</v>
      </c>
      <c r="L715" t="s">
        <v>1163</v>
      </c>
      <c r="M715">
        <f t="shared" si="33"/>
        <v>3700000</v>
      </c>
      <c r="N715" t="s">
        <v>1165</v>
      </c>
      <c r="O715" t="str">
        <f t="shared" si="32"/>
        <v>[{"id":14,"num":60},{"id":2,"num":2500000},{"id":1,"num":3700000}]</v>
      </c>
    </row>
    <row r="716" spans="1:15" ht="16.5" x14ac:dyDescent="0.15">
      <c r="A716" s="3">
        <f>Sheet1!A718</f>
        <v>1418035</v>
      </c>
      <c r="B716" t="s">
        <v>1162</v>
      </c>
      <c r="C716">
        <v>14</v>
      </c>
      <c r="D716" t="s">
        <v>1163</v>
      </c>
      <c r="E716">
        <v>60</v>
      </c>
      <c r="F716" t="s">
        <v>1164</v>
      </c>
      <c r="G716">
        <v>2</v>
      </c>
      <c r="H716" t="s">
        <v>1163</v>
      </c>
      <c r="I716">
        <v>2500000</v>
      </c>
      <c r="J716" t="s">
        <v>1164</v>
      </c>
      <c r="K716">
        <v>1</v>
      </c>
      <c r="L716" t="s">
        <v>1163</v>
      </c>
      <c r="M716">
        <f t="shared" si="33"/>
        <v>3700000</v>
      </c>
      <c r="N716" t="s">
        <v>1165</v>
      </c>
      <c r="O716" t="str">
        <f t="shared" si="32"/>
        <v>[{"id":14,"num":60},{"id":2,"num":2500000},{"id":1,"num":3700000}]</v>
      </c>
    </row>
    <row r="717" spans="1:15" ht="16.5" x14ac:dyDescent="0.15">
      <c r="A717" s="3">
        <f>Sheet1!A719</f>
        <v>1418036</v>
      </c>
      <c r="B717" t="s">
        <v>1162</v>
      </c>
      <c r="C717">
        <v>14</v>
      </c>
      <c r="D717" t="s">
        <v>1163</v>
      </c>
      <c r="E717">
        <v>60</v>
      </c>
      <c r="F717" t="s">
        <v>1164</v>
      </c>
      <c r="G717">
        <v>2</v>
      </c>
      <c r="H717" t="s">
        <v>1163</v>
      </c>
      <c r="I717">
        <v>2500000</v>
      </c>
      <c r="J717" t="s">
        <v>1164</v>
      </c>
      <c r="K717">
        <v>1</v>
      </c>
      <c r="L717" t="s">
        <v>1163</v>
      </c>
      <c r="M717">
        <f t="shared" si="33"/>
        <v>3700000</v>
      </c>
      <c r="N717" t="s">
        <v>1165</v>
      </c>
      <c r="O717" t="str">
        <f t="shared" si="32"/>
        <v>[{"id":14,"num":60},{"id":2,"num":2500000},{"id":1,"num":3700000}]</v>
      </c>
    </row>
    <row r="718" spans="1:15" ht="16.5" x14ac:dyDescent="0.15">
      <c r="A718" s="3">
        <f>Sheet1!A720</f>
        <v>1418037</v>
      </c>
      <c r="B718" t="s">
        <v>1162</v>
      </c>
      <c r="C718">
        <v>14</v>
      </c>
      <c r="D718" t="s">
        <v>1163</v>
      </c>
      <c r="E718">
        <v>60</v>
      </c>
      <c r="F718" t="s">
        <v>1164</v>
      </c>
      <c r="G718">
        <v>2</v>
      </c>
      <c r="H718" t="s">
        <v>1163</v>
      </c>
      <c r="I718">
        <v>2500000</v>
      </c>
      <c r="J718" t="s">
        <v>1164</v>
      </c>
      <c r="K718">
        <v>1</v>
      </c>
      <c r="L718" t="s">
        <v>1163</v>
      </c>
      <c r="M718">
        <f t="shared" si="33"/>
        <v>3700000</v>
      </c>
      <c r="N718" t="s">
        <v>1165</v>
      </c>
      <c r="O718" t="str">
        <f t="shared" si="32"/>
        <v>[{"id":14,"num":60},{"id":2,"num":2500000},{"id":1,"num":3700000}]</v>
      </c>
    </row>
    <row r="719" spans="1:15" ht="16.5" x14ac:dyDescent="0.15">
      <c r="A719" s="3">
        <f>Sheet1!A721</f>
        <v>1418038</v>
      </c>
      <c r="B719" t="s">
        <v>1162</v>
      </c>
      <c r="C719">
        <v>14</v>
      </c>
      <c r="D719" t="s">
        <v>1163</v>
      </c>
      <c r="E719">
        <v>60</v>
      </c>
      <c r="F719" t="s">
        <v>1164</v>
      </c>
      <c r="G719">
        <v>2</v>
      </c>
      <c r="H719" t="s">
        <v>1163</v>
      </c>
      <c r="I719">
        <v>2500000</v>
      </c>
      <c r="J719" t="s">
        <v>1164</v>
      </c>
      <c r="K719">
        <v>1</v>
      </c>
      <c r="L719" t="s">
        <v>1163</v>
      </c>
      <c r="M719">
        <f t="shared" si="33"/>
        <v>3700000</v>
      </c>
      <c r="N719" t="s">
        <v>1165</v>
      </c>
      <c r="O719" t="str">
        <f t="shared" si="32"/>
        <v>[{"id":14,"num":60},{"id":2,"num":2500000},{"id":1,"num":3700000}]</v>
      </c>
    </row>
    <row r="720" spans="1:15" ht="16.5" x14ac:dyDescent="0.15">
      <c r="A720" s="3">
        <f>Sheet1!A722</f>
        <v>1418039</v>
      </c>
      <c r="B720" t="s">
        <v>1162</v>
      </c>
      <c r="C720">
        <v>14</v>
      </c>
      <c r="D720" t="s">
        <v>1163</v>
      </c>
      <c r="E720">
        <v>60</v>
      </c>
      <c r="F720" t="s">
        <v>1164</v>
      </c>
      <c r="G720">
        <v>2</v>
      </c>
      <c r="H720" t="s">
        <v>1163</v>
      </c>
      <c r="I720">
        <v>2500000</v>
      </c>
      <c r="J720" t="s">
        <v>1164</v>
      </c>
      <c r="K720">
        <v>1</v>
      </c>
      <c r="L720" t="s">
        <v>1163</v>
      </c>
      <c r="M720">
        <f t="shared" si="33"/>
        <v>3700000</v>
      </c>
      <c r="N720" t="s">
        <v>1165</v>
      </c>
      <c r="O720" t="str">
        <f t="shared" si="32"/>
        <v>[{"id":14,"num":60},{"id":2,"num":2500000},{"id":1,"num":3700000}]</v>
      </c>
    </row>
    <row r="721" spans="1:15" ht="16.5" x14ac:dyDescent="0.15">
      <c r="A721" s="3">
        <f>Sheet1!A723</f>
        <v>1418040</v>
      </c>
      <c r="B721" t="s">
        <v>1162</v>
      </c>
      <c r="C721">
        <v>14</v>
      </c>
      <c r="D721" t="s">
        <v>1163</v>
      </c>
      <c r="E721">
        <v>60</v>
      </c>
      <c r="F721" t="s">
        <v>1164</v>
      </c>
      <c r="G721">
        <v>2</v>
      </c>
      <c r="H721" t="s">
        <v>1163</v>
      </c>
      <c r="I721">
        <v>2500000</v>
      </c>
      <c r="J721" t="s">
        <v>1164</v>
      </c>
      <c r="K721">
        <v>1</v>
      </c>
      <c r="L721" t="s">
        <v>1163</v>
      </c>
      <c r="M721">
        <f t="shared" si="33"/>
        <v>3700000</v>
      </c>
      <c r="N721" t="s">
        <v>1165</v>
      </c>
      <c r="O721" t="str">
        <f t="shared" si="32"/>
        <v>[{"id":14,"num":60},{"id":2,"num":2500000},{"id":1,"num":3700000}]</v>
      </c>
    </row>
    <row r="722" spans="1:15" ht="16.5" x14ac:dyDescent="0.15">
      <c r="A722" s="3">
        <f>Sheet1!A724</f>
        <v>1419001</v>
      </c>
      <c r="B722" t="s">
        <v>1162</v>
      </c>
      <c r="C722">
        <v>14</v>
      </c>
      <c r="D722" t="s">
        <v>1163</v>
      </c>
      <c r="E722">
        <v>60</v>
      </c>
      <c r="F722" t="s">
        <v>1164</v>
      </c>
      <c r="G722">
        <v>2</v>
      </c>
      <c r="H722" t="s">
        <v>1163</v>
      </c>
      <c r="I722">
        <v>2500000</v>
      </c>
      <c r="J722" t="s">
        <v>1164</v>
      </c>
      <c r="K722">
        <v>1</v>
      </c>
      <c r="L722" t="s">
        <v>1163</v>
      </c>
      <c r="M722">
        <f t="shared" si="33"/>
        <v>3900000</v>
      </c>
      <c r="N722" t="s">
        <v>1165</v>
      </c>
      <c r="O722" t="str">
        <f t="shared" si="32"/>
        <v>[{"id":14,"num":60},{"id":2,"num":2500000},{"id":1,"num":3900000}]</v>
      </c>
    </row>
    <row r="723" spans="1:15" ht="16.5" x14ac:dyDescent="0.15">
      <c r="A723" s="3">
        <f>Sheet1!A725</f>
        <v>1419002</v>
      </c>
      <c r="B723" t="s">
        <v>1162</v>
      </c>
      <c r="C723">
        <v>14</v>
      </c>
      <c r="D723" t="s">
        <v>1163</v>
      </c>
      <c r="E723">
        <v>60</v>
      </c>
      <c r="F723" t="s">
        <v>1164</v>
      </c>
      <c r="G723">
        <v>2</v>
      </c>
      <c r="H723" t="s">
        <v>1163</v>
      </c>
      <c r="I723">
        <v>2500000</v>
      </c>
      <c r="J723" t="s">
        <v>1164</v>
      </c>
      <c r="K723">
        <v>1</v>
      </c>
      <c r="L723" t="s">
        <v>1163</v>
      </c>
      <c r="M723">
        <f t="shared" si="33"/>
        <v>3900000</v>
      </c>
      <c r="N723" t="s">
        <v>1165</v>
      </c>
      <c r="O723" t="str">
        <f t="shared" si="32"/>
        <v>[{"id":14,"num":60},{"id":2,"num":2500000},{"id":1,"num":3900000}]</v>
      </c>
    </row>
    <row r="724" spans="1:15" ht="16.5" x14ac:dyDescent="0.15">
      <c r="A724" s="3">
        <f>Sheet1!A726</f>
        <v>1419003</v>
      </c>
      <c r="B724" t="s">
        <v>1162</v>
      </c>
      <c r="C724">
        <v>14</v>
      </c>
      <c r="D724" t="s">
        <v>1163</v>
      </c>
      <c r="E724">
        <v>60</v>
      </c>
      <c r="F724" t="s">
        <v>1164</v>
      </c>
      <c r="G724">
        <v>2</v>
      </c>
      <c r="H724" t="s">
        <v>1163</v>
      </c>
      <c r="I724">
        <v>2500000</v>
      </c>
      <c r="J724" t="s">
        <v>1164</v>
      </c>
      <c r="K724">
        <v>1</v>
      </c>
      <c r="L724" t="s">
        <v>1163</v>
      </c>
      <c r="M724">
        <f t="shared" si="33"/>
        <v>3900000</v>
      </c>
      <c r="N724" t="s">
        <v>1165</v>
      </c>
      <c r="O724" t="str">
        <f t="shared" si="32"/>
        <v>[{"id":14,"num":60},{"id":2,"num":2500000},{"id":1,"num":3900000}]</v>
      </c>
    </row>
    <row r="725" spans="1:15" ht="16.5" x14ac:dyDescent="0.15">
      <c r="A725" s="3">
        <f>Sheet1!A727</f>
        <v>1419004</v>
      </c>
      <c r="B725" t="s">
        <v>1162</v>
      </c>
      <c r="C725">
        <v>14</v>
      </c>
      <c r="D725" t="s">
        <v>1163</v>
      </c>
      <c r="E725">
        <v>60</v>
      </c>
      <c r="F725" t="s">
        <v>1164</v>
      </c>
      <c r="G725">
        <v>2</v>
      </c>
      <c r="H725" t="s">
        <v>1163</v>
      </c>
      <c r="I725">
        <v>2500000</v>
      </c>
      <c r="J725" t="s">
        <v>1164</v>
      </c>
      <c r="K725">
        <v>1</v>
      </c>
      <c r="L725" t="s">
        <v>1163</v>
      </c>
      <c r="M725">
        <f t="shared" si="33"/>
        <v>3900000</v>
      </c>
      <c r="N725" t="s">
        <v>1165</v>
      </c>
      <c r="O725" t="str">
        <f t="shared" si="32"/>
        <v>[{"id":14,"num":60},{"id":2,"num":2500000},{"id":1,"num":3900000}]</v>
      </c>
    </row>
    <row r="726" spans="1:15" ht="16.5" x14ac:dyDescent="0.15">
      <c r="A726" s="3">
        <f>Sheet1!A728</f>
        <v>1419005</v>
      </c>
      <c r="B726" t="s">
        <v>1162</v>
      </c>
      <c r="C726">
        <v>14</v>
      </c>
      <c r="D726" t="s">
        <v>1163</v>
      </c>
      <c r="E726">
        <v>60</v>
      </c>
      <c r="F726" t="s">
        <v>1164</v>
      </c>
      <c r="G726">
        <v>2</v>
      </c>
      <c r="H726" t="s">
        <v>1163</v>
      </c>
      <c r="I726">
        <v>2500000</v>
      </c>
      <c r="J726" t="s">
        <v>1164</v>
      </c>
      <c r="K726">
        <v>1</v>
      </c>
      <c r="L726" t="s">
        <v>1163</v>
      </c>
      <c r="M726">
        <f t="shared" si="33"/>
        <v>3900000</v>
      </c>
      <c r="N726" t="s">
        <v>1165</v>
      </c>
      <c r="O726" t="str">
        <f t="shared" si="32"/>
        <v>[{"id":14,"num":60},{"id":2,"num":2500000},{"id":1,"num":3900000}]</v>
      </c>
    </row>
    <row r="727" spans="1:15" ht="16.5" x14ac:dyDescent="0.15">
      <c r="A727" s="3">
        <f>Sheet1!A729</f>
        <v>1419006</v>
      </c>
      <c r="B727" t="s">
        <v>1162</v>
      </c>
      <c r="C727">
        <v>14</v>
      </c>
      <c r="D727" t="s">
        <v>1163</v>
      </c>
      <c r="E727">
        <v>60</v>
      </c>
      <c r="F727" t="s">
        <v>1164</v>
      </c>
      <c r="G727">
        <v>2</v>
      </c>
      <c r="H727" t="s">
        <v>1163</v>
      </c>
      <c r="I727">
        <v>2500000</v>
      </c>
      <c r="J727" t="s">
        <v>1164</v>
      </c>
      <c r="K727">
        <v>1</v>
      </c>
      <c r="L727" t="s">
        <v>1163</v>
      </c>
      <c r="M727">
        <f t="shared" si="33"/>
        <v>3900000</v>
      </c>
      <c r="N727" t="s">
        <v>1165</v>
      </c>
      <c r="O727" t="str">
        <f t="shared" si="32"/>
        <v>[{"id":14,"num":60},{"id":2,"num":2500000},{"id":1,"num":3900000}]</v>
      </c>
    </row>
    <row r="728" spans="1:15" ht="16.5" x14ac:dyDescent="0.15">
      <c r="A728" s="3">
        <f>Sheet1!A730</f>
        <v>1419007</v>
      </c>
      <c r="B728" t="s">
        <v>1162</v>
      </c>
      <c r="C728">
        <v>14</v>
      </c>
      <c r="D728" t="s">
        <v>1163</v>
      </c>
      <c r="E728">
        <v>60</v>
      </c>
      <c r="F728" t="s">
        <v>1164</v>
      </c>
      <c r="G728">
        <v>2</v>
      </c>
      <c r="H728" t="s">
        <v>1163</v>
      </c>
      <c r="I728">
        <v>2500000</v>
      </c>
      <c r="J728" t="s">
        <v>1164</v>
      </c>
      <c r="K728">
        <v>1</v>
      </c>
      <c r="L728" t="s">
        <v>1163</v>
      </c>
      <c r="M728">
        <f t="shared" si="33"/>
        <v>3900000</v>
      </c>
      <c r="N728" t="s">
        <v>1165</v>
      </c>
      <c r="O728" t="str">
        <f t="shared" si="32"/>
        <v>[{"id":14,"num":60},{"id":2,"num":2500000},{"id":1,"num":3900000}]</v>
      </c>
    </row>
    <row r="729" spans="1:15" ht="16.5" x14ac:dyDescent="0.15">
      <c r="A729" s="3">
        <f>Sheet1!A731</f>
        <v>1419008</v>
      </c>
      <c r="B729" t="s">
        <v>1162</v>
      </c>
      <c r="C729">
        <v>14</v>
      </c>
      <c r="D729" t="s">
        <v>1163</v>
      </c>
      <c r="E729">
        <v>60</v>
      </c>
      <c r="F729" t="s">
        <v>1164</v>
      </c>
      <c r="G729">
        <v>2</v>
      </c>
      <c r="H729" t="s">
        <v>1163</v>
      </c>
      <c r="I729">
        <v>2500000</v>
      </c>
      <c r="J729" t="s">
        <v>1164</v>
      </c>
      <c r="K729">
        <v>1</v>
      </c>
      <c r="L729" t="s">
        <v>1163</v>
      </c>
      <c r="M729">
        <f t="shared" si="33"/>
        <v>3900000</v>
      </c>
      <c r="N729" t="s">
        <v>1165</v>
      </c>
      <c r="O729" t="str">
        <f t="shared" si="32"/>
        <v>[{"id":14,"num":60},{"id":2,"num":2500000},{"id":1,"num":3900000}]</v>
      </c>
    </row>
    <row r="730" spans="1:15" ht="16.5" x14ac:dyDescent="0.15">
      <c r="A730" s="3">
        <f>Sheet1!A732</f>
        <v>1419009</v>
      </c>
      <c r="B730" t="s">
        <v>1162</v>
      </c>
      <c r="C730">
        <v>14</v>
      </c>
      <c r="D730" t="s">
        <v>1163</v>
      </c>
      <c r="E730">
        <v>60</v>
      </c>
      <c r="F730" t="s">
        <v>1164</v>
      </c>
      <c r="G730">
        <v>2</v>
      </c>
      <c r="H730" t="s">
        <v>1163</v>
      </c>
      <c r="I730">
        <v>2500000</v>
      </c>
      <c r="J730" t="s">
        <v>1164</v>
      </c>
      <c r="K730">
        <v>1</v>
      </c>
      <c r="L730" t="s">
        <v>1163</v>
      </c>
      <c r="M730">
        <f t="shared" si="33"/>
        <v>3900000</v>
      </c>
      <c r="N730" t="s">
        <v>1165</v>
      </c>
      <c r="O730" t="str">
        <f t="shared" si="32"/>
        <v>[{"id":14,"num":60},{"id":2,"num":2500000},{"id":1,"num":3900000}]</v>
      </c>
    </row>
    <row r="731" spans="1:15" ht="16.5" x14ac:dyDescent="0.15">
      <c r="A731" s="3">
        <f>Sheet1!A733</f>
        <v>1419010</v>
      </c>
      <c r="B731" t="s">
        <v>1162</v>
      </c>
      <c r="C731">
        <v>14</v>
      </c>
      <c r="D731" t="s">
        <v>1163</v>
      </c>
      <c r="E731">
        <v>60</v>
      </c>
      <c r="F731" t="s">
        <v>1164</v>
      </c>
      <c r="G731">
        <v>2</v>
      </c>
      <c r="H731" t="s">
        <v>1163</v>
      </c>
      <c r="I731">
        <v>2500000</v>
      </c>
      <c r="J731" t="s">
        <v>1164</v>
      </c>
      <c r="K731">
        <v>1</v>
      </c>
      <c r="L731" t="s">
        <v>1163</v>
      </c>
      <c r="M731">
        <f t="shared" si="33"/>
        <v>3900000</v>
      </c>
      <c r="N731" t="s">
        <v>1165</v>
      </c>
      <c r="O731" t="str">
        <f t="shared" si="32"/>
        <v>[{"id":14,"num":60},{"id":2,"num":2500000},{"id":1,"num":3900000}]</v>
      </c>
    </row>
    <row r="732" spans="1:15" ht="16.5" x14ac:dyDescent="0.15">
      <c r="A732" s="3">
        <f>Sheet1!A734</f>
        <v>1419011</v>
      </c>
      <c r="B732" t="s">
        <v>1162</v>
      </c>
      <c r="C732">
        <v>14</v>
      </c>
      <c r="D732" t="s">
        <v>1163</v>
      </c>
      <c r="E732">
        <v>60</v>
      </c>
      <c r="F732" t="s">
        <v>1164</v>
      </c>
      <c r="G732">
        <v>2</v>
      </c>
      <c r="H732" t="s">
        <v>1163</v>
      </c>
      <c r="I732">
        <v>2500000</v>
      </c>
      <c r="J732" t="s">
        <v>1164</v>
      </c>
      <c r="K732">
        <v>1</v>
      </c>
      <c r="L732" t="s">
        <v>1163</v>
      </c>
      <c r="M732">
        <f t="shared" si="33"/>
        <v>3900000</v>
      </c>
      <c r="N732" t="s">
        <v>1165</v>
      </c>
      <c r="O732" t="str">
        <f t="shared" si="32"/>
        <v>[{"id":14,"num":60},{"id":2,"num":2500000},{"id":1,"num":3900000}]</v>
      </c>
    </row>
    <row r="733" spans="1:15" ht="16.5" x14ac:dyDescent="0.15">
      <c r="A733" s="3">
        <f>Sheet1!A735</f>
        <v>1419012</v>
      </c>
      <c r="B733" t="s">
        <v>1162</v>
      </c>
      <c r="C733">
        <v>14</v>
      </c>
      <c r="D733" t="s">
        <v>1163</v>
      </c>
      <c r="E733">
        <v>60</v>
      </c>
      <c r="F733" t="s">
        <v>1164</v>
      </c>
      <c r="G733">
        <v>2</v>
      </c>
      <c r="H733" t="s">
        <v>1163</v>
      </c>
      <c r="I733">
        <v>2500000</v>
      </c>
      <c r="J733" t="s">
        <v>1164</v>
      </c>
      <c r="K733">
        <v>1</v>
      </c>
      <c r="L733" t="s">
        <v>1163</v>
      </c>
      <c r="M733">
        <f t="shared" si="33"/>
        <v>3900000</v>
      </c>
      <c r="N733" t="s">
        <v>1165</v>
      </c>
      <c r="O733" t="str">
        <f t="shared" si="32"/>
        <v>[{"id":14,"num":60},{"id":2,"num":2500000},{"id":1,"num":3900000}]</v>
      </c>
    </row>
    <row r="734" spans="1:15" ht="16.5" x14ac:dyDescent="0.15">
      <c r="A734" s="3">
        <f>Sheet1!A736</f>
        <v>1419013</v>
      </c>
      <c r="B734" t="s">
        <v>1162</v>
      </c>
      <c r="C734">
        <v>14</v>
      </c>
      <c r="D734" t="s">
        <v>1163</v>
      </c>
      <c r="E734">
        <v>60</v>
      </c>
      <c r="F734" t="s">
        <v>1164</v>
      </c>
      <c r="G734">
        <v>2</v>
      </c>
      <c r="H734" t="s">
        <v>1163</v>
      </c>
      <c r="I734">
        <v>2500000</v>
      </c>
      <c r="J734" t="s">
        <v>1164</v>
      </c>
      <c r="K734">
        <v>1</v>
      </c>
      <c r="L734" t="s">
        <v>1163</v>
      </c>
      <c r="M734">
        <f t="shared" si="33"/>
        <v>3900000</v>
      </c>
      <c r="N734" t="s">
        <v>1165</v>
      </c>
      <c r="O734" t="str">
        <f t="shared" si="32"/>
        <v>[{"id":14,"num":60},{"id":2,"num":2500000},{"id":1,"num":3900000}]</v>
      </c>
    </row>
    <row r="735" spans="1:15" ht="16.5" x14ac:dyDescent="0.15">
      <c r="A735" s="3">
        <f>Sheet1!A737</f>
        <v>1419014</v>
      </c>
      <c r="B735" t="s">
        <v>1162</v>
      </c>
      <c r="C735">
        <v>14</v>
      </c>
      <c r="D735" t="s">
        <v>1163</v>
      </c>
      <c r="E735">
        <v>60</v>
      </c>
      <c r="F735" t="s">
        <v>1164</v>
      </c>
      <c r="G735">
        <v>2</v>
      </c>
      <c r="H735" t="s">
        <v>1163</v>
      </c>
      <c r="I735">
        <v>2500000</v>
      </c>
      <c r="J735" t="s">
        <v>1164</v>
      </c>
      <c r="K735">
        <v>1</v>
      </c>
      <c r="L735" t="s">
        <v>1163</v>
      </c>
      <c r="M735">
        <f t="shared" si="33"/>
        <v>3900000</v>
      </c>
      <c r="N735" t="s">
        <v>1165</v>
      </c>
      <c r="O735" t="str">
        <f t="shared" si="32"/>
        <v>[{"id":14,"num":60},{"id":2,"num":2500000},{"id":1,"num":3900000}]</v>
      </c>
    </row>
    <row r="736" spans="1:15" ht="16.5" x14ac:dyDescent="0.15">
      <c r="A736" s="3">
        <f>Sheet1!A738</f>
        <v>1419015</v>
      </c>
      <c r="B736" t="s">
        <v>1162</v>
      </c>
      <c r="C736">
        <v>14</v>
      </c>
      <c r="D736" t="s">
        <v>1163</v>
      </c>
      <c r="E736">
        <v>60</v>
      </c>
      <c r="F736" t="s">
        <v>1164</v>
      </c>
      <c r="G736">
        <v>2</v>
      </c>
      <c r="H736" t="s">
        <v>1163</v>
      </c>
      <c r="I736">
        <v>2500000</v>
      </c>
      <c r="J736" t="s">
        <v>1164</v>
      </c>
      <c r="K736">
        <v>1</v>
      </c>
      <c r="L736" t="s">
        <v>1163</v>
      </c>
      <c r="M736">
        <f t="shared" si="33"/>
        <v>3900000</v>
      </c>
      <c r="N736" t="s">
        <v>1165</v>
      </c>
      <c r="O736" t="str">
        <f t="shared" si="32"/>
        <v>[{"id":14,"num":60},{"id":2,"num":2500000},{"id":1,"num":3900000}]</v>
      </c>
    </row>
    <row r="737" spans="1:15" ht="16.5" x14ac:dyDescent="0.15">
      <c r="A737" s="3">
        <f>Sheet1!A739</f>
        <v>1419016</v>
      </c>
      <c r="B737" t="s">
        <v>1162</v>
      </c>
      <c r="C737">
        <v>14</v>
      </c>
      <c r="D737" t="s">
        <v>1163</v>
      </c>
      <c r="E737">
        <v>60</v>
      </c>
      <c r="F737" t="s">
        <v>1164</v>
      </c>
      <c r="G737">
        <v>2</v>
      </c>
      <c r="H737" t="s">
        <v>1163</v>
      </c>
      <c r="I737">
        <v>2500000</v>
      </c>
      <c r="J737" t="s">
        <v>1164</v>
      </c>
      <c r="K737">
        <v>1</v>
      </c>
      <c r="L737" t="s">
        <v>1163</v>
      </c>
      <c r="M737">
        <f t="shared" si="33"/>
        <v>3900000</v>
      </c>
      <c r="N737" t="s">
        <v>1165</v>
      </c>
      <c r="O737" t="str">
        <f t="shared" si="32"/>
        <v>[{"id":14,"num":60},{"id":2,"num":2500000},{"id":1,"num":3900000}]</v>
      </c>
    </row>
    <row r="738" spans="1:15" ht="16.5" x14ac:dyDescent="0.15">
      <c r="A738" s="3">
        <f>Sheet1!A740</f>
        <v>1419017</v>
      </c>
      <c r="B738" t="s">
        <v>1162</v>
      </c>
      <c r="C738">
        <v>14</v>
      </c>
      <c r="D738" t="s">
        <v>1163</v>
      </c>
      <c r="E738">
        <v>60</v>
      </c>
      <c r="F738" t="s">
        <v>1164</v>
      </c>
      <c r="G738">
        <v>2</v>
      </c>
      <c r="H738" t="s">
        <v>1163</v>
      </c>
      <c r="I738">
        <v>2500000</v>
      </c>
      <c r="J738" t="s">
        <v>1164</v>
      </c>
      <c r="K738">
        <v>1</v>
      </c>
      <c r="L738" t="s">
        <v>1163</v>
      </c>
      <c r="M738">
        <f t="shared" si="33"/>
        <v>3900000</v>
      </c>
      <c r="N738" t="s">
        <v>1165</v>
      </c>
      <c r="O738" t="str">
        <f t="shared" ref="O738:O801" si="34">_xlfn.TEXTJOIN(,TRUE,B738:N738)</f>
        <v>[{"id":14,"num":60},{"id":2,"num":2500000},{"id":1,"num":3900000}]</v>
      </c>
    </row>
    <row r="739" spans="1:15" ht="16.5" x14ac:dyDescent="0.15">
      <c r="A739" s="3">
        <f>Sheet1!A741</f>
        <v>1419018</v>
      </c>
      <c r="B739" t="s">
        <v>1162</v>
      </c>
      <c r="C739">
        <v>14</v>
      </c>
      <c r="D739" t="s">
        <v>1163</v>
      </c>
      <c r="E739">
        <v>60</v>
      </c>
      <c r="F739" t="s">
        <v>1164</v>
      </c>
      <c r="G739">
        <v>2</v>
      </c>
      <c r="H739" t="s">
        <v>1163</v>
      </c>
      <c r="I739">
        <v>2500000</v>
      </c>
      <c r="J739" t="s">
        <v>1164</v>
      </c>
      <c r="K739">
        <v>1</v>
      </c>
      <c r="L739" t="s">
        <v>1163</v>
      </c>
      <c r="M739">
        <f t="shared" ref="M739:M801" si="35">M699+200000</f>
        <v>3900000</v>
      </c>
      <c r="N739" t="s">
        <v>1165</v>
      </c>
      <c r="O739" t="str">
        <f t="shared" si="34"/>
        <v>[{"id":14,"num":60},{"id":2,"num":2500000},{"id":1,"num":3900000}]</v>
      </c>
    </row>
    <row r="740" spans="1:15" ht="16.5" x14ac:dyDescent="0.15">
      <c r="A740" s="3">
        <f>Sheet1!A742</f>
        <v>1419019</v>
      </c>
      <c r="B740" t="s">
        <v>1162</v>
      </c>
      <c r="C740">
        <v>14</v>
      </c>
      <c r="D740" t="s">
        <v>1163</v>
      </c>
      <c r="E740">
        <v>60</v>
      </c>
      <c r="F740" t="s">
        <v>1164</v>
      </c>
      <c r="G740">
        <v>2</v>
      </c>
      <c r="H740" t="s">
        <v>1163</v>
      </c>
      <c r="I740">
        <v>2500000</v>
      </c>
      <c r="J740" t="s">
        <v>1164</v>
      </c>
      <c r="K740">
        <v>1</v>
      </c>
      <c r="L740" t="s">
        <v>1163</v>
      </c>
      <c r="M740">
        <f t="shared" si="35"/>
        <v>3900000</v>
      </c>
      <c r="N740" t="s">
        <v>1165</v>
      </c>
      <c r="O740" t="str">
        <f t="shared" si="34"/>
        <v>[{"id":14,"num":60},{"id":2,"num":2500000},{"id":1,"num":3900000}]</v>
      </c>
    </row>
    <row r="741" spans="1:15" ht="16.5" x14ac:dyDescent="0.15">
      <c r="A741" s="3">
        <f>Sheet1!A743</f>
        <v>1419020</v>
      </c>
      <c r="B741" t="s">
        <v>1162</v>
      </c>
      <c r="C741">
        <v>14</v>
      </c>
      <c r="D741" t="s">
        <v>1163</v>
      </c>
      <c r="E741">
        <v>60</v>
      </c>
      <c r="F741" t="s">
        <v>1164</v>
      </c>
      <c r="G741">
        <v>2</v>
      </c>
      <c r="H741" t="s">
        <v>1163</v>
      </c>
      <c r="I741">
        <v>2500000</v>
      </c>
      <c r="J741" t="s">
        <v>1164</v>
      </c>
      <c r="K741">
        <v>1</v>
      </c>
      <c r="L741" t="s">
        <v>1163</v>
      </c>
      <c r="M741">
        <f t="shared" si="35"/>
        <v>3900000</v>
      </c>
      <c r="N741" t="s">
        <v>1165</v>
      </c>
      <c r="O741" t="str">
        <f t="shared" si="34"/>
        <v>[{"id":14,"num":60},{"id":2,"num":2500000},{"id":1,"num":3900000}]</v>
      </c>
    </row>
    <row r="742" spans="1:15" ht="16.5" x14ac:dyDescent="0.15">
      <c r="A742" s="3">
        <f>Sheet1!A744</f>
        <v>1419021</v>
      </c>
      <c r="B742" t="s">
        <v>1162</v>
      </c>
      <c r="C742">
        <v>14</v>
      </c>
      <c r="D742" t="s">
        <v>1163</v>
      </c>
      <c r="E742">
        <v>60</v>
      </c>
      <c r="F742" t="s">
        <v>1164</v>
      </c>
      <c r="G742">
        <v>2</v>
      </c>
      <c r="H742" t="s">
        <v>1163</v>
      </c>
      <c r="I742">
        <v>2500000</v>
      </c>
      <c r="J742" t="s">
        <v>1164</v>
      </c>
      <c r="K742">
        <v>1</v>
      </c>
      <c r="L742" t="s">
        <v>1163</v>
      </c>
      <c r="M742">
        <f t="shared" si="35"/>
        <v>3900000</v>
      </c>
      <c r="N742" t="s">
        <v>1165</v>
      </c>
      <c r="O742" t="str">
        <f t="shared" si="34"/>
        <v>[{"id":14,"num":60},{"id":2,"num":2500000},{"id":1,"num":3900000}]</v>
      </c>
    </row>
    <row r="743" spans="1:15" ht="16.5" x14ac:dyDescent="0.15">
      <c r="A743" s="3">
        <f>Sheet1!A745</f>
        <v>1419022</v>
      </c>
      <c r="B743" t="s">
        <v>1162</v>
      </c>
      <c r="C743">
        <v>14</v>
      </c>
      <c r="D743" t="s">
        <v>1163</v>
      </c>
      <c r="E743">
        <v>60</v>
      </c>
      <c r="F743" t="s">
        <v>1164</v>
      </c>
      <c r="G743">
        <v>2</v>
      </c>
      <c r="H743" t="s">
        <v>1163</v>
      </c>
      <c r="I743">
        <v>2500000</v>
      </c>
      <c r="J743" t="s">
        <v>1164</v>
      </c>
      <c r="K743">
        <v>1</v>
      </c>
      <c r="L743" t="s">
        <v>1163</v>
      </c>
      <c r="M743">
        <f t="shared" si="35"/>
        <v>3900000</v>
      </c>
      <c r="N743" t="s">
        <v>1165</v>
      </c>
      <c r="O743" t="str">
        <f t="shared" si="34"/>
        <v>[{"id":14,"num":60},{"id":2,"num":2500000},{"id":1,"num":3900000}]</v>
      </c>
    </row>
    <row r="744" spans="1:15" ht="16.5" x14ac:dyDescent="0.15">
      <c r="A744" s="3">
        <f>Sheet1!A746</f>
        <v>1419023</v>
      </c>
      <c r="B744" t="s">
        <v>1162</v>
      </c>
      <c r="C744">
        <v>14</v>
      </c>
      <c r="D744" t="s">
        <v>1163</v>
      </c>
      <c r="E744">
        <v>60</v>
      </c>
      <c r="F744" t="s">
        <v>1164</v>
      </c>
      <c r="G744">
        <v>2</v>
      </c>
      <c r="H744" t="s">
        <v>1163</v>
      </c>
      <c r="I744">
        <v>2500000</v>
      </c>
      <c r="J744" t="s">
        <v>1164</v>
      </c>
      <c r="K744">
        <v>1</v>
      </c>
      <c r="L744" t="s">
        <v>1163</v>
      </c>
      <c r="M744">
        <f t="shared" si="35"/>
        <v>3900000</v>
      </c>
      <c r="N744" t="s">
        <v>1165</v>
      </c>
      <c r="O744" t="str">
        <f t="shared" si="34"/>
        <v>[{"id":14,"num":60},{"id":2,"num":2500000},{"id":1,"num":3900000}]</v>
      </c>
    </row>
    <row r="745" spans="1:15" ht="16.5" x14ac:dyDescent="0.15">
      <c r="A745" s="3">
        <f>Sheet1!A747</f>
        <v>1419024</v>
      </c>
      <c r="B745" t="s">
        <v>1162</v>
      </c>
      <c r="C745">
        <v>14</v>
      </c>
      <c r="D745" t="s">
        <v>1163</v>
      </c>
      <c r="E745">
        <v>60</v>
      </c>
      <c r="F745" t="s">
        <v>1164</v>
      </c>
      <c r="G745">
        <v>2</v>
      </c>
      <c r="H745" t="s">
        <v>1163</v>
      </c>
      <c r="I745">
        <v>2500000</v>
      </c>
      <c r="J745" t="s">
        <v>1164</v>
      </c>
      <c r="K745">
        <v>1</v>
      </c>
      <c r="L745" t="s">
        <v>1163</v>
      </c>
      <c r="M745">
        <f t="shared" si="35"/>
        <v>3900000</v>
      </c>
      <c r="N745" t="s">
        <v>1165</v>
      </c>
      <c r="O745" t="str">
        <f t="shared" si="34"/>
        <v>[{"id":14,"num":60},{"id":2,"num":2500000},{"id":1,"num":3900000}]</v>
      </c>
    </row>
    <row r="746" spans="1:15" ht="16.5" x14ac:dyDescent="0.15">
      <c r="A746" s="3">
        <f>Sheet1!A748</f>
        <v>1419025</v>
      </c>
      <c r="B746" t="s">
        <v>1162</v>
      </c>
      <c r="C746">
        <v>14</v>
      </c>
      <c r="D746" t="s">
        <v>1163</v>
      </c>
      <c r="E746">
        <v>60</v>
      </c>
      <c r="F746" t="s">
        <v>1164</v>
      </c>
      <c r="G746">
        <v>2</v>
      </c>
      <c r="H746" t="s">
        <v>1163</v>
      </c>
      <c r="I746">
        <v>2500000</v>
      </c>
      <c r="J746" t="s">
        <v>1164</v>
      </c>
      <c r="K746">
        <v>1</v>
      </c>
      <c r="L746" t="s">
        <v>1163</v>
      </c>
      <c r="M746">
        <f t="shared" si="35"/>
        <v>3900000</v>
      </c>
      <c r="N746" t="s">
        <v>1165</v>
      </c>
      <c r="O746" t="str">
        <f t="shared" si="34"/>
        <v>[{"id":14,"num":60},{"id":2,"num":2500000},{"id":1,"num":3900000}]</v>
      </c>
    </row>
    <row r="747" spans="1:15" ht="16.5" x14ac:dyDescent="0.15">
      <c r="A747" s="3">
        <f>Sheet1!A749</f>
        <v>1419026</v>
      </c>
      <c r="B747" t="s">
        <v>1162</v>
      </c>
      <c r="C747">
        <v>14</v>
      </c>
      <c r="D747" t="s">
        <v>1163</v>
      </c>
      <c r="E747">
        <v>60</v>
      </c>
      <c r="F747" t="s">
        <v>1164</v>
      </c>
      <c r="G747">
        <v>2</v>
      </c>
      <c r="H747" t="s">
        <v>1163</v>
      </c>
      <c r="I747">
        <v>2500000</v>
      </c>
      <c r="J747" t="s">
        <v>1164</v>
      </c>
      <c r="K747">
        <v>1</v>
      </c>
      <c r="L747" t="s">
        <v>1163</v>
      </c>
      <c r="M747">
        <f t="shared" si="35"/>
        <v>3900000</v>
      </c>
      <c r="N747" t="s">
        <v>1165</v>
      </c>
      <c r="O747" t="str">
        <f t="shared" si="34"/>
        <v>[{"id":14,"num":60},{"id":2,"num":2500000},{"id":1,"num":3900000}]</v>
      </c>
    </row>
    <row r="748" spans="1:15" ht="16.5" x14ac:dyDescent="0.15">
      <c r="A748" s="3">
        <f>Sheet1!A750</f>
        <v>1419027</v>
      </c>
      <c r="B748" t="s">
        <v>1162</v>
      </c>
      <c r="C748">
        <v>14</v>
      </c>
      <c r="D748" t="s">
        <v>1163</v>
      </c>
      <c r="E748">
        <v>60</v>
      </c>
      <c r="F748" t="s">
        <v>1164</v>
      </c>
      <c r="G748">
        <v>2</v>
      </c>
      <c r="H748" t="s">
        <v>1163</v>
      </c>
      <c r="I748">
        <v>2500000</v>
      </c>
      <c r="J748" t="s">
        <v>1164</v>
      </c>
      <c r="K748">
        <v>1</v>
      </c>
      <c r="L748" t="s">
        <v>1163</v>
      </c>
      <c r="M748">
        <f t="shared" si="35"/>
        <v>3900000</v>
      </c>
      <c r="N748" t="s">
        <v>1165</v>
      </c>
      <c r="O748" t="str">
        <f t="shared" si="34"/>
        <v>[{"id":14,"num":60},{"id":2,"num":2500000},{"id":1,"num":3900000}]</v>
      </c>
    </row>
    <row r="749" spans="1:15" ht="16.5" x14ac:dyDescent="0.15">
      <c r="A749" s="3">
        <f>Sheet1!A751</f>
        <v>1419028</v>
      </c>
      <c r="B749" t="s">
        <v>1162</v>
      </c>
      <c r="C749">
        <v>14</v>
      </c>
      <c r="D749" t="s">
        <v>1163</v>
      </c>
      <c r="E749">
        <v>60</v>
      </c>
      <c r="F749" t="s">
        <v>1164</v>
      </c>
      <c r="G749">
        <v>2</v>
      </c>
      <c r="H749" t="s">
        <v>1163</v>
      </c>
      <c r="I749">
        <v>2500000</v>
      </c>
      <c r="J749" t="s">
        <v>1164</v>
      </c>
      <c r="K749">
        <v>1</v>
      </c>
      <c r="L749" t="s">
        <v>1163</v>
      </c>
      <c r="M749">
        <f t="shared" si="35"/>
        <v>3900000</v>
      </c>
      <c r="N749" t="s">
        <v>1165</v>
      </c>
      <c r="O749" t="str">
        <f t="shared" si="34"/>
        <v>[{"id":14,"num":60},{"id":2,"num":2500000},{"id":1,"num":3900000}]</v>
      </c>
    </row>
    <row r="750" spans="1:15" ht="16.5" x14ac:dyDescent="0.15">
      <c r="A750" s="3">
        <f>Sheet1!A752</f>
        <v>1419029</v>
      </c>
      <c r="B750" t="s">
        <v>1162</v>
      </c>
      <c r="C750">
        <v>14</v>
      </c>
      <c r="D750" t="s">
        <v>1163</v>
      </c>
      <c r="E750">
        <v>60</v>
      </c>
      <c r="F750" t="s">
        <v>1164</v>
      </c>
      <c r="G750">
        <v>2</v>
      </c>
      <c r="H750" t="s">
        <v>1163</v>
      </c>
      <c r="I750">
        <v>2500000</v>
      </c>
      <c r="J750" t="s">
        <v>1164</v>
      </c>
      <c r="K750">
        <v>1</v>
      </c>
      <c r="L750" t="s">
        <v>1163</v>
      </c>
      <c r="M750">
        <f t="shared" si="35"/>
        <v>3900000</v>
      </c>
      <c r="N750" t="s">
        <v>1165</v>
      </c>
      <c r="O750" t="str">
        <f t="shared" si="34"/>
        <v>[{"id":14,"num":60},{"id":2,"num":2500000},{"id":1,"num":3900000}]</v>
      </c>
    </row>
    <row r="751" spans="1:15" ht="16.5" x14ac:dyDescent="0.15">
      <c r="A751" s="3">
        <f>Sheet1!A753</f>
        <v>1419030</v>
      </c>
      <c r="B751" t="s">
        <v>1162</v>
      </c>
      <c r="C751">
        <v>14</v>
      </c>
      <c r="D751" t="s">
        <v>1163</v>
      </c>
      <c r="E751">
        <v>60</v>
      </c>
      <c r="F751" t="s">
        <v>1164</v>
      </c>
      <c r="G751">
        <v>2</v>
      </c>
      <c r="H751" t="s">
        <v>1163</v>
      </c>
      <c r="I751">
        <v>2500000</v>
      </c>
      <c r="J751" t="s">
        <v>1164</v>
      </c>
      <c r="K751">
        <v>1</v>
      </c>
      <c r="L751" t="s">
        <v>1163</v>
      </c>
      <c r="M751">
        <f t="shared" si="35"/>
        <v>3900000</v>
      </c>
      <c r="N751" t="s">
        <v>1165</v>
      </c>
      <c r="O751" t="str">
        <f t="shared" si="34"/>
        <v>[{"id":14,"num":60},{"id":2,"num":2500000},{"id":1,"num":3900000}]</v>
      </c>
    </row>
    <row r="752" spans="1:15" ht="16.5" x14ac:dyDescent="0.15">
      <c r="A752" s="3">
        <f>Sheet1!A754</f>
        <v>1419031</v>
      </c>
      <c r="B752" t="s">
        <v>1162</v>
      </c>
      <c r="C752">
        <v>14</v>
      </c>
      <c r="D752" t="s">
        <v>1163</v>
      </c>
      <c r="E752">
        <v>60</v>
      </c>
      <c r="F752" t="s">
        <v>1164</v>
      </c>
      <c r="G752">
        <v>2</v>
      </c>
      <c r="H752" t="s">
        <v>1163</v>
      </c>
      <c r="I752">
        <v>2500000</v>
      </c>
      <c r="J752" t="s">
        <v>1164</v>
      </c>
      <c r="K752">
        <v>1</v>
      </c>
      <c r="L752" t="s">
        <v>1163</v>
      </c>
      <c r="M752">
        <f t="shared" si="35"/>
        <v>3900000</v>
      </c>
      <c r="N752" t="s">
        <v>1165</v>
      </c>
      <c r="O752" t="str">
        <f t="shared" si="34"/>
        <v>[{"id":14,"num":60},{"id":2,"num":2500000},{"id":1,"num":3900000}]</v>
      </c>
    </row>
    <row r="753" spans="1:15" ht="16.5" x14ac:dyDescent="0.15">
      <c r="A753" s="3">
        <f>Sheet1!A755</f>
        <v>1419032</v>
      </c>
      <c r="B753" t="s">
        <v>1162</v>
      </c>
      <c r="C753">
        <v>14</v>
      </c>
      <c r="D753" t="s">
        <v>1163</v>
      </c>
      <c r="E753">
        <v>60</v>
      </c>
      <c r="F753" t="s">
        <v>1164</v>
      </c>
      <c r="G753">
        <v>2</v>
      </c>
      <c r="H753" t="s">
        <v>1163</v>
      </c>
      <c r="I753">
        <v>2500000</v>
      </c>
      <c r="J753" t="s">
        <v>1164</v>
      </c>
      <c r="K753">
        <v>1</v>
      </c>
      <c r="L753" t="s">
        <v>1163</v>
      </c>
      <c r="M753">
        <f t="shared" si="35"/>
        <v>3900000</v>
      </c>
      <c r="N753" t="s">
        <v>1165</v>
      </c>
      <c r="O753" t="str">
        <f t="shared" si="34"/>
        <v>[{"id":14,"num":60},{"id":2,"num":2500000},{"id":1,"num":3900000}]</v>
      </c>
    </row>
    <row r="754" spans="1:15" ht="16.5" x14ac:dyDescent="0.15">
      <c r="A754" s="3">
        <f>Sheet1!A756</f>
        <v>1419033</v>
      </c>
      <c r="B754" t="s">
        <v>1162</v>
      </c>
      <c r="C754">
        <v>14</v>
      </c>
      <c r="D754" t="s">
        <v>1163</v>
      </c>
      <c r="E754">
        <v>60</v>
      </c>
      <c r="F754" t="s">
        <v>1164</v>
      </c>
      <c r="G754">
        <v>2</v>
      </c>
      <c r="H754" t="s">
        <v>1163</v>
      </c>
      <c r="I754">
        <v>2500000</v>
      </c>
      <c r="J754" t="s">
        <v>1164</v>
      </c>
      <c r="K754">
        <v>1</v>
      </c>
      <c r="L754" t="s">
        <v>1163</v>
      </c>
      <c r="M754">
        <f t="shared" si="35"/>
        <v>3900000</v>
      </c>
      <c r="N754" t="s">
        <v>1165</v>
      </c>
      <c r="O754" t="str">
        <f t="shared" si="34"/>
        <v>[{"id":14,"num":60},{"id":2,"num":2500000},{"id":1,"num":3900000}]</v>
      </c>
    </row>
    <row r="755" spans="1:15" ht="16.5" x14ac:dyDescent="0.15">
      <c r="A755" s="3">
        <f>Sheet1!A757</f>
        <v>1419034</v>
      </c>
      <c r="B755" t="s">
        <v>1162</v>
      </c>
      <c r="C755">
        <v>14</v>
      </c>
      <c r="D755" t="s">
        <v>1163</v>
      </c>
      <c r="E755">
        <v>60</v>
      </c>
      <c r="F755" t="s">
        <v>1164</v>
      </c>
      <c r="G755">
        <v>2</v>
      </c>
      <c r="H755" t="s">
        <v>1163</v>
      </c>
      <c r="I755">
        <v>2500000</v>
      </c>
      <c r="J755" t="s">
        <v>1164</v>
      </c>
      <c r="K755">
        <v>1</v>
      </c>
      <c r="L755" t="s">
        <v>1163</v>
      </c>
      <c r="M755">
        <f t="shared" si="35"/>
        <v>3900000</v>
      </c>
      <c r="N755" t="s">
        <v>1165</v>
      </c>
      <c r="O755" t="str">
        <f t="shared" si="34"/>
        <v>[{"id":14,"num":60},{"id":2,"num":2500000},{"id":1,"num":3900000}]</v>
      </c>
    </row>
    <row r="756" spans="1:15" ht="16.5" x14ac:dyDescent="0.15">
      <c r="A756" s="3">
        <f>Sheet1!A758</f>
        <v>1419035</v>
      </c>
      <c r="B756" t="s">
        <v>1162</v>
      </c>
      <c r="C756">
        <v>14</v>
      </c>
      <c r="D756" t="s">
        <v>1163</v>
      </c>
      <c r="E756">
        <v>60</v>
      </c>
      <c r="F756" t="s">
        <v>1164</v>
      </c>
      <c r="G756">
        <v>2</v>
      </c>
      <c r="H756" t="s">
        <v>1163</v>
      </c>
      <c r="I756">
        <v>2500000</v>
      </c>
      <c r="J756" t="s">
        <v>1164</v>
      </c>
      <c r="K756">
        <v>1</v>
      </c>
      <c r="L756" t="s">
        <v>1163</v>
      </c>
      <c r="M756">
        <f t="shared" si="35"/>
        <v>3900000</v>
      </c>
      <c r="N756" t="s">
        <v>1165</v>
      </c>
      <c r="O756" t="str">
        <f t="shared" si="34"/>
        <v>[{"id":14,"num":60},{"id":2,"num":2500000},{"id":1,"num":3900000}]</v>
      </c>
    </row>
    <row r="757" spans="1:15" ht="16.5" x14ac:dyDescent="0.15">
      <c r="A757" s="3">
        <f>Sheet1!A759</f>
        <v>1419036</v>
      </c>
      <c r="B757" t="s">
        <v>1162</v>
      </c>
      <c r="C757">
        <v>14</v>
      </c>
      <c r="D757" t="s">
        <v>1163</v>
      </c>
      <c r="E757">
        <v>60</v>
      </c>
      <c r="F757" t="s">
        <v>1164</v>
      </c>
      <c r="G757">
        <v>2</v>
      </c>
      <c r="H757" t="s">
        <v>1163</v>
      </c>
      <c r="I757">
        <v>2500000</v>
      </c>
      <c r="J757" t="s">
        <v>1164</v>
      </c>
      <c r="K757">
        <v>1</v>
      </c>
      <c r="L757" t="s">
        <v>1163</v>
      </c>
      <c r="M757">
        <f t="shared" si="35"/>
        <v>3900000</v>
      </c>
      <c r="N757" t="s">
        <v>1165</v>
      </c>
      <c r="O757" t="str">
        <f t="shared" si="34"/>
        <v>[{"id":14,"num":60},{"id":2,"num":2500000},{"id":1,"num":3900000}]</v>
      </c>
    </row>
    <row r="758" spans="1:15" ht="16.5" x14ac:dyDescent="0.15">
      <c r="A758" s="3">
        <f>Sheet1!A760</f>
        <v>1419037</v>
      </c>
      <c r="B758" t="s">
        <v>1162</v>
      </c>
      <c r="C758">
        <v>14</v>
      </c>
      <c r="D758" t="s">
        <v>1163</v>
      </c>
      <c r="E758">
        <v>60</v>
      </c>
      <c r="F758" t="s">
        <v>1164</v>
      </c>
      <c r="G758">
        <v>2</v>
      </c>
      <c r="H758" t="s">
        <v>1163</v>
      </c>
      <c r="I758">
        <v>2500000</v>
      </c>
      <c r="J758" t="s">
        <v>1164</v>
      </c>
      <c r="K758">
        <v>1</v>
      </c>
      <c r="L758" t="s">
        <v>1163</v>
      </c>
      <c r="M758">
        <f t="shared" si="35"/>
        <v>3900000</v>
      </c>
      <c r="N758" t="s">
        <v>1165</v>
      </c>
      <c r="O758" t="str">
        <f t="shared" si="34"/>
        <v>[{"id":14,"num":60},{"id":2,"num":2500000},{"id":1,"num":3900000}]</v>
      </c>
    </row>
    <row r="759" spans="1:15" ht="16.5" x14ac:dyDescent="0.15">
      <c r="A759" s="3">
        <f>Sheet1!A761</f>
        <v>1419038</v>
      </c>
      <c r="B759" t="s">
        <v>1162</v>
      </c>
      <c r="C759">
        <v>14</v>
      </c>
      <c r="D759" t="s">
        <v>1163</v>
      </c>
      <c r="E759">
        <v>60</v>
      </c>
      <c r="F759" t="s">
        <v>1164</v>
      </c>
      <c r="G759">
        <v>2</v>
      </c>
      <c r="H759" t="s">
        <v>1163</v>
      </c>
      <c r="I759">
        <v>2500000</v>
      </c>
      <c r="J759" t="s">
        <v>1164</v>
      </c>
      <c r="K759">
        <v>1</v>
      </c>
      <c r="L759" t="s">
        <v>1163</v>
      </c>
      <c r="M759">
        <f t="shared" si="35"/>
        <v>3900000</v>
      </c>
      <c r="N759" t="s">
        <v>1165</v>
      </c>
      <c r="O759" t="str">
        <f t="shared" si="34"/>
        <v>[{"id":14,"num":60},{"id":2,"num":2500000},{"id":1,"num":3900000}]</v>
      </c>
    </row>
    <row r="760" spans="1:15" ht="16.5" x14ac:dyDescent="0.15">
      <c r="A760" s="3">
        <f>Sheet1!A762</f>
        <v>1419039</v>
      </c>
      <c r="B760" t="s">
        <v>1162</v>
      </c>
      <c r="C760">
        <v>14</v>
      </c>
      <c r="D760" t="s">
        <v>1163</v>
      </c>
      <c r="E760">
        <v>60</v>
      </c>
      <c r="F760" t="s">
        <v>1164</v>
      </c>
      <c r="G760">
        <v>2</v>
      </c>
      <c r="H760" t="s">
        <v>1163</v>
      </c>
      <c r="I760">
        <v>2500000</v>
      </c>
      <c r="J760" t="s">
        <v>1164</v>
      </c>
      <c r="K760">
        <v>1</v>
      </c>
      <c r="L760" t="s">
        <v>1163</v>
      </c>
      <c r="M760">
        <f t="shared" si="35"/>
        <v>3900000</v>
      </c>
      <c r="N760" t="s">
        <v>1165</v>
      </c>
      <c r="O760" t="str">
        <f t="shared" si="34"/>
        <v>[{"id":14,"num":60},{"id":2,"num":2500000},{"id":1,"num":3900000}]</v>
      </c>
    </row>
    <row r="761" spans="1:15" ht="16.5" x14ac:dyDescent="0.15">
      <c r="A761" s="3">
        <f>Sheet1!A763</f>
        <v>1419040</v>
      </c>
      <c r="B761" t="s">
        <v>1162</v>
      </c>
      <c r="C761">
        <v>14</v>
      </c>
      <c r="D761" t="s">
        <v>1163</v>
      </c>
      <c r="E761">
        <v>60</v>
      </c>
      <c r="F761" t="s">
        <v>1164</v>
      </c>
      <c r="G761">
        <v>2</v>
      </c>
      <c r="H761" t="s">
        <v>1163</v>
      </c>
      <c r="I761">
        <v>2500000</v>
      </c>
      <c r="J761" t="s">
        <v>1164</v>
      </c>
      <c r="K761">
        <v>1</v>
      </c>
      <c r="L761" t="s">
        <v>1163</v>
      </c>
      <c r="M761">
        <f t="shared" si="35"/>
        <v>3900000</v>
      </c>
      <c r="N761" t="s">
        <v>1165</v>
      </c>
      <c r="O761" t="str">
        <f t="shared" si="34"/>
        <v>[{"id":14,"num":60},{"id":2,"num":2500000},{"id":1,"num":3900000}]</v>
      </c>
    </row>
    <row r="762" spans="1:15" ht="16.5" x14ac:dyDescent="0.15">
      <c r="A762" s="3">
        <f>Sheet1!A764</f>
        <v>1420001</v>
      </c>
      <c r="B762" t="s">
        <v>1162</v>
      </c>
      <c r="C762">
        <v>14</v>
      </c>
      <c r="D762" t="s">
        <v>1163</v>
      </c>
      <c r="E762">
        <v>60</v>
      </c>
      <c r="F762" t="s">
        <v>1164</v>
      </c>
      <c r="G762">
        <v>2</v>
      </c>
      <c r="H762" t="s">
        <v>1163</v>
      </c>
      <c r="I762">
        <v>2500000</v>
      </c>
      <c r="J762" t="s">
        <v>1164</v>
      </c>
      <c r="K762">
        <v>1</v>
      </c>
      <c r="L762" t="s">
        <v>1163</v>
      </c>
      <c r="M762">
        <f t="shared" si="35"/>
        <v>4100000</v>
      </c>
      <c r="N762" t="s">
        <v>1165</v>
      </c>
      <c r="O762" t="str">
        <f t="shared" si="34"/>
        <v>[{"id":14,"num":60},{"id":2,"num":2500000},{"id":1,"num":4100000}]</v>
      </c>
    </row>
    <row r="763" spans="1:15" ht="16.5" x14ac:dyDescent="0.15">
      <c r="A763" s="3">
        <f>Sheet1!A765</f>
        <v>1420002</v>
      </c>
      <c r="B763" t="s">
        <v>1162</v>
      </c>
      <c r="C763">
        <v>14</v>
      </c>
      <c r="D763" t="s">
        <v>1163</v>
      </c>
      <c r="E763">
        <v>60</v>
      </c>
      <c r="F763" t="s">
        <v>1164</v>
      </c>
      <c r="G763">
        <v>2</v>
      </c>
      <c r="H763" t="s">
        <v>1163</v>
      </c>
      <c r="I763">
        <v>2500000</v>
      </c>
      <c r="J763" t="s">
        <v>1164</v>
      </c>
      <c r="K763">
        <v>1</v>
      </c>
      <c r="L763" t="s">
        <v>1163</v>
      </c>
      <c r="M763">
        <f t="shared" si="35"/>
        <v>4100000</v>
      </c>
      <c r="N763" t="s">
        <v>1165</v>
      </c>
      <c r="O763" t="str">
        <f t="shared" si="34"/>
        <v>[{"id":14,"num":60},{"id":2,"num":2500000},{"id":1,"num":4100000}]</v>
      </c>
    </row>
    <row r="764" spans="1:15" ht="16.5" x14ac:dyDescent="0.15">
      <c r="A764" s="3">
        <f>Sheet1!A766</f>
        <v>1420003</v>
      </c>
      <c r="B764" t="s">
        <v>1162</v>
      </c>
      <c r="C764">
        <v>14</v>
      </c>
      <c r="D764" t="s">
        <v>1163</v>
      </c>
      <c r="E764">
        <v>60</v>
      </c>
      <c r="F764" t="s">
        <v>1164</v>
      </c>
      <c r="G764">
        <v>2</v>
      </c>
      <c r="H764" t="s">
        <v>1163</v>
      </c>
      <c r="I764">
        <v>2500000</v>
      </c>
      <c r="J764" t="s">
        <v>1164</v>
      </c>
      <c r="K764">
        <v>1</v>
      </c>
      <c r="L764" t="s">
        <v>1163</v>
      </c>
      <c r="M764">
        <f t="shared" si="35"/>
        <v>4100000</v>
      </c>
      <c r="N764" t="s">
        <v>1165</v>
      </c>
      <c r="O764" t="str">
        <f t="shared" si="34"/>
        <v>[{"id":14,"num":60},{"id":2,"num":2500000},{"id":1,"num":4100000}]</v>
      </c>
    </row>
    <row r="765" spans="1:15" ht="16.5" x14ac:dyDescent="0.15">
      <c r="A765" s="3">
        <f>Sheet1!A767</f>
        <v>1420004</v>
      </c>
      <c r="B765" t="s">
        <v>1162</v>
      </c>
      <c r="C765">
        <v>14</v>
      </c>
      <c r="D765" t="s">
        <v>1163</v>
      </c>
      <c r="E765">
        <v>60</v>
      </c>
      <c r="F765" t="s">
        <v>1164</v>
      </c>
      <c r="G765">
        <v>2</v>
      </c>
      <c r="H765" t="s">
        <v>1163</v>
      </c>
      <c r="I765">
        <v>2500000</v>
      </c>
      <c r="J765" t="s">
        <v>1164</v>
      </c>
      <c r="K765">
        <v>1</v>
      </c>
      <c r="L765" t="s">
        <v>1163</v>
      </c>
      <c r="M765">
        <f t="shared" si="35"/>
        <v>4100000</v>
      </c>
      <c r="N765" t="s">
        <v>1165</v>
      </c>
      <c r="O765" t="str">
        <f t="shared" si="34"/>
        <v>[{"id":14,"num":60},{"id":2,"num":2500000},{"id":1,"num":4100000}]</v>
      </c>
    </row>
    <row r="766" spans="1:15" ht="16.5" x14ac:dyDescent="0.15">
      <c r="A766" s="3">
        <f>Sheet1!A768</f>
        <v>1420005</v>
      </c>
      <c r="B766" t="s">
        <v>1162</v>
      </c>
      <c r="C766">
        <v>14</v>
      </c>
      <c r="D766" t="s">
        <v>1163</v>
      </c>
      <c r="E766">
        <v>60</v>
      </c>
      <c r="F766" t="s">
        <v>1164</v>
      </c>
      <c r="G766">
        <v>2</v>
      </c>
      <c r="H766" t="s">
        <v>1163</v>
      </c>
      <c r="I766">
        <v>2500000</v>
      </c>
      <c r="J766" t="s">
        <v>1164</v>
      </c>
      <c r="K766">
        <v>1</v>
      </c>
      <c r="L766" t="s">
        <v>1163</v>
      </c>
      <c r="M766">
        <f t="shared" si="35"/>
        <v>4100000</v>
      </c>
      <c r="N766" t="s">
        <v>1165</v>
      </c>
      <c r="O766" t="str">
        <f t="shared" si="34"/>
        <v>[{"id":14,"num":60},{"id":2,"num":2500000},{"id":1,"num":4100000}]</v>
      </c>
    </row>
    <row r="767" spans="1:15" ht="16.5" x14ac:dyDescent="0.15">
      <c r="A767" s="3">
        <f>Sheet1!A769</f>
        <v>1420006</v>
      </c>
      <c r="B767" t="s">
        <v>1162</v>
      </c>
      <c r="C767">
        <v>14</v>
      </c>
      <c r="D767" t="s">
        <v>1163</v>
      </c>
      <c r="E767">
        <v>60</v>
      </c>
      <c r="F767" t="s">
        <v>1164</v>
      </c>
      <c r="G767">
        <v>2</v>
      </c>
      <c r="H767" t="s">
        <v>1163</v>
      </c>
      <c r="I767">
        <v>2500000</v>
      </c>
      <c r="J767" t="s">
        <v>1164</v>
      </c>
      <c r="K767">
        <v>1</v>
      </c>
      <c r="L767" t="s">
        <v>1163</v>
      </c>
      <c r="M767">
        <f t="shared" si="35"/>
        <v>4100000</v>
      </c>
      <c r="N767" t="s">
        <v>1165</v>
      </c>
      <c r="O767" t="str">
        <f t="shared" si="34"/>
        <v>[{"id":14,"num":60},{"id":2,"num":2500000},{"id":1,"num":4100000}]</v>
      </c>
    </row>
    <row r="768" spans="1:15" ht="16.5" x14ac:dyDescent="0.15">
      <c r="A768" s="3">
        <f>Sheet1!A770</f>
        <v>1420007</v>
      </c>
      <c r="B768" t="s">
        <v>1162</v>
      </c>
      <c r="C768">
        <v>14</v>
      </c>
      <c r="D768" t="s">
        <v>1163</v>
      </c>
      <c r="E768">
        <v>60</v>
      </c>
      <c r="F768" t="s">
        <v>1164</v>
      </c>
      <c r="G768">
        <v>2</v>
      </c>
      <c r="H768" t="s">
        <v>1163</v>
      </c>
      <c r="I768">
        <v>2500000</v>
      </c>
      <c r="J768" t="s">
        <v>1164</v>
      </c>
      <c r="K768">
        <v>1</v>
      </c>
      <c r="L768" t="s">
        <v>1163</v>
      </c>
      <c r="M768">
        <f t="shared" si="35"/>
        <v>4100000</v>
      </c>
      <c r="N768" t="s">
        <v>1165</v>
      </c>
      <c r="O768" t="str">
        <f t="shared" si="34"/>
        <v>[{"id":14,"num":60},{"id":2,"num":2500000},{"id":1,"num":4100000}]</v>
      </c>
    </row>
    <row r="769" spans="1:15" ht="16.5" x14ac:dyDescent="0.15">
      <c r="A769" s="3">
        <f>Sheet1!A771</f>
        <v>1420008</v>
      </c>
      <c r="B769" t="s">
        <v>1162</v>
      </c>
      <c r="C769">
        <v>14</v>
      </c>
      <c r="D769" t="s">
        <v>1163</v>
      </c>
      <c r="E769">
        <v>60</v>
      </c>
      <c r="F769" t="s">
        <v>1164</v>
      </c>
      <c r="G769">
        <v>2</v>
      </c>
      <c r="H769" t="s">
        <v>1163</v>
      </c>
      <c r="I769">
        <v>2500000</v>
      </c>
      <c r="J769" t="s">
        <v>1164</v>
      </c>
      <c r="K769">
        <v>1</v>
      </c>
      <c r="L769" t="s">
        <v>1163</v>
      </c>
      <c r="M769">
        <f t="shared" si="35"/>
        <v>4100000</v>
      </c>
      <c r="N769" t="s">
        <v>1165</v>
      </c>
      <c r="O769" t="str">
        <f t="shared" si="34"/>
        <v>[{"id":14,"num":60},{"id":2,"num":2500000},{"id":1,"num":4100000}]</v>
      </c>
    </row>
    <row r="770" spans="1:15" ht="16.5" x14ac:dyDescent="0.15">
      <c r="A770" s="3">
        <f>Sheet1!A772</f>
        <v>1420009</v>
      </c>
      <c r="B770" t="s">
        <v>1162</v>
      </c>
      <c r="C770">
        <v>14</v>
      </c>
      <c r="D770" t="s">
        <v>1163</v>
      </c>
      <c r="E770">
        <v>60</v>
      </c>
      <c r="F770" t="s">
        <v>1164</v>
      </c>
      <c r="G770">
        <v>2</v>
      </c>
      <c r="H770" t="s">
        <v>1163</v>
      </c>
      <c r="I770">
        <v>2500000</v>
      </c>
      <c r="J770" t="s">
        <v>1164</v>
      </c>
      <c r="K770">
        <v>1</v>
      </c>
      <c r="L770" t="s">
        <v>1163</v>
      </c>
      <c r="M770">
        <f t="shared" si="35"/>
        <v>4100000</v>
      </c>
      <c r="N770" t="s">
        <v>1165</v>
      </c>
      <c r="O770" t="str">
        <f t="shared" si="34"/>
        <v>[{"id":14,"num":60},{"id":2,"num":2500000},{"id":1,"num":4100000}]</v>
      </c>
    </row>
    <row r="771" spans="1:15" ht="16.5" x14ac:dyDescent="0.15">
      <c r="A771" s="3">
        <f>Sheet1!A773</f>
        <v>1420010</v>
      </c>
      <c r="B771" t="s">
        <v>1162</v>
      </c>
      <c r="C771">
        <v>14</v>
      </c>
      <c r="D771" t="s">
        <v>1163</v>
      </c>
      <c r="E771">
        <v>60</v>
      </c>
      <c r="F771" t="s">
        <v>1164</v>
      </c>
      <c r="G771">
        <v>2</v>
      </c>
      <c r="H771" t="s">
        <v>1163</v>
      </c>
      <c r="I771">
        <v>2500000</v>
      </c>
      <c r="J771" t="s">
        <v>1164</v>
      </c>
      <c r="K771">
        <v>1</v>
      </c>
      <c r="L771" t="s">
        <v>1163</v>
      </c>
      <c r="M771">
        <f t="shared" si="35"/>
        <v>4100000</v>
      </c>
      <c r="N771" t="s">
        <v>1165</v>
      </c>
      <c r="O771" t="str">
        <f t="shared" si="34"/>
        <v>[{"id":14,"num":60},{"id":2,"num":2500000},{"id":1,"num":4100000}]</v>
      </c>
    </row>
    <row r="772" spans="1:15" ht="16.5" x14ac:dyDescent="0.15">
      <c r="A772" s="3">
        <f>Sheet1!A774</f>
        <v>1420011</v>
      </c>
      <c r="B772" t="s">
        <v>1162</v>
      </c>
      <c r="C772">
        <v>14</v>
      </c>
      <c r="D772" t="s">
        <v>1163</v>
      </c>
      <c r="E772">
        <v>60</v>
      </c>
      <c r="F772" t="s">
        <v>1164</v>
      </c>
      <c r="G772">
        <v>2</v>
      </c>
      <c r="H772" t="s">
        <v>1163</v>
      </c>
      <c r="I772">
        <v>2500000</v>
      </c>
      <c r="J772" t="s">
        <v>1164</v>
      </c>
      <c r="K772">
        <v>1</v>
      </c>
      <c r="L772" t="s">
        <v>1163</v>
      </c>
      <c r="M772">
        <f t="shared" si="35"/>
        <v>4100000</v>
      </c>
      <c r="N772" t="s">
        <v>1165</v>
      </c>
      <c r="O772" t="str">
        <f t="shared" si="34"/>
        <v>[{"id":14,"num":60},{"id":2,"num":2500000},{"id":1,"num":4100000}]</v>
      </c>
    </row>
    <row r="773" spans="1:15" ht="16.5" x14ac:dyDescent="0.15">
      <c r="A773" s="3">
        <f>Sheet1!A775</f>
        <v>1420012</v>
      </c>
      <c r="B773" t="s">
        <v>1162</v>
      </c>
      <c r="C773">
        <v>14</v>
      </c>
      <c r="D773" t="s">
        <v>1163</v>
      </c>
      <c r="E773">
        <v>60</v>
      </c>
      <c r="F773" t="s">
        <v>1164</v>
      </c>
      <c r="G773">
        <v>2</v>
      </c>
      <c r="H773" t="s">
        <v>1163</v>
      </c>
      <c r="I773">
        <v>2500000</v>
      </c>
      <c r="J773" t="s">
        <v>1164</v>
      </c>
      <c r="K773">
        <v>1</v>
      </c>
      <c r="L773" t="s">
        <v>1163</v>
      </c>
      <c r="M773">
        <f t="shared" si="35"/>
        <v>4100000</v>
      </c>
      <c r="N773" t="s">
        <v>1165</v>
      </c>
      <c r="O773" t="str">
        <f t="shared" si="34"/>
        <v>[{"id":14,"num":60},{"id":2,"num":2500000},{"id":1,"num":4100000}]</v>
      </c>
    </row>
    <row r="774" spans="1:15" ht="16.5" x14ac:dyDescent="0.15">
      <c r="A774" s="3">
        <f>Sheet1!A776</f>
        <v>1420013</v>
      </c>
      <c r="B774" t="s">
        <v>1162</v>
      </c>
      <c r="C774">
        <v>14</v>
      </c>
      <c r="D774" t="s">
        <v>1163</v>
      </c>
      <c r="E774">
        <v>60</v>
      </c>
      <c r="F774" t="s">
        <v>1164</v>
      </c>
      <c r="G774">
        <v>2</v>
      </c>
      <c r="H774" t="s">
        <v>1163</v>
      </c>
      <c r="I774">
        <v>2500000</v>
      </c>
      <c r="J774" t="s">
        <v>1164</v>
      </c>
      <c r="K774">
        <v>1</v>
      </c>
      <c r="L774" t="s">
        <v>1163</v>
      </c>
      <c r="M774">
        <f t="shared" si="35"/>
        <v>4100000</v>
      </c>
      <c r="N774" t="s">
        <v>1165</v>
      </c>
      <c r="O774" t="str">
        <f t="shared" si="34"/>
        <v>[{"id":14,"num":60},{"id":2,"num":2500000},{"id":1,"num":4100000}]</v>
      </c>
    </row>
    <row r="775" spans="1:15" ht="16.5" x14ac:dyDescent="0.15">
      <c r="A775" s="3">
        <f>Sheet1!A777</f>
        <v>1420014</v>
      </c>
      <c r="B775" t="s">
        <v>1162</v>
      </c>
      <c r="C775">
        <v>14</v>
      </c>
      <c r="D775" t="s">
        <v>1163</v>
      </c>
      <c r="E775">
        <v>60</v>
      </c>
      <c r="F775" t="s">
        <v>1164</v>
      </c>
      <c r="G775">
        <v>2</v>
      </c>
      <c r="H775" t="s">
        <v>1163</v>
      </c>
      <c r="I775">
        <v>2500000</v>
      </c>
      <c r="J775" t="s">
        <v>1164</v>
      </c>
      <c r="K775">
        <v>1</v>
      </c>
      <c r="L775" t="s">
        <v>1163</v>
      </c>
      <c r="M775">
        <f t="shared" si="35"/>
        <v>4100000</v>
      </c>
      <c r="N775" t="s">
        <v>1165</v>
      </c>
      <c r="O775" t="str">
        <f t="shared" si="34"/>
        <v>[{"id":14,"num":60},{"id":2,"num":2500000},{"id":1,"num":4100000}]</v>
      </c>
    </row>
    <row r="776" spans="1:15" ht="16.5" x14ac:dyDescent="0.15">
      <c r="A776" s="3">
        <f>Sheet1!A778</f>
        <v>1420015</v>
      </c>
      <c r="B776" t="s">
        <v>1162</v>
      </c>
      <c r="C776">
        <v>14</v>
      </c>
      <c r="D776" t="s">
        <v>1163</v>
      </c>
      <c r="E776">
        <v>60</v>
      </c>
      <c r="F776" t="s">
        <v>1164</v>
      </c>
      <c r="G776">
        <v>2</v>
      </c>
      <c r="H776" t="s">
        <v>1163</v>
      </c>
      <c r="I776">
        <v>2500000</v>
      </c>
      <c r="J776" t="s">
        <v>1164</v>
      </c>
      <c r="K776">
        <v>1</v>
      </c>
      <c r="L776" t="s">
        <v>1163</v>
      </c>
      <c r="M776">
        <f t="shared" si="35"/>
        <v>4100000</v>
      </c>
      <c r="N776" t="s">
        <v>1165</v>
      </c>
      <c r="O776" t="str">
        <f t="shared" si="34"/>
        <v>[{"id":14,"num":60},{"id":2,"num":2500000},{"id":1,"num":4100000}]</v>
      </c>
    </row>
    <row r="777" spans="1:15" ht="16.5" x14ac:dyDescent="0.15">
      <c r="A777" s="3">
        <f>Sheet1!A779</f>
        <v>1420016</v>
      </c>
      <c r="B777" t="s">
        <v>1162</v>
      </c>
      <c r="C777">
        <v>14</v>
      </c>
      <c r="D777" t="s">
        <v>1163</v>
      </c>
      <c r="E777">
        <v>60</v>
      </c>
      <c r="F777" t="s">
        <v>1164</v>
      </c>
      <c r="G777">
        <v>2</v>
      </c>
      <c r="H777" t="s">
        <v>1163</v>
      </c>
      <c r="I777">
        <v>2500000</v>
      </c>
      <c r="J777" t="s">
        <v>1164</v>
      </c>
      <c r="K777">
        <v>1</v>
      </c>
      <c r="L777" t="s">
        <v>1163</v>
      </c>
      <c r="M777">
        <f t="shared" si="35"/>
        <v>4100000</v>
      </c>
      <c r="N777" t="s">
        <v>1165</v>
      </c>
      <c r="O777" t="str">
        <f t="shared" si="34"/>
        <v>[{"id":14,"num":60},{"id":2,"num":2500000},{"id":1,"num":4100000}]</v>
      </c>
    </row>
    <row r="778" spans="1:15" ht="16.5" x14ac:dyDescent="0.15">
      <c r="A778" s="3">
        <f>Sheet1!A780</f>
        <v>1420017</v>
      </c>
      <c r="B778" t="s">
        <v>1162</v>
      </c>
      <c r="C778">
        <v>14</v>
      </c>
      <c r="D778" t="s">
        <v>1163</v>
      </c>
      <c r="E778">
        <v>60</v>
      </c>
      <c r="F778" t="s">
        <v>1164</v>
      </c>
      <c r="G778">
        <v>2</v>
      </c>
      <c r="H778" t="s">
        <v>1163</v>
      </c>
      <c r="I778">
        <v>2500000</v>
      </c>
      <c r="J778" t="s">
        <v>1164</v>
      </c>
      <c r="K778">
        <v>1</v>
      </c>
      <c r="L778" t="s">
        <v>1163</v>
      </c>
      <c r="M778">
        <f t="shared" si="35"/>
        <v>4100000</v>
      </c>
      <c r="N778" t="s">
        <v>1165</v>
      </c>
      <c r="O778" t="str">
        <f t="shared" si="34"/>
        <v>[{"id":14,"num":60},{"id":2,"num":2500000},{"id":1,"num":4100000}]</v>
      </c>
    </row>
    <row r="779" spans="1:15" ht="16.5" x14ac:dyDescent="0.15">
      <c r="A779" s="3">
        <f>Sheet1!A781</f>
        <v>1420018</v>
      </c>
      <c r="B779" t="s">
        <v>1162</v>
      </c>
      <c r="C779">
        <v>14</v>
      </c>
      <c r="D779" t="s">
        <v>1163</v>
      </c>
      <c r="E779">
        <v>60</v>
      </c>
      <c r="F779" t="s">
        <v>1164</v>
      </c>
      <c r="G779">
        <v>2</v>
      </c>
      <c r="H779" t="s">
        <v>1163</v>
      </c>
      <c r="I779">
        <v>2500000</v>
      </c>
      <c r="J779" t="s">
        <v>1164</v>
      </c>
      <c r="K779">
        <v>1</v>
      </c>
      <c r="L779" t="s">
        <v>1163</v>
      </c>
      <c r="M779">
        <f t="shared" si="35"/>
        <v>4100000</v>
      </c>
      <c r="N779" t="s">
        <v>1165</v>
      </c>
      <c r="O779" t="str">
        <f t="shared" si="34"/>
        <v>[{"id":14,"num":60},{"id":2,"num":2500000},{"id":1,"num":4100000}]</v>
      </c>
    </row>
    <row r="780" spans="1:15" ht="16.5" x14ac:dyDescent="0.15">
      <c r="A780" s="3">
        <f>Sheet1!A782</f>
        <v>1420019</v>
      </c>
      <c r="B780" t="s">
        <v>1162</v>
      </c>
      <c r="C780">
        <v>14</v>
      </c>
      <c r="D780" t="s">
        <v>1163</v>
      </c>
      <c r="E780">
        <v>60</v>
      </c>
      <c r="F780" t="s">
        <v>1164</v>
      </c>
      <c r="G780">
        <v>2</v>
      </c>
      <c r="H780" t="s">
        <v>1163</v>
      </c>
      <c r="I780">
        <v>2500000</v>
      </c>
      <c r="J780" t="s">
        <v>1164</v>
      </c>
      <c r="K780">
        <v>1</v>
      </c>
      <c r="L780" t="s">
        <v>1163</v>
      </c>
      <c r="M780">
        <f t="shared" si="35"/>
        <v>4100000</v>
      </c>
      <c r="N780" t="s">
        <v>1165</v>
      </c>
      <c r="O780" t="str">
        <f t="shared" si="34"/>
        <v>[{"id":14,"num":60},{"id":2,"num":2500000},{"id":1,"num":4100000}]</v>
      </c>
    </row>
    <row r="781" spans="1:15" ht="16.5" x14ac:dyDescent="0.15">
      <c r="A781" s="3">
        <f>Sheet1!A783</f>
        <v>1420020</v>
      </c>
      <c r="B781" t="s">
        <v>1162</v>
      </c>
      <c r="C781">
        <v>14</v>
      </c>
      <c r="D781" t="s">
        <v>1163</v>
      </c>
      <c r="E781">
        <v>60</v>
      </c>
      <c r="F781" t="s">
        <v>1164</v>
      </c>
      <c r="G781">
        <v>2</v>
      </c>
      <c r="H781" t="s">
        <v>1163</v>
      </c>
      <c r="I781">
        <v>2500000</v>
      </c>
      <c r="J781" t="s">
        <v>1164</v>
      </c>
      <c r="K781">
        <v>1</v>
      </c>
      <c r="L781" t="s">
        <v>1163</v>
      </c>
      <c r="M781">
        <f t="shared" si="35"/>
        <v>4100000</v>
      </c>
      <c r="N781" t="s">
        <v>1165</v>
      </c>
      <c r="O781" t="str">
        <f t="shared" si="34"/>
        <v>[{"id":14,"num":60},{"id":2,"num":2500000},{"id":1,"num":4100000}]</v>
      </c>
    </row>
    <row r="782" spans="1:15" ht="16.5" x14ac:dyDescent="0.15">
      <c r="A782" s="3">
        <f>Sheet1!A784</f>
        <v>1420021</v>
      </c>
      <c r="B782" t="s">
        <v>1162</v>
      </c>
      <c r="C782">
        <v>14</v>
      </c>
      <c r="D782" t="s">
        <v>1163</v>
      </c>
      <c r="E782">
        <v>60</v>
      </c>
      <c r="F782" t="s">
        <v>1164</v>
      </c>
      <c r="G782">
        <v>2</v>
      </c>
      <c r="H782" t="s">
        <v>1163</v>
      </c>
      <c r="I782">
        <v>2500000</v>
      </c>
      <c r="J782" t="s">
        <v>1164</v>
      </c>
      <c r="K782">
        <v>1</v>
      </c>
      <c r="L782" t="s">
        <v>1163</v>
      </c>
      <c r="M782">
        <f t="shared" si="35"/>
        <v>4100000</v>
      </c>
      <c r="N782" t="s">
        <v>1165</v>
      </c>
      <c r="O782" t="str">
        <f t="shared" si="34"/>
        <v>[{"id":14,"num":60},{"id":2,"num":2500000},{"id":1,"num":4100000}]</v>
      </c>
    </row>
    <row r="783" spans="1:15" ht="16.5" x14ac:dyDescent="0.15">
      <c r="A783" s="3">
        <f>Sheet1!A785</f>
        <v>1420022</v>
      </c>
      <c r="B783" t="s">
        <v>1162</v>
      </c>
      <c r="C783">
        <v>14</v>
      </c>
      <c r="D783" t="s">
        <v>1163</v>
      </c>
      <c r="E783">
        <v>60</v>
      </c>
      <c r="F783" t="s">
        <v>1164</v>
      </c>
      <c r="G783">
        <v>2</v>
      </c>
      <c r="H783" t="s">
        <v>1163</v>
      </c>
      <c r="I783">
        <v>2500000</v>
      </c>
      <c r="J783" t="s">
        <v>1164</v>
      </c>
      <c r="K783">
        <v>1</v>
      </c>
      <c r="L783" t="s">
        <v>1163</v>
      </c>
      <c r="M783">
        <f t="shared" si="35"/>
        <v>4100000</v>
      </c>
      <c r="N783" t="s">
        <v>1165</v>
      </c>
      <c r="O783" t="str">
        <f t="shared" si="34"/>
        <v>[{"id":14,"num":60},{"id":2,"num":2500000},{"id":1,"num":4100000}]</v>
      </c>
    </row>
    <row r="784" spans="1:15" ht="16.5" x14ac:dyDescent="0.15">
      <c r="A784" s="3">
        <f>Sheet1!A786</f>
        <v>1420023</v>
      </c>
      <c r="B784" t="s">
        <v>1162</v>
      </c>
      <c r="C784">
        <v>14</v>
      </c>
      <c r="D784" t="s">
        <v>1163</v>
      </c>
      <c r="E784">
        <v>60</v>
      </c>
      <c r="F784" t="s">
        <v>1164</v>
      </c>
      <c r="G784">
        <v>2</v>
      </c>
      <c r="H784" t="s">
        <v>1163</v>
      </c>
      <c r="I784">
        <v>2500000</v>
      </c>
      <c r="J784" t="s">
        <v>1164</v>
      </c>
      <c r="K784">
        <v>1</v>
      </c>
      <c r="L784" t="s">
        <v>1163</v>
      </c>
      <c r="M784">
        <f t="shared" si="35"/>
        <v>4100000</v>
      </c>
      <c r="N784" t="s">
        <v>1165</v>
      </c>
      <c r="O784" t="str">
        <f t="shared" si="34"/>
        <v>[{"id":14,"num":60},{"id":2,"num":2500000},{"id":1,"num":4100000}]</v>
      </c>
    </row>
    <row r="785" spans="1:15" ht="16.5" x14ac:dyDescent="0.15">
      <c r="A785" s="3">
        <f>Sheet1!A787</f>
        <v>1420024</v>
      </c>
      <c r="B785" t="s">
        <v>1162</v>
      </c>
      <c r="C785">
        <v>14</v>
      </c>
      <c r="D785" t="s">
        <v>1163</v>
      </c>
      <c r="E785">
        <v>60</v>
      </c>
      <c r="F785" t="s">
        <v>1164</v>
      </c>
      <c r="G785">
        <v>2</v>
      </c>
      <c r="H785" t="s">
        <v>1163</v>
      </c>
      <c r="I785">
        <v>2500000</v>
      </c>
      <c r="J785" t="s">
        <v>1164</v>
      </c>
      <c r="K785">
        <v>1</v>
      </c>
      <c r="L785" t="s">
        <v>1163</v>
      </c>
      <c r="M785">
        <f t="shared" si="35"/>
        <v>4100000</v>
      </c>
      <c r="N785" t="s">
        <v>1165</v>
      </c>
      <c r="O785" t="str">
        <f t="shared" si="34"/>
        <v>[{"id":14,"num":60},{"id":2,"num":2500000},{"id":1,"num":4100000}]</v>
      </c>
    </row>
    <row r="786" spans="1:15" ht="16.5" x14ac:dyDescent="0.15">
      <c r="A786" s="3">
        <f>Sheet1!A788</f>
        <v>1420025</v>
      </c>
      <c r="B786" t="s">
        <v>1162</v>
      </c>
      <c r="C786">
        <v>14</v>
      </c>
      <c r="D786" t="s">
        <v>1163</v>
      </c>
      <c r="E786">
        <v>60</v>
      </c>
      <c r="F786" t="s">
        <v>1164</v>
      </c>
      <c r="G786">
        <v>2</v>
      </c>
      <c r="H786" t="s">
        <v>1163</v>
      </c>
      <c r="I786">
        <v>2500000</v>
      </c>
      <c r="J786" t="s">
        <v>1164</v>
      </c>
      <c r="K786">
        <v>1</v>
      </c>
      <c r="L786" t="s">
        <v>1163</v>
      </c>
      <c r="M786">
        <f t="shared" si="35"/>
        <v>4100000</v>
      </c>
      <c r="N786" t="s">
        <v>1165</v>
      </c>
      <c r="O786" t="str">
        <f t="shared" si="34"/>
        <v>[{"id":14,"num":60},{"id":2,"num":2500000},{"id":1,"num":4100000}]</v>
      </c>
    </row>
    <row r="787" spans="1:15" ht="16.5" x14ac:dyDescent="0.15">
      <c r="A787" s="3">
        <f>Sheet1!A789</f>
        <v>1420026</v>
      </c>
      <c r="B787" t="s">
        <v>1162</v>
      </c>
      <c r="C787">
        <v>14</v>
      </c>
      <c r="D787" t="s">
        <v>1163</v>
      </c>
      <c r="E787">
        <v>60</v>
      </c>
      <c r="F787" t="s">
        <v>1164</v>
      </c>
      <c r="G787">
        <v>2</v>
      </c>
      <c r="H787" t="s">
        <v>1163</v>
      </c>
      <c r="I787">
        <v>2500000</v>
      </c>
      <c r="J787" t="s">
        <v>1164</v>
      </c>
      <c r="K787">
        <v>1</v>
      </c>
      <c r="L787" t="s">
        <v>1163</v>
      </c>
      <c r="M787">
        <f t="shared" si="35"/>
        <v>4100000</v>
      </c>
      <c r="N787" t="s">
        <v>1165</v>
      </c>
      <c r="O787" t="str">
        <f t="shared" si="34"/>
        <v>[{"id":14,"num":60},{"id":2,"num":2500000},{"id":1,"num":4100000}]</v>
      </c>
    </row>
    <row r="788" spans="1:15" ht="16.5" x14ac:dyDescent="0.15">
      <c r="A788" s="3">
        <f>Sheet1!A790</f>
        <v>1420027</v>
      </c>
      <c r="B788" t="s">
        <v>1162</v>
      </c>
      <c r="C788">
        <v>14</v>
      </c>
      <c r="D788" t="s">
        <v>1163</v>
      </c>
      <c r="E788">
        <v>60</v>
      </c>
      <c r="F788" t="s">
        <v>1164</v>
      </c>
      <c r="G788">
        <v>2</v>
      </c>
      <c r="H788" t="s">
        <v>1163</v>
      </c>
      <c r="I788">
        <v>2500000</v>
      </c>
      <c r="J788" t="s">
        <v>1164</v>
      </c>
      <c r="K788">
        <v>1</v>
      </c>
      <c r="L788" t="s">
        <v>1163</v>
      </c>
      <c r="M788">
        <f t="shared" si="35"/>
        <v>4100000</v>
      </c>
      <c r="N788" t="s">
        <v>1165</v>
      </c>
      <c r="O788" t="str">
        <f t="shared" si="34"/>
        <v>[{"id":14,"num":60},{"id":2,"num":2500000},{"id":1,"num":4100000}]</v>
      </c>
    </row>
    <row r="789" spans="1:15" ht="16.5" x14ac:dyDescent="0.15">
      <c r="A789" s="3">
        <f>Sheet1!A791</f>
        <v>1420028</v>
      </c>
      <c r="B789" t="s">
        <v>1162</v>
      </c>
      <c r="C789">
        <v>14</v>
      </c>
      <c r="D789" t="s">
        <v>1163</v>
      </c>
      <c r="E789">
        <v>60</v>
      </c>
      <c r="F789" t="s">
        <v>1164</v>
      </c>
      <c r="G789">
        <v>2</v>
      </c>
      <c r="H789" t="s">
        <v>1163</v>
      </c>
      <c r="I789">
        <v>2500000</v>
      </c>
      <c r="J789" t="s">
        <v>1164</v>
      </c>
      <c r="K789">
        <v>1</v>
      </c>
      <c r="L789" t="s">
        <v>1163</v>
      </c>
      <c r="M789">
        <f t="shared" si="35"/>
        <v>4100000</v>
      </c>
      <c r="N789" t="s">
        <v>1165</v>
      </c>
      <c r="O789" t="str">
        <f t="shared" si="34"/>
        <v>[{"id":14,"num":60},{"id":2,"num":2500000},{"id":1,"num":4100000}]</v>
      </c>
    </row>
    <row r="790" spans="1:15" ht="16.5" x14ac:dyDescent="0.15">
      <c r="A790" s="3">
        <f>Sheet1!A792</f>
        <v>1420029</v>
      </c>
      <c r="B790" t="s">
        <v>1162</v>
      </c>
      <c r="C790">
        <v>14</v>
      </c>
      <c r="D790" t="s">
        <v>1163</v>
      </c>
      <c r="E790">
        <v>60</v>
      </c>
      <c r="F790" t="s">
        <v>1164</v>
      </c>
      <c r="G790">
        <v>2</v>
      </c>
      <c r="H790" t="s">
        <v>1163</v>
      </c>
      <c r="I790">
        <v>2500000</v>
      </c>
      <c r="J790" t="s">
        <v>1164</v>
      </c>
      <c r="K790">
        <v>1</v>
      </c>
      <c r="L790" t="s">
        <v>1163</v>
      </c>
      <c r="M790">
        <f t="shared" si="35"/>
        <v>4100000</v>
      </c>
      <c r="N790" t="s">
        <v>1165</v>
      </c>
      <c r="O790" t="str">
        <f t="shared" si="34"/>
        <v>[{"id":14,"num":60},{"id":2,"num":2500000},{"id":1,"num":4100000}]</v>
      </c>
    </row>
    <row r="791" spans="1:15" ht="16.5" x14ac:dyDescent="0.15">
      <c r="A791" s="3">
        <f>Sheet1!A793</f>
        <v>1420030</v>
      </c>
      <c r="B791" t="s">
        <v>1162</v>
      </c>
      <c r="C791">
        <v>14</v>
      </c>
      <c r="D791" t="s">
        <v>1163</v>
      </c>
      <c r="E791">
        <v>60</v>
      </c>
      <c r="F791" t="s">
        <v>1164</v>
      </c>
      <c r="G791">
        <v>2</v>
      </c>
      <c r="H791" t="s">
        <v>1163</v>
      </c>
      <c r="I791">
        <v>2500000</v>
      </c>
      <c r="J791" t="s">
        <v>1164</v>
      </c>
      <c r="K791">
        <v>1</v>
      </c>
      <c r="L791" t="s">
        <v>1163</v>
      </c>
      <c r="M791">
        <f t="shared" si="35"/>
        <v>4100000</v>
      </c>
      <c r="N791" t="s">
        <v>1165</v>
      </c>
      <c r="O791" t="str">
        <f t="shared" si="34"/>
        <v>[{"id":14,"num":60},{"id":2,"num":2500000},{"id":1,"num":4100000}]</v>
      </c>
    </row>
    <row r="792" spans="1:15" ht="16.5" x14ac:dyDescent="0.15">
      <c r="A792" s="3">
        <f>Sheet1!A794</f>
        <v>1420031</v>
      </c>
      <c r="B792" t="s">
        <v>1162</v>
      </c>
      <c r="C792">
        <v>14</v>
      </c>
      <c r="D792" t="s">
        <v>1163</v>
      </c>
      <c r="E792">
        <v>60</v>
      </c>
      <c r="F792" t="s">
        <v>1164</v>
      </c>
      <c r="G792">
        <v>2</v>
      </c>
      <c r="H792" t="s">
        <v>1163</v>
      </c>
      <c r="I792">
        <v>2500000</v>
      </c>
      <c r="J792" t="s">
        <v>1164</v>
      </c>
      <c r="K792">
        <v>1</v>
      </c>
      <c r="L792" t="s">
        <v>1163</v>
      </c>
      <c r="M792">
        <f t="shared" si="35"/>
        <v>4100000</v>
      </c>
      <c r="N792" t="s">
        <v>1165</v>
      </c>
      <c r="O792" t="str">
        <f t="shared" si="34"/>
        <v>[{"id":14,"num":60},{"id":2,"num":2500000},{"id":1,"num":4100000}]</v>
      </c>
    </row>
    <row r="793" spans="1:15" ht="16.5" x14ac:dyDescent="0.15">
      <c r="A793" s="3">
        <f>Sheet1!A795</f>
        <v>1420032</v>
      </c>
      <c r="B793" t="s">
        <v>1162</v>
      </c>
      <c r="C793">
        <v>14</v>
      </c>
      <c r="D793" t="s">
        <v>1163</v>
      </c>
      <c r="E793">
        <v>60</v>
      </c>
      <c r="F793" t="s">
        <v>1164</v>
      </c>
      <c r="G793">
        <v>2</v>
      </c>
      <c r="H793" t="s">
        <v>1163</v>
      </c>
      <c r="I793">
        <v>2500000</v>
      </c>
      <c r="J793" t="s">
        <v>1164</v>
      </c>
      <c r="K793">
        <v>1</v>
      </c>
      <c r="L793" t="s">
        <v>1163</v>
      </c>
      <c r="M793">
        <f t="shared" si="35"/>
        <v>4100000</v>
      </c>
      <c r="N793" t="s">
        <v>1165</v>
      </c>
      <c r="O793" t="str">
        <f t="shared" si="34"/>
        <v>[{"id":14,"num":60},{"id":2,"num":2500000},{"id":1,"num":4100000}]</v>
      </c>
    </row>
    <row r="794" spans="1:15" ht="16.5" x14ac:dyDescent="0.15">
      <c r="A794" s="3">
        <f>Sheet1!A796</f>
        <v>1420033</v>
      </c>
      <c r="B794" t="s">
        <v>1162</v>
      </c>
      <c r="C794">
        <v>14</v>
      </c>
      <c r="D794" t="s">
        <v>1163</v>
      </c>
      <c r="E794">
        <v>60</v>
      </c>
      <c r="F794" t="s">
        <v>1164</v>
      </c>
      <c r="G794">
        <v>2</v>
      </c>
      <c r="H794" t="s">
        <v>1163</v>
      </c>
      <c r="I794">
        <v>2500000</v>
      </c>
      <c r="J794" t="s">
        <v>1164</v>
      </c>
      <c r="K794">
        <v>1</v>
      </c>
      <c r="L794" t="s">
        <v>1163</v>
      </c>
      <c r="M794">
        <f t="shared" si="35"/>
        <v>4100000</v>
      </c>
      <c r="N794" t="s">
        <v>1165</v>
      </c>
      <c r="O794" t="str">
        <f t="shared" si="34"/>
        <v>[{"id":14,"num":60},{"id":2,"num":2500000},{"id":1,"num":4100000}]</v>
      </c>
    </row>
    <row r="795" spans="1:15" ht="16.5" x14ac:dyDescent="0.15">
      <c r="A795" s="3">
        <f>Sheet1!A797</f>
        <v>1420034</v>
      </c>
      <c r="B795" t="s">
        <v>1162</v>
      </c>
      <c r="C795">
        <v>14</v>
      </c>
      <c r="D795" t="s">
        <v>1163</v>
      </c>
      <c r="E795">
        <v>60</v>
      </c>
      <c r="F795" t="s">
        <v>1164</v>
      </c>
      <c r="G795">
        <v>2</v>
      </c>
      <c r="H795" t="s">
        <v>1163</v>
      </c>
      <c r="I795">
        <v>2500000</v>
      </c>
      <c r="J795" t="s">
        <v>1164</v>
      </c>
      <c r="K795">
        <v>1</v>
      </c>
      <c r="L795" t="s">
        <v>1163</v>
      </c>
      <c r="M795">
        <f t="shared" si="35"/>
        <v>4100000</v>
      </c>
      <c r="N795" t="s">
        <v>1165</v>
      </c>
      <c r="O795" t="str">
        <f t="shared" si="34"/>
        <v>[{"id":14,"num":60},{"id":2,"num":2500000},{"id":1,"num":4100000}]</v>
      </c>
    </row>
    <row r="796" spans="1:15" ht="16.5" x14ac:dyDescent="0.15">
      <c r="A796" s="3">
        <f>Sheet1!A798</f>
        <v>1420035</v>
      </c>
      <c r="B796" t="s">
        <v>1162</v>
      </c>
      <c r="C796">
        <v>14</v>
      </c>
      <c r="D796" t="s">
        <v>1163</v>
      </c>
      <c r="E796">
        <v>60</v>
      </c>
      <c r="F796" t="s">
        <v>1164</v>
      </c>
      <c r="G796">
        <v>2</v>
      </c>
      <c r="H796" t="s">
        <v>1163</v>
      </c>
      <c r="I796">
        <v>2500000</v>
      </c>
      <c r="J796" t="s">
        <v>1164</v>
      </c>
      <c r="K796">
        <v>1</v>
      </c>
      <c r="L796" t="s">
        <v>1163</v>
      </c>
      <c r="M796">
        <f t="shared" si="35"/>
        <v>4100000</v>
      </c>
      <c r="N796" t="s">
        <v>1165</v>
      </c>
      <c r="O796" t="str">
        <f t="shared" si="34"/>
        <v>[{"id":14,"num":60},{"id":2,"num":2500000},{"id":1,"num":4100000}]</v>
      </c>
    </row>
    <row r="797" spans="1:15" ht="16.5" x14ac:dyDescent="0.15">
      <c r="A797" s="3">
        <f>Sheet1!A799</f>
        <v>1420036</v>
      </c>
      <c r="B797" t="s">
        <v>1162</v>
      </c>
      <c r="C797">
        <v>14</v>
      </c>
      <c r="D797" t="s">
        <v>1163</v>
      </c>
      <c r="E797">
        <v>60</v>
      </c>
      <c r="F797" t="s">
        <v>1164</v>
      </c>
      <c r="G797">
        <v>2</v>
      </c>
      <c r="H797" t="s">
        <v>1163</v>
      </c>
      <c r="I797">
        <v>2500000</v>
      </c>
      <c r="J797" t="s">
        <v>1164</v>
      </c>
      <c r="K797">
        <v>1</v>
      </c>
      <c r="L797" t="s">
        <v>1163</v>
      </c>
      <c r="M797">
        <f t="shared" si="35"/>
        <v>4100000</v>
      </c>
      <c r="N797" t="s">
        <v>1165</v>
      </c>
      <c r="O797" t="str">
        <f t="shared" si="34"/>
        <v>[{"id":14,"num":60},{"id":2,"num":2500000},{"id":1,"num":4100000}]</v>
      </c>
    </row>
    <row r="798" spans="1:15" ht="16.5" x14ac:dyDescent="0.15">
      <c r="A798" s="3">
        <f>Sheet1!A800</f>
        <v>1420037</v>
      </c>
      <c r="B798" t="s">
        <v>1162</v>
      </c>
      <c r="C798">
        <v>14</v>
      </c>
      <c r="D798" t="s">
        <v>1163</v>
      </c>
      <c r="E798">
        <v>60</v>
      </c>
      <c r="F798" t="s">
        <v>1164</v>
      </c>
      <c r="G798">
        <v>2</v>
      </c>
      <c r="H798" t="s">
        <v>1163</v>
      </c>
      <c r="I798">
        <v>2500000</v>
      </c>
      <c r="J798" t="s">
        <v>1164</v>
      </c>
      <c r="K798">
        <v>1</v>
      </c>
      <c r="L798" t="s">
        <v>1163</v>
      </c>
      <c r="M798">
        <f t="shared" si="35"/>
        <v>4100000</v>
      </c>
      <c r="N798" t="s">
        <v>1165</v>
      </c>
      <c r="O798" t="str">
        <f t="shared" si="34"/>
        <v>[{"id":14,"num":60},{"id":2,"num":2500000},{"id":1,"num":4100000}]</v>
      </c>
    </row>
    <row r="799" spans="1:15" ht="16.5" x14ac:dyDescent="0.15">
      <c r="A799" s="3">
        <f>Sheet1!A801</f>
        <v>1420038</v>
      </c>
      <c r="B799" t="s">
        <v>1162</v>
      </c>
      <c r="C799">
        <v>14</v>
      </c>
      <c r="D799" t="s">
        <v>1163</v>
      </c>
      <c r="E799">
        <v>60</v>
      </c>
      <c r="F799" t="s">
        <v>1164</v>
      </c>
      <c r="G799">
        <v>2</v>
      </c>
      <c r="H799" t="s">
        <v>1163</v>
      </c>
      <c r="I799">
        <v>2500000</v>
      </c>
      <c r="J799" t="s">
        <v>1164</v>
      </c>
      <c r="K799">
        <v>1</v>
      </c>
      <c r="L799" t="s">
        <v>1163</v>
      </c>
      <c r="M799">
        <f t="shared" si="35"/>
        <v>4100000</v>
      </c>
      <c r="N799" t="s">
        <v>1165</v>
      </c>
      <c r="O799" t="str">
        <f t="shared" si="34"/>
        <v>[{"id":14,"num":60},{"id":2,"num":2500000},{"id":1,"num":4100000}]</v>
      </c>
    </row>
    <row r="800" spans="1:15" ht="16.5" x14ac:dyDescent="0.15">
      <c r="A800" s="3">
        <f>Sheet1!A802</f>
        <v>1420039</v>
      </c>
      <c r="B800" t="s">
        <v>1162</v>
      </c>
      <c r="C800">
        <v>14</v>
      </c>
      <c r="D800" t="s">
        <v>1163</v>
      </c>
      <c r="E800">
        <v>60</v>
      </c>
      <c r="F800" t="s">
        <v>1164</v>
      </c>
      <c r="G800">
        <v>2</v>
      </c>
      <c r="H800" t="s">
        <v>1163</v>
      </c>
      <c r="I800">
        <v>2500000</v>
      </c>
      <c r="J800" t="s">
        <v>1164</v>
      </c>
      <c r="K800">
        <v>1</v>
      </c>
      <c r="L800" t="s">
        <v>1163</v>
      </c>
      <c r="M800">
        <f t="shared" si="35"/>
        <v>4100000</v>
      </c>
      <c r="N800" t="s">
        <v>1165</v>
      </c>
      <c r="O800" t="str">
        <f t="shared" si="34"/>
        <v>[{"id":14,"num":60},{"id":2,"num":2500000},{"id":1,"num":4100000}]</v>
      </c>
    </row>
    <row r="801" spans="1:15" ht="16.5" x14ac:dyDescent="0.15">
      <c r="A801" s="3">
        <f>Sheet1!A803</f>
        <v>1420040</v>
      </c>
      <c r="B801" t="s">
        <v>1162</v>
      </c>
      <c r="C801">
        <v>14</v>
      </c>
      <c r="D801" t="s">
        <v>1163</v>
      </c>
      <c r="E801">
        <v>60</v>
      </c>
      <c r="F801" t="s">
        <v>1164</v>
      </c>
      <c r="G801">
        <v>2</v>
      </c>
      <c r="H801" t="s">
        <v>1163</v>
      </c>
      <c r="I801">
        <v>2500000</v>
      </c>
      <c r="J801" t="s">
        <v>1164</v>
      </c>
      <c r="K801">
        <v>1</v>
      </c>
      <c r="L801" t="s">
        <v>1163</v>
      </c>
      <c r="M801">
        <f t="shared" si="35"/>
        <v>4100000</v>
      </c>
      <c r="N801" t="s">
        <v>1165</v>
      </c>
      <c r="O801" t="str">
        <f t="shared" si="34"/>
        <v>[{"id":14,"num":60},{"id":2,"num":2500000},{"id":1,"num":4100000}]</v>
      </c>
    </row>
    <row r="802" spans="1:15" ht="16.5" x14ac:dyDescent="0.15">
      <c r="A802" s="3"/>
    </row>
    <row r="803" spans="1:15" ht="16.5" x14ac:dyDescent="0.15">
      <c r="A803" s="3"/>
    </row>
    <row r="804" spans="1:15" ht="16.5" x14ac:dyDescent="0.15">
      <c r="A804" s="3"/>
    </row>
    <row r="805" spans="1:15" ht="16.5" x14ac:dyDescent="0.15">
      <c r="A805" s="3"/>
    </row>
  </sheetData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1"/>
  <sheetViews>
    <sheetView workbookViewId="0">
      <selection activeCell="F46" sqref="F46"/>
    </sheetView>
  </sheetViews>
  <sheetFormatPr defaultColWidth="9" defaultRowHeight="13.5" x14ac:dyDescent="0.15"/>
  <cols>
    <col min="1" max="1" width="9.25"/>
    <col min="15" max="15" width="23.5" customWidth="1"/>
  </cols>
  <sheetData>
    <row r="1" spans="1:15" x14ac:dyDescent="0.15">
      <c r="A1" t="s">
        <v>1158</v>
      </c>
      <c r="C1" t="s">
        <v>1159</v>
      </c>
      <c r="E1" t="s">
        <v>1160</v>
      </c>
      <c r="G1" t="s">
        <v>1159</v>
      </c>
      <c r="I1" t="s">
        <v>1160</v>
      </c>
      <c r="K1" t="s">
        <v>1159</v>
      </c>
      <c r="M1" t="s">
        <v>1160</v>
      </c>
      <c r="O1" t="s">
        <v>1161</v>
      </c>
    </row>
    <row r="2" spans="1:15" ht="16.5" x14ac:dyDescent="0.15">
      <c r="A2" s="3">
        <f>Sheet1!A804</f>
        <v>1501001</v>
      </c>
      <c r="B2" t="s">
        <v>1162</v>
      </c>
      <c r="C2">
        <v>14</v>
      </c>
      <c r="D2" t="s">
        <v>1163</v>
      </c>
      <c r="E2">
        <v>50</v>
      </c>
      <c r="F2" t="s">
        <v>1164</v>
      </c>
      <c r="G2">
        <v>5</v>
      </c>
      <c r="H2" t="s">
        <v>1163</v>
      </c>
      <c r="I2">
        <v>100</v>
      </c>
      <c r="J2" t="s">
        <v>1164</v>
      </c>
      <c r="K2">
        <v>60</v>
      </c>
      <c r="L2" t="s">
        <v>1163</v>
      </c>
      <c r="M2">
        <v>1</v>
      </c>
      <c r="N2" t="s">
        <v>1165</v>
      </c>
      <c r="O2" t="str">
        <f t="shared" ref="O2:O65" si="0">_xlfn.TEXTJOIN(,TRUE,B2:N2)</f>
        <v>[{"id":14,"num":50},{"id":5,"num":100},{"id":60,"num":1}]</v>
      </c>
    </row>
    <row r="3" spans="1:15" ht="16.5" x14ac:dyDescent="0.15">
      <c r="A3" s="3">
        <f>Sheet1!A805</f>
        <v>1501002</v>
      </c>
      <c r="B3" t="s">
        <v>1162</v>
      </c>
      <c r="C3">
        <v>14</v>
      </c>
      <c r="D3" t="s">
        <v>1163</v>
      </c>
      <c r="E3">
        <v>50</v>
      </c>
      <c r="F3" t="s">
        <v>1164</v>
      </c>
      <c r="G3">
        <v>5</v>
      </c>
      <c r="H3" t="s">
        <v>1163</v>
      </c>
      <c r="I3">
        <v>125</v>
      </c>
      <c r="J3" t="s">
        <v>1164</v>
      </c>
      <c r="K3">
        <v>60</v>
      </c>
      <c r="L3" t="s">
        <v>1163</v>
      </c>
      <c r="M3">
        <v>1</v>
      </c>
      <c r="N3" t="s">
        <v>1165</v>
      </c>
      <c r="O3" t="str">
        <f t="shared" si="0"/>
        <v>[{"id":14,"num":50},{"id":5,"num":125},{"id":60,"num":1}]</v>
      </c>
    </row>
    <row r="4" spans="1:15" ht="16.5" x14ac:dyDescent="0.15">
      <c r="A4" s="3">
        <f>Sheet1!A806</f>
        <v>1501003</v>
      </c>
      <c r="B4" t="s">
        <v>1162</v>
      </c>
      <c r="C4">
        <v>14</v>
      </c>
      <c r="D4" t="s">
        <v>1163</v>
      </c>
      <c r="E4">
        <v>50</v>
      </c>
      <c r="F4" t="s">
        <v>1164</v>
      </c>
      <c r="G4">
        <v>5</v>
      </c>
      <c r="H4" t="s">
        <v>1163</v>
      </c>
      <c r="I4">
        <v>150</v>
      </c>
      <c r="J4" t="s">
        <v>1164</v>
      </c>
      <c r="K4">
        <v>60</v>
      </c>
      <c r="L4" t="s">
        <v>1163</v>
      </c>
      <c r="M4">
        <v>1</v>
      </c>
      <c r="N4" t="s">
        <v>1165</v>
      </c>
      <c r="O4" t="str">
        <f t="shared" si="0"/>
        <v>[{"id":14,"num":50},{"id":5,"num":150},{"id":60,"num":1}]</v>
      </c>
    </row>
    <row r="5" spans="1:15" ht="16.5" x14ac:dyDescent="0.15">
      <c r="A5" s="3">
        <f>Sheet1!A807</f>
        <v>1501004</v>
      </c>
      <c r="B5" t="s">
        <v>1162</v>
      </c>
      <c r="C5">
        <v>14</v>
      </c>
      <c r="D5" t="s">
        <v>1163</v>
      </c>
      <c r="E5">
        <v>50</v>
      </c>
      <c r="F5" t="s">
        <v>1164</v>
      </c>
      <c r="G5">
        <v>5</v>
      </c>
      <c r="H5" t="s">
        <v>1163</v>
      </c>
      <c r="I5">
        <v>175</v>
      </c>
      <c r="J5" t="s">
        <v>1164</v>
      </c>
      <c r="K5">
        <v>60</v>
      </c>
      <c r="L5" t="s">
        <v>1163</v>
      </c>
      <c r="M5">
        <v>1</v>
      </c>
      <c r="N5" t="s">
        <v>1165</v>
      </c>
      <c r="O5" t="str">
        <f t="shared" si="0"/>
        <v>[{"id":14,"num":50},{"id":5,"num":175},{"id":60,"num":1}]</v>
      </c>
    </row>
    <row r="6" spans="1:15" ht="16.5" x14ac:dyDescent="0.15">
      <c r="A6" s="3">
        <f>Sheet1!A808</f>
        <v>1501005</v>
      </c>
      <c r="B6" t="s">
        <v>1162</v>
      </c>
      <c r="C6">
        <v>14</v>
      </c>
      <c r="D6" t="s">
        <v>1163</v>
      </c>
      <c r="E6">
        <v>50</v>
      </c>
      <c r="F6" t="s">
        <v>1164</v>
      </c>
      <c r="G6">
        <v>5</v>
      </c>
      <c r="H6" t="s">
        <v>1163</v>
      </c>
      <c r="I6">
        <v>200</v>
      </c>
      <c r="J6" t="s">
        <v>1164</v>
      </c>
      <c r="K6">
        <v>60</v>
      </c>
      <c r="L6" t="s">
        <v>1163</v>
      </c>
      <c r="M6">
        <v>1</v>
      </c>
      <c r="N6" t="s">
        <v>1165</v>
      </c>
      <c r="O6" t="str">
        <f t="shared" si="0"/>
        <v>[{"id":14,"num":50},{"id":5,"num":200},{"id":60,"num":1}]</v>
      </c>
    </row>
    <row r="7" spans="1:15" ht="16.5" x14ac:dyDescent="0.15">
      <c r="A7" s="3">
        <f>Sheet1!A809</f>
        <v>1501006</v>
      </c>
      <c r="B7" t="s">
        <v>1162</v>
      </c>
      <c r="C7">
        <v>14</v>
      </c>
      <c r="D7" t="s">
        <v>1163</v>
      </c>
      <c r="E7">
        <v>50</v>
      </c>
      <c r="F7" t="s">
        <v>1164</v>
      </c>
      <c r="G7">
        <v>5</v>
      </c>
      <c r="H7" t="s">
        <v>1163</v>
      </c>
      <c r="I7">
        <v>225</v>
      </c>
      <c r="J7" t="s">
        <v>1164</v>
      </c>
      <c r="K7">
        <v>61</v>
      </c>
      <c r="L7" t="s">
        <v>1163</v>
      </c>
      <c r="M7">
        <v>1</v>
      </c>
      <c r="N7" t="s">
        <v>1165</v>
      </c>
      <c r="O7" t="str">
        <f t="shared" si="0"/>
        <v>[{"id":14,"num":50},{"id":5,"num":225},{"id":61,"num":1}]</v>
      </c>
    </row>
    <row r="8" spans="1:15" ht="16.5" x14ac:dyDescent="0.15">
      <c r="A8" s="3">
        <f>Sheet1!A810</f>
        <v>1501007</v>
      </c>
      <c r="B8" t="s">
        <v>1162</v>
      </c>
      <c r="C8">
        <v>14</v>
      </c>
      <c r="D8" t="s">
        <v>1163</v>
      </c>
      <c r="E8">
        <v>50</v>
      </c>
      <c r="F8" t="s">
        <v>1164</v>
      </c>
      <c r="G8">
        <v>5</v>
      </c>
      <c r="H8" t="s">
        <v>1163</v>
      </c>
      <c r="I8">
        <v>250</v>
      </c>
      <c r="J8" t="s">
        <v>1164</v>
      </c>
      <c r="K8">
        <v>61</v>
      </c>
      <c r="L8" t="s">
        <v>1163</v>
      </c>
      <c r="M8">
        <v>1</v>
      </c>
      <c r="N8" t="s">
        <v>1165</v>
      </c>
      <c r="O8" t="str">
        <f t="shared" si="0"/>
        <v>[{"id":14,"num":50},{"id":5,"num":250},{"id":61,"num":1}]</v>
      </c>
    </row>
    <row r="9" spans="1:15" ht="16.5" x14ac:dyDescent="0.15">
      <c r="A9" s="3">
        <f>Sheet1!A811</f>
        <v>1501008</v>
      </c>
      <c r="B9" t="s">
        <v>1162</v>
      </c>
      <c r="C9">
        <v>14</v>
      </c>
      <c r="D9" t="s">
        <v>1163</v>
      </c>
      <c r="E9">
        <v>50</v>
      </c>
      <c r="F9" t="s">
        <v>1164</v>
      </c>
      <c r="G9">
        <v>5</v>
      </c>
      <c r="H9" t="s">
        <v>1163</v>
      </c>
      <c r="I9">
        <v>265</v>
      </c>
      <c r="J9" t="s">
        <v>1164</v>
      </c>
      <c r="K9">
        <v>61</v>
      </c>
      <c r="L9" t="s">
        <v>1163</v>
      </c>
      <c r="M9">
        <v>1</v>
      </c>
      <c r="N9" t="s">
        <v>1165</v>
      </c>
      <c r="O9" t="str">
        <f t="shared" si="0"/>
        <v>[{"id":14,"num":50},{"id":5,"num":265},{"id":61,"num":1}]</v>
      </c>
    </row>
    <row r="10" spans="1:15" ht="16.5" x14ac:dyDescent="0.15">
      <c r="A10" s="3">
        <f>Sheet1!A812</f>
        <v>1501009</v>
      </c>
      <c r="B10" t="s">
        <v>1162</v>
      </c>
      <c r="C10">
        <v>14</v>
      </c>
      <c r="D10" t="s">
        <v>1163</v>
      </c>
      <c r="E10">
        <v>50</v>
      </c>
      <c r="F10" t="s">
        <v>1164</v>
      </c>
      <c r="G10">
        <v>5</v>
      </c>
      <c r="H10" t="s">
        <v>1163</v>
      </c>
      <c r="I10">
        <v>280</v>
      </c>
      <c r="J10" t="s">
        <v>1164</v>
      </c>
      <c r="K10">
        <v>61</v>
      </c>
      <c r="L10" t="s">
        <v>1163</v>
      </c>
      <c r="M10">
        <v>1</v>
      </c>
      <c r="N10" t="s">
        <v>1165</v>
      </c>
      <c r="O10" t="str">
        <f t="shared" si="0"/>
        <v>[{"id":14,"num":50},{"id":5,"num":280},{"id":61,"num":1}]</v>
      </c>
    </row>
    <row r="11" spans="1:15" ht="16.5" x14ac:dyDescent="0.15">
      <c r="A11" s="3">
        <f>Sheet1!A813</f>
        <v>1501010</v>
      </c>
      <c r="B11" t="s">
        <v>1162</v>
      </c>
      <c r="C11">
        <v>14</v>
      </c>
      <c r="D11" t="s">
        <v>1163</v>
      </c>
      <c r="E11">
        <v>50</v>
      </c>
      <c r="F11" t="s">
        <v>1164</v>
      </c>
      <c r="G11">
        <v>5</v>
      </c>
      <c r="H11" t="s">
        <v>1163</v>
      </c>
      <c r="I11">
        <v>295</v>
      </c>
      <c r="J11" t="s">
        <v>1164</v>
      </c>
      <c r="K11">
        <v>61</v>
      </c>
      <c r="L11" t="s">
        <v>1163</v>
      </c>
      <c r="M11">
        <v>1</v>
      </c>
      <c r="N11" t="s">
        <v>1165</v>
      </c>
      <c r="O11" t="str">
        <f t="shared" si="0"/>
        <v>[{"id":14,"num":50},{"id":5,"num":295},{"id":61,"num":1}]</v>
      </c>
    </row>
    <row r="12" spans="1:15" ht="16.5" x14ac:dyDescent="0.15">
      <c r="A12" s="3">
        <f>Sheet1!A814</f>
        <v>1501011</v>
      </c>
      <c r="B12" t="s">
        <v>1162</v>
      </c>
      <c r="C12">
        <v>14</v>
      </c>
      <c r="D12" t="s">
        <v>1163</v>
      </c>
      <c r="E12">
        <v>50</v>
      </c>
      <c r="F12" t="s">
        <v>1164</v>
      </c>
      <c r="G12">
        <v>5</v>
      </c>
      <c r="H12" t="s">
        <v>1163</v>
      </c>
      <c r="I12">
        <v>310</v>
      </c>
      <c r="J12" t="s">
        <v>1164</v>
      </c>
      <c r="K12">
        <v>61</v>
      </c>
      <c r="L12" t="s">
        <v>1163</v>
      </c>
      <c r="M12">
        <v>2</v>
      </c>
      <c r="N12" t="s">
        <v>1165</v>
      </c>
      <c r="O12" t="str">
        <f t="shared" si="0"/>
        <v>[{"id":14,"num":50},{"id":5,"num":310},{"id":61,"num":2}]</v>
      </c>
    </row>
    <row r="13" spans="1:15" ht="16.5" x14ac:dyDescent="0.15">
      <c r="A13" s="3">
        <f>Sheet1!A815</f>
        <v>1501012</v>
      </c>
      <c r="B13" t="s">
        <v>1162</v>
      </c>
      <c r="C13">
        <v>14</v>
      </c>
      <c r="D13" t="s">
        <v>1163</v>
      </c>
      <c r="E13">
        <v>50</v>
      </c>
      <c r="F13" t="s">
        <v>1164</v>
      </c>
      <c r="G13">
        <v>5</v>
      </c>
      <c r="H13" t="s">
        <v>1163</v>
      </c>
      <c r="I13">
        <v>325</v>
      </c>
      <c r="J13" t="s">
        <v>1164</v>
      </c>
      <c r="K13">
        <v>61</v>
      </c>
      <c r="L13" t="s">
        <v>1163</v>
      </c>
      <c r="M13">
        <v>2</v>
      </c>
      <c r="N13" t="s">
        <v>1165</v>
      </c>
      <c r="O13" t="str">
        <f t="shared" si="0"/>
        <v>[{"id":14,"num":50},{"id":5,"num":325},{"id":61,"num":2}]</v>
      </c>
    </row>
    <row r="14" spans="1:15" ht="16.5" x14ac:dyDescent="0.15">
      <c r="A14" s="3">
        <f>Sheet1!A816</f>
        <v>1501013</v>
      </c>
      <c r="B14" t="s">
        <v>1162</v>
      </c>
      <c r="C14">
        <v>14</v>
      </c>
      <c r="D14" t="s">
        <v>1163</v>
      </c>
      <c r="E14">
        <v>50</v>
      </c>
      <c r="F14" t="s">
        <v>1164</v>
      </c>
      <c r="G14">
        <v>5</v>
      </c>
      <c r="H14" t="s">
        <v>1163</v>
      </c>
      <c r="I14">
        <v>335</v>
      </c>
      <c r="J14" t="s">
        <v>1164</v>
      </c>
      <c r="K14">
        <v>61</v>
      </c>
      <c r="L14" t="s">
        <v>1163</v>
      </c>
      <c r="M14">
        <v>2</v>
      </c>
      <c r="N14" t="s">
        <v>1165</v>
      </c>
      <c r="O14" t="str">
        <f t="shared" si="0"/>
        <v>[{"id":14,"num":50},{"id":5,"num":335},{"id":61,"num":2}]</v>
      </c>
    </row>
    <row r="15" spans="1:15" ht="16.5" x14ac:dyDescent="0.15">
      <c r="A15" s="3">
        <f>Sheet1!A817</f>
        <v>1501014</v>
      </c>
      <c r="B15" t="s">
        <v>1162</v>
      </c>
      <c r="C15">
        <v>14</v>
      </c>
      <c r="D15" t="s">
        <v>1163</v>
      </c>
      <c r="E15">
        <v>50</v>
      </c>
      <c r="F15" t="s">
        <v>1164</v>
      </c>
      <c r="G15">
        <v>5</v>
      </c>
      <c r="H15" t="s">
        <v>1163</v>
      </c>
      <c r="I15">
        <v>345</v>
      </c>
      <c r="J15" t="s">
        <v>1164</v>
      </c>
      <c r="K15">
        <v>61</v>
      </c>
      <c r="L15" t="s">
        <v>1163</v>
      </c>
      <c r="M15">
        <v>2</v>
      </c>
      <c r="N15" t="s">
        <v>1165</v>
      </c>
      <c r="O15" t="str">
        <f t="shared" si="0"/>
        <v>[{"id":14,"num":50},{"id":5,"num":345},{"id":61,"num":2}]</v>
      </c>
    </row>
    <row r="16" spans="1:15" ht="16.5" x14ac:dyDescent="0.15">
      <c r="A16" s="3">
        <f>Sheet1!A818</f>
        <v>1501015</v>
      </c>
      <c r="B16" t="s">
        <v>1162</v>
      </c>
      <c r="C16">
        <v>14</v>
      </c>
      <c r="D16" t="s">
        <v>1163</v>
      </c>
      <c r="E16">
        <v>50</v>
      </c>
      <c r="F16" t="s">
        <v>1164</v>
      </c>
      <c r="G16">
        <v>5</v>
      </c>
      <c r="H16" t="s">
        <v>1163</v>
      </c>
      <c r="I16">
        <v>355</v>
      </c>
      <c r="J16" t="s">
        <v>1164</v>
      </c>
      <c r="K16">
        <v>61</v>
      </c>
      <c r="L16" t="s">
        <v>1163</v>
      </c>
      <c r="M16">
        <v>2</v>
      </c>
      <c r="N16" t="s">
        <v>1165</v>
      </c>
      <c r="O16" t="str">
        <f t="shared" si="0"/>
        <v>[{"id":14,"num":50},{"id":5,"num":355},{"id":61,"num":2}]</v>
      </c>
    </row>
    <row r="17" spans="1:15" ht="16.5" x14ac:dyDescent="0.15">
      <c r="A17" s="3">
        <f>Sheet1!A819</f>
        <v>1501016</v>
      </c>
      <c r="B17" t="s">
        <v>1162</v>
      </c>
      <c r="C17">
        <v>14</v>
      </c>
      <c r="D17" t="s">
        <v>1163</v>
      </c>
      <c r="E17">
        <v>50</v>
      </c>
      <c r="F17" t="s">
        <v>1164</v>
      </c>
      <c r="G17">
        <v>5</v>
      </c>
      <c r="H17" t="s">
        <v>1163</v>
      </c>
      <c r="I17">
        <v>365</v>
      </c>
      <c r="J17" t="s">
        <v>1164</v>
      </c>
      <c r="K17">
        <v>61</v>
      </c>
      <c r="L17" t="s">
        <v>1163</v>
      </c>
      <c r="M17">
        <v>3</v>
      </c>
      <c r="N17" t="s">
        <v>1165</v>
      </c>
      <c r="O17" t="str">
        <f t="shared" si="0"/>
        <v>[{"id":14,"num":50},{"id":5,"num":365},{"id":61,"num":3}]</v>
      </c>
    </row>
    <row r="18" spans="1:15" ht="16.5" x14ac:dyDescent="0.15">
      <c r="A18" s="3">
        <f>Sheet1!A820</f>
        <v>1501017</v>
      </c>
      <c r="B18" t="s">
        <v>1162</v>
      </c>
      <c r="C18">
        <v>14</v>
      </c>
      <c r="D18" t="s">
        <v>1163</v>
      </c>
      <c r="E18">
        <v>50</v>
      </c>
      <c r="F18" t="s">
        <v>1164</v>
      </c>
      <c r="G18">
        <v>5</v>
      </c>
      <c r="H18" t="s">
        <v>1163</v>
      </c>
      <c r="I18">
        <v>375</v>
      </c>
      <c r="J18" t="s">
        <v>1164</v>
      </c>
      <c r="K18">
        <v>61</v>
      </c>
      <c r="L18" t="s">
        <v>1163</v>
      </c>
      <c r="M18">
        <v>3</v>
      </c>
      <c r="N18" t="s">
        <v>1165</v>
      </c>
      <c r="O18" t="str">
        <f t="shared" si="0"/>
        <v>[{"id":14,"num":50},{"id":5,"num":375},{"id":61,"num":3}]</v>
      </c>
    </row>
    <row r="19" spans="1:15" ht="16.5" x14ac:dyDescent="0.15">
      <c r="A19" s="3">
        <f>Sheet1!A821</f>
        <v>1501018</v>
      </c>
      <c r="B19" t="s">
        <v>1162</v>
      </c>
      <c r="C19">
        <v>14</v>
      </c>
      <c r="D19" t="s">
        <v>1163</v>
      </c>
      <c r="E19">
        <v>50</v>
      </c>
      <c r="F19" t="s">
        <v>1164</v>
      </c>
      <c r="G19">
        <v>5</v>
      </c>
      <c r="H19" t="s">
        <v>1163</v>
      </c>
      <c r="I19">
        <v>380</v>
      </c>
      <c r="J19" t="s">
        <v>1164</v>
      </c>
      <c r="K19">
        <v>61</v>
      </c>
      <c r="L19" t="s">
        <v>1163</v>
      </c>
      <c r="M19">
        <v>3</v>
      </c>
      <c r="N19" t="s">
        <v>1165</v>
      </c>
      <c r="O19" t="str">
        <f t="shared" si="0"/>
        <v>[{"id":14,"num":50},{"id":5,"num":380},{"id":61,"num":3}]</v>
      </c>
    </row>
    <row r="20" spans="1:15" ht="16.5" x14ac:dyDescent="0.15">
      <c r="A20" s="3">
        <f>Sheet1!A822</f>
        <v>1501019</v>
      </c>
      <c r="B20" t="s">
        <v>1162</v>
      </c>
      <c r="C20">
        <v>14</v>
      </c>
      <c r="D20" t="s">
        <v>1163</v>
      </c>
      <c r="E20">
        <v>50</v>
      </c>
      <c r="F20" t="s">
        <v>1164</v>
      </c>
      <c r="G20">
        <v>5</v>
      </c>
      <c r="H20" t="s">
        <v>1163</v>
      </c>
      <c r="I20">
        <v>385</v>
      </c>
      <c r="J20" t="s">
        <v>1164</v>
      </c>
      <c r="K20">
        <v>61</v>
      </c>
      <c r="L20" t="s">
        <v>1163</v>
      </c>
      <c r="M20">
        <v>3</v>
      </c>
      <c r="N20" t="s">
        <v>1165</v>
      </c>
      <c r="O20" t="str">
        <f t="shared" si="0"/>
        <v>[{"id":14,"num":50},{"id":5,"num":385},{"id":61,"num":3}]</v>
      </c>
    </row>
    <row r="21" spans="1:15" ht="16.5" x14ac:dyDescent="0.15">
      <c r="A21" s="3">
        <f>Sheet1!A823</f>
        <v>1501020</v>
      </c>
      <c r="B21" t="s">
        <v>1162</v>
      </c>
      <c r="C21">
        <v>14</v>
      </c>
      <c r="D21" t="s">
        <v>1163</v>
      </c>
      <c r="E21">
        <v>50</v>
      </c>
      <c r="F21" t="s">
        <v>1164</v>
      </c>
      <c r="G21">
        <v>5</v>
      </c>
      <c r="H21" t="s">
        <v>1163</v>
      </c>
      <c r="I21">
        <v>390</v>
      </c>
      <c r="J21" t="s">
        <v>1164</v>
      </c>
      <c r="K21">
        <v>61</v>
      </c>
      <c r="L21" t="s">
        <v>1163</v>
      </c>
      <c r="M21">
        <v>3</v>
      </c>
      <c r="N21" t="s">
        <v>1165</v>
      </c>
      <c r="O21" t="str">
        <f t="shared" si="0"/>
        <v>[{"id":14,"num":50},{"id":5,"num":390},{"id":61,"num":3}]</v>
      </c>
    </row>
    <row r="22" spans="1:15" ht="16.5" x14ac:dyDescent="0.15">
      <c r="A22" s="3">
        <f>Sheet1!A824</f>
        <v>1501021</v>
      </c>
      <c r="B22" t="s">
        <v>1162</v>
      </c>
      <c r="C22">
        <v>14</v>
      </c>
      <c r="D22" t="s">
        <v>1163</v>
      </c>
      <c r="E22">
        <v>60</v>
      </c>
      <c r="F22" t="s">
        <v>1164</v>
      </c>
      <c r="G22">
        <v>5</v>
      </c>
      <c r="H22" t="s">
        <v>1163</v>
      </c>
      <c r="I22">
        <v>395</v>
      </c>
      <c r="J22" t="s">
        <v>1164</v>
      </c>
      <c r="K22">
        <v>62</v>
      </c>
      <c r="L22" t="s">
        <v>1163</v>
      </c>
      <c r="M22">
        <v>1</v>
      </c>
      <c r="N22" t="s">
        <v>1165</v>
      </c>
      <c r="O22" t="str">
        <f t="shared" si="0"/>
        <v>[{"id":14,"num":60},{"id":5,"num":395},{"id":62,"num":1}]</v>
      </c>
    </row>
    <row r="23" spans="1:15" ht="16.5" x14ac:dyDescent="0.15">
      <c r="A23" s="3">
        <f>Sheet1!A825</f>
        <v>1501022</v>
      </c>
      <c r="B23" t="s">
        <v>1162</v>
      </c>
      <c r="C23">
        <v>14</v>
      </c>
      <c r="D23" t="s">
        <v>1163</v>
      </c>
      <c r="E23">
        <v>60</v>
      </c>
      <c r="F23" t="s">
        <v>1164</v>
      </c>
      <c r="G23">
        <v>5</v>
      </c>
      <c r="H23" t="s">
        <v>1163</v>
      </c>
      <c r="I23">
        <v>400</v>
      </c>
      <c r="J23" t="s">
        <v>1164</v>
      </c>
      <c r="K23">
        <v>62</v>
      </c>
      <c r="L23" t="s">
        <v>1163</v>
      </c>
      <c r="M23">
        <v>1</v>
      </c>
      <c r="N23" t="s">
        <v>1165</v>
      </c>
      <c r="O23" t="str">
        <f t="shared" si="0"/>
        <v>[{"id":14,"num":60},{"id":5,"num":400},{"id":62,"num":1}]</v>
      </c>
    </row>
    <row r="24" spans="1:15" ht="16.5" x14ac:dyDescent="0.15">
      <c r="A24" s="3">
        <f>Sheet1!A826</f>
        <v>1501023</v>
      </c>
      <c r="B24" t="s">
        <v>1162</v>
      </c>
      <c r="C24">
        <v>14</v>
      </c>
      <c r="D24" t="s">
        <v>1163</v>
      </c>
      <c r="E24">
        <v>60</v>
      </c>
      <c r="F24" t="s">
        <v>1164</v>
      </c>
      <c r="G24">
        <v>5</v>
      </c>
      <c r="H24" t="s">
        <v>1163</v>
      </c>
      <c r="I24">
        <v>405</v>
      </c>
      <c r="J24" t="s">
        <v>1164</v>
      </c>
      <c r="K24">
        <v>62</v>
      </c>
      <c r="L24" t="s">
        <v>1163</v>
      </c>
      <c r="M24">
        <v>1</v>
      </c>
      <c r="N24" t="s">
        <v>1165</v>
      </c>
      <c r="O24" t="str">
        <f t="shared" si="0"/>
        <v>[{"id":14,"num":60},{"id":5,"num":405},{"id":62,"num":1}]</v>
      </c>
    </row>
    <row r="25" spans="1:15" ht="16.5" x14ac:dyDescent="0.15">
      <c r="A25" s="3">
        <f>Sheet1!A827</f>
        <v>1501024</v>
      </c>
      <c r="B25" t="s">
        <v>1162</v>
      </c>
      <c r="C25">
        <v>14</v>
      </c>
      <c r="D25" t="s">
        <v>1163</v>
      </c>
      <c r="E25">
        <v>60</v>
      </c>
      <c r="F25" t="s">
        <v>1164</v>
      </c>
      <c r="G25">
        <v>5</v>
      </c>
      <c r="H25" t="s">
        <v>1163</v>
      </c>
      <c r="I25">
        <v>410</v>
      </c>
      <c r="J25" t="s">
        <v>1164</v>
      </c>
      <c r="K25">
        <v>62</v>
      </c>
      <c r="L25" t="s">
        <v>1163</v>
      </c>
      <c r="M25">
        <v>1</v>
      </c>
      <c r="N25" t="s">
        <v>1165</v>
      </c>
      <c r="O25" t="str">
        <f t="shared" si="0"/>
        <v>[{"id":14,"num":60},{"id":5,"num":410},{"id":62,"num":1}]</v>
      </c>
    </row>
    <row r="26" spans="1:15" ht="16.5" x14ac:dyDescent="0.15">
      <c r="A26" s="3">
        <f>Sheet1!A828</f>
        <v>1501025</v>
      </c>
      <c r="B26" t="s">
        <v>1162</v>
      </c>
      <c r="C26">
        <v>14</v>
      </c>
      <c r="D26" t="s">
        <v>1163</v>
      </c>
      <c r="E26">
        <v>60</v>
      </c>
      <c r="F26" t="s">
        <v>1164</v>
      </c>
      <c r="G26">
        <v>5</v>
      </c>
      <c r="H26" t="s">
        <v>1163</v>
      </c>
      <c r="I26">
        <v>415</v>
      </c>
      <c r="J26" t="s">
        <v>1164</v>
      </c>
      <c r="K26">
        <v>62</v>
      </c>
      <c r="L26" t="s">
        <v>1163</v>
      </c>
      <c r="M26">
        <v>1</v>
      </c>
      <c r="N26" t="s">
        <v>1165</v>
      </c>
      <c r="O26" t="str">
        <f t="shared" si="0"/>
        <v>[{"id":14,"num":60},{"id":5,"num":415},{"id":62,"num":1}]</v>
      </c>
    </row>
    <row r="27" spans="1:15" ht="16.5" x14ac:dyDescent="0.15">
      <c r="A27" s="3">
        <f>Sheet1!A829</f>
        <v>1501026</v>
      </c>
      <c r="B27" t="s">
        <v>1162</v>
      </c>
      <c r="C27">
        <v>14</v>
      </c>
      <c r="D27" t="s">
        <v>1163</v>
      </c>
      <c r="E27">
        <v>60</v>
      </c>
      <c r="F27" t="s">
        <v>1164</v>
      </c>
      <c r="G27">
        <v>5</v>
      </c>
      <c r="H27" t="s">
        <v>1163</v>
      </c>
      <c r="I27">
        <v>420</v>
      </c>
      <c r="J27" t="s">
        <v>1164</v>
      </c>
      <c r="K27">
        <v>62</v>
      </c>
      <c r="L27" t="s">
        <v>1163</v>
      </c>
      <c r="M27">
        <v>2</v>
      </c>
      <c r="N27" t="s">
        <v>1165</v>
      </c>
      <c r="O27" t="str">
        <f t="shared" si="0"/>
        <v>[{"id":14,"num":60},{"id":5,"num":420},{"id":62,"num":2}]</v>
      </c>
    </row>
    <row r="28" spans="1:15" ht="16.5" x14ac:dyDescent="0.15">
      <c r="A28" s="3">
        <f>Sheet1!A830</f>
        <v>1501027</v>
      </c>
      <c r="B28" t="s">
        <v>1162</v>
      </c>
      <c r="C28">
        <v>14</v>
      </c>
      <c r="D28" t="s">
        <v>1163</v>
      </c>
      <c r="E28">
        <v>60</v>
      </c>
      <c r="F28" t="s">
        <v>1164</v>
      </c>
      <c r="G28">
        <v>5</v>
      </c>
      <c r="H28" t="s">
        <v>1163</v>
      </c>
      <c r="I28">
        <v>425</v>
      </c>
      <c r="J28" t="s">
        <v>1164</v>
      </c>
      <c r="K28">
        <v>62</v>
      </c>
      <c r="L28" t="s">
        <v>1163</v>
      </c>
      <c r="M28">
        <v>2</v>
      </c>
      <c r="N28" t="s">
        <v>1165</v>
      </c>
      <c r="O28" t="str">
        <f t="shared" si="0"/>
        <v>[{"id":14,"num":60},{"id":5,"num":425},{"id":62,"num":2}]</v>
      </c>
    </row>
    <row r="29" spans="1:15" ht="16.5" x14ac:dyDescent="0.15">
      <c r="A29" s="3">
        <f>Sheet1!A831</f>
        <v>1501028</v>
      </c>
      <c r="B29" t="s">
        <v>1162</v>
      </c>
      <c r="C29">
        <v>14</v>
      </c>
      <c r="D29" t="s">
        <v>1163</v>
      </c>
      <c r="E29">
        <v>60</v>
      </c>
      <c r="F29" t="s">
        <v>1164</v>
      </c>
      <c r="G29">
        <v>5</v>
      </c>
      <c r="H29" t="s">
        <v>1163</v>
      </c>
      <c r="I29">
        <v>430</v>
      </c>
      <c r="J29" t="s">
        <v>1164</v>
      </c>
      <c r="K29">
        <v>62</v>
      </c>
      <c r="L29" t="s">
        <v>1163</v>
      </c>
      <c r="M29">
        <v>2</v>
      </c>
      <c r="N29" t="s">
        <v>1165</v>
      </c>
      <c r="O29" t="str">
        <f t="shared" si="0"/>
        <v>[{"id":14,"num":60},{"id":5,"num":430},{"id":62,"num":2}]</v>
      </c>
    </row>
    <row r="30" spans="1:15" ht="16.5" x14ac:dyDescent="0.15">
      <c r="A30" s="3">
        <f>Sheet1!A832</f>
        <v>1501029</v>
      </c>
      <c r="B30" t="s">
        <v>1162</v>
      </c>
      <c r="C30">
        <v>14</v>
      </c>
      <c r="D30" t="s">
        <v>1163</v>
      </c>
      <c r="E30">
        <v>60</v>
      </c>
      <c r="F30" t="s">
        <v>1164</v>
      </c>
      <c r="G30">
        <v>5</v>
      </c>
      <c r="H30" t="s">
        <v>1163</v>
      </c>
      <c r="I30">
        <v>435</v>
      </c>
      <c r="J30" t="s">
        <v>1164</v>
      </c>
      <c r="K30">
        <v>62</v>
      </c>
      <c r="L30" t="s">
        <v>1163</v>
      </c>
      <c r="M30">
        <v>2</v>
      </c>
      <c r="N30" t="s">
        <v>1165</v>
      </c>
      <c r="O30" t="str">
        <f t="shared" si="0"/>
        <v>[{"id":14,"num":60},{"id":5,"num":435},{"id":62,"num":2}]</v>
      </c>
    </row>
    <row r="31" spans="1:15" ht="16.5" x14ac:dyDescent="0.15">
      <c r="A31" s="3">
        <f>Sheet1!A833</f>
        <v>1501030</v>
      </c>
      <c r="B31" t="s">
        <v>1162</v>
      </c>
      <c r="C31">
        <v>14</v>
      </c>
      <c r="D31" t="s">
        <v>1163</v>
      </c>
      <c r="E31">
        <v>60</v>
      </c>
      <c r="F31" t="s">
        <v>1164</v>
      </c>
      <c r="G31">
        <v>5</v>
      </c>
      <c r="H31" t="s">
        <v>1163</v>
      </c>
      <c r="I31">
        <v>440</v>
      </c>
      <c r="J31" t="s">
        <v>1164</v>
      </c>
      <c r="K31">
        <v>62</v>
      </c>
      <c r="L31" t="s">
        <v>1163</v>
      </c>
      <c r="M31">
        <v>2</v>
      </c>
      <c r="N31" t="s">
        <v>1165</v>
      </c>
      <c r="O31" t="str">
        <f t="shared" si="0"/>
        <v>[{"id":14,"num":60},{"id":5,"num":440},{"id":62,"num":2}]</v>
      </c>
    </row>
    <row r="32" spans="1:15" ht="16.5" x14ac:dyDescent="0.15">
      <c r="A32" s="3">
        <f>Sheet1!A834</f>
        <v>1501031</v>
      </c>
      <c r="B32" t="s">
        <v>1162</v>
      </c>
      <c r="C32">
        <v>14</v>
      </c>
      <c r="D32" t="s">
        <v>1163</v>
      </c>
      <c r="E32">
        <v>60</v>
      </c>
      <c r="F32" t="s">
        <v>1164</v>
      </c>
      <c r="G32">
        <v>5</v>
      </c>
      <c r="H32" t="s">
        <v>1163</v>
      </c>
      <c r="I32">
        <v>445</v>
      </c>
      <c r="J32" t="s">
        <v>1164</v>
      </c>
      <c r="K32">
        <v>62</v>
      </c>
      <c r="L32" t="s">
        <v>1163</v>
      </c>
      <c r="M32">
        <v>3</v>
      </c>
      <c r="N32" t="s">
        <v>1165</v>
      </c>
      <c r="O32" t="str">
        <f t="shared" si="0"/>
        <v>[{"id":14,"num":60},{"id":5,"num":445},{"id":62,"num":3}]</v>
      </c>
    </row>
    <row r="33" spans="1:15" ht="16.5" x14ac:dyDescent="0.15">
      <c r="A33" s="3">
        <f>Sheet1!A835</f>
        <v>1501032</v>
      </c>
      <c r="B33" t="s">
        <v>1162</v>
      </c>
      <c r="C33">
        <v>14</v>
      </c>
      <c r="D33" t="s">
        <v>1163</v>
      </c>
      <c r="E33">
        <v>60</v>
      </c>
      <c r="F33" t="s">
        <v>1164</v>
      </c>
      <c r="G33">
        <v>5</v>
      </c>
      <c r="H33" t="s">
        <v>1163</v>
      </c>
      <c r="I33">
        <v>450</v>
      </c>
      <c r="J33" t="s">
        <v>1164</v>
      </c>
      <c r="K33">
        <v>62</v>
      </c>
      <c r="L33" t="s">
        <v>1163</v>
      </c>
      <c r="M33">
        <v>3</v>
      </c>
      <c r="N33" t="s">
        <v>1165</v>
      </c>
      <c r="O33" t="str">
        <f t="shared" si="0"/>
        <v>[{"id":14,"num":60},{"id":5,"num":450},{"id":62,"num":3}]</v>
      </c>
    </row>
    <row r="34" spans="1:15" ht="16.5" x14ac:dyDescent="0.15">
      <c r="A34" s="3">
        <f>Sheet1!A836</f>
        <v>1501033</v>
      </c>
      <c r="B34" t="s">
        <v>1162</v>
      </c>
      <c r="C34">
        <v>14</v>
      </c>
      <c r="D34" t="s">
        <v>1163</v>
      </c>
      <c r="E34">
        <v>60</v>
      </c>
      <c r="F34" t="s">
        <v>1164</v>
      </c>
      <c r="G34">
        <v>5</v>
      </c>
      <c r="H34" t="s">
        <v>1163</v>
      </c>
      <c r="I34">
        <v>455</v>
      </c>
      <c r="J34" t="s">
        <v>1164</v>
      </c>
      <c r="K34">
        <v>62</v>
      </c>
      <c r="L34" t="s">
        <v>1163</v>
      </c>
      <c r="M34">
        <v>3</v>
      </c>
      <c r="N34" t="s">
        <v>1165</v>
      </c>
      <c r="O34" t="str">
        <f t="shared" si="0"/>
        <v>[{"id":14,"num":60},{"id":5,"num":455},{"id":62,"num":3}]</v>
      </c>
    </row>
    <row r="35" spans="1:15" ht="16.5" x14ac:dyDescent="0.15">
      <c r="A35" s="3">
        <f>Sheet1!A837</f>
        <v>1501034</v>
      </c>
      <c r="B35" t="s">
        <v>1162</v>
      </c>
      <c r="C35">
        <v>14</v>
      </c>
      <c r="D35" t="s">
        <v>1163</v>
      </c>
      <c r="E35">
        <v>60</v>
      </c>
      <c r="F35" t="s">
        <v>1164</v>
      </c>
      <c r="G35">
        <v>5</v>
      </c>
      <c r="H35" t="s">
        <v>1163</v>
      </c>
      <c r="I35">
        <v>460</v>
      </c>
      <c r="J35" t="s">
        <v>1164</v>
      </c>
      <c r="K35">
        <v>62</v>
      </c>
      <c r="L35" t="s">
        <v>1163</v>
      </c>
      <c r="M35">
        <v>3</v>
      </c>
      <c r="N35" t="s">
        <v>1165</v>
      </c>
      <c r="O35" t="str">
        <f t="shared" si="0"/>
        <v>[{"id":14,"num":60},{"id":5,"num":460},{"id":62,"num":3}]</v>
      </c>
    </row>
    <row r="36" spans="1:15" ht="16.5" x14ac:dyDescent="0.15">
      <c r="A36" s="3">
        <f>Sheet1!A838</f>
        <v>1501035</v>
      </c>
      <c r="B36" t="s">
        <v>1162</v>
      </c>
      <c r="C36">
        <v>14</v>
      </c>
      <c r="D36" t="s">
        <v>1163</v>
      </c>
      <c r="E36">
        <v>60</v>
      </c>
      <c r="F36" t="s">
        <v>1164</v>
      </c>
      <c r="G36">
        <v>5</v>
      </c>
      <c r="H36" t="s">
        <v>1163</v>
      </c>
      <c r="I36">
        <v>465</v>
      </c>
      <c r="J36" t="s">
        <v>1164</v>
      </c>
      <c r="K36">
        <v>62</v>
      </c>
      <c r="L36" t="s">
        <v>1163</v>
      </c>
      <c r="M36">
        <v>3</v>
      </c>
      <c r="N36" t="s">
        <v>1165</v>
      </c>
      <c r="O36" t="str">
        <f t="shared" si="0"/>
        <v>[{"id":14,"num":60},{"id":5,"num":465},{"id":62,"num":3}]</v>
      </c>
    </row>
    <row r="37" spans="1:15" ht="16.5" x14ac:dyDescent="0.15">
      <c r="A37" s="3">
        <f>Sheet1!A839</f>
        <v>1501036</v>
      </c>
      <c r="B37" t="s">
        <v>1162</v>
      </c>
      <c r="C37">
        <v>14</v>
      </c>
      <c r="D37" t="s">
        <v>1163</v>
      </c>
      <c r="E37">
        <v>60</v>
      </c>
      <c r="F37" t="s">
        <v>1164</v>
      </c>
      <c r="G37">
        <v>5</v>
      </c>
      <c r="H37" t="s">
        <v>1163</v>
      </c>
      <c r="I37">
        <v>470</v>
      </c>
      <c r="J37" t="s">
        <v>1164</v>
      </c>
      <c r="K37">
        <v>62</v>
      </c>
      <c r="L37" t="s">
        <v>1163</v>
      </c>
      <c r="M37">
        <v>4</v>
      </c>
      <c r="N37" t="s">
        <v>1165</v>
      </c>
      <c r="O37" t="str">
        <f t="shared" si="0"/>
        <v>[{"id":14,"num":60},{"id":5,"num":470},{"id":62,"num":4}]</v>
      </c>
    </row>
    <row r="38" spans="1:15" ht="16.5" x14ac:dyDescent="0.15">
      <c r="A38" s="3">
        <f>Sheet1!A840</f>
        <v>1501037</v>
      </c>
      <c r="B38" t="s">
        <v>1162</v>
      </c>
      <c r="C38">
        <v>14</v>
      </c>
      <c r="D38" t="s">
        <v>1163</v>
      </c>
      <c r="E38">
        <v>60</v>
      </c>
      <c r="F38" t="s">
        <v>1164</v>
      </c>
      <c r="G38">
        <v>5</v>
      </c>
      <c r="H38" t="s">
        <v>1163</v>
      </c>
      <c r="I38">
        <v>475</v>
      </c>
      <c r="J38" t="s">
        <v>1164</v>
      </c>
      <c r="K38">
        <v>62</v>
      </c>
      <c r="L38" t="s">
        <v>1163</v>
      </c>
      <c r="M38">
        <v>4</v>
      </c>
      <c r="N38" t="s">
        <v>1165</v>
      </c>
      <c r="O38" t="str">
        <f t="shared" si="0"/>
        <v>[{"id":14,"num":60},{"id":5,"num":475},{"id":62,"num":4}]</v>
      </c>
    </row>
    <row r="39" spans="1:15" ht="16.5" x14ac:dyDescent="0.15">
      <c r="A39" s="3">
        <f>Sheet1!A841</f>
        <v>1501038</v>
      </c>
      <c r="B39" t="s">
        <v>1162</v>
      </c>
      <c r="C39">
        <v>14</v>
      </c>
      <c r="D39" t="s">
        <v>1163</v>
      </c>
      <c r="E39">
        <v>60</v>
      </c>
      <c r="F39" t="s">
        <v>1164</v>
      </c>
      <c r="G39">
        <v>5</v>
      </c>
      <c r="H39" t="s">
        <v>1163</v>
      </c>
      <c r="I39">
        <v>480</v>
      </c>
      <c r="J39" t="s">
        <v>1164</v>
      </c>
      <c r="K39">
        <v>62</v>
      </c>
      <c r="L39" t="s">
        <v>1163</v>
      </c>
      <c r="M39">
        <v>4</v>
      </c>
      <c r="N39" t="s">
        <v>1165</v>
      </c>
      <c r="O39" t="str">
        <f t="shared" si="0"/>
        <v>[{"id":14,"num":60},{"id":5,"num":480},{"id":62,"num":4}]</v>
      </c>
    </row>
    <row r="40" spans="1:15" ht="16.5" x14ac:dyDescent="0.15">
      <c r="A40" s="3">
        <f>Sheet1!A842</f>
        <v>1501039</v>
      </c>
      <c r="B40" t="s">
        <v>1162</v>
      </c>
      <c r="C40">
        <v>14</v>
      </c>
      <c r="D40" t="s">
        <v>1163</v>
      </c>
      <c r="E40">
        <v>60</v>
      </c>
      <c r="F40" t="s">
        <v>1164</v>
      </c>
      <c r="G40">
        <v>5</v>
      </c>
      <c r="H40" t="s">
        <v>1163</v>
      </c>
      <c r="I40">
        <v>485</v>
      </c>
      <c r="J40" t="s">
        <v>1164</v>
      </c>
      <c r="K40">
        <v>62</v>
      </c>
      <c r="L40" t="s">
        <v>1163</v>
      </c>
      <c r="M40">
        <v>4</v>
      </c>
      <c r="N40" t="s">
        <v>1165</v>
      </c>
      <c r="O40" t="str">
        <f t="shared" si="0"/>
        <v>[{"id":14,"num":60},{"id":5,"num":485},{"id":62,"num":4}]</v>
      </c>
    </row>
    <row r="41" spans="1:15" ht="16.5" x14ac:dyDescent="0.15">
      <c r="A41" s="3">
        <f>Sheet1!A843</f>
        <v>1501040</v>
      </c>
      <c r="B41" t="s">
        <v>1162</v>
      </c>
      <c r="C41">
        <v>14</v>
      </c>
      <c r="D41" t="s">
        <v>1163</v>
      </c>
      <c r="E41">
        <v>60</v>
      </c>
      <c r="F41" t="s">
        <v>1164</v>
      </c>
      <c r="G41">
        <v>5</v>
      </c>
      <c r="H41" t="s">
        <v>1163</v>
      </c>
      <c r="I41">
        <v>490</v>
      </c>
      <c r="J41" t="s">
        <v>1164</v>
      </c>
      <c r="K41">
        <v>62</v>
      </c>
      <c r="L41" t="s">
        <v>1163</v>
      </c>
      <c r="M41">
        <v>4</v>
      </c>
      <c r="N41" t="s">
        <v>1165</v>
      </c>
      <c r="O41" t="str">
        <f t="shared" si="0"/>
        <v>[{"id":14,"num":60},{"id":5,"num":490},{"id":62,"num":4}]</v>
      </c>
    </row>
    <row r="42" spans="1:15" ht="16.5" x14ac:dyDescent="0.15">
      <c r="A42" s="3">
        <f>Sheet1!A844</f>
        <v>1501041</v>
      </c>
      <c r="B42" t="s">
        <v>1162</v>
      </c>
      <c r="C42">
        <v>14</v>
      </c>
      <c r="D42" t="s">
        <v>1163</v>
      </c>
      <c r="E42">
        <v>70</v>
      </c>
      <c r="F42" t="s">
        <v>1164</v>
      </c>
      <c r="G42">
        <v>5</v>
      </c>
      <c r="H42" t="s">
        <v>1163</v>
      </c>
      <c r="I42">
        <v>495</v>
      </c>
      <c r="J42" t="s">
        <v>1164</v>
      </c>
      <c r="K42">
        <v>62</v>
      </c>
      <c r="L42" t="s">
        <v>1163</v>
      </c>
      <c r="M42">
        <v>5</v>
      </c>
      <c r="N42" t="s">
        <v>1165</v>
      </c>
      <c r="O42" t="str">
        <f t="shared" si="0"/>
        <v>[{"id":14,"num":70},{"id":5,"num":495},{"id":62,"num":5}]</v>
      </c>
    </row>
    <row r="43" spans="1:15" ht="16.5" x14ac:dyDescent="0.15">
      <c r="A43" s="3">
        <f>Sheet1!A845</f>
        <v>1501042</v>
      </c>
      <c r="B43" t="s">
        <v>1162</v>
      </c>
      <c r="C43">
        <v>14</v>
      </c>
      <c r="D43" t="s">
        <v>1163</v>
      </c>
      <c r="E43">
        <v>70</v>
      </c>
      <c r="F43" t="s">
        <v>1164</v>
      </c>
      <c r="G43">
        <v>5</v>
      </c>
      <c r="H43" t="s">
        <v>1163</v>
      </c>
      <c r="I43">
        <v>500</v>
      </c>
      <c r="J43" t="s">
        <v>1164</v>
      </c>
      <c r="K43">
        <v>62</v>
      </c>
      <c r="L43" t="s">
        <v>1163</v>
      </c>
      <c r="M43">
        <v>5</v>
      </c>
      <c r="N43" t="s">
        <v>1165</v>
      </c>
      <c r="O43" t="str">
        <f t="shared" si="0"/>
        <v>[{"id":14,"num":70},{"id":5,"num":500},{"id":62,"num":5}]</v>
      </c>
    </row>
    <row r="44" spans="1:15" ht="16.5" x14ac:dyDescent="0.15">
      <c r="A44" s="3">
        <f>Sheet1!A846</f>
        <v>1501043</v>
      </c>
      <c r="B44" t="s">
        <v>1162</v>
      </c>
      <c r="C44">
        <v>14</v>
      </c>
      <c r="D44" t="s">
        <v>1163</v>
      </c>
      <c r="E44">
        <v>70</v>
      </c>
      <c r="F44" t="s">
        <v>1164</v>
      </c>
      <c r="G44">
        <v>5</v>
      </c>
      <c r="H44" t="s">
        <v>1163</v>
      </c>
      <c r="I44">
        <v>505</v>
      </c>
      <c r="J44" t="s">
        <v>1164</v>
      </c>
      <c r="K44">
        <v>62</v>
      </c>
      <c r="L44" t="s">
        <v>1163</v>
      </c>
      <c r="M44">
        <v>5</v>
      </c>
      <c r="N44" t="s">
        <v>1165</v>
      </c>
      <c r="O44" t="str">
        <f t="shared" si="0"/>
        <v>[{"id":14,"num":70},{"id":5,"num":505},{"id":62,"num":5}]</v>
      </c>
    </row>
    <row r="45" spans="1:15" ht="16.5" x14ac:dyDescent="0.15">
      <c r="A45" s="3">
        <f>Sheet1!A847</f>
        <v>1501044</v>
      </c>
      <c r="B45" t="s">
        <v>1162</v>
      </c>
      <c r="C45">
        <v>14</v>
      </c>
      <c r="D45" t="s">
        <v>1163</v>
      </c>
      <c r="E45">
        <v>70</v>
      </c>
      <c r="F45" t="s">
        <v>1164</v>
      </c>
      <c r="G45">
        <v>5</v>
      </c>
      <c r="H45" t="s">
        <v>1163</v>
      </c>
      <c r="I45">
        <v>510</v>
      </c>
      <c r="J45" t="s">
        <v>1164</v>
      </c>
      <c r="K45">
        <v>62</v>
      </c>
      <c r="L45" t="s">
        <v>1163</v>
      </c>
      <c r="M45">
        <v>5</v>
      </c>
      <c r="N45" t="s">
        <v>1165</v>
      </c>
      <c r="O45" t="str">
        <f t="shared" si="0"/>
        <v>[{"id":14,"num":70},{"id":5,"num":510},{"id":62,"num":5}]</v>
      </c>
    </row>
    <row r="46" spans="1:15" ht="16.5" x14ac:dyDescent="0.15">
      <c r="A46" s="3">
        <f>Sheet1!A848</f>
        <v>1501045</v>
      </c>
      <c r="B46" t="s">
        <v>1162</v>
      </c>
      <c r="C46">
        <v>14</v>
      </c>
      <c r="D46" t="s">
        <v>1163</v>
      </c>
      <c r="E46">
        <v>70</v>
      </c>
      <c r="F46" t="s">
        <v>1164</v>
      </c>
      <c r="G46">
        <v>5</v>
      </c>
      <c r="H46" t="s">
        <v>1163</v>
      </c>
      <c r="I46">
        <v>515</v>
      </c>
      <c r="J46" t="s">
        <v>1164</v>
      </c>
      <c r="K46">
        <v>62</v>
      </c>
      <c r="L46" t="s">
        <v>1163</v>
      </c>
      <c r="M46">
        <v>5</v>
      </c>
      <c r="N46" t="s">
        <v>1165</v>
      </c>
      <c r="O46" t="str">
        <f t="shared" si="0"/>
        <v>[{"id":14,"num":70},{"id":5,"num":515},{"id":62,"num":5}]</v>
      </c>
    </row>
    <row r="47" spans="1:15" ht="16.5" x14ac:dyDescent="0.15">
      <c r="A47" s="3">
        <f>Sheet1!A849</f>
        <v>1501046</v>
      </c>
      <c r="B47" t="s">
        <v>1162</v>
      </c>
      <c r="C47">
        <v>14</v>
      </c>
      <c r="D47" t="s">
        <v>1163</v>
      </c>
      <c r="E47">
        <v>70</v>
      </c>
      <c r="F47" t="s">
        <v>1164</v>
      </c>
      <c r="G47">
        <v>5</v>
      </c>
      <c r="H47" t="s">
        <v>1163</v>
      </c>
      <c r="I47">
        <v>520</v>
      </c>
      <c r="J47" t="s">
        <v>1164</v>
      </c>
      <c r="K47">
        <v>62</v>
      </c>
      <c r="L47" t="s">
        <v>1163</v>
      </c>
      <c r="M47">
        <v>6</v>
      </c>
      <c r="N47" t="s">
        <v>1165</v>
      </c>
      <c r="O47" t="str">
        <f t="shared" si="0"/>
        <v>[{"id":14,"num":70},{"id":5,"num":520},{"id":62,"num":6}]</v>
      </c>
    </row>
    <row r="48" spans="1:15" ht="16.5" x14ac:dyDescent="0.15">
      <c r="A48" s="3">
        <f>Sheet1!A850</f>
        <v>1501047</v>
      </c>
      <c r="B48" t="s">
        <v>1162</v>
      </c>
      <c r="C48">
        <v>14</v>
      </c>
      <c r="D48" t="s">
        <v>1163</v>
      </c>
      <c r="E48">
        <v>70</v>
      </c>
      <c r="F48" t="s">
        <v>1164</v>
      </c>
      <c r="G48">
        <v>5</v>
      </c>
      <c r="H48" t="s">
        <v>1163</v>
      </c>
      <c r="I48">
        <v>525</v>
      </c>
      <c r="J48" t="s">
        <v>1164</v>
      </c>
      <c r="K48">
        <v>62</v>
      </c>
      <c r="L48" t="s">
        <v>1163</v>
      </c>
      <c r="M48">
        <v>6</v>
      </c>
      <c r="N48" t="s">
        <v>1165</v>
      </c>
      <c r="O48" t="str">
        <f t="shared" si="0"/>
        <v>[{"id":14,"num":70},{"id":5,"num":525},{"id":62,"num":6}]</v>
      </c>
    </row>
    <row r="49" spans="1:15" ht="16.5" x14ac:dyDescent="0.15">
      <c r="A49" s="3">
        <f>Sheet1!A851</f>
        <v>1501048</v>
      </c>
      <c r="B49" t="s">
        <v>1162</v>
      </c>
      <c r="C49">
        <v>14</v>
      </c>
      <c r="D49" t="s">
        <v>1163</v>
      </c>
      <c r="E49">
        <v>70</v>
      </c>
      <c r="F49" t="s">
        <v>1164</v>
      </c>
      <c r="G49">
        <v>5</v>
      </c>
      <c r="H49" t="s">
        <v>1163</v>
      </c>
      <c r="I49">
        <v>530</v>
      </c>
      <c r="J49" t="s">
        <v>1164</v>
      </c>
      <c r="K49">
        <v>62</v>
      </c>
      <c r="L49" t="s">
        <v>1163</v>
      </c>
      <c r="M49">
        <v>6</v>
      </c>
      <c r="N49" t="s">
        <v>1165</v>
      </c>
      <c r="O49" t="str">
        <f t="shared" si="0"/>
        <v>[{"id":14,"num":70},{"id":5,"num":530},{"id":62,"num":6}]</v>
      </c>
    </row>
    <row r="50" spans="1:15" ht="16.5" x14ac:dyDescent="0.15">
      <c r="A50" s="3">
        <f>Sheet1!A852</f>
        <v>1501049</v>
      </c>
      <c r="B50" t="s">
        <v>1162</v>
      </c>
      <c r="C50">
        <v>14</v>
      </c>
      <c r="D50" t="s">
        <v>1163</v>
      </c>
      <c r="E50">
        <v>70</v>
      </c>
      <c r="F50" t="s">
        <v>1164</v>
      </c>
      <c r="G50">
        <v>5</v>
      </c>
      <c r="H50" t="s">
        <v>1163</v>
      </c>
      <c r="I50">
        <v>535</v>
      </c>
      <c r="J50" t="s">
        <v>1164</v>
      </c>
      <c r="K50">
        <v>62</v>
      </c>
      <c r="L50" t="s">
        <v>1163</v>
      </c>
      <c r="M50">
        <v>6</v>
      </c>
      <c r="N50" t="s">
        <v>1165</v>
      </c>
      <c r="O50" t="str">
        <f t="shared" si="0"/>
        <v>[{"id":14,"num":70},{"id":5,"num":535},{"id":62,"num":6}]</v>
      </c>
    </row>
    <row r="51" spans="1:15" ht="16.5" x14ac:dyDescent="0.15">
      <c r="A51" s="3">
        <f>Sheet1!A853</f>
        <v>1501050</v>
      </c>
      <c r="B51" t="s">
        <v>1162</v>
      </c>
      <c r="C51">
        <v>14</v>
      </c>
      <c r="D51" t="s">
        <v>1163</v>
      </c>
      <c r="E51">
        <v>70</v>
      </c>
      <c r="F51" t="s">
        <v>1164</v>
      </c>
      <c r="G51">
        <v>5</v>
      </c>
      <c r="H51" t="s">
        <v>1163</v>
      </c>
      <c r="I51">
        <v>540</v>
      </c>
      <c r="J51" t="s">
        <v>1164</v>
      </c>
      <c r="K51">
        <v>62</v>
      </c>
      <c r="L51" t="s">
        <v>1163</v>
      </c>
      <c r="M51">
        <v>6</v>
      </c>
      <c r="N51" t="s">
        <v>1165</v>
      </c>
      <c r="O51" t="str">
        <f t="shared" si="0"/>
        <v>[{"id":14,"num":70},{"id":5,"num":540},{"id":62,"num":6}]</v>
      </c>
    </row>
    <row r="52" spans="1:15" ht="16.5" x14ac:dyDescent="0.15">
      <c r="A52" s="3">
        <f>Sheet1!A854</f>
        <v>1501051</v>
      </c>
      <c r="B52" t="s">
        <v>1162</v>
      </c>
      <c r="C52">
        <v>14</v>
      </c>
      <c r="D52" t="s">
        <v>1163</v>
      </c>
      <c r="E52">
        <v>70</v>
      </c>
      <c r="F52" t="s">
        <v>1164</v>
      </c>
      <c r="G52">
        <v>5</v>
      </c>
      <c r="H52" t="s">
        <v>1163</v>
      </c>
      <c r="I52">
        <v>545</v>
      </c>
      <c r="J52" t="s">
        <v>1164</v>
      </c>
      <c r="K52">
        <v>62</v>
      </c>
      <c r="L52" t="s">
        <v>1163</v>
      </c>
      <c r="M52">
        <v>7</v>
      </c>
      <c r="N52" t="s">
        <v>1165</v>
      </c>
      <c r="O52" t="str">
        <f t="shared" si="0"/>
        <v>[{"id":14,"num":70},{"id":5,"num":545},{"id":62,"num":7}]</v>
      </c>
    </row>
    <row r="53" spans="1:15" ht="16.5" x14ac:dyDescent="0.15">
      <c r="A53" s="3">
        <f>Sheet1!A855</f>
        <v>1501052</v>
      </c>
      <c r="B53" t="s">
        <v>1162</v>
      </c>
      <c r="C53">
        <v>14</v>
      </c>
      <c r="D53" t="s">
        <v>1163</v>
      </c>
      <c r="E53">
        <v>70</v>
      </c>
      <c r="F53" t="s">
        <v>1164</v>
      </c>
      <c r="G53">
        <v>5</v>
      </c>
      <c r="H53" t="s">
        <v>1163</v>
      </c>
      <c r="I53">
        <v>550</v>
      </c>
      <c r="J53" t="s">
        <v>1164</v>
      </c>
      <c r="K53">
        <v>62</v>
      </c>
      <c r="L53" t="s">
        <v>1163</v>
      </c>
      <c r="M53">
        <v>7</v>
      </c>
      <c r="N53" t="s">
        <v>1165</v>
      </c>
      <c r="O53" t="str">
        <f t="shared" si="0"/>
        <v>[{"id":14,"num":70},{"id":5,"num":550},{"id":62,"num":7}]</v>
      </c>
    </row>
    <row r="54" spans="1:15" ht="16.5" x14ac:dyDescent="0.15">
      <c r="A54" s="3">
        <f>Sheet1!A856</f>
        <v>1501053</v>
      </c>
      <c r="B54" t="s">
        <v>1162</v>
      </c>
      <c r="C54">
        <v>14</v>
      </c>
      <c r="D54" t="s">
        <v>1163</v>
      </c>
      <c r="E54">
        <v>70</v>
      </c>
      <c r="F54" t="s">
        <v>1164</v>
      </c>
      <c r="G54">
        <v>5</v>
      </c>
      <c r="H54" t="s">
        <v>1163</v>
      </c>
      <c r="I54">
        <v>555</v>
      </c>
      <c r="J54" t="s">
        <v>1164</v>
      </c>
      <c r="K54">
        <v>62</v>
      </c>
      <c r="L54" t="s">
        <v>1163</v>
      </c>
      <c r="M54">
        <v>7</v>
      </c>
      <c r="N54" t="s">
        <v>1165</v>
      </c>
      <c r="O54" t="str">
        <f t="shared" si="0"/>
        <v>[{"id":14,"num":70},{"id":5,"num":555},{"id":62,"num":7}]</v>
      </c>
    </row>
    <row r="55" spans="1:15" ht="16.5" x14ac:dyDescent="0.15">
      <c r="A55" s="3">
        <f>Sheet1!A857</f>
        <v>1501054</v>
      </c>
      <c r="B55" t="s">
        <v>1162</v>
      </c>
      <c r="C55">
        <v>14</v>
      </c>
      <c r="D55" t="s">
        <v>1163</v>
      </c>
      <c r="E55">
        <v>70</v>
      </c>
      <c r="F55" t="s">
        <v>1164</v>
      </c>
      <c r="G55">
        <v>5</v>
      </c>
      <c r="H55" t="s">
        <v>1163</v>
      </c>
      <c r="I55">
        <v>560</v>
      </c>
      <c r="J55" t="s">
        <v>1164</v>
      </c>
      <c r="K55">
        <v>62</v>
      </c>
      <c r="L55" t="s">
        <v>1163</v>
      </c>
      <c r="M55">
        <v>7</v>
      </c>
      <c r="N55" t="s">
        <v>1165</v>
      </c>
      <c r="O55" t="str">
        <f t="shared" si="0"/>
        <v>[{"id":14,"num":70},{"id":5,"num":560},{"id":62,"num":7}]</v>
      </c>
    </row>
    <row r="56" spans="1:15" ht="16.5" x14ac:dyDescent="0.15">
      <c r="A56" s="3">
        <f>Sheet1!A858</f>
        <v>1501055</v>
      </c>
      <c r="B56" t="s">
        <v>1162</v>
      </c>
      <c r="C56">
        <v>14</v>
      </c>
      <c r="D56" t="s">
        <v>1163</v>
      </c>
      <c r="E56">
        <v>70</v>
      </c>
      <c r="F56" t="s">
        <v>1164</v>
      </c>
      <c r="G56">
        <v>5</v>
      </c>
      <c r="H56" t="s">
        <v>1163</v>
      </c>
      <c r="I56">
        <v>565</v>
      </c>
      <c r="J56" t="s">
        <v>1164</v>
      </c>
      <c r="K56">
        <v>62</v>
      </c>
      <c r="L56" t="s">
        <v>1163</v>
      </c>
      <c r="M56">
        <v>7</v>
      </c>
      <c r="N56" t="s">
        <v>1165</v>
      </c>
      <c r="O56" t="str">
        <f t="shared" si="0"/>
        <v>[{"id":14,"num":70},{"id":5,"num":565},{"id":62,"num":7}]</v>
      </c>
    </row>
    <row r="57" spans="1:15" ht="16.5" x14ac:dyDescent="0.15">
      <c r="A57" s="3">
        <f>Sheet1!A859</f>
        <v>1501056</v>
      </c>
      <c r="B57" t="s">
        <v>1162</v>
      </c>
      <c r="C57">
        <v>14</v>
      </c>
      <c r="D57" t="s">
        <v>1163</v>
      </c>
      <c r="E57">
        <v>70</v>
      </c>
      <c r="F57" t="s">
        <v>1164</v>
      </c>
      <c r="G57">
        <v>5</v>
      </c>
      <c r="H57" t="s">
        <v>1163</v>
      </c>
      <c r="I57">
        <v>570</v>
      </c>
      <c r="J57" t="s">
        <v>1164</v>
      </c>
      <c r="K57">
        <v>62</v>
      </c>
      <c r="L57" t="s">
        <v>1163</v>
      </c>
      <c r="M57">
        <v>8</v>
      </c>
      <c r="N57" t="s">
        <v>1165</v>
      </c>
      <c r="O57" t="str">
        <f t="shared" si="0"/>
        <v>[{"id":14,"num":70},{"id":5,"num":570},{"id":62,"num":8}]</v>
      </c>
    </row>
    <row r="58" spans="1:15" ht="16.5" x14ac:dyDescent="0.15">
      <c r="A58" s="3">
        <f>Sheet1!A860</f>
        <v>1501057</v>
      </c>
      <c r="B58" t="s">
        <v>1162</v>
      </c>
      <c r="C58">
        <v>14</v>
      </c>
      <c r="D58" t="s">
        <v>1163</v>
      </c>
      <c r="E58">
        <v>70</v>
      </c>
      <c r="F58" t="s">
        <v>1164</v>
      </c>
      <c r="G58">
        <v>5</v>
      </c>
      <c r="H58" t="s">
        <v>1163</v>
      </c>
      <c r="I58">
        <v>575</v>
      </c>
      <c r="J58" t="s">
        <v>1164</v>
      </c>
      <c r="K58">
        <v>62</v>
      </c>
      <c r="L58" t="s">
        <v>1163</v>
      </c>
      <c r="M58">
        <v>8</v>
      </c>
      <c r="N58" t="s">
        <v>1165</v>
      </c>
      <c r="O58" t="str">
        <f t="shared" si="0"/>
        <v>[{"id":14,"num":70},{"id":5,"num":575},{"id":62,"num":8}]</v>
      </c>
    </row>
    <row r="59" spans="1:15" ht="16.5" x14ac:dyDescent="0.15">
      <c r="A59" s="3">
        <f>Sheet1!A861</f>
        <v>1501058</v>
      </c>
      <c r="B59" t="s">
        <v>1162</v>
      </c>
      <c r="C59">
        <v>14</v>
      </c>
      <c r="D59" t="s">
        <v>1163</v>
      </c>
      <c r="E59">
        <v>70</v>
      </c>
      <c r="F59" t="s">
        <v>1164</v>
      </c>
      <c r="G59">
        <v>5</v>
      </c>
      <c r="H59" t="s">
        <v>1163</v>
      </c>
      <c r="I59">
        <v>580</v>
      </c>
      <c r="J59" t="s">
        <v>1164</v>
      </c>
      <c r="K59">
        <v>62</v>
      </c>
      <c r="L59" t="s">
        <v>1163</v>
      </c>
      <c r="M59">
        <v>8</v>
      </c>
      <c r="N59" t="s">
        <v>1165</v>
      </c>
      <c r="O59" t="str">
        <f t="shared" si="0"/>
        <v>[{"id":14,"num":70},{"id":5,"num":580},{"id":62,"num":8}]</v>
      </c>
    </row>
    <row r="60" spans="1:15" ht="16.5" x14ac:dyDescent="0.15">
      <c r="A60" s="3">
        <f>Sheet1!A862</f>
        <v>1501059</v>
      </c>
      <c r="B60" t="s">
        <v>1162</v>
      </c>
      <c r="C60">
        <v>14</v>
      </c>
      <c r="D60" t="s">
        <v>1163</v>
      </c>
      <c r="E60">
        <v>70</v>
      </c>
      <c r="F60" t="s">
        <v>1164</v>
      </c>
      <c r="G60">
        <v>5</v>
      </c>
      <c r="H60" t="s">
        <v>1163</v>
      </c>
      <c r="I60">
        <v>585</v>
      </c>
      <c r="J60" t="s">
        <v>1164</v>
      </c>
      <c r="K60">
        <v>62</v>
      </c>
      <c r="L60" t="s">
        <v>1163</v>
      </c>
      <c r="M60">
        <v>8</v>
      </c>
      <c r="N60" t="s">
        <v>1165</v>
      </c>
      <c r="O60" t="str">
        <f t="shared" si="0"/>
        <v>[{"id":14,"num":70},{"id":5,"num":585},{"id":62,"num":8}]</v>
      </c>
    </row>
    <row r="61" spans="1:15" ht="16.5" x14ac:dyDescent="0.15">
      <c r="A61" s="3">
        <f>Sheet1!A863</f>
        <v>1501060</v>
      </c>
      <c r="B61" t="s">
        <v>1162</v>
      </c>
      <c r="C61">
        <v>14</v>
      </c>
      <c r="D61" t="s">
        <v>1163</v>
      </c>
      <c r="E61">
        <v>70</v>
      </c>
      <c r="F61" t="s">
        <v>1164</v>
      </c>
      <c r="G61">
        <v>5</v>
      </c>
      <c r="H61" t="s">
        <v>1163</v>
      </c>
      <c r="I61">
        <v>590</v>
      </c>
      <c r="J61" t="s">
        <v>1164</v>
      </c>
      <c r="K61">
        <v>62</v>
      </c>
      <c r="L61" t="s">
        <v>1163</v>
      </c>
      <c r="M61">
        <v>8</v>
      </c>
      <c r="N61" t="s">
        <v>1165</v>
      </c>
      <c r="O61" t="str">
        <f t="shared" si="0"/>
        <v>[{"id":14,"num":70},{"id":5,"num":590},{"id":62,"num":8}]</v>
      </c>
    </row>
    <row r="62" spans="1:15" ht="16.5" x14ac:dyDescent="0.15">
      <c r="A62" s="3">
        <f>Sheet1!A864</f>
        <v>1501061</v>
      </c>
      <c r="B62" t="s">
        <v>1162</v>
      </c>
      <c r="C62">
        <v>14</v>
      </c>
      <c r="D62" t="s">
        <v>1163</v>
      </c>
      <c r="E62">
        <v>80</v>
      </c>
      <c r="F62" t="s">
        <v>1164</v>
      </c>
      <c r="G62">
        <v>5</v>
      </c>
      <c r="H62" t="s">
        <v>1163</v>
      </c>
      <c r="I62">
        <v>595</v>
      </c>
      <c r="J62" t="s">
        <v>1164</v>
      </c>
      <c r="K62">
        <v>62</v>
      </c>
      <c r="L62" t="s">
        <v>1163</v>
      </c>
      <c r="M62">
        <v>9</v>
      </c>
      <c r="N62" t="s">
        <v>1165</v>
      </c>
      <c r="O62" t="str">
        <f t="shared" si="0"/>
        <v>[{"id":14,"num":80},{"id":5,"num":595},{"id":62,"num":9}]</v>
      </c>
    </row>
    <row r="63" spans="1:15" ht="16.5" x14ac:dyDescent="0.15">
      <c r="A63" s="3">
        <f>Sheet1!A865</f>
        <v>1501062</v>
      </c>
      <c r="B63" t="s">
        <v>1162</v>
      </c>
      <c r="C63">
        <v>14</v>
      </c>
      <c r="D63" t="s">
        <v>1163</v>
      </c>
      <c r="E63">
        <v>80</v>
      </c>
      <c r="F63" t="s">
        <v>1164</v>
      </c>
      <c r="G63">
        <v>5</v>
      </c>
      <c r="H63" t="s">
        <v>1163</v>
      </c>
      <c r="I63">
        <v>600</v>
      </c>
      <c r="J63" t="s">
        <v>1164</v>
      </c>
      <c r="K63">
        <v>62</v>
      </c>
      <c r="L63" t="s">
        <v>1163</v>
      </c>
      <c r="M63">
        <v>9</v>
      </c>
      <c r="N63" t="s">
        <v>1165</v>
      </c>
      <c r="O63" t="str">
        <f t="shared" si="0"/>
        <v>[{"id":14,"num":80},{"id":5,"num":600},{"id":62,"num":9}]</v>
      </c>
    </row>
    <row r="64" spans="1:15" ht="16.5" x14ac:dyDescent="0.15">
      <c r="A64" s="3">
        <f>Sheet1!A866</f>
        <v>1501063</v>
      </c>
      <c r="B64" t="s">
        <v>1162</v>
      </c>
      <c r="C64">
        <v>14</v>
      </c>
      <c r="D64" t="s">
        <v>1163</v>
      </c>
      <c r="E64">
        <v>80</v>
      </c>
      <c r="F64" t="s">
        <v>1164</v>
      </c>
      <c r="G64">
        <v>5</v>
      </c>
      <c r="H64" t="s">
        <v>1163</v>
      </c>
      <c r="I64">
        <v>605</v>
      </c>
      <c r="J64" t="s">
        <v>1164</v>
      </c>
      <c r="K64">
        <v>62</v>
      </c>
      <c r="L64" t="s">
        <v>1163</v>
      </c>
      <c r="M64">
        <v>9</v>
      </c>
      <c r="N64" t="s">
        <v>1165</v>
      </c>
      <c r="O64" t="str">
        <f t="shared" si="0"/>
        <v>[{"id":14,"num":80},{"id":5,"num":605},{"id":62,"num":9}]</v>
      </c>
    </row>
    <row r="65" spans="1:15" ht="16.5" x14ac:dyDescent="0.15">
      <c r="A65" s="3">
        <f>Sheet1!A867</f>
        <v>1501064</v>
      </c>
      <c r="B65" t="s">
        <v>1162</v>
      </c>
      <c r="C65">
        <v>14</v>
      </c>
      <c r="D65" t="s">
        <v>1163</v>
      </c>
      <c r="E65">
        <v>80</v>
      </c>
      <c r="F65" t="s">
        <v>1164</v>
      </c>
      <c r="G65">
        <v>5</v>
      </c>
      <c r="H65" t="s">
        <v>1163</v>
      </c>
      <c r="I65">
        <v>610</v>
      </c>
      <c r="J65" t="s">
        <v>1164</v>
      </c>
      <c r="K65">
        <v>62</v>
      </c>
      <c r="L65" t="s">
        <v>1163</v>
      </c>
      <c r="M65">
        <v>9</v>
      </c>
      <c r="N65" t="s">
        <v>1165</v>
      </c>
      <c r="O65" t="str">
        <f t="shared" si="0"/>
        <v>[{"id":14,"num":80},{"id":5,"num":610},{"id":62,"num":9}]</v>
      </c>
    </row>
    <row r="66" spans="1:15" ht="16.5" x14ac:dyDescent="0.15">
      <c r="A66" s="3">
        <f>Sheet1!A868</f>
        <v>1501065</v>
      </c>
      <c r="B66" t="s">
        <v>1162</v>
      </c>
      <c r="C66">
        <v>14</v>
      </c>
      <c r="D66" t="s">
        <v>1163</v>
      </c>
      <c r="E66">
        <v>80</v>
      </c>
      <c r="F66" t="s">
        <v>1164</v>
      </c>
      <c r="G66">
        <v>5</v>
      </c>
      <c r="H66" t="s">
        <v>1163</v>
      </c>
      <c r="I66">
        <v>615</v>
      </c>
      <c r="J66" t="s">
        <v>1164</v>
      </c>
      <c r="K66">
        <v>62</v>
      </c>
      <c r="L66" t="s">
        <v>1163</v>
      </c>
      <c r="M66">
        <v>9</v>
      </c>
      <c r="N66" t="s">
        <v>1165</v>
      </c>
      <c r="O66" t="str">
        <f t="shared" ref="O66:O121" si="1">_xlfn.TEXTJOIN(,TRUE,B66:N66)</f>
        <v>[{"id":14,"num":80},{"id":5,"num":615},{"id":62,"num":9}]</v>
      </c>
    </row>
    <row r="67" spans="1:15" ht="16.5" x14ac:dyDescent="0.15">
      <c r="A67" s="3">
        <f>Sheet1!A869</f>
        <v>1501066</v>
      </c>
      <c r="B67" t="s">
        <v>1162</v>
      </c>
      <c r="C67">
        <v>14</v>
      </c>
      <c r="D67" t="s">
        <v>1163</v>
      </c>
      <c r="E67">
        <v>80</v>
      </c>
      <c r="F67" t="s">
        <v>1164</v>
      </c>
      <c r="G67">
        <v>5</v>
      </c>
      <c r="H67" t="s">
        <v>1163</v>
      </c>
      <c r="I67">
        <v>620</v>
      </c>
      <c r="J67" t="s">
        <v>1164</v>
      </c>
      <c r="K67">
        <v>62</v>
      </c>
      <c r="L67" t="s">
        <v>1163</v>
      </c>
      <c r="M67">
        <v>10</v>
      </c>
      <c r="N67" t="s">
        <v>1165</v>
      </c>
      <c r="O67" t="str">
        <f t="shared" si="1"/>
        <v>[{"id":14,"num":80},{"id":5,"num":620},{"id":62,"num":10}]</v>
      </c>
    </row>
    <row r="68" spans="1:15" ht="16.5" x14ac:dyDescent="0.15">
      <c r="A68" s="3">
        <f>Sheet1!A870</f>
        <v>1501067</v>
      </c>
      <c r="B68" t="s">
        <v>1162</v>
      </c>
      <c r="C68">
        <v>14</v>
      </c>
      <c r="D68" t="s">
        <v>1163</v>
      </c>
      <c r="E68">
        <v>80</v>
      </c>
      <c r="F68" t="s">
        <v>1164</v>
      </c>
      <c r="G68">
        <v>5</v>
      </c>
      <c r="H68" t="s">
        <v>1163</v>
      </c>
      <c r="I68">
        <v>625</v>
      </c>
      <c r="J68" t="s">
        <v>1164</v>
      </c>
      <c r="K68">
        <v>62</v>
      </c>
      <c r="L68" t="s">
        <v>1163</v>
      </c>
      <c r="M68">
        <v>10</v>
      </c>
      <c r="N68" t="s">
        <v>1165</v>
      </c>
      <c r="O68" t="str">
        <f t="shared" si="1"/>
        <v>[{"id":14,"num":80},{"id":5,"num":625},{"id":62,"num":10}]</v>
      </c>
    </row>
    <row r="69" spans="1:15" ht="16.5" x14ac:dyDescent="0.15">
      <c r="A69" s="3">
        <f>Sheet1!A871</f>
        <v>1501068</v>
      </c>
      <c r="B69" t="s">
        <v>1162</v>
      </c>
      <c r="C69">
        <v>14</v>
      </c>
      <c r="D69" t="s">
        <v>1163</v>
      </c>
      <c r="E69">
        <v>80</v>
      </c>
      <c r="F69" t="s">
        <v>1164</v>
      </c>
      <c r="G69">
        <v>5</v>
      </c>
      <c r="H69" t="s">
        <v>1163</v>
      </c>
      <c r="I69">
        <v>630</v>
      </c>
      <c r="J69" t="s">
        <v>1164</v>
      </c>
      <c r="K69">
        <v>62</v>
      </c>
      <c r="L69" t="s">
        <v>1163</v>
      </c>
      <c r="M69">
        <v>10</v>
      </c>
      <c r="N69" t="s">
        <v>1165</v>
      </c>
      <c r="O69" t="str">
        <f t="shared" si="1"/>
        <v>[{"id":14,"num":80},{"id":5,"num":630},{"id":62,"num":10}]</v>
      </c>
    </row>
    <row r="70" spans="1:15" ht="16.5" x14ac:dyDescent="0.15">
      <c r="A70" s="3">
        <f>Sheet1!A872</f>
        <v>1501069</v>
      </c>
      <c r="B70" t="s">
        <v>1162</v>
      </c>
      <c r="C70">
        <v>14</v>
      </c>
      <c r="D70" t="s">
        <v>1163</v>
      </c>
      <c r="E70">
        <v>80</v>
      </c>
      <c r="F70" t="s">
        <v>1164</v>
      </c>
      <c r="G70">
        <v>5</v>
      </c>
      <c r="H70" t="s">
        <v>1163</v>
      </c>
      <c r="I70">
        <v>635</v>
      </c>
      <c r="J70" t="s">
        <v>1164</v>
      </c>
      <c r="K70">
        <v>62</v>
      </c>
      <c r="L70" t="s">
        <v>1163</v>
      </c>
      <c r="M70">
        <v>10</v>
      </c>
      <c r="N70" t="s">
        <v>1165</v>
      </c>
      <c r="O70" t="str">
        <f t="shared" si="1"/>
        <v>[{"id":14,"num":80},{"id":5,"num":635},{"id":62,"num":10}]</v>
      </c>
    </row>
    <row r="71" spans="1:15" ht="16.5" x14ac:dyDescent="0.15">
      <c r="A71" s="3">
        <f>Sheet1!A873</f>
        <v>1501070</v>
      </c>
      <c r="B71" t="s">
        <v>1162</v>
      </c>
      <c r="C71">
        <v>14</v>
      </c>
      <c r="D71" t="s">
        <v>1163</v>
      </c>
      <c r="E71">
        <v>80</v>
      </c>
      <c r="F71" t="s">
        <v>1164</v>
      </c>
      <c r="G71">
        <v>5</v>
      </c>
      <c r="H71" t="s">
        <v>1163</v>
      </c>
      <c r="I71">
        <v>640</v>
      </c>
      <c r="J71" t="s">
        <v>1164</v>
      </c>
      <c r="K71">
        <v>62</v>
      </c>
      <c r="L71" t="s">
        <v>1163</v>
      </c>
      <c r="M71">
        <v>10</v>
      </c>
      <c r="N71" t="s">
        <v>1165</v>
      </c>
      <c r="O71" t="str">
        <f t="shared" si="1"/>
        <v>[{"id":14,"num":80},{"id":5,"num":640},{"id":62,"num":10}]</v>
      </c>
    </row>
    <row r="72" spans="1:15" ht="16.5" x14ac:dyDescent="0.15">
      <c r="A72" s="3">
        <f>Sheet1!A874</f>
        <v>1501071</v>
      </c>
      <c r="B72" t="s">
        <v>1162</v>
      </c>
      <c r="C72">
        <v>14</v>
      </c>
      <c r="D72" t="s">
        <v>1163</v>
      </c>
      <c r="E72">
        <v>80</v>
      </c>
      <c r="F72" t="s">
        <v>1164</v>
      </c>
      <c r="G72">
        <v>5</v>
      </c>
      <c r="H72" t="s">
        <v>1163</v>
      </c>
      <c r="I72">
        <v>645</v>
      </c>
      <c r="J72" t="s">
        <v>1164</v>
      </c>
      <c r="K72">
        <v>63</v>
      </c>
      <c r="L72" t="s">
        <v>1163</v>
      </c>
      <c r="M72">
        <v>1</v>
      </c>
      <c r="N72" t="s">
        <v>1165</v>
      </c>
      <c r="O72" t="str">
        <f t="shared" si="1"/>
        <v>[{"id":14,"num":80},{"id":5,"num":645},{"id":63,"num":1}]</v>
      </c>
    </row>
    <row r="73" spans="1:15" ht="16.5" x14ac:dyDescent="0.15">
      <c r="A73" s="3">
        <f>Sheet1!A875</f>
        <v>1501072</v>
      </c>
      <c r="B73" t="s">
        <v>1162</v>
      </c>
      <c r="C73">
        <v>14</v>
      </c>
      <c r="D73" t="s">
        <v>1163</v>
      </c>
      <c r="E73">
        <v>80</v>
      </c>
      <c r="F73" t="s">
        <v>1164</v>
      </c>
      <c r="G73">
        <v>5</v>
      </c>
      <c r="H73" t="s">
        <v>1163</v>
      </c>
      <c r="I73">
        <v>650</v>
      </c>
      <c r="J73" t="s">
        <v>1164</v>
      </c>
      <c r="K73">
        <v>63</v>
      </c>
      <c r="L73" t="s">
        <v>1163</v>
      </c>
      <c r="M73">
        <v>1</v>
      </c>
      <c r="N73" t="s">
        <v>1165</v>
      </c>
      <c r="O73" t="str">
        <f t="shared" si="1"/>
        <v>[{"id":14,"num":80},{"id":5,"num":650},{"id":63,"num":1}]</v>
      </c>
    </row>
    <row r="74" spans="1:15" ht="16.5" x14ac:dyDescent="0.15">
      <c r="A74" s="3">
        <f>Sheet1!A876</f>
        <v>1501073</v>
      </c>
      <c r="B74" t="s">
        <v>1162</v>
      </c>
      <c r="C74">
        <v>14</v>
      </c>
      <c r="D74" t="s">
        <v>1163</v>
      </c>
      <c r="E74">
        <v>80</v>
      </c>
      <c r="F74" t="s">
        <v>1164</v>
      </c>
      <c r="G74">
        <v>5</v>
      </c>
      <c r="H74" t="s">
        <v>1163</v>
      </c>
      <c r="I74">
        <v>655</v>
      </c>
      <c r="J74" t="s">
        <v>1164</v>
      </c>
      <c r="K74">
        <v>63</v>
      </c>
      <c r="L74" t="s">
        <v>1163</v>
      </c>
      <c r="M74">
        <v>1</v>
      </c>
      <c r="N74" t="s">
        <v>1165</v>
      </c>
      <c r="O74" t="str">
        <f t="shared" si="1"/>
        <v>[{"id":14,"num":80},{"id":5,"num":655},{"id":63,"num":1}]</v>
      </c>
    </row>
    <row r="75" spans="1:15" ht="16.5" x14ac:dyDescent="0.15">
      <c r="A75" s="3">
        <f>Sheet1!A877</f>
        <v>1501074</v>
      </c>
      <c r="B75" t="s">
        <v>1162</v>
      </c>
      <c r="C75">
        <v>14</v>
      </c>
      <c r="D75" t="s">
        <v>1163</v>
      </c>
      <c r="E75">
        <v>80</v>
      </c>
      <c r="F75" t="s">
        <v>1164</v>
      </c>
      <c r="G75">
        <v>5</v>
      </c>
      <c r="H75" t="s">
        <v>1163</v>
      </c>
      <c r="I75">
        <v>660</v>
      </c>
      <c r="J75" t="s">
        <v>1164</v>
      </c>
      <c r="K75">
        <v>63</v>
      </c>
      <c r="L75" t="s">
        <v>1163</v>
      </c>
      <c r="M75">
        <v>1</v>
      </c>
      <c r="N75" t="s">
        <v>1165</v>
      </c>
      <c r="O75" t="str">
        <f t="shared" si="1"/>
        <v>[{"id":14,"num":80},{"id":5,"num":660},{"id":63,"num":1}]</v>
      </c>
    </row>
    <row r="76" spans="1:15" ht="16.5" x14ac:dyDescent="0.15">
      <c r="A76" s="3">
        <f>Sheet1!A878</f>
        <v>1501075</v>
      </c>
      <c r="B76" t="s">
        <v>1162</v>
      </c>
      <c r="C76">
        <v>14</v>
      </c>
      <c r="D76" t="s">
        <v>1163</v>
      </c>
      <c r="E76">
        <v>80</v>
      </c>
      <c r="F76" t="s">
        <v>1164</v>
      </c>
      <c r="G76">
        <v>5</v>
      </c>
      <c r="H76" t="s">
        <v>1163</v>
      </c>
      <c r="I76">
        <v>665</v>
      </c>
      <c r="J76" t="s">
        <v>1164</v>
      </c>
      <c r="K76">
        <v>63</v>
      </c>
      <c r="L76" t="s">
        <v>1163</v>
      </c>
      <c r="M76">
        <v>1</v>
      </c>
      <c r="N76" t="s">
        <v>1165</v>
      </c>
      <c r="O76" t="str">
        <f t="shared" si="1"/>
        <v>[{"id":14,"num":80},{"id":5,"num":665},{"id":63,"num":1}]</v>
      </c>
    </row>
    <row r="77" spans="1:15" ht="16.5" x14ac:dyDescent="0.15">
      <c r="A77" s="3">
        <f>Sheet1!A879</f>
        <v>1501076</v>
      </c>
      <c r="B77" t="s">
        <v>1162</v>
      </c>
      <c r="C77">
        <v>14</v>
      </c>
      <c r="D77" t="s">
        <v>1163</v>
      </c>
      <c r="E77">
        <v>80</v>
      </c>
      <c r="F77" t="s">
        <v>1164</v>
      </c>
      <c r="G77">
        <v>5</v>
      </c>
      <c r="H77" t="s">
        <v>1163</v>
      </c>
      <c r="I77">
        <v>670</v>
      </c>
      <c r="J77" t="s">
        <v>1164</v>
      </c>
      <c r="K77">
        <v>63</v>
      </c>
      <c r="L77" t="s">
        <v>1163</v>
      </c>
      <c r="M77">
        <v>2</v>
      </c>
      <c r="N77" t="s">
        <v>1165</v>
      </c>
      <c r="O77" t="str">
        <f t="shared" si="1"/>
        <v>[{"id":14,"num":80},{"id":5,"num":670},{"id":63,"num":2}]</v>
      </c>
    </row>
    <row r="78" spans="1:15" ht="16.5" x14ac:dyDescent="0.15">
      <c r="A78" s="3">
        <f>Sheet1!A880</f>
        <v>1501077</v>
      </c>
      <c r="B78" t="s">
        <v>1162</v>
      </c>
      <c r="C78">
        <v>14</v>
      </c>
      <c r="D78" t="s">
        <v>1163</v>
      </c>
      <c r="E78">
        <v>80</v>
      </c>
      <c r="F78" t="s">
        <v>1164</v>
      </c>
      <c r="G78">
        <v>5</v>
      </c>
      <c r="H78" t="s">
        <v>1163</v>
      </c>
      <c r="I78">
        <v>675</v>
      </c>
      <c r="J78" t="s">
        <v>1164</v>
      </c>
      <c r="K78">
        <v>63</v>
      </c>
      <c r="L78" t="s">
        <v>1163</v>
      </c>
      <c r="M78">
        <v>2</v>
      </c>
      <c r="N78" t="s">
        <v>1165</v>
      </c>
      <c r="O78" t="str">
        <f t="shared" si="1"/>
        <v>[{"id":14,"num":80},{"id":5,"num":675},{"id":63,"num":2}]</v>
      </c>
    </row>
    <row r="79" spans="1:15" ht="16.5" x14ac:dyDescent="0.15">
      <c r="A79" s="3">
        <f>Sheet1!A881</f>
        <v>1501078</v>
      </c>
      <c r="B79" t="s">
        <v>1162</v>
      </c>
      <c r="C79">
        <v>14</v>
      </c>
      <c r="D79" t="s">
        <v>1163</v>
      </c>
      <c r="E79">
        <v>80</v>
      </c>
      <c r="F79" t="s">
        <v>1164</v>
      </c>
      <c r="G79">
        <v>5</v>
      </c>
      <c r="H79" t="s">
        <v>1163</v>
      </c>
      <c r="I79">
        <v>680</v>
      </c>
      <c r="J79" t="s">
        <v>1164</v>
      </c>
      <c r="K79">
        <v>63</v>
      </c>
      <c r="L79" t="s">
        <v>1163</v>
      </c>
      <c r="M79">
        <v>2</v>
      </c>
      <c r="N79" t="s">
        <v>1165</v>
      </c>
      <c r="O79" t="str">
        <f t="shared" si="1"/>
        <v>[{"id":14,"num":80},{"id":5,"num":680},{"id":63,"num":2}]</v>
      </c>
    </row>
    <row r="80" spans="1:15" ht="16.5" x14ac:dyDescent="0.15">
      <c r="A80" s="3">
        <f>Sheet1!A882</f>
        <v>1501079</v>
      </c>
      <c r="B80" t="s">
        <v>1162</v>
      </c>
      <c r="C80">
        <v>14</v>
      </c>
      <c r="D80" t="s">
        <v>1163</v>
      </c>
      <c r="E80">
        <v>80</v>
      </c>
      <c r="F80" t="s">
        <v>1164</v>
      </c>
      <c r="G80">
        <v>5</v>
      </c>
      <c r="H80" t="s">
        <v>1163</v>
      </c>
      <c r="I80">
        <v>685</v>
      </c>
      <c r="J80" t="s">
        <v>1164</v>
      </c>
      <c r="K80">
        <v>63</v>
      </c>
      <c r="L80" t="s">
        <v>1163</v>
      </c>
      <c r="M80">
        <v>2</v>
      </c>
      <c r="N80" t="s">
        <v>1165</v>
      </c>
      <c r="O80" t="str">
        <f t="shared" si="1"/>
        <v>[{"id":14,"num":80},{"id":5,"num":685},{"id":63,"num":2}]</v>
      </c>
    </row>
    <row r="81" spans="1:15" ht="16.5" x14ac:dyDescent="0.15">
      <c r="A81" s="3">
        <f>Sheet1!A883</f>
        <v>1501080</v>
      </c>
      <c r="B81" t="s">
        <v>1162</v>
      </c>
      <c r="C81">
        <v>14</v>
      </c>
      <c r="D81" t="s">
        <v>1163</v>
      </c>
      <c r="E81">
        <v>80</v>
      </c>
      <c r="F81" t="s">
        <v>1164</v>
      </c>
      <c r="G81">
        <v>5</v>
      </c>
      <c r="H81" t="s">
        <v>1163</v>
      </c>
      <c r="I81">
        <v>690</v>
      </c>
      <c r="J81" t="s">
        <v>1164</v>
      </c>
      <c r="K81">
        <v>63</v>
      </c>
      <c r="L81" t="s">
        <v>1163</v>
      </c>
      <c r="M81">
        <v>2</v>
      </c>
      <c r="N81" t="s">
        <v>1165</v>
      </c>
      <c r="O81" t="str">
        <f t="shared" si="1"/>
        <v>[{"id":14,"num":80},{"id":5,"num":690},{"id":63,"num":2}]</v>
      </c>
    </row>
    <row r="82" spans="1:15" ht="16.5" x14ac:dyDescent="0.15">
      <c r="A82" s="3">
        <f>Sheet1!A884</f>
        <v>1501081</v>
      </c>
      <c r="B82" t="s">
        <v>1162</v>
      </c>
      <c r="C82">
        <v>14</v>
      </c>
      <c r="D82" t="s">
        <v>1163</v>
      </c>
      <c r="E82">
        <v>90</v>
      </c>
      <c r="F82" t="s">
        <v>1164</v>
      </c>
      <c r="G82">
        <v>5</v>
      </c>
      <c r="H82" t="s">
        <v>1163</v>
      </c>
      <c r="I82">
        <v>695</v>
      </c>
      <c r="J82" t="s">
        <v>1164</v>
      </c>
      <c r="K82">
        <v>63</v>
      </c>
      <c r="L82" t="s">
        <v>1163</v>
      </c>
      <c r="M82">
        <v>3</v>
      </c>
      <c r="N82" t="s">
        <v>1165</v>
      </c>
      <c r="O82" t="str">
        <f t="shared" si="1"/>
        <v>[{"id":14,"num":90},{"id":5,"num":695},{"id":63,"num":3}]</v>
      </c>
    </row>
    <row r="83" spans="1:15" ht="16.5" x14ac:dyDescent="0.15">
      <c r="A83" s="3">
        <f>Sheet1!A885</f>
        <v>1501082</v>
      </c>
      <c r="B83" t="s">
        <v>1162</v>
      </c>
      <c r="C83">
        <v>14</v>
      </c>
      <c r="D83" t="s">
        <v>1163</v>
      </c>
      <c r="E83">
        <v>90</v>
      </c>
      <c r="F83" t="s">
        <v>1164</v>
      </c>
      <c r="G83">
        <v>5</v>
      </c>
      <c r="H83" t="s">
        <v>1163</v>
      </c>
      <c r="I83">
        <v>700</v>
      </c>
      <c r="J83" t="s">
        <v>1164</v>
      </c>
      <c r="K83">
        <v>63</v>
      </c>
      <c r="L83" t="s">
        <v>1163</v>
      </c>
      <c r="M83">
        <v>3</v>
      </c>
      <c r="N83" t="s">
        <v>1165</v>
      </c>
      <c r="O83" t="str">
        <f t="shared" si="1"/>
        <v>[{"id":14,"num":90},{"id":5,"num":700},{"id":63,"num":3}]</v>
      </c>
    </row>
    <row r="84" spans="1:15" ht="16.5" x14ac:dyDescent="0.15">
      <c r="A84" s="3">
        <f>Sheet1!A886</f>
        <v>1501083</v>
      </c>
      <c r="B84" t="s">
        <v>1162</v>
      </c>
      <c r="C84">
        <v>14</v>
      </c>
      <c r="D84" t="s">
        <v>1163</v>
      </c>
      <c r="E84">
        <v>90</v>
      </c>
      <c r="F84" t="s">
        <v>1164</v>
      </c>
      <c r="G84">
        <v>5</v>
      </c>
      <c r="H84" t="s">
        <v>1163</v>
      </c>
      <c r="I84">
        <v>705</v>
      </c>
      <c r="J84" t="s">
        <v>1164</v>
      </c>
      <c r="K84">
        <v>63</v>
      </c>
      <c r="L84" t="s">
        <v>1163</v>
      </c>
      <c r="M84">
        <v>3</v>
      </c>
      <c r="N84" t="s">
        <v>1165</v>
      </c>
      <c r="O84" t="str">
        <f t="shared" si="1"/>
        <v>[{"id":14,"num":90},{"id":5,"num":705},{"id":63,"num":3}]</v>
      </c>
    </row>
    <row r="85" spans="1:15" ht="16.5" x14ac:dyDescent="0.15">
      <c r="A85" s="3">
        <f>Sheet1!A887</f>
        <v>1501084</v>
      </c>
      <c r="B85" t="s">
        <v>1162</v>
      </c>
      <c r="C85">
        <v>14</v>
      </c>
      <c r="D85" t="s">
        <v>1163</v>
      </c>
      <c r="E85">
        <v>90</v>
      </c>
      <c r="F85" t="s">
        <v>1164</v>
      </c>
      <c r="G85">
        <v>5</v>
      </c>
      <c r="H85" t="s">
        <v>1163</v>
      </c>
      <c r="I85">
        <v>710</v>
      </c>
      <c r="J85" t="s">
        <v>1164</v>
      </c>
      <c r="K85">
        <v>63</v>
      </c>
      <c r="L85" t="s">
        <v>1163</v>
      </c>
      <c r="M85">
        <v>3</v>
      </c>
      <c r="N85" t="s">
        <v>1165</v>
      </c>
      <c r="O85" t="str">
        <f t="shared" si="1"/>
        <v>[{"id":14,"num":90},{"id":5,"num":710},{"id":63,"num":3}]</v>
      </c>
    </row>
    <row r="86" spans="1:15" ht="16.5" x14ac:dyDescent="0.15">
      <c r="A86" s="3">
        <f>Sheet1!A888</f>
        <v>1501085</v>
      </c>
      <c r="B86" t="s">
        <v>1162</v>
      </c>
      <c r="C86">
        <v>14</v>
      </c>
      <c r="D86" t="s">
        <v>1163</v>
      </c>
      <c r="E86">
        <v>90</v>
      </c>
      <c r="F86" t="s">
        <v>1164</v>
      </c>
      <c r="G86">
        <v>5</v>
      </c>
      <c r="H86" t="s">
        <v>1163</v>
      </c>
      <c r="I86">
        <v>715</v>
      </c>
      <c r="J86" t="s">
        <v>1164</v>
      </c>
      <c r="K86">
        <v>63</v>
      </c>
      <c r="L86" t="s">
        <v>1163</v>
      </c>
      <c r="M86">
        <v>3</v>
      </c>
      <c r="N86" t="s">
        <v>1165</v>
      </c>
      <c r="O86" t="str">
        <f t="shared" si="1"/>
        <v>[{"id":14,"num":90},{"id":5,"num":715},{"id":63,"num":3}]</v>
      </c>
    </row>
    <row r="87" spans="1:15" ht="16.5" x14ac:dyDescent="0.15">
      <c r="A87" s="3">
        <f>Sheet1!A889</f>
        <v>1501086</v>
      </c>
      <c r="B87" t="s">
        <v>1162</v>
      </c>
      <c r="C87">
        <v>14</v>
      </c>
      <c r="D87" t="s">
        <v>1163</v>
      </c>
      <c r="E87">
        <v>90</v>
      </c>
      <c r="F87" t="s">
        <v>1164</v>
      </c>
      <c r="G87">
        <v>5</v>
      </c>
      <c r="H87" t="s">
        <v>1163</v>
      </c>
      <c r="I87">
        <v>720</v>
      </c>
      <c r="J87" t="s">
        <v>1164</v>
      </c>
      <c r="K87">
        <v>63</v>
      </c>
      <c r="L87" t="s">
        <v>1163</v>
      </c>
      <c r="M87">
        <v>4</v>
      </c>
      <c r="N87" t="s">
        <v>1165</v>
      </c>
      <c r="O87" t="str">
        <f t="shared" si="1"/>
        <v>[{"id":14,"num":90},{"id":5,"num":720},{"id":63,"num":4}]</v>
      </c>
    </row>
    <row r="88" spans="1:15" ht="16.5" x14ac:dyDescent="0.15">
      <c r="A88" s="3">
        <f>Sheet1!A890</f>
        <v>1501087</v>
      </c>
      <c r="B88" t="s">
        <v>1162</v>
      </c>
      <c r="C88">
        <v>14</v>
      </c>
      <c r="D88" t="s">
        <v>1163</v>
      </c>
      <c r="E88">
        <v>90</v>
      </c>
      <c r="F88" t="s">
        <v>1164</v>
      </c>
      <c r="G88">
        <v>5</v>
      </c>
      <c r="H88" t="s">
        <v>1163</v>
      </c>
      <c r="I88">
        <v>725</v>
      </c>
      <c r="J88" t="s">
        <v>1164</v>
      </c>
      <c r="K88">
        <v>63</v>
      </c>
      <c r="L88" t="s">
        <v>1163</v>
      </c>
      <c r="M88">
        <v>4</v>
      </c>
      <c r="N88" t="s">
        <v>1165</v>
      </c>
      <c r="O88" t="str">
        <f t="shared" si="1"/>
        <v>[{"id":14,"num":90},{"id":5,"num":725},{"id":63,"num":4}]</v>
      </c>
    </row>
    <row r="89" spans="1:15" ht="16.5" x14ac:dyDescent="0.15">
      <c r="A89" s="3">
        <f>Sheet1!A891</f>
        <v>1501088</v>
      </c>
      <c r="B89" t="s">
        <v>1162</v>
      </c>
      <c r="C89">
        <v>14</v>
      </c>
      <c r="D89" t="s">
        <v>1163</v>
      </c>
      <c r="E89">
        <v>90</v>
      </c>
      <c r="F89" t="s">
        <v>1164</v>
      </c>
      <c r="G89">
        <v>5</v>
      </c>
      <c r="H89" t="s">
        <v>1163</v>
      </c>
      <c r="I89">
        <v>730</v>
      </c>
      <c r="J89" t="s">
        <v>1164</v>
      </c>
      <c r="K89">
        <v>63</v>
      </c>
      <c r="L89" t="s">
        <v>1163</v>
      </c>
      <c r="M89">
        <v>4</v>
      </c>
      <c r="N89" t="s">
        <v>1165</v>
      </c>
      <c r="O89" t="str">
        <f t="shared" si="1"/>
        <v>[{"id":14,"num":90},{"id":5,"num":730},{"id":63,"num":4}]</v>
      </c>
    </row>
    <row r="90" spans="1:15" ht="16.5" x14ac:dyDescent="0.15">
      <c r="A90" s="3">
        <f>Sheet1!A892</f>
        <v>1501089</v>
      </c>
      <c r="B90" t="s">
        <v>1162</v>
      </c>
      <c r="C90">
        <v>14</v>
      </c>
      <c r="D90" t="s">
        <v>1163</v>
      </c>
      <c r="E90">
        <v>90</v>
      </c>
      <c r="F90" t="s">
        <v>1164</v>
      </c>
      <c r="G90">
        <v>5</v>
      </c>
      <c r="H90" t="s">
        <v>1163</v>
      </c>
      <c r="I90">
        <v>735</v>
      </c>
      <c r="J90" t="s">
        <v>1164</v>
      </c>
      <c r="K90">
        <v>63</v>
      </c>
      <c r="L90" t="s">
        <v>1163</v>
      </c>
      <c r="M90">
        <v>4</v>
      </c>
      <c r="N90" t="s">
        <v>1165</v>
      </c>
      <c r="O90" t="str">
        <f t="shared" si="1"/>
        <v>[{"id":14,"num":90},{"id":5,"num":735},{"id":63,"num":4}]</v>
      </c>
    </row>
    <row r="91" spans="1:15" ht="16.5" x14ac:dyDescent="0.15">
      <c r="A91" s="3">
        <f>Sheet1!A893</f>
        <v>1501090</v>
      </c>
      <c r="B91" t="s">
        <v>1162</v>
      </c>
      <c r="C91">
        <v>14</v>
      </c>
      <c r="D91" t="s">
        <v>1163</v>
      </c>
      <c r="E91">
        <v>90</v>
      </c>
      <c r="F91" t="s">
        <v>1164</v>
      </c>
      <c r="G91">
        <v>5</v>
      </c>
      <c r="H91" t="s">
        <v>1163</v>
      </c>
      <c r="I91">
        <v>740</v>
      </c>
      <c r="J91" t="s">
        <v>1164</v>
      </c>
      <c r="K91">
        <v>63</v>
      </c>
      <c r="L91" t="s">
        <v>1163</v>
      </c>
      <c r="M91">
        <v>4</v>
      </c>
      <c r="N91" t="s">
        <v>1165</v>
      </c>
      <c r="O91" t="str">
        <f t="shared" si="1"/>
        <v>[{"id":14,"num":90},{"id":5,"num":740},{"id":63,"num":4}]</v>
      </c>
    </row>
    <row r="92" spans="1:15" ht="16.5" x14ac:dyDescent="0.15">
      <c r="A92" s="3">
        <f>Sheet1!A894</f>
        <v>1501091</v>
      </c>
      <c r="B92" t="s">
        <v>1162</v>
      </c>
      <c r="C92">
        <v>14</v>
      </c>
      <c r="D92" t="s">
        <v>1163</v>
      </c>
      <c r="E92">
        <v>90</v>
      </c>
      <c r="F92" t="s">
        <v>1164</v>
      </c>
      <c r="G92">
        <v>5</v>
      </c>
      <c r="H92" t="s">
        <v>1163</v>
      </c>
      <c r="I92">
        <v>745</v>
      </c>
      <c r="J92" t="s">
        <v>1164</v>
      </c>
      <c r="K92">
        <v>63</v>
      </c>
      <c r="L92" t="s">
        <v>1163</v>
      </c>
      <c r="M92">
        <v>5</v>
      </c>
      <c r="N92" t="s">
        <v>1165</v>
      </c>
      <c r="O92" t="str">
        <f t="shared" si="1"/>
        <v>[{"id":14,"num":90},{"id":5,"num":745},{"id":63,"num":5}]</v>
      </c>
    </row>
    <row r="93" spans="1:15" ht="16.5" x14ac:dyDescent="0.15">
      <c r="A93" s="3">
        <f>Sheet1!A895</f>
        <v>1501092</v>
      </c>
      <c r="B93" t="s">
        <v>1162</v>
      </c>
      <c r="C93">
        <v>14</v>
      </c>
      <c r="D93" t="s">
        <v>1163</v>
      </c>
      <c r="E93">
        <v>90</v>
      </c>
      <c r="F93" t="s">
        <v>1164</v>
      </c>
      <c r="G93">
        <v>5</v>
      </c>
      <c r="H93" t="s">
        <v>1163</v>
      </c>
      <c r="I93">
        <v>750</v>
      </c>
      <c r="J93" t="s">
        <v>1164</v>
      </c>
      <c r="K93">
        <v>63</v>
      </c>
      <c r="L93" t="s">
        <v>1163</v>
      </c>
      <c r="M93">
        <v>5</v>
      </c>
      <c r="N93" t="s">
        <v>1165</v>
      </c>
      <c r="O93" t="str">
        <f t="shared" si="1"/>
        <v>[{"id":14,"num":90},{"id":5,"num":750},{"id":63,"num":5}]</v>
      </c>
    </row>
    <row r="94" spans="1:15" ht="16.5" x14ac:dyDescent="0.15">
      <c r="A94" s="3">
        <f>Sheet1!A896</f>
        <v>1501093</v>
      </c>
      <c r="B94" t="s">
        <v>1162</v>
      </c>
      <c r="C94">
        <v>14</v>
      </c>
      <c r="D94" t="s">
        <v>1163</v>
      </c>
      <c r="E94">
        <v>90</v>
      </c>
      <c r="F94" t="s">
        <v>1164</v>
      </c>
      <c r="G94">
        <v>5</v>
      </c>
      <c r="H94" t="s">
        <v>1163</v>
      </c>
      <c r="I94">
        <v>755</v>
      </c>
      <c r="J94" t="s">
        <v>1164</v>
      </c>
      <c r="K94">
        <v>63</v>
      </c>
      <c r="L94" t="s">
        <v>1163</v>
      </c>
      <c r="M94">
        <v>5</v>
      </c>
      <c r="N94" t="s">
        <v>1165</v>
      </c>
      <c r="O94" t="str">
        <f t="shared" si="1"/>
        <v>[{"id":14,"num":90},{"id":5,"num":755},{"id":63,"num":5}]</v>
      </c>
    </row>
    <row r="95" spans="1:15" ht="16.5" x14ac:dyDescent="0.15">
      <c r="A95" s="3">
        <f>Sheet1!A897</f>
        <v>1501094</v>
      </c>
      <c r="B95" t="s">
        <v>1162</v>
      </c>
      <c r="C95">
        <v>14</v>
      </c>
      <c r="D95" t="s">
        <v>1163</v>
      </c>
      <c r="E95">
        <v>90</v>
      </c>
      <c r="F95" t="s">
        <v>1164</v>
      </c>
      <c r="G95">
        <v>5</v>
      </c>
      <c r="H95" t="s">
        <v>1163</v>
      </c>
      <c r="I95">
        <v>760</v>
      </c>
      <c r="J95" t="s">
        <v>1164</v>
      </c>
      <c r="K95">
        <v>63</v>
      </c>
      <c r="L95" t="s">
        <v>1163</v>
      </c>
      <c r="M95">
        <v>5</v>
      </c>
      <c r="N95" t="s">
        <v>1165</v>
      </c>
      <c r="O95" t="str">
        <f t="shared" si="1"/>
        <v>[{"id":14,"num":90},{"id":5,"num":760},{"id":63,"num":5}]</v>
      </c>
    </row>
    <row r="96" spans="1:15" ht="16.5" x14ac:dyDescent="0.15">
      <c r="A96" s="3">
        <f>Sheet1!A898</f>
        <v>1501095</v>
      </c>
      <c r="B96" t="s">
        <v>1162</v>
      </c>
      <c r="C96">
        <v>14</v>
      </c>
      <c r="D96" t="s">
        <v>1163</v>
      </c>
      <c r="E96">
        <v>90</v>
      </c>
      <c r="F96" t="s">
        <v>1164</v>
      </c>
      <c r="G96">
        <v>5</v>
      </c>
      <c r="H96" t="s">
        <v>1163</v>
      </c>
      <c r="I96">
        <v>765</v>
      </c>
      <c r="J96" t="s">
        <v>1164</v>
      </c>
      <c r="K96">
        <v>63</v>
      </c>
      <c r="L96" t="s">
        <v>1163</v>
      </c>
      <c r="M96">
        <v>5</v>
      </c>
      <c r="N96" t="s">
        <v>1165</v>
      </c>
      <c r="O96" t="str">
        <f t="shared" si="1"/>
        <v>[{"id":14,"num":90},{"id":5,"num":765},{"id":63,"num":5}]</v>
      </c>
    </row>
    <row r="97" spans="1:15" ht="16.5" x14ac:dyDescent="0.15">
      <c r="A97" s="3">
        <f>Sheet1!A899</f>
        <v>1501096</v>
      </c>
      <c r="B97" t="s">
        <v>1162</v>
      </c>
      <c r="C97">
        <v>14</v>
      </c>
      <c r="D97" t="s">
        <v>1163</v>
      </c>
      <c r="E97">
        <v>90</v>
      </c>
      <c r="F97" t="s">
        <v>1164</v>
      </c>
      <c r="G97">
        <v>5</v>
      </c>
      <c r="H97" t="s">
        <v>1163</v>
      </c>
      <c r="I97">
        <v>770</v>
      </c>
      <c r="J97" t="s">
        <v>1164</v>
      </c>
      <c r="K97">
        <v>63</v>
      </c>
      <c r="L97" t="s">
        <v>1163</v>
      </c>
      <c r="M97">
        <v>6</v>
      </c>
      <c r="N97" t="s">
        <v>1165</v>
      </c>
      <c r="O97" t="str">
        <f t="shared" si="1"/>
        <v>[{"id":14,"num":90},{"id":5,"num":770},{"id":63,"num":6}]</v>
      </c>
    </row>
    <row r="98" spans="1:15" ht="16.5" x14ac:dyDescent="0.15">
      <c r="A98" s="3">
        <f>Sheet1!A900</f>
        <v>1501097</v>
      </c>
      <c r="B98" t="s">
        <v>1162</v>
      </c>
      <c r="C98">
        <v>14</v>
      </c>
      <c r="D98" t="s">
        <v>1163</v>
      </c>
      <c r="E98">
        <v>90</v>
      </c>
      <c r="F98" t="s">
        <v>1164</v>
      </c>
      <c r="G98">
        <v>5</v>
      </c>
      <c r="H98" t="s">
        <v>1163</v>
      </c>
      <c r="I98">
        <v>775</v>
      </c>
      <c r="J98" t="s">
        <v>1164</v>
      </c>
      <c r="K98">
        <v>63</v>
      </c>
      <c r="L98" t="s">
        <v>1163</v>
      </c>
      <c r="M98">
        <v>6</v>
      </c>
      <c r="N98" t="s">
        <v>1165</v>
      </c>
      <c r="O98" t="str">
        <f t="shared" si="1"/>
        <v>[{"id":14,"num":90},{"id":5,"num":775},{"id":63,"num":6}]</v>
      </c>
    </row>
    <row r="99" spans="1:15" ht="16.5" x14ac:dyDescent="0.15">
      <c r="A99" s="3">
        <f>Sheet1!A901</f>
        <v>1501098</v>
      </c>
      <c r="B99" t="s">
        <v>1162</v>
      </c>
      <c r="C99">
        <v>14</v>
      </c>
      <c r="D99" t="s">
        <v>1163</v>
      </c>
      <c r="E99">
        <v>90</v>
      </c>
      <c r="F99" t="s">
        <v>1164</v>
      </c>
      <c r="G99">
        <v>5</v>
      </c>
      <c r="H99" t="s">
        <v>1163</v>
      </c>
      <c r="I99">
        <v>780</v>
      </c>
      <c r="J99" t="s">
        <v>1164</v>
      </c>
      <c r="K99">
        <v>63</v>
      </c>
      <c r="L99" t="s">
        <v>1163</v>
      </c>
      <c r="M99">
        <v>6</v>
      </c>
      <c r="N99" t="s">
        <v>1165</v>
      </c>
      <c r="O99" t="str">
        <f t="shared" si="1"/>
        <v>[{"id":14,"num":90},{"id":5,"num":780},{"id":63,"num":6}]</v>
      </c>
    </row>
    <row r="100" spans="1:15" ht="16.5" x14ac:dyDescent="0.15">
      <c r="A100" s="3">
        <f>Sheet1!A902</f>
        <v>1501099</v>
      </c>
      <c r="B100" t="s">
        <v>1162</v>
      </c>
      <c r="C100">
        <v>14</v>
      </c>
      <c r="D100" t="s">
        <v>1163</v>
      </c>
      <c r="E100">
        <v>90</v>
      </c>
      <c r="F100" t="s">
        <v>1164</v>
      </c>
      <c r="G100">
        <v>5</v>
      </c>
      <c r="H100" t="s">
        <v>1163</v>
      </c>
      <c r="I100">
        <v>785</v>
      </c>
      <c r="J100" t="s">
        <v>1164</v>
      </c>
      <c r="K100">
        <v>63</v>
      </c>
      <c r="L100" t="s">
        <v>1163</v>
      </c>
      <c r="M100">
        <v>6</v>
      </c>
      <c r="N100" t="s">
        <v>1165</v>
      </c>
      <c r="O100" t="str">
        <f t="shared" si="1"/>
        <v>[{"id":14,"num":90},{"id":5,"num":785},{"id":63,"num":6}]</v>
      </c>
    </row>
    <row r="101" spans="1:15" ht="16.5" x14ac:dyDescent="0.15">
      <c r="A101" s="3">
        <f>Sheet1!A903</f>
        <v>1501100</v>
      </c>
      <c r="B101" t="s">
        <v>1162</v>
      </c>
      <c r="C101">
        <v>14</v>
      </c>
      <c r="D101" t="s">
        <v>1163</v>
      </c>
      <c r="E101">
        <v>90</v>
      </c>
      <c r="F101" t="s">
        <v>1164</v>
      </c>
      <c r="G101">
        <v>5</v>
      </c>
      <c r="H101" t="s">
        <v>1163</v>
      </c>
      <c r="I101">
        <v>790</v>
      </c>
      <c r="J101" t="s">
        <v>1164</v>
      </c>
      <c r="K101">
        <v>63</v>
      </c>
      <c r="L101" t="s">
        <v>1163</v>
      </c>
      <c r="M101">
        <v>6</v>
      </c>
      <c r="N101" t="s">
        <v>1165</v>
      </c>
      <c r="O101" t="str">
        <f t="shared" si="1"/>
        <v>[{"id":14,"num":90},{"id":5,"num":790},{"id":63,"num":6}]</v>
      </c>
    </row>
    <row r="102" spans="1:15" ht="16.5" x14ac:dyDescent="0.15">
      <c r="A102" s="3">
        <f>Sheet1!A904</f>
        <v>1501101</v>
      </c>
      <c r="B102" t="s">
        <v>1162</v>
      </c>
      <c r="C102">
        <v>14</v>
      </c>
      <c r="D102" t="s">
        <v>1163</v>
      </c>
      <c r="E102">
        <v>100</v>
      </c>
      <c r="F102" t="s">
        <v>1164</v>
      </c>
      <c r="G102">
        <v>5</v>
      </c>
      <c r="H102" t="s">
        <v>1163</v>
      </c>
      <c r="I102">
        <v>795</v>
      </c>
      <c r="J102" t="s">
        <v>1164</v>
      </c>
      <c r="K102">
        <v>63</v>
      </c>
      <c r="L102" t="s">
        <v>1163</v>
      </c>
      <c r="M102">
        <v>7</v>
      </c>
      <c r="N102" t="s">
        <v>1165</v>
      </c>
      <c r="O102" t="str">
        <f t="shared" si="1"/>
        <v>[{"id":14,"num":100},{"id":5,"num":795},{"id":63,"num":7}]</v>
      </c>
    </row>
    <row r="103" spans="1:15" ht="16.5" x14ac:dyDescent="0.15">
      <c r="A103" s="3">
        <f>Sheet1!A905</f>
        <v>1501102</v>
      </c>
      <c r="B103" t="s">
        <v>1162</v>
      </c>
      <c r="C103">
        <v>14</v>
      </c>
      <c r="D103" t="s">
        <v>1163</v>
      </c>
      <c r="E103">
        <v>100</v>
      </c>
      <c r="F103" t="s">
        <v>1164</v>
      </c>
      <c r="G103">
        <v>5</v>
      </c>
      <c r="H103" t="s">
        <v>1163</v>
      </c>
      <c r="I103">
        <v>800</v>
      </c>
      <c r="J103" t="s">
        <v>1164</v>
      </c>
      <c r="K103">
        <v>63</v>
      </c>
      <c r="L103" t="s">
        <v>1163</v>
      </c>
      <c r="M103">
        <v>7</v>
      </c>
      <c r="N103" t="s">
        <v>1165</v>
      </c>
      <c r="O103" t="str">
        <f t="shared" si="1"/>
        <v>[{"id":14,"num":100},{"id":5,"num":800},{"id":63,"num":7}]</v>
      </c>
    </row>
    <row r="104" spans="1:15" ht="16.5" x14ac:dyDescent="0.15">
      <c r="A104" s="3">
        <f>Sheet1!A906</f>
        <v>1501103</v>
      </c>
      <c r="B104" t="s">
        <v>1162</v>
      </c>
      <c r="C104">
        <v>14</v>
      </c>
      <c r="D104" t="s">
        <v>1163</v>
      </c>
      <c r="E104">
        <v>100</v>
      </c>
      <c r="F104" t="s">
        <v>1164</v>
      </c>
      <c r="G104">
        <v>5</v>
      </c>
      <c r="H104" t="s">
        <v>1163</v>
      </c>
      <c r="I104">
        <v>805</v>
      </c>
      <c r="J104" t="s">
        <v>1164</v>
      </c>
      <c r="K104">
        <v>63</v>
      </c>
      <c r="L104" t="s">
        <v>1163</v>
      </c>
      <c r="M104">
        <v>7</v>
      </c>
      <c r="N104" t="s">
        <v>1165</v>
      </c>
      <c r="O104" t="str">
        <f t="shared" si="1"/>
        <v>[{"id":14,"num":100},{"id":5,"num":805},{"id":63,"num":7}]</v>
      </c>
    </row>
    <row r="105" spans="1:15" ht="16.5" x14ac:dyDescent="0.15">
      <c r="A105" s="3">
        <f>Sheet1!A907</f>
        <v>1501104</v>
      </c>
      <c r="B105" t="s">
        <v>1162</v>
      </c>
      <c r="C105">
        <v>14</v>
      </c>
      <c r="D105" t="s">
        <v>1163</v>
      </c>
      <c r="E105">
        <v>100</v>
      </c>
      <c r="F105" t="s">
        <v>1164</v>
      </c>
      <c r="G105">
        <v>5</v>
      </c>
      <c r="H105" t="s">
        <v>1163</v>
      </c>
      <c r="I105">
        <v>810</v>
      </c>
      <c r="J105" t="s">
        <v>1164</v>
      </c>
      <c r="K105">
        <v>63</v>
      </c>
      <c r="L105" t="s">
        <v>1163</v>
      </c>
      <c r="M105">
        <v>7</v>
      </c>
      <c r="N105" t="s">
        <v>1165</v>
      </c>
      <c r="O105" t="str">
        <f t="shared" si="1"/>
        <v>[{"id":14,"num":100},{"id":5,"num":810},{"id":63,"num":7}]</v>
      </c>
    </row>
    <row r="106" spans="1:15" ht="16.5" x14ac:dyDescent="0.15">
      <c r="A106" s="3">
        <f>Sheet1!A908</f>
        <v>1501105</v>
      </c>
      <c r="B106" t="s">
        <v>1162</v>
      </c>
      <c r="C106">
        <v>14</v>
      </c>
      <c r="D106" t="s">
        <v>1163</v>
      </c>
      <c r="E106">
        <v>100</v>
      </c>
      <c r="F106" t="s">
        <v>1164</v>
      </c>
      <c r="G106">
        <v>5</v>
      </c>
      <c r="H106" t="s">
        <v>1163</v>
      </c>
      <c r="I106">
        <v>815</v>
      </c>
      <c r="J106" t="s">
        <v>1164</v>
      </c>
      <c r="K106">
        <v>63</v>
      </c>
      <c r="L106" t="s">
        <v>1163</v>
      </c>
      <c r="M106">
        <v>7</v>
      </c>
      <c r="N106" t="s">
        <v>1165</v>
      </c>
      <c r="O106" t="str">
        <f t="shared" si="1"/>
        <v>[{"id":14,"num":100},{"id":5,"num":815},{"id":63,"num":7}]</v>
      </c>
    </row>
    <row r="107" spans="1:15" ht="16.5" x14ac:dyDescent="0.15">
      <c r="A107" s="3">
        <f>Sheet1!A909</f>
        <v>1501106</v>
      </c>
      <c r="B107" t="s">
        <v>1162</v>
      </c>
      <c r="C107">
        <v>14</v>
      </c>
      <c r="D107" t="s">
        <v>1163</v>
      </c>
      <c r="E107">
        <v>100</v>
      </c>
      <c r="F107" t="s">
        <v>1164</v>
      </c>
      <c r="G107">
        <v>5</v>
      </c>
      <c r="H107" t="s">
        <v>1163</v>
      </c>
      <c r="I107">
        <v>820</v>
      </c>
      <c r="J107" t="s">
        <v>1164</v>
      </c>
      <c r="K107">
        <v>63</v>
      </c>
      <c r="L107" t="s">
        <v>1163</v>
      </c>
      <c r="M107">
        <v>8</v>
      </c>
      <c r="N107" t="s">
        <v>1165</v>
      </c>
      <c r="O107" t="str">
        <f t="shared" si="1"/>
        <v>[{"id":14,"num":100},{"id":5,"num":820},{"id":63,"num":8}]</v>
      </c>
    </row>
    <row r="108" spans="1:15" ht="16.5" x14ac:dyDescent="0.15">
      <c r="A108" s="3">
        <f>Sheet1!A910</f>
        <v>1501107</v>
      </c>
      <c r="B108" t="s">
        <v>1162</v>
      </c>
      <c r="C108">
        <v>14</v>
      </c>
      <c r="D108" t="s">
        <v>1163</v>
      </c>
      <c r="E108">
        <v>100</v>
      </c>
      <c r="F108" t="s">
        <v>1164</v>
      </c>
      <c r="G108">
        <v>5</v>
      </c>
      <c r="H108" t="s">
        <v>1163</v>
      </c>
      <c r="I108">
        <v>825</v>
      </c>
      <c r="J108" t="s">
        <v>1164</v>
      </c>
      <c r="K108">
        <v>63</v>
      </c>
      <c r="L108" t="s">
        <v>1163</v>
      </c>
      <c r="M108">
        <v>8</v>
      </c>
      <c r="N108" t="s">
        <v>1165</v>
      </c>
      <c r="O108" t="str">
        <f t="shared" si="1"/>
        <v>[{"id":14,"num":100},{"id":5,"num":825},{"id":63,"num":8}]</v>
      </c>
    </row>
    <row r="109" spans="1:15" ht="16.5" x14ac:dyDescent="0.15">
      <c r="A109" s="3">
        <f>Sheet1!A911</f>
        <v>1501108</v>
      </c>
      <c r="B109" t="s">
        <v>1162</v>
      </c>
      <c r="C109">
        <v>14</v>
      </c>
      <c r="D109" t="s">
        <v>1163</v>
      </c>
      <c r="E109">
        <v>100</v>
      </c>
      <c r="F109" t="s">
        <v>1164</v>
      </c>
      <c r="G109">
        <v>5</v>
      </c>
      <c r="H109" t="s">
        <v>1163</v>
      </c>
      <c r="I109">
        <v>830</v>
      </c>
      <c r="J109" t="s">
        <v>1164</v>
      </c>
      <c r="K109">
        <v>63</v>
      </c>
      <c r="L109" t="s">
        <v>1163</v>
      </c>
      <c r="M109">
        <v>8</v>
      </c>
      <c r="N109" t="s">
        <v>1165</v>
      </c>
      <c r="O109" t="str">
        <f t="shared" si="1"/>
        <v>[{"id":14,"num":100},{"id":5,"num":830},{"id":63,"num":8}]</v>
      </c>
    </row>
    <row r="110" spans="1:15" ht="16.5" x14ac:dyDescent="0.15">
      <c r="A110" s="3">
        <f>Sheet1!A912</f>
        <v>1501109</v>
      </c>
      <c r="B110" t="s">
        <v>1162</v>
      </c>
      <c r="C110">
        <v>14</v>
      </c>
      <c r="D110" t="s">
        <v>1163</v>
      </c>
      <c r="E110">
        <v>100</v>
      </c>
      <c r="F110" t="s">
        <v>1164</v>
      </c>
      <c r="G110">
        <v>5</v>
      </c>
      <c r="H110" t="s">
        <v>1163</v>
      </c>
      <c r="I110">
        <v>835</v>
      </c>
      <c r="J110" t="s">
        <v>1164</v>
      </c>
      <c r="K110">
        <v>63</v>
      </c>
      <c r="L110" t="s">
        <v>1163</v>
      </c>
      <c r="M110">
        <v>8</v>
      </c>
      <c r="N110" t="s">
        <v>1165</v>
      </c>
      <c r="O110" t="str">
        <f t="shared" si="1"/>
        <v>[{"id":14,"num":100},{"id":5,"num":835},{"id":63,"num":8}]</v>
      </c>
    </row>
    <row r="111" spans="1:15" ht="16.5" x14ac:dyDescent="0.15">
      <c r="A111" s="3">
        <f>Sheet1!A913</f>
        <v>1501110</v>
      </c>
      <c r="B111" t="s">
        <v>1162</v>
      </c>
      <c r="C111">
        <v>14</v>
      </c>
      <c r="D111" t="s">
        <v>1163</v>
      </c>
      <c r="E111">
        <v>100</v>
      </c>
      <c r="F111" t="s">
        <v>1164</v>
      </c>
      <c r="G111">
        <v>5</v>
      </c>
      <c r="H111" t="s">
        <v>1163</v>
      </c>
      <c r="I111">
        <v>840</v>
      </c>
      <c r="J111" t="s">
        <v>1164</v>
      </c>
      <c r="K111">
        <v>63</v>
      </c>
      <c r="L111" t="s">
        <v>1163</v>
      </c>
      <c r="M111">
        <v>8</v>
      </c>
      <c r="N111" t="s">
        <v>1165</v>
      </c>
      <c r="O111" t="str">
        <f t="shared" si="1"/>
        <v>[{"id":14,"num":100},{"id":5,"num":840},{"id":63,"num":8}]</v>
      </c>
    </row>
    <row r="112" spans="1:15" ht="16.5" x14ac:dyDescent="0.15">
      <c r="A112" s="3">
        <f>Sheet1!A914</f>
        <v>1501111</v>
      </c>
      <c r="B112" t="s">
        <v>1162</v>
      </c>
      <c r="C112">
        <v>14</v>
      </c>
      <c r="D112" t="s">
        <v>1163</v>
      </c>
      <c r="E112">
        <v>100</v>
      </c>
      <c r="F112" t="s">
        <v>1164</v>
      </c>
      <c r="G112">
        <v>5</v>
      </c>
      <c r="H112" t="s">
        <v>1163</v>
      </c>
      <c r="I112">
        <v>845</v>
      </c>
      <c r="J112" t="s">
        <v>1164</v>
      </c>
      <c r="K112">
        <v>63</v>
      </c>
      <c r="L112" t="s">
        <v>1163</v>
      </c>
      <c r="M112">
        <v>9</v>
      </c>
      <c r="N112" t="s">
        <v>1165</v>
      </c>
      <c r="O112" t="str">
        <f t="shared" si="1"/>
        <v>[{"id":14,"num":100},{"id":5,"num":845},{"id":63,"num":9}]</v>
      </c>
    </row>
    <row r="113" spans="1:15" ht="16.5" x14ac:dyDescent="0.15">
      <c r="A113" s="3">
        <f>Sheet1!A915</f>
        <v>1501112</v>
      </c>
      <c r="B113" t="s">
        <v>1162</v>
      </c>
      <c r="C113">
        <v>14</v>
      </c>
      <c r="D113" t="s">
        <v>1163</v>
      </c>
      <c r="E113">
        <v>100</v>
      </c>
      <c r="F113" t="s">
        <v>1164</v>
      </c>
      <c r="G113">
        <v>5</v>
      </c>
      <c r="H113" t="s">
        <v>1163</v>
      </c>
      <c r="I113">
        <v>850</v>
      </c>
      <c r="J113" t="s">
        <v>1164</v>
      </c>
      <c r="K113">
        <v>63</v>
      </c>
      <c r="L113" t="s">
        <v>1163</v>
      </c>
      <c r="M113">
        <v>9</v>
      </c>
      <c r="N113" t="s">
        <v>1165</v>
      </c>
      <c r="O113" t="str">
        <f t="shared" si="1"/>
        <v>[{"id":14,"num":100},{"id":5,"num":850},{"id":63,"num":9}]</v>
      </c>
    </row>
    <row r="114" spans="1:15" ht="16.5" x14ac:dyDescent="0.15">
      <c r="A114" s="3">
        <f>Sheet1!A916</f>
        <v>1501113</v>
      </c>
      <c r="B114" t="s">
        <v>1162</v>
      </c>
      <c r="C114">
        <v>14</v>
      </c>
      <c r="D114" t="s">
        <v>1163</v>
      </c>
      <c r="E114">
        <v>100</v>
      </c>
      <c r="F114" t="s">
        <v>1164</v>
      </c>
      <c r="G114">
        <v>5</v>
      </c>
      <c r="H114" t="s">
        <v>1163</v>
      </c>
      <c r="I114">
        <v>855</v>
      </c>
      <c r="J114" t="s">
        <v>1164</v>
      </c>
      <c r="K114">
        <v>63</v>
      </c>
      <c r="L114" t="s">
        <v>1163</v>
      </c>
      <c r="M114">
        <v>9</v>
      </c>
      <c r="N114" t="s">
        <v>1165</v>
      </c>
      <c r="O114" t="str">
        <f t="shared" si="1"/>
        <v>[{"id":14,"num":100},{"id":5,"num":855},{"id":63,"num":9}]</v>
      </c>
    </row>
    <row r="115" spans="1:15" ht="16.5" x14ac:dyDescent="0.15">
      <c r="A115" s="3">
        <f>Sheet1!A917</f>
        <v>1501114</v>
      </c>
      <c r="B115" t="s">
        <v>1162</v>
      </c>
      <c r="C115">
        <v>14</v>
      </c>
      <c r="D115" t="s">
        <v>1163</v>
      </c>
      <c r="E115">
        <v>100</v>
      </c>
      <c r="F115" t="s">
        <v>1164</v>
      </c>
      <c r="G115">
        <v>5</v>
      </c>
      <c r="H115" t="s">
        <v>1163</v>
      </c>
      <c r="I115">
        <v>860</v>
      </c>
      <c r="J115" t="s">
        <v>1164</v>
      </c>
      <c r="K115">
        <v>63</v>
      </c>
      <c r="L115" t="s">
        <v>1163</v>
      </c>
      <c r="M115">
        <v>9</v>
      </c>
      <c r="N115" t="s">
        <v>1165</v>
      </c>
      <c r="O115" t="str">
        <f t="shared" si="1"/>
        <v>[{"id":14,"num":100},{"id":5,"num":860},{"id":63,"num":9}]</v>
      </c>
    </row>
    <row r="116" spans="1:15" ht="16.5" x14ac:dyDescent="0.15">
      <c r="A116" s="3">
        <f>Sheet1!A918</f>
        <v>1501115</v>
      </c>
      <c r="B116" t="s">
        <v>1162</v>
      </c>
      <c r="C116">
        <v>14</v>
      </c>
      <c r="D116" t="s">
        <v>1163</v>
      </c>
      <c r="E116">
        <v>100</v>
      </c>
      <c r="F116" t="s">
        <v>1164</v>
      </c>
      <c r="G116">
        <v>5</v>
      </c>
      <c r="H116" t="s">
        <v>1163</v>
      </c>
      <c r="I116">
        <v>865</v>
      </c>
      <c r="J116" t="s">
        <v>1164</v>
      </c>
      <c r="K116">
        <v>63</v>
      </c>
      <c r="L116" t="s">
        <v>1163</v>
      </c>
      <c r="M116">
        <v>9</v>
      </c>
      <c r="N116" t="s">
        <v>1165</v>
      </c>
      <c r="O116" t="str">
        <f t="shared" si="1"/>
        <v>[{"id":14,"num":100},{"id":5,"num":865},{"id":63,"num":9}]</v>
      </c>
    </row>
    <row r="117" spans="1:15" ht="16.5" x14ac:dyDescent="0.15">
      <c r="A117" s="3">
        <f>Sheet1!A919</f>
        <v>1501116</v>
      </c>
      <c r="B117" t="s">
        <v>1162</v>
      </c>
      <c r="C117">
        <v>14</v>
      </c>
      <c r="D117" t="s">
        <v>1163</v>
      </c>
      <c r="E117">
        <v>100</v>
      </c>
      <c r="F117" t="s">
        <v>1164</v>
      </c>
      <c r="G117">
        <v>5</v>
      </c>
      <c r="H117" t="s">
        <v>1163</v>
      </c>
      <c r="I117">
        <v>870</v>
      </c>
      <c r="J117" t="s">
        <v>1164</v>
      </c>
      <c r="K117">
        <v>63</v>
      </c>
      <c r="L117" t="s">
        <v>1163</v>
      </c>
      <c r="M117">
        <v>10</v>
      </c>
      <c r="N117" t="s">
        <v>1165</v>
      </c>
      <c r="O117" t="str">
        <f t="shared" si="1"/>
        <v>[{"id":14,"num":100},{"id":5,"num":870},{"id":63,"num":10}]</v>
      </c>
    </row>
    <row r="118" spans="1:15" ht="16.5" x14ac:dyDescent="0.15">
      <c r="A118" s="3">
        <f>Sheet1!A920</f>
        <v>1501117</v>
      </c>
      <c r="B118" t="s">
        <v>1162</v>
      </c>
      <c r="C118">
        <v>14</v>
      </c>
      <c r="D118" t="s">
        <v>1163</v>
      </c>
      <c r="E118">
        <v>100</v>
      </c>
      <c r="F118" t="s">
        <v>1164</v>
      </c>
      <c r="G118">
        <v>5</v>
      </c>
      <c r="H118" t="s">
        <v>1163</v>
      </c>
      <c r="I118">
        <v>875</v>
      </c>
      <c r="J118" t="s">
        <v>1164</v>
      </c>
      <c r="K118">
        <v>63</v>
      </c>
      <c r="L118" t="s">
        <v>1163</v>
      </c>
      <c r="M118">
        <v>10</v>
      </c>
      <c r="N118" t="s">
        <v>1165</v>
      </c>
      <c r="O118" t="str">
        <f t="shared" si="1"/>
        <v>[{"id":14,"num":100},{"id":5,"num":875},{"id":63,"num":10}]</v>
      </c>
    </row>
    <row r="119" spans="1:15" ht="16.5" x14ac:dyDescent="0.15">
      <c r="A119" s="3">
        <f>Sheet1!A921</f>
        <v>1501118</v>
      </c>
      <c r="B119" t="s">
        <v>1162</v>
      </c>
      <c r="C119">
        <v>14</v>
      </c>
      <c r="D119" t="s">
        <v>1163</v>
      </c>
      <c r="E119">
        <v>100</v>
      </c>
      <c r="F119" t="s">
        <v>1164</v>
      </c>
      <c r="G119">
        <v>5</v>
      </c>
      <c r="H119" t="s">
        <v>1163</v>
      </c>
      <c r="I119">
        <v>880</v>
      </c>
      <c r="J119" t="s">
        <v>1164</v>
      </c>
      <c r="K119">
        <v>63</v>
      </c>
      <c r="L119" t="s">
        <v>1163</v>
      </c>
      <c r="M119">
        <v>10</v>
      </c>
      <c r="N119" t="s">
        <v>1165</v>
      </c>
      <c r="O119" t="str">
        <f t="shared" si="1"/>
        <v>[{"id":14,"num":100},{"id":5,"num":880},{"id":63,"num":10}]</v>
      </c>
    </row>
    <row r="120" spans="1:15" ht="16.5" x14ac:dyDescent="0.15">
      <c r="A120" s="3">
        <f>Sheet1!A922</f>
        <v>1501119</v>
      </c>
      <c r="B120" t="s">
        <v>1162</v>
      </c>
      <c r="C120">
        <v>14</v>
      </c>
      <c r="D120" t="s">
        <v>1163</v>
      </c>
      <c r="E120">
        <v>100</v>
      </c>
      <c r="F120" t="s">
        <v>1164</v>
      </c>
      <c r="G120">
        <v>5</v>
      </c>
      <c r="H120" t="s">
        <v>1163</v>
      </c>
      <c r="I120">
        <v>885</v>
      </c>
      <c r="J120" t="s">
        <v>1164</v>
      </c>
      <c r="K120">
        <v>63</v>
      </c>
      <c r="L120" t="s">
        <v>1163</v>
      </c>
      <c r="M120">
        <v>10</v>
      </c>
      <c r="N120" t="s">
        <v>1165</v>
      </c>
      <c r="O120" t="str">
        <f t="shared" si="1"/>
        <v>[{"id":14,"num":100},{"id":5,"num":885},{"id":63,"num":10}]</v>
      </c>
    </row>
    <row r="121" spans="1:15" ht="16.5" x14ac:dyDescent="0.15">
      <c r="A121" s="3">
        <f>Sheet1!A923</f>
        <v>1501120</v>
      </c>
      <c r="B121" t="s">
        <v>1162</v>
      </c>
      <c r="C121">
        <v>14</v>
      </c>
      <c r="D121" t="s">
        <v>1163</v>
      </c>
      <c r="E121">
        <v>100</v>
      </c>
      <c r="F121" t="s">
        <v>1164</v>
      </c>
      <c r="G121">
        <v>5</v>
      </c>
      <c r="H121" t="s">
        <v>1163</v>
      </c>
      <c r="I121">
        <v>890</v>
      </c>
      <c r="J121" t="s">
        <v>1164</v>
      </c>
      <c r="K121">
        <v>63</v>
      </c>
      <c r="L121" t="s">
        <v>1163</v>
      </c>
      <c r="M121">
        <v>10</v>
      </c>
      <c r="N121" t="s">
        <v>1165</v>
      </c>
      <c r="O121" t="str">
        <f t="shared" si="1"/>
        <v>[{"id":14,"num":100},{"id":5,"num":890},{"id":63,"num":10}]</v>
      </c>
    </row>
    <row r="122" spans="1:15" ht="16.5" x14ac:dyDescent="0.15">
      <c r="A122" s="3"/>
    </row>
    <row r="123" spans="1:15" ht="16.5" x14ac:dyDescent="0.15">
      <c r="A123" s="3"/>
    </row>
    <row r="124" spans="1:15" ht="16.5" x14ac:dyDescent="0.15">
      <c r="A124" s="3"/>
    </row>
    <row r="125" spans="1:15" ht="16.5" x14ac:dyDescent="0.15">
      <c r="A125" s="3"/>
    </row>
    <row r="126" spans="1:15" ht="16.5" x14ac:dyDescent="0.15">
      <c r="A126" s="3"/>
    </row>
    <row r="127" spans="1:15" ht="16.5" x14ac:dyDescent="0.15">
      <c r="A127" s="3"/>
    </row>
    <row r="128" spans="1:15" ht="16.5" x14ac:dyDescent="0.15">
      <c r="A128" s="3"/>
    </row>
    <row r="129" spans="1:1" ht="16.5" x14ac:dyDescent="0.15">
      <c r="A129" s="3"/>
    </row>
    <row r="130" spans="1:1" ht="16.5" x14ac:dyDescent="0.15">
      <c r="A130" s="3"/>
    </row>
    <row r="131" spans="1:1" ht="16.5" x14ac:dyDescent="0.15">
      <c r="A131" s="3"/>
    </row>
    <row r="132" spans="1:1" ht="16.5" x14ac:dyDescent="0.15">
      <c r="A132" s="3"/>
    </row>
    <row r="133" spans="1:1" ht="16.5" x14ac:dyDescent="0.15">
      <c r="A133" s="3"/>
    </row>
    <row r="134" spans="1:1" ht="16.5" x14ac:dyDescent="0.15">
      <c r="A134" s="3"/>
    </row>
    <row r="135" spans="1:1" ht="16.5" x14ac:dyDescent="0.15">
      <c r="A135" s="3"/>
    </row>
    <row r="136" spans="1:1" ht="16.5" x14ac:dyDescent="0.15">
      <c r="A136" s="3"/>
    </row>
    <row r="137" spans="1:1" ht="16.5" x14ac:dyDescent="0.15">
      <c r="A137" s="3"/>
    </row>
    <row r="138" spans="1:1" ht="16.5" x14ac:dyDescent="0.15">
      <c r="A138" s="3"/>
    </row>
    <row r="139" spans="1:1" ht="16.5" x14ac:dyDescent="0.15">
      <c r="A139" s="3"/>
    </row>
    <row r="140" spans="1:1" ht="16.5" x14ac:dyDescent="0.15">
      <c r="A140" s="3"/>
    </row>
    <row r="141" spans="1:1" ht="16.5" x14ac:dyDescent="0.15">
      <c r="A141" s="3"/>
    </row>
    <row r="142" spans="1:1" ht="16.5" x14ac:dyDescent="0.15">
      <c r="A142" s="3"/>
    </row>
    <row r="143" spans="1:1" ht="16.5" x14ac:dyDescent="0.15">
      <c r="A143" s="3"/>
    </row>
    <row r="144" spans="1:1" ht="16.5" x14ac:dyDescent="0.15">
      <c r="A144" s="3"/>
    </row>
    <row r="145" spans="1:1" ht="16.5" x14ac:dyDescent="0.15">
      <c r="A145" s="3"/>
    </row>
    <row r="146" spans="1:1" ht="16.5" x14ac:dyDescent="0.15">
      <c r="A146" s="3"/>
    </row>
    <row r="147" spans="1:1" ht="16.5" x14ac:dyDescent="0.15">
      <c r="A147" s="3"/>
    </row>
    <row r="148" spans="1:1" ht="16.5" x14ac:dyDescent="0.15">
      <c r="A148" s="3"/>
    </row>
    <row r="149" spans="1:1" ht="16.5" x14ac:dyDescent="0.15">
      <c r="A149" s="3"/>
    </row>
    <row r="150" spans="1:1" ht="16.5" x14ac:dyDescent="0.15">
      <c r="A150" s="3"/>
    </row>
    <row r="151" spans="1:1" ht="16.5" x14ac:dyDescent="0.15">
      <c r="A151" s="3"/>
    </row>
    <row r="152" spans="1:1" ht="16.5" x14ac:dyDescent="0.15">
      <c r="A152" s="3"/>
    </row>
    <row r="153" spans="1:1" ht="16.5" x14ac:dyDescent="0.15">
      <c r="A153" s="3"/>
    </row>
    <row r="154" spans="1:1" ht="16.5" x14ac:dyDescent="0.15">
      <c r="A154" s="3"/>
    </row>
    <row r="155" spans="1:1" ht="16.5" x14ac:dyDescent="0.15">
      <c r="A155" s="3"/>
    </row>
    <row r="156" spans="1:1" ht="16.5" x14ac:dyDescent="0.15">
      <c r="A156" s="3"/>
    </row>
    <row r="157" spans="1:1" ht="16.5" x14ac:dyDescent="0.15">
      <c r="A157" s="3"/>
    </row>
    <row r="158" spans="1:1" ht="16.5" x14ac:dyDescent="0.15">
      <c r="A158" s="3"/>
    </row>
    <row r="159" spans="1:1" ht="16.5" x14ac:dyDescent="0.15">
      <c r="A159" s="3"/>
    </row>
    <row r="160" spans="1:1" ht="16.5" x14ac:dyDescent="0.15">
      <c r="A160" s="3"/>
    </row>
    <row r="161" spans="1:1" ht="16.5" x14ac:dyDescent="0.15">
      <c r="A161" s="3"/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1"/>
  <sheetViews>
    <sheetView workbookViewId="0">
      <selection activeCell="E47" sqref="E47"/>
    </sheetView>
  </sheetViews>
  <sheetFormatPr defaultColWidth="9" defaultRowHeight="13.5" x14ac:dyDescent="0.15"/>
  <cols>
    <col min="1" max="1" width="9.25"/>
    <col min="15" max="15" width="23.5" customWidth="1"/>
  </cols>
  <sheetData>
    <row r="1" spans="1:15" x14ac:dyDescent="0.15">
      <c r="A1" t="s">
        <v>1158</v>
      </c>
      <c r="C1" t="s">
        <v>1159</v>
      </c>
      <c r="E1" t="s">
        <v>1160</v>
      </c>
      <c r="G1" t="s">
        <v>1159</v>
      </c>
      <c r="I1" t="s">
        <v>1160</v>
      </c>
      <c r="K1" t="s">
        <v>1159</v>
      </c>
      <c r="M1" t="s">
        <v>1160</v>
      </c>
      <c r="O1" t="s">
        <v>1161</v>
      </c>
    </row>
    <row r="2" spans="1:15" ht="16.5" x14ac:dyDescent="0.15">
      <c r="A2" s="3">
        <f>Sheet1!A924</f>
        <v>1601001</v>
      </c>
      <c r="B2" t="s">
        <v>1162</v>
      </c>
      <c r="C2">
        <v>8</v>
      </c>
      <c r="D2" t="s">
        <v>1163</v>
      </c>
      <c r="E2">
        <v>150</v>
      </c>
      <c r="F2" t="s">
        <v>1164</v>
      </c>
      <c r="G2">
        <v>1</v>
      </c>
      <c r="H2" t="s">
        <v>1163</v>
      </c>
      <c r="I2">
        <v>75000</v>
      </c>
      <c r="J2" t="s">
        <v>1164</v>
      </c>
      <c r="K2">
        <v>11</v>
      </c>
      <c r="L2" t="s">
        <v>1163</v>
      </c>
      <c r="M2">
        <v>1</v>
      </c>
      <c r="N2" t="s">
        <v>1165</v>
      </c>
      <c r="O2" t="str">
        <f t="shared" ref="O2:O62" si="0">_xlfn.TEXTJOIN(,TRUE,B2:N2)</f>
        <v>[{"id":8,"num":150},{"id":1,"num":75000},{"id":11,"num":1}]</v>
      </c>
    </row>
    <row r="3" spans="1:15" ht="16.5" x14ac:dyDescent="0.15">
      <c r="A3" s="3">
        <f>Sheet1!A925</f>
        <v>1601002</v>
      </c>
      <c r="B3" t="s">
        <v>1162</v>
      </c>
      <c r="C3">
        <v>8</v>
      </c>
      <c r="D3" t="s">
        <v>1163</v>
      </c>
      <c r="E3">
        <v>160</v>
      </c>
      <c r="F3" t="s">
        <v>1164</v>
      </c>
      <c r="G3">
        <v>1</v>
      </c>
      <c r="H3" t="s">
        <v>1163</v>
      </c>
      <c r="I3">
        <v>80000</v>
      </c>
      <c r="J3" t="s">
        <v>1164</v>
      </c>
      <c r="K3">
        <v>11</v>
      </c>
      <c r="L3" t="s">
        <v>1163</v>
      </c>
      <c r="M3">
        <v>2</v>
      </c>
      <c r="N3" t="s">
        <v>1165</v>
      </c>
      <c r="O3" t="str">
        <f t="shared" si="0"/>
        <v>[{"id":8,"num":160},{"id":1,"num":80000},{"id":11,"num":2}]</v>
      </c>
    </row>
    <row r="4" spans="1:15" ht="16.5" x14ac:dyDescent="0.15">
      <c r="A4" s="3">
        <f>Sheet1!A926</f>
        <v>1601003</v>
      </c>
      <c r="B4" t="s">
        <v>1162</v>
      </c>
      <c r="C4">
        <v>8</v>
      </c>
      <c r="D4" t="s">
        <v>1163</v>
      </c>
      <c r="E4">
        <v>170</v>
      </c>
      <c r="F4" t="s">
        <v>1164</v>
      </c>
      <c r="G4">
        <v>1</v>
      </c>
      <c r="H4" t="s">
        <v>1163</v>
      </c>
      <c r="I4">
        <v>85000</v>
      </c>
      <c r="J4" t="s">
        <v>1164</v>
      </c>
      <c r="K4">
        <v>11</v>
      </c>
      <c r="L4" t="s">
        <v>1163</v>
      </c>
      <c r="M4">
        <v>3</v>
      </c>
      <c r="N4" t="s">
        <v>1165</v>
      </c>
      <c r="O4" t="str">
        <f t="shared" si="0"/>
        <v>[{"id":8,"num":170},{"id":1,"num":85000},{"id":11,"num":3}]</v>
      </c>
    </row>
    <row r="5" spans="1:15" ht="16.5" x14ac:dyDescent="0.15">
      <c r="A5" s="3">
        <f>Sheet1!A927</f>
        <v>1601004</v>
      </c>
      <c r="B5" t="s">
        <v>1162</v>
      </c>
      <c r="C5">
        <v>8</v>
      </c>
      <c r="D5" t="s">
        <v>1163</v>
      </c>
      <c r="E5">
        <v>180</v>
      </c>
      <c r="F5" t="s">
        <v>1164</v>
      </c>
      <c r="G5">
        <v>1</v>
      </c>
      <c r="H5" t="s">
        <v>1163</v>
      </c>
      <c r="I5">
        <v>90000</v>
      </c>
      <c r="J5" t="s">
        <v>1164</v>
      </c>
      <c r="K5">
        <v>11</v>
      </c>
      <c r="L5" t="s">
        <v>1163</v>
      </c>
      <c r="M5">
        <v>4</v>
      </c>
      <c r="N5" t="s">
        <v>1165</v>
      </c>
      <c r="O5" t="str">
        <f t="shared" si="0"/>
        <v>[{"id":8,"num":180},{"id":1,"num":90000},{"id":11,"num":4}]</v>
      </c>
    </row>
    <row r="6" spans="1:15" ht="16.5" x14ac:dyDescent="0.15">
      <c r="A6" s="3">
        <f>Sheet1!A928</f>
        <v>1601005</v>
      </c>
      <c r="B6" t="s">
        <v>1162</v>
      </c>
      <c r="C6">
        <v>8</v>
      </c>
      <c r="D6" t="s">
        <v>1163</v>
      </c>
      <c r="E6">
        <v>190</v>
      </c>
      <c r="F6" t="s">
        <v>1164</v>
      </c>
      <c r="G6">
        <v>1</v>
      </c>
      <c r="H6" t="s">
        <v>1163</v>
      </c>
      <c r="I6">
        <v>95000</v>
      </c>
      <c r="J6" t="s">
        <v>1164</v>
      </c>
      <c r="K6">
        <v>11</v>
      </c>
      <c r="L6" t="s">
        <v>1163</v>
      </c>
      <c r="M6">
        <v>5</v>
      </c>
      <c r="N6" t="s">
        <v>1165</v>
      </c>
      <c r="O6" t="str">
        <f t="shared" si="0"/>
        <v>[{"id":8,"num":190},{"id":1,"num":95000},{"id":11,"num":5}]</v>
      </c>
    </row>
    <row r="7" spans="1:15" ht="16.5" x14ac:dyDescent="0.15">
      <c r="A7" s="3">
        <f>Sheet1!A929</f>
        <v>1601006</v>
      </c>
      <c r="B7" t="s">
        <v>1162</v>
      </c>
      <c r="C7">
        <v>8</v>
      </c>
      <c r="D7" t="s">
        <v>1163</v>
      </c>
      <c r="E7">
        <v>200</v>
      </c>
      <c r="F7" t="s">
        <v>1164</v>
      </c>
      <c r="G7">
        <v>1</v>
      </c>
      <c r="H7" t="s">
        <v>1163</v>
      </c>
      <c r="I7">
        <v>100000</v>
      </c>
      <c r="J7" t="s">
        <v>1164</v>
      </c>
      <c r="K7">
        <v>11</v>
      </c>
      <c r="L7" t="s">
        <v>1163</v>
      </c>
      <c r="M7">
        <v>6</v>
      </c>
      <c r="N7" t="s">
        <v>1165</v>
      </c>
      <c r="O7" t="str">
        <f t="shared" si="0"/>
        <v>[{"id":8,"num":200},{"id":1,"num":100000},{"id":11,"num":6}]</v>
      </c>
    </row>
    <row r="8" spans="1:15" ht="16.5" x14ac:dyDescent="0.15">
      <c r="A8" s="3">
        <f>Sheet1!A930</f>
        <v>1601007</v>
      </c>
      <c r="B8" t="s">
        <v>1162</v>
      </c>
      <c r="C8">
        <v>8</v>
      </c>
      <c r="D8" t="s">
        <v>1163</v>
      </c>
      <c r="E8">
        <v>210</v>
      </c>
      <c r="F8" t="s">
        <v>1164</v>
      </c>
      <c r="G8">
        <v>1</v>
      </c>
      <c r="H8" t="s">
        <v>1163</v>
      </c>
      <c r="I8">
        <v>105000</v>
      </c>
      <c r="J8" t="s">
        <v>1164</v>
      </c>
      <c r="K8">
        <v>11</v>
      </c>
      <c r="L8" t="s">
        <v>1163</v>
      </c>
      <c r="M8">
        <v>7</v>
      </c>
      <c r="N8" t="s">
        <v>1165</v>
      </c>
      <c r="O8" t="str">
        <f t="shared" si="0"/>
        <v>[{"id":8,"num":210},{"id":1,"num":105000},{"id":11,"num":7}]</v>
      </c>
    </row>
    <row r="9" spans="1:15" ht="16.5" x14ac:dyDescent="0.15">
      <c r="A9" s="3">
        <f>Sheet1!A931</f>
        <v>1601008</v>
      </c>
      <c r="B9" t="s">
        <v>1162</v>
      </c>
      <c r="C9">
        <v>8</v>
      </c>
      <c r="D9" t="s">
        <v>1163</v>
      </c>
      <c r="E9">
        <v>220</v>
      </c>
      <c r="F9" t="s">
        <v>1164</v>
      </c>
      <c r="G9">
        <v>1</v>
      </c>
      <c r="H9" t="s">
        <v>1163</v>
      </c>
      <c r="I9">
        <v>110000</v>
      </c>
      <c r="J9" t="s">
        <v>1164</v>
      </c>
      <c r="K9">
        <v>11</v>
      </c>
      <c r="L9" t="s">
        <v>1163</v>
      </c>
      <c r="M9">
        <v>8</v>
      </c>
      <c r="N9" t="s">
        <v>1165</v>
      </c>
      <c r="O9" t="str">
        <f t="shared" si="0"/>
        <v>[{"id":8,"num":220},{"id":1,"num":110000},{"id":11,"num":8}]</v>
      </c>
    </row>
    <row r="10" spans="1:15" ht="16.5" x14ac:dyDescent="0.15">
      <c r="A10" s="3">
        <f>Sheet1!A932</f>
        <v>1601009</v>
      </c>
      <c r="B10" t="s">
        <v>1162</v>
      </c>
      <c r="C10">
        <v>8</v>
      </c>
      <c r="D10" t="s">
        <v>1163</v>
      </c>
      <c r="E10">
        <v>230</v>
      </c>
      <c r="F10" t="s">
        <v>1164</v>
      </c>
      <c r="G10">
        <v>1</v>
      </c>
      <c r="H10" t="s">
        <v>1163</v>
      </c>
      <c r="I10">
        <v>115000</v>
      </c>
      <c r="J10" t="s">
        <v>1164</v>
      </c>
      <c r="K10">
        <v>11</v>
      </c>
      <c r="L10" t="s">
        <v>1163</v>
      </c>
      <c r="M10">
        <v>9</v>
      </c>
      <c r="N10" t="s">
        <v>1165</v>
      </c>
      <c r="O10" t="str">
        <f t="shared" si="0"/>
        <v>[{"id":8,"num":230},{"id":1,"num":115000},{"id":11,"num":9}]</v>
      </c>
    </row>
    <row r="11" spans="1:15" ht="16.5" x14ac:dyDescent="0.15">
      <c r="A11" s="3">
        <f>Sheet1!A933</f>
        <v>1601010</v>
      </c>
      <c r="B11" t="s">
        <v>1162</v>
      </c>
      <c r="C11">
        <v>8</v>
      </c>
      <c r="D11" t="s">
        <v>1163</v>
      </c>
      <c r="E11">
        <v>240</v>
      </c>
      <c r="F11" t="s">
        <v>1164</v>
      </c>
      <c r="G11">
        <v>1</v>
      </c>
      <c r="H11" t="s">
        <v>1163</v>
      </c>
      <c r="I11">
        <v>120000</v>
      </c>
      <c r="J11" t="s">
        <v>1164</v>
      </c>
      <c r="K11">
        <v>11</v>
      </c>
      <c r="L11" t="s">
        <v>1163</v>
      </c>
      <c r="M11">
        <v>10</v>
      </c>
      <c r="N11" t="s">
        <v>1165</v>
      </c>
      <c r="O11" t="str">
        <f t="shared" si="0"/>
        <v>[{"id":8,"num":240},{"id":1,"num":120000},{"id":11,"num":10}]</v>
      </c>
    </row>
    <row r="12" spans="1:15" ht="16.5" x14ac:dyDescent="0.15">
      <c r="A12" s="3">
        <f>Sheet1!A934</f>
        <v>1601011</v>
      </c>
      <c r="B12" t="s">
        <v>1162</v>
      </c>
      <c r="C12">
        <v>8</v>
      </c>
      <c r="D12" t="s">
        <v>1163</v>
      </c>
      <c r="E12">
        <v>250</v>
      </c>
      <c r="F12" t="s">
        <v>1164</v>
      </c>
      <c r="G12">
        <v>1</v>
      </c>
      <c r="H12" t="s">
        <v>1163</v>
      </c>
      <c r="I12">
        <v>125000</v>
      </c>
      <c r="J12" t="s">
        <v>1164</v>
      </c>
      <c r="K12">
        <v>11</v>
      </c>
      <c r="L12" t="s">
        <v>1163</v>
      </c>
      <c r="M12">
        <v>11</v>
      </c>
      <c r="N12" t="s">
        <v>1165</v>
      </c>
      <c r="O12" t="str">
        <f t="shared" si="0"/>
        <v>[{"id":8,"num":250},{"id":1,"num":125000},{"id":11,"num":11}]</v>
      </c>
    </row>
    <row r="13" spans="1:15" ht="16.5" x14ac:dyDescent="0.15">
      <c r="A13" s="3">
        <f>Sheet1!A935</f>
        <v>1601012</v>
      </c>
      <c r="B13" t="s">
        <v>1162</v>
      </c>
      <c r="C13">
        <v>8</v>
      </c>
      <c r="D13" t="s">
        <v>1163</v>
      </c>
      <c r="E13">
        <v>260</v>
      </c>
      <c r="F13" t="s">
        <v>1164</v>
      </c>
      <c r="G13">
        <v>1</v>
      </c>
      <c r="H13" t="s">
        <v>1163</v>
      </c>
      <c r="I13">
        <v>130000</v>
      </c>
      <c r="J13" t="s">
        <v>1164</v>
      </c>
      <c r="K13">
        <v>11</v>
      </c>
      <c r="L13" t="s">
        <v>1163</v>
      </c>
      <c r="M13">
        <v>12</v>
      </c>
      <c r="N13" t="s">
        <v>1165</v>
      </c>
      <c r="O13" t="str">
        <f t="shared" si="0"/>
        <v>[{"id":8,"num":260},{"id":1,"num":130000},{"id":11,"num":12}]</v>
      </c>
    </row>
    <row r="14" spans="1:15" ht="16.5" x14ac:dyDescent="0.15">
      <c r="A14" s="3">
        <f>Sheet1!A936</f>
        <v>1601013</v>
      </c>
      <c r="B14" t="s">
        <v>1162</v>
      </c>
      <c r="C14">
        <v>8</v>
      </c>
      <c r="D14" t="s">
        <v>1163</v>
      </c>
      <c r="E14">
        <v>270</v>
      </c>
      <c r="F14" t="s">
        <v>1164</v>
      </c>
      <c r="G14">
        <v>1</v>
      </c>
      <c r="H14" t="s">
        <v>1163</v>
      </c>
      <c r="I14">
        <v>135000</v>
      </c>
      <c r="J14" t="s">
        <v>1164</v>
      </c>
      <c r="K14">
        <v>11</v>
      </c>
      <c r="L14" t="s">
        <v>1163</v>
      </c>
      <c r="M14">
        <v>13</v>
      </c>
      <c r="N14" t="s">
        <v>1165</v>
      </c>
      <c r="O14" t="str">
        <f t="shared" si="0"/>
        <v>[{"id":8,"num":270},{"id":1,"num":135000},{"id":11,"num":13}]</v>
      </c>
    </row>
    <row r="15" spans="1:15" ht="16.5" x14ac:dyDescent="0.15">
      <c r="A15" s="3">
        <f>Sheet1!A937</f>
        <v>1601014</v>
      </c>
      <c r="B15" t="s">
        <v>1162</v>
      </c>
      <c r="C15">
        <v>8</v>
      </c>
      <c r="D15" t="s">
        <v>1163</v>
      </c>
      <c r="E15">
        <v>280</v>
      </c>
      <c r="F15" t="s">
        <v>1164</v>
      </c>
      <c r="G15">
        <v>1</v>
      </c>
      <c r="H15" t="s">
        <v>1163</v>
      </c>
      <c r="I15">
        <v>140000</v>
      </c>
      <c r="J15" t="s">
        <v>1164</v>
      </c>
      <c r="K15">
        <v>11</v>
      </c>
      <c r="L15" t="s">
        <v>1163</v>
      </c>
      <c r="M15">
        <v>14</v>
      </c>
      <c r="N15" t="s">
        <v>1165</v>
      </c>
      <c r="O15" t="str">
        <f t="shared" si="0"/>
        <v>[{"id":8,"num":280},{"id":1,"num":140000},{"id":11,"num":14}]</v>
      </c>
    </row>
    <row r="16" spans="1:15" ht="16.5" x14ac:dyDescent="0.15">
      <c r="A16" s="3">
        <f>Sheet1!A938</f>
        <v>1601015</v>
      </c>
      <c r="B16" t="s">
        <v>1162</v>
      </c>
      <c r="C16">
        <v>8</v>
      </c>
      <c r="D16" t="s">
        <v>1163</v>
      </c>
      <c r="E16">
        <v>290</v>
      </c>
      <c r="F16" t="s">
        <v>1164</v>
      </c>
      <c r="G16">
        <v>1</v>
      </c>
      <c r="H16" t="s">
        <v>1163</v>
      </c>
      <c r="I16">
        <v>145000</v>
      </c>
      <c r="J16" t="s">
        <v>1164</v>
      </c>
      <c r="K16">
        <v>11</v>
      </c>
      <c r="L16" t="s">
        <v>1163</v>
      </c>
      <c r="M16">
        <v>15</v>
      </c>
      <c r="N16" t="s">
        <v>1165</v>
      </c>
      <c r="O16" t="str">
        <f t="shared" si="0"/>
        <v>[{"id":8,"num":290},{"id":1,"num":145000},{"id":11,"num":15}]</v>
      </c>
    </row>
    <row r="17" spans="1:15" ht="16.5" x14ac:dyDescent="0.15">
      <c r="A17" s="3">
        <f>Sheet1!A939</f>
        <v>1601016</v>
      </c>
      <c r="B17" t="s">
        <v>1162</v>
      </c>
      <c r="C17">
        <v>8</v>
      </c>
      <c r="D17" t="s">
        <v>1163</v>
      </c>
      <c r="E17">
        <v>300</v>
      </c>
      <c r="F17" t="s">
        <v>1164</v>
      </c>
      <c r="G17">
        <v>1</v>
      </c>
      <c r="H17" t="s">
        <v>1163</v>
      </c>
      <c r="I17">
        <v>150000</v>
      </c>
      <c r="J17" t="s">
        <v>1164</v>
      </c>
      <c r="K17">
        <v>22</v>
      </c>
      <c r="L17" t="s">
        <v>1163</v>
      </c>
      <c r="M17">
        <v>100</v>
      </c>
      <c r="N17" t="s">
        <v>1165</v>
      </c>
      <c r="O17" t="str">
        <f t="shared" si="0"/>
        <v>[{"id":8,"num":300},{"id":1,"num":150000},{"id":22,"num":100}]</v>
      </c>
    </row>
    <row r="18" spans="1:15" ht="16.5" x14ac:dyDescent="0.15">
      <c r="A18" s="3">
        <f>Sheet1!A940</f>
        <v>1601017</v>
      </c>
      <c r="B18" t="s">
        <v>1162</v>
      </c>
      <c r="C18">
        <v>8</v>
      </c>
      <c r="D18" t="s">
        <v>1163</v>
      </c>
      <c r="E18">
        <v>310</v>
      </c>
      <c r="F18" t="s">
        <v>1164</v>
      </c>
      <c r="G18">
        <v>1</v>
      </c>
      <c r="H18" t="s">
        <v>1163</v>
      </c>
      <c r="I18">
        <v>155000</v>
      </c>
      <c r="J18" t="s">
        <v>1164</v>
      </c>
      <c r="K18">
        <v>22</v>
      </c>
      <c r="L18" t="s">
        <v>1163</v>
      </c>
      <c r="M18">
        <v>150</v>
      </c>
      <c r="N18" t="s">
        <v>1165</v>
      </c>
      <c r="O18" t="str">
        <f t="shared" si="0"/>
        <v>[{"id":8,"num":310},{"id":1,"num":155000},{"id":22,"num":150}]</v>
      </c>
    </row>
    <row r="19" spans="1:15" ht="16.5" x14ac:dyDescent="0.15">
      <c r="A19" s="3">
        <f>Sheet1!A941</f>
        <v>1601018</v>
      </c>
      <c r="B19" t="s">
        <v>1162</v>
      </c>
      <c r="C19">
        <v>8</v>
      </c>
      <c r="D19" t="s">
        <v>1163</v>
      </c>
      <c r="E19">
        <v>320</v>
      </c>
      <c r="F19" t="s">
        <v>1164</v>
      </c>
      <c r="G19">
        <v>1</v>
      </c>
      <c r="H19" t="s">
        <v>1163</v>
      </c>
      <c r="I19">
        <v>160000</v>
      </c>
      <c r="J19" t="s">
        <v>1164</v>
      </c>
      <c r="K19">
        <v>22</v>
      </c>
      <c r="L19" t="s">
        <v>1163</v>
      </c>
      <c r="M19">
        <v>200</v>
      </c>
      <c r="N19" t="s">
        <v>1165</v>
      </c>
      <c r="O19" t="str">
        <f t="shared" si="0"/>
        <v>[{"id":8,"num":320},{"id":1,"num":160000},{"id":22,"num":200}]</v>
      </c>
    </row>
    <row r="20" spans="1:15" ht="16.5" x14ac:dyDescent="0.15">
      <c r="A20" s="3">
        <f>Sheet1!A942</f>
        <v>1601019</v>
      </c>
      <c r="B20" t="s">
        <v>1162</v>
      </c>
      <c r="C20">
        <v>8</v>
      </c>
      <c r="D20" t="s">
        <v>1163</v>
      </c>
      <c r="E20">
        <v>330</v>
      </c>
      <c r="F20" t="s">
        <v>1164</v>
      </c>
      <c r="G20">
        <v>1</v>
      </c>
      <c r="H20" t="s">
        <v>1163</v>
      </c>
      <c r="I20">
        <v>165000</v>
      </c>
      <c r="J20" t="s">
        <v>1164</v>
      </c>
      <c r="K20">
        <v>22</v>
      </c>
      <c r="L20" t="s">
        <v>1163</v>
      </c>
      <c r="M20">
        <v>250</v>
      </c>
      <c r="N20" t="s">
        <v>1165</v>
      </c>
      <c r="O20" t="str">
        <f t="shared" si="0"/>
        <v>[{"id":8,"num":330},{"id":1,"num":165000},{"id":22,"num":250}]</v>
      </c>
    </row>
    <row r="21" spans="1:15" ht="16.5" x14ac:dyDescent="0.15">
      <c r="A21" s="3">
        <f>Sheet1!A943</f>
        <v>1601020</v>
      </c>
      <c r="B21" t="s">
        <v>1162</v>
      </c>
      <c r="C21">
        <v>8</v>
      </c>
      <c r="D21" t="s">
        <v>1163</v>
      </c>
      <c r="E21">
        <v>340</v>
      </c>
      <c r="F21" t="s">
        <v>1164</v>
      </c>
      <c r="G21">
        <v>1</v>
      </c>
      <c r="H21" t="s">
        <v>1163</v>
      </c>
      <c r="I21">
        <v>170000</v>
      </c>
      <c r="J21" t="s">
        <v>1164</v>
      </c>
      <c r="K21">
        <v>64</v>
      </c>
      <c r="L21" t="s">
        <v>1163</v>
      </c>
      <c r="M21">
        <v>12</v>
      </c>
      <c r="N21" t="s">
        <v>1165</v>
      </c>
      <c r="O21" t="str">
        <f t="shared" si="0"/>
        <v>[{"id":8,"num":340},{"id":1,"num":170000},{"id":64,"num":12}]</v>
      </c>
    </row>
    <row r="22" spans="1:15" ht="16.5" x14ac:dyDescent="0.15">
      <c r="A22" s="3">
        <f>Sheet1!A944</f>
        <v>1601021</v>
      </c>
      <c r="B22" t="s">
        <v>1162</v>
      </c>
      <c r="C22">
        <v>8</v>
      </c>
      <c r="D22" t="s">
        <v>1163</v>
      </c>
      <c r="E22">
        <v>350</v>
      </c>
      <c r="F22" t="s">
        <v>1164</v>
      </c>
      <c r="G22">
        <v>1</v>
      </c>
      <c r="H22" t="s">
        <v>1163</v>
      </c>
      <c r="I22">
        <v>175000</v>
      </c>
      <c r="J22" t="s">
        <v>1164</v>
      </c>
      <c r="K22">
        <v>22</v>
      </c>
      <c r="L22" t="s">
        <v>1163</v>
      </c>
      <c r="M22">
        <v>300</v>
      </c>
      <c r="N22" t="s">
        <v>1165</v>
      </c>
      <c r="O22" t="str">
        <f t="shared" si="0"/>
        <v>[{"id":8,"num":350},{"id":1,"num":175000},{"id":22,"num":300}]</v>
      </c>
    </row>
    <row r="23" spans="1:15" ht="16.5" x14ac:dyDescent="0.15">
      <c r="A23" s="3">
        <f>Sheet1!A945</f>
        <v>1601022</v>
      </c>
      <c r="B23" t="s">
        <v>1162</v>
      </c>
      <c r="C23">
        <v>8</v>
      </c>
      <c r="D23" t="s">
        <v>1163</v>
      </c>
      <c r="E23">
        <v>360</v>
      </c>
      <c r="F23" t="s">
        <v>1164</v>
      </c>
      <c r="G23">
        <v>1</v>
      </c>
      <c r="H23" t="s">
        <v>1163</v>
      </c>
      <c r="I23">
        <v>180000</v>
      </c>
      <c r="J23" t="s">
        <v>1164</v>
      </c>
      <c r="K23">
        <v>22</v>
      </c>
      <c r="L23" t="s">
        <v>1163</v>
      </c>
      <c r="M23">
        <v>350</v>
      </c>
      <c r="N23" t="s">
        <v>1165</v>
      </c>
      <c r="O23" t="str">
        <f t="shared" si="0"/>
        <v>[{"id":8,"num":360},{"id":1,"num":180000},{"id":22,"num":350}]</v>
      </c>
    </row>
    <row r="24" spans="1:15" ht="16.5" x14ac:dyDescent="0.15">
      <c r="A24" s="3">
        <f>Sheet1!A946</f>
        <v>1601023</v>
      </c>
      <c r="B24" t="s">
        <v>1162</v>
      </c>
      <c r="C24">
        <v>8</v>
      </c>
      <c r="D24" t="s">
        <v>1163</v>
      </c>
      <c r="E24">
        <v>370</v>
      </c>
      <c r="F24" t="s">
        <v>1164</v>
      </c>
      <c r="G24">
        <v>1</v>
      </c>
      <c r="H24" t="s">
        <v>1163</v>
      </c>
      <c r="I24">
        <v>185000</v>
      </c>
      <c r="J24" t="s">
        <v>1164</v>
      </c>
      <c r="K24">
        <v>22</v>
      </c>
      <c r="L24" t="s">
        <v>1163</v>
      </c>
      <c r="M24">
        <v>400</v>
      </c>
      <c r="N24" t="s">
        <v>1165</v>
      </c>
      <c r="O24" t="str">
        <f t="shared" si="0"/>
        <v>[{"id":8,"num":370},{"id":1,"num":185000},{"id":22,"num":400}]</v>
      </c>
    </row>
    <row r="25" spans="1:15" ht="16.5" x14ac:dyDescent="0.15">
      <c r="A25" s="3">
        <f>Sheet1!A947</f>
        <v>1601024</v>
      </c>
      <c r="B25" t="s">
        <v>1162</v>
      </c>
      <c r="C25">
        <v>8</v>
      </c>
      <c r="D25" t="s">
        <v>1163</v>
      </c>
      <c r="E25">
        <v>380</v>
      </c>
      <c r="F25" t="s">
        <v>1164</v>
      </c>
      <c r="G25">
        <v>1</v>
      </c>
      <c r="H25" t="s">
        <v>1163</v>
      </c>
      <c r="I25">
        <v>190000</v>
      </c>
      <c r="J25" t="s">
        <v>1164</v>
      </c>
      <c r="K25">
        <v>22</v>
      </c>
      <c r="L25" t="s">
        <v>1163</v>
      </c>
      <c r="M25">
        <v>450</v>
      </c>
      <c r="N25" t="s">
        <v>1165</v>
      </c>
      <c r="O25" t="str">
        <f t="shared" si="0"/>
        <v>[{"id":8,"num":380},{"id":1,"num":190000},{"id":22,"num":450}]</v>
      </c>
    </row>
    <row r="26" spans="1:15" ht="16.5" x14ac:dyDescent="0.15">
      <c r="A26" s="3">
        <f>Sheet1!A948</f>
        <v>1601025</v>
      </c>
      <c r="B26" t="s">
        <v>1162</v>
      </c>
      <c r="C26">
        <v>8</v>
      </c>
      <c r="D26" t="s">
        <v>1163</v>
      </c>
      <c r="E26">
        <v>390</v>
      </c>
      <c r="F26" t="s">
        <v>1164</v>
      </c>
      <c r="G26">
        <v>1</v>
      </c>
      <c r="H26" t="s">
        <v>1163</v>
      </c>
      <c r="I26">
        <v>195000</v>
      </c>
      <c r="J26" t="s">
        <v>1164</v>
      </c>
      <c r="K26">
        <v>65</v>
      </c>
      <c r="L26" t="s">
        <v>1163</v>
      </c>
      <c r="M26">
        <v>12</v>
      </c>
      <c r="N26" t="s">
        <v>1165</v>
      </c>
      <c r="O26" t="str">
        <f t="shared" si="0"/>
        <v>[{"id":8,"num":390},{"id":1,"num":195000},{"id":65,"num":12}]</v>
      </c>
    </row>
    <row r="27" spans="1:15" ht="16.5" x14ac:dyDescent="0.15">
      <c r="A27" s="3">
        <f>Sheet1!A949</f>
        <v>1601026</v>
      </c>
      <c r="B27" t="s">
        <v>1162</v>
      </c>
      <c r="C27">
        <v>8</v>
      </c>
      <c r="D27" t="s">
        <v>1163</v>
      </c>
      <c r="E27">
        <v>400</v>
      </c>
      <c r="F27" t="s">
        <v>1164</v>
      </c>
      <c r="G27">
        <v>1</v>
      </c>
      <c r="H27" t="s">
        <v>1163</v>
      </c>
      <c r="I27">
        <v>200000</v>
      </c>
      <c r="J27" t="s">
        <v>1164</v>
      </c>
      <c r="K27">
        <v>22</v>
      </c>
      <c r="L27" t="s">
        <v>1163</v>
      </c>
      <c r="M27">
        <v>500</v>
      </c>
      <c r="N27" t="s">
        <v>1165</v>
      </c>
      <c r="O27" t="str">
        <f t="shared" si="0"/>
        <v>[{"id":8,"num":400},{"id":1,"num":200000},{"id":22,"num":500}]</v>
      </c>
    </row>
    <row r="28" spans="1:15" ht="16.5" x14ac:dyDescent="0.15">
      <c r="A28" s="3">
        <f>Sheet1!A950</f>
        <v>1601027</v>
      </c>
      <c r="B28" t="s">
        <v>1162</v>
      </c>
      <c r="C28">
        <v>8</v>
      </c>
      <c r="D28" t="s">
        <v>1163</v>
      </c>
      <c r="E28">
        <v>410</v>
      </c>
      <c r="F28" t="s">
        <v>1164</v>
      </c>
      <c r="G28">
        <v>1</v>
      </c>
      <c r="H28" t="s">
        <v>1163</v>
      </c>
      <c r="I28">
        <v>205000</v>
      </c>
      <c r="J28" t="s">
        <v>1164</v>
      </c>
      <c r="K28">
        <v>22</v>
      </c>
      <c r="L28" t="s">
        <v>1163</v>
      </c>
      <c r="M28">
        <v>550</v>
      </c>
      <c r="N28" t="s">
        <v>1165</v>
      </c>
      <c r="O28" t="str">
        <f t="shared" si="0"/>
        <v>[{"id":8,"num":410},{"id":1,"num":205000},{"id":22,"num":550}]</v>
      </c>
    </row>
    <row r="29" spans="1:15" ht="16.5" x14ac:dyDescent="0.15">
      <c r="A29" s="3">
        <f>Sheet1!A951</f>
        <v>1601028</v>
      </c>
      <c r="B29" t="s">
        <v>1162</v>
      </c>
      <c r="C29">
        <v>8</v>
      </c>
      <c r="D29" t="s">
        <v>1163</v>
      </c>
      <c r="E29">
        <v>420</v>
      </c>
      <c r="F29" t="s">
        <v>1164</v>
      </c>
      <c r="G29">
        <v>1</v>
      </c>
      <c r="H29" t="s">
        <v>1163</v>
      </c>
      <c r="I29">
        <v>210000</v>
      </c>
      <c r="J29" t="s">
        <v>1164</v>
      </c>
      <c r="K29">
        <v>22</v>
      </c>
      <c r="L29" t="s">
        <v>1163</v>
      </c>
      <c r="M29">
        <v>600</v>
      </c>
      <c r="N29" t="s">
        <v>1165</v>
      </c>
      <c r="O29" t="str">
        <f t="shared" si="0"/>
        <v>[{"id":8,"num":420},{"id":1,"num":210000},{"id":22,"num":600}]</v>
      </c>
    </row>
    <row r="30" spans="1:15" ht="16.5" x14ac:dyDescent="0.15">
      <c r="A30" s="3">
        <f>Sheet1!A952</f>
        <v>1601029</v>
      </c>
      <c r="B30" t="s">
        <v>1162</v>
      </c>
      <c r="C30">
        <v>8</v>
      </c>
      <c r="D30" t="s">
        <v>1163</v>
      </c>
      <c r="E30">
        <v>430</v>
      </c>
      <c r="F30" t="s">
        <v>1164</v>
      </c>
      <c r="G30">
        <v>1</v>
      </c>
      <c r="H30" t="s">
        <v>1163</v>
      </c>
      <c r="I30">
        <v>215000</v>
      </c>
      <c r="J30" t="s">
        <v>1164</v>
      </c>
      <c r="K30">
        <v>22</v>
      </c>
      <c r="L30" t="s">
        <v>1163</v>
      </c>
      <c r="M30">
        <v>650</v>
      </c>
      <c r="N30" t="s">
        <v>1165</v>
      </c>
      <c r="O30" t="str">
        <f t="shared" si="0"/>
        <v>[{"id":8,"num":430},{"id":1,"num":215000},{"id":22,"num":650}]</v>
      </c>
    </row>
    <row r="31" spans="1:15" ht="16.5" x14ac:dyDescent="0.15">
      <c r="A31" s="3">
        <f>Sheet1!A953</f>
        <v>1601030</v>
      </c>
      <c r="B31" t="s">
        <v>1162</v>
      </c>
      <c r="C31">
        <v>8</v>
      </c>
      <c r="D31" t="s">
        <v>1163</v>
      </c>
      <c r="E31">
        <v>440</v>
      </c>
      <c r="F31" t="s">
        <v>1164</v>
      </c>
      <c r="G31">
        <v>1</v>
      </c>
      <c r="H31" t="s">
        <v>1163</v>
      </c>
      <c r="I31">
        <v>220000</v>
      </c>
      <c r="J31" t="s">
        <v>1164</v>
      </c>
      <c r="K31">
        <v>66</v>
      </c>
      <c r="L31" t="s">
        <v>1163</v>
      </c>
      <c r="M31">
        <v>12</v>
      </c>
      <c r="N31" t="s">
        <v>1165</v>
      </c>
      <c r="O31" t="str">
        <f t="shared" si="0"/>
        <v>[{"id":8,"num":440},{"id":1,"num":220000},{"id":66,"num":12}]</v>
      </c>
    </row>
    <row r="32" spans="1:15" ht="16.5" x14ac:dyDescent="0.15">
      <c r="A32" s="3">
        <f>Sheet1!A954</f>
        <v>1601031</v>
      </c>
      <c r="B32" t="s">
        <v>1162</v>
      </c>
      <c r="C32">
        <v>8</v>
      </c>
      <c r="D32" t="s">
        <v>1163</v>
      </c>
      <c r="E32">
        <v>450</v>
      </c>
      <c r="F32" t="s">
        <v>1164</v>
      </c>
      <c r="G32">
        <v>1</v>
      </c>
      <c r="H32" t="s">
        <v>1163</v>
      </c>
      <c r="I32">
        <v>225000</v>
      </c>
      <c r="J32" t="s">
        <v>1164</v>
      </c>
      <c r="K32">
        <v>22</v>
      </c>
      <c r="L32" t="s">
        <v>1163</v>
      </c>
      <c r="M32">
        <v>700</v>
      </c>
      <c r="N32" t="s">
        <v>1165</v>
      </c>
      <c r="O32" t="str">
        <f t="shared" si="0"/>
        <v>[{"id":8,"num":450},{"id":1,"num":225000},{"id":22,"num":700}]</v>
      </c>
    </row>
    <row r="33" spans="1:15" ht="16.5" x14ac:dyDescent="0.15">
      <c r="A33" s="3">
        <f>Sheet1!A955</f>
        <v>1601032</v>
      </c>
      <c r="B33" t="s">
        <v>1162</v>
      </c>
      <c r="C33">
        <v>8</v>
      </c>
      <c r="D33" t="s">
        <v>1163</v>
      </c>
      <c r="E33">
        <v>460</v>
      </c>
      <c r="F33" t="s">
        <v>1164</v>
      </c>
      <c r="G33">
        <v>1</v>
      </c>
      <c r="H33" t="s">
        <v>1163</v>
      </c>
      <c r="I33">
        <v>230000</v>
      </c>
      <c r="J33" t="s">
        <v>1164</v>
      </c>
      <c r="K33">
        <v>22</v>
      </c>
      <c r="L33" t="s">
        <v>1163</v>
      </c>
      <c r="M33">
        <v>750</v>
      </c>
      <c r="N33" t="s">
        <v>1165</v>
      </c>
      <c r="O33" t="str">
        <f t="shared" si="0"/>
        <v>[{"id":8,"num":460},{"id":1,"num":230000},{"id":22,"num":750}]</v>
      </c>
    </row>
    <row r="34" spans="1:15" ht="16.5" x14ac:dyDescent="0.15">
      <c r="A34" s="3">
        <f>Sheet1!A956</f>
        <v>1601033</v>
      </c>
      <c r="B34" t="s">
        <v>1162</v>
      </c>
      <c r="C34">
        <v>8</v>
      </c>
      <c r="D34" t="s">
        <v>1163</v>
      </c>
      <c r="E34">
        <v>470</v>
      </c>
      <c r="F34" t="s">
        <v>1164</v>
      </c>
      <c r="G34">
        <v>1</v>
      </c>
      <c r="H34" t="s">
        <v>1163</v>
      </c>
      <c r="I34">
        <v>235000</v>
      </c>
      <c r="J34" t="s">
        <v>1164</v>
      </c>
      <c r="K34">
        <v>22</v>
      </c>
      <c r="L34" t="s">
        <v>1163</v>
      </c>
      <c r="M34">
        <v>800</v>
      </c>
      <c r="N34" t="s">
        <v>1165</v>
      </c>
      <c r="O34" t="str">
        <f t="shared" si="0"/>
        <v>[{"id":8,"num":470},{"id":1,"num":235000},{"id":22,"num":800}]</v>
      </c>
    </row>
    <row r="35" spans="1:15" ht="16.5" x14ac:dyDescent="0.15">
      <c r="A35" s="3">
        <f>Sheet1!A957</f>
        <v>1601034</v>
      </c>
      <c r="B35" t="s">
        <v>1162</v>
      </c>
      <c r="C35">
        <v>8</v>
      </c>
      <c r="D35" t="s">
        <v>1163</v>
      </c>
      <c r="E35">
        <v>480</v>
      </c>
      <c r="F35" t="s">
        <v>1164</v>
      </c>
      <c r="G35">
        <v>1</v>
      </c>
      <c r="H35" t="s">
        <v>1163</v>
      </c>
      <c r="I35">
        <v>240000</v>
      </c>
      <c r="J35" t="s">
        <v>1164</v>
      </c>
      <c r="K35">
        <v>22</v>
      </c>
      <c r="L35" t="s">
        <v>1163</v>
      </c>
      <c r="M35">
        <v>850</v>
      </c>
      <c r="N35" t="s">
        <v>1165</v>
      </c>
      <c r="O35" t="str">
        <f t="shared" si="0"/>
        <v>[{"id":8,"num":480},{"id":1,"num":240000},{"id":22,"num":850}]</v>
      </c>
    </row>
    <row r="36" spans="1:15" ht="16.5" x14ac:dyDescent="0.15">
      <c r="A36" s="3">
        <f>Sheet1!A958</f>
        <v>1601035</v>
      </c>
      <c r="B36" t="s">
        <v>1162</v>
      </c>
      <c r="C36">
        <v>8</v>
      </c>
      <c r="D36" t="s">
        <v>1163</v>
      </c>
      <c r="E36">
        <v>490</v>
      </c>
      <c r="F36" t="s">
        <v>1164</v>
      </c>
      <c r="G36">
        <v>1</v>
      </c>
      <c r="H36" t="s">
        <v>1163</v>
      </c>
      <c r="I36">
        <v>245000</v>
      </c>
      <c r="J36" t="s">
        <v>1164</v>
      </c>
      <c r="K36">
        <v>67</v>
      </c>
      <c r="L36" t="s">
        <v>1163</v>
      </c>
      <c r="M36">
        <v>12</v>
      </c>
      <c r="N36" t="s">
        <v>1165</v>
      </c>
      <c r="O36" t="str">
        <f t="shared" si="0"/>
        <v>[{"id":8,"num":490},{"id":1,"num":245000},{"id":67,"num":12}]</v>
      </c>
    </row>
    <row r="37" spans="1:15" ht="16.5" x14ac:dyDescent="0.15">
      <c r="A37" s="3">
        <f>Sheet1!A959</f>
        <v>1601036</v>
      </c>
      <c r="B37" t="s">
        <v>1162</v>
      </c>
      <c r="C37">
        <v>8</v>
      </c>
      <c r="D37" t="s">
        <v>1163</v>
      </c>
      <c r="E37">
        <v>500</v>
      </c>
      <c r="F37" t="s">
        <v>1164</v>
      </c>
      <c r="G37">
        <v>1</v>
      </c>
      <c r="H37" t="s">
        <v>1163</v>
      </c>
      <c r="I37">
        <v>250000</v>
      </c>
      <c r="J37" t="s">
        <v>1164</v>
      </c>
      <c r="K37">
        <v>22</v>
      </c>
      <c r="L37" t="s">
        <v>1163</v>
      </c>
      <c r="M37">
        <v>900</v>
      </c>
      <c r="N37" t="s">
        <v>1165</v>
      </c>
      <c r="O37" t="str">
        <f t="shared" si="0"/>
        <v>[{"id":8,"num":500},{"id":1,"num":250000},{"id":22,"num":900}]</v>
      </c>
    </row>
    <row r="38" spans="1:15" ht="16.5" x14ac:dyDescent="0.15">
      <c r="A38" s="3">
        <f>Sheet1!A960</f>
        <v>1601037</v>
      </c>
      <c r="B38" t="s">
        <v>1162</v>
      </c>
      <c r="C38">
        <v>8</v>
      </c>
      <c r="D38" t="s">
        <v>1163</v>
      </c>
      <c r="E38">
        <v>510</v>
      </c>
      <c r="F38" t="s">
        <v>1164</v>
      </c>
      <c r="G38">
        <v>1</v>
      </c>
      <c r="H38" t="s">
        <v>1163</v>
      </c>
      <c r="I38">
        <v>255000</v>
      </c>
      <c r="J38" t="s">
        <v>1164</v>
      </c>
      <c r="K38">
        <v>22</v>
      </c>
      <c r="L38" t="s">
        <v>1163</v>
      </c>
      <c r="M38">
        <v>950</v>
      </c>
      <c r="N38" t="s">
        <v>1165</v>
      </c>
      <c r="O38" t="str">
        <f t="shared" si="0"/>
        <v>[{"id":8,"num":510},{"id":1,"num":255000},{"id":22,"num":950}]</v>
      </c>
    </row>
    <row r="39" spans="1:15" ht="16.5" x14ac:dyDescent="0.15">
      <c r="A39" s="3">
        <f>Sheet1!A961</f>
        <v>1601038</v>
      </c>
      <c r="B39" t="s">
        <v>1162</v>
      </c>
      <c r="C39">
        <v>8</v>
      </c>
      <c r="D39" t="s">
        <v>1163</v>
      </c>
      <c r="E39">
        <v>520</v>
      </c>
      <c r="F39" t="s">
        <v>1164</v>
      </c>
      <c r="G39">
        <v>1</v>
      </c>
      <c r="H39" t="s">
        <v>1163</v>
      </c>
      <c r="I39">
        <v>260000</v>
      </c>
      <c r="J39" t="s">
        <v>1164</v>
      </c>
      <c r="K39">
        <v>22</v>
      </c>
      <c r="L39" t="s">
        <v>1163</v>
      </c>
      <c r="M39">
        <v>1000</v>
      </c>
      <c r="N39" t="s">
        <v>1165</v>
      </c>
      <c r="O39" t="str">
        <f t="shared" si="0"/>
        <v>[{"id":8,"num":520},{"id":1,"num":260000},{"id":22,"num":1000}]</v>
      </c>
    </row>
    <row r="40" spans="1:15" ht="16.5" x14ac:dyDescent="0.15">
      <c r="A40" s="3">
        <f>Sheet1!A962</f>
        <v>1601039</v>
      </c>
      <c r="B40" t="s">
        <v>1162</v>
      </c>
      <c r="C40">
        <v>8</v>
      </c>
      <c r="D40" t="s">
        <v>1163</v>
      </c>
      <c r="E40">
        <v>530</v>
      </c>
      <c r="F40" t="s">
        <v>1164</v>
      </c>
      <c r="G40">
        <v>1</v>
      </c>
      <c r="H40" t="s">
        <v>1163</v>
      </c>
      <c r="I40">
        <v>265000</v>
      </c>
      <c r="J40" t="s">
        <v>1164</v>
      </c>
      <c r="K40">
        <v>22</v>
      </c>
      <c r="L40" t="s">
        <v>1163</v>
      </c>
      <c r="M40">
        <v>1050</v>
      </c>
      <c r="N40" t="s">
        <v>1165</v>
      </c>
      <c r="O40" t="str">
        <f t="shared" si="0"/>
        <v>[{"id":8,"num":530},{"id":1,"num":265000},{"id":22,"num":1050}]</v>
      </c>
    </row>
    <row r="41" spans="1:15" ht="16.5" x14ac:dyDescent="0.15">
      <c r="A41" s="3">
        <f>Sheet1!A963</f>
        <v>1601040</v>
      </c>
      <c r="B41" t="s">
        <v>1162</v>
      </c>
      <c r="C41">
        <v>8</v>
      </c>
      <c r="D41" t="s">
        <v>1163</v>
      </c>
      <c r="E41">
        <v>540</v>
      </c>
      <c r="F41" t="s">
        <v>1164</v>
      </c>
      <c r="G41">
        <v>1</v>
      </c>
      <c r="H41" t="s">
        <v>1163</v>
      </c>
      <c r="I41">
        <v>270000</v>
      </c>
      <c r="J41" t="s">
        <v>1164</v>
      </c>
      <c r="K41">
        <v>68</v>
      </c>
      <c r="L41" t="s">
        <v>1163</v>
      </c>
      <c r="M41">
        <v>12</v>
      </c>
      <c r="N41" t="s">
        <v>1165</v>
      </c>
      <c r="O41" t="str">
        <f t="shared" si="0"/>
        <v>[{"id":8,"num":540},{"id":1,"num":270000},{"id":68,"num":12}]</v>
      </c>
    </row>
    <row r="42" spans="1:15" ht="16.5" x14ac:dyDescent="0.15">
      <c r="A42" s="3">
        <f>Sheet1!A964</f>
        <v>1601041</v>
      </c>
      <c r="B42" t="s">
        <v>1162</v>
      </c>
      <c r="C42">
        <v>8</v>
      </c>
      <c r="D42" t="s">
        <v>1163</v>
      </c>
      <c r="E42">
        <v>550</v>
      </c>
      <c r="F42" t="s">
        <v>1164</v>
      </c>
      <c r="G42">
        <v>1</v>
      </c>
      <c r="H42" t="s">
        <v>1163</v>
      </c>
      <c r="I42">
        <v>275000</v>
      </c>
      <c r="J42" t="s">
        <v>1164</v>
      </c>
      <c r="K42">
        <v>22</v>
      </c>
      <c r="L42" t="s">
        <v>1163</v>
      </c>
      <c r="M42">
        <v>1100</v>
      </c>
      <c r="N42" t="s">
        <v>1165</v>
      </c>
      <c r="O42" t="str">
        <f t="shared" si="0"/>
        <v>[{"id":8,"num":550},{"id":1,"num":275000},{"id":22,"num":1100}]</v>
      </c>
    </row>
    <row r="43" spans="1:15" ht="16.5" x14ac:dyDescent="0.15">
      <c r="A43" s="3">
        <f>Sheet1!A965</f>
        <v>1601042</v>
      </c>
      <c r="B43" t="s">
        <v>1162</v>
      </c>
      <c r="C43">
        <v>8</v>
      </c>
      <c r="D43" t="s">
        <v>1163</v>
      </c>
      <c r="E43">
        <v>560</v>
      </c>
      <c r="F43" t="s">
        <v>1164</v>
      </c>
      <c r="G43">
        <v>1</v>
      </c>
      <c r="H43" t="s">
        <v>1163</v>
      </c>
      <c r="I43">
        <v>280000</v>
      </c>
      <c r="J43" t="s">
        <v>1164</v>
      </c>
      <c r="K43">
        <v>22</v>
      </c>
      <c r="L43" t="s">
        <v>1163</v>
      </c>
      <c r="M43">
        <v>1150</v>
      </c>
      <c r="N43" t="s">
        <v>1165</v>
      </c>
      <c r="O43" t="str">
        <f t="shared" si="0"/>
        <v>[{"id":8,"num":560},{"id":1,"num":280000},{"id":22,"num":1150}]</v>
      </c>
    </row>
    <row r="44" spans="1:15" ht="16.5" x14ac:dyDescent="0.15">
      <c r="A44" s="3">
        <f>Sheet1!A966</f>
        <v>1601043</v>
      </c>
      <c r="B44" t="s">
        <v>1162</v>
      </c>
      <c r="C44">
        <v>8</v>
      </c>
      <c r="D44" t="s">
        <v>1163</v>
      </c>
      <c r="E44">
        <v>570</v>
      </c>
      <c r="F44" t="s">
        <v>1164</v>
      </c>
      <c r="G44">
        <v>1</v>
      </c>
      <c r="H44" t="s">
        <v>1163</v>
      </c>
      <c r="I44">
        <v>285000</v>
      </c>
      <c r="J44" t="s">
        <v>1164</v>
      </c>
      <c r="K44">
        <v>22</v>
      </c>
      <c r="L44" t="s">
        <v>1163</v>
      </c>
      <c r="M44">
        <v>1200</v>
      </c>
      <c r="N44" t="s">
        <v>1165</v>
      </c>
      <c r="O44" t="str">
        <f t="shared" si="0"/>
        <v>[{"id":8,"num":570},{"id":1,"num":285000},{"id":22,"num":1200}]</v>
      </c>
    </row>
    <row r="45" spans="1:15" ht="16.5" x14ac:dyDescent="0.15">
      <c r="A45" s="3">
        <f>Sheet1!A967</f>
        <v>1601044</v>
      </c>
      <c r="B45" t="s">
        <v>1162</v>
      </c>
      <c r="C45">
        <v>8</v>
      </c>
      <c r="D45" t="s">
        <v>1163</v>
      </c>
      <c r="E45">
        <v>580</v>
      </c>
      <c r="F45" t="s">
        <v>1164</v>
      </c>
      <c r="G45">
        <v>1</v>
      </c>
      <c r="H45" t="s">
        <v>1163</v>
      </c>
      <c r="I45">
        <v>290000</v>
      </c>
      <c r="J45" t="s">
        <v>1164</v>
      </c>
      <c r="K45">
        <v>22</v>
      </c>
      <c r="L45" t="s">
        <v>1163</v>
      </c>
      <c r="M45">
        <v>1250</v>
      </c>
      <c r="N45" t="s">
        <v>1165</v>
      </c>
      <c r="O45" t="str">
        <f t="shared" si="0"/>
        <v>[{"id":8,"num":580},{"id":1,"num":290000},{"id":22,"num":1250}]</v>
      </c>
    </row>
    <row r="46" spans="1:15" ht="16.5" x14ac:dyDescent="0.15">
      <c r="A46" s="3">
        <f>Sheet1!A968</f>
        <v>1601045</v>
      </c>
      <c r="B46" t="s">
        <v>1162</v>
      </c>
      <c r="C46">
        <v>8</v>
      </c>
      <c r="D46" t="s">
        <v>1163</v>
      </c>
      <c r="E46">
        <v>590</v>
      </c>
      <c r="F46" t="s">
        <v>1164</v>
      </c>
      <c r="G46">
        <v>1</v>
      </c>
      <c r="H46" t="s">
        <v>1163</v>
      </c>
      <c r="I46">
        <v>295000</v>
      </c>
      <c r="J46" t="s">
        <v>1164</v>
      </c>
      <c r="K46">
        <v>69</v>
      </c>
      <c r="L46" t="s">
        <v>1163</v>
      </c>
      <c r="M46">
        <v>12</v>
      </c>
      <c r="N46" t="s">
        <v>1165</v>
      </c>
      <c r="O46" t="str">
        <f t="shared" si="0"/>
        <v>[{"id":8,"num":590},{"id":1,"num":295000},{"id":69,"num":12}]</v>
      </c>
    </row>
    <row r="47" spans="1:15" ht="16.5" x14ac:dyDescent="0.15">
      <c r="A47" s="3">
        <f>Sheet1!A969</f>
        <v>1601046</v>
      </c>
      <c r="B47" t="s">
        <v>1162</v>
      </c>
      <c r="C47">
        <v>8</v>
      </c>
      <c r="D47" t="s">
        <v>1163</v>
      </c>
      <c r="E47">
        <v>600</v>
      </c>
      <c r="F47" t="s">
        <v>1164</v>
      </c>
      <c r="G47">
        <v>1</v>
      </c>
      <c r="H47" t="s">
        <v>1163</v>
      </c>
      <c r="I47">
        <v>300000</v>
      </c>
      <c r="J47" t="s">
        <v>1164</v>
      </c>
      <c r="K47">
        <v>22</v>
      </c>
      <c r="L47" t="s">
        <v>1163</v>
      </c>
      <c r="M47">
        <v>1300</v>
      </c>
      <c r="N47" t="s">
        <v>1165</v>
      </c>
      <c r="O47" t="str">
        <f t="shared" si="0"/>
        <v>[{"id":8,"num":600},{"id":1,"num":300000},{"id":22,"num":1300}]</v>
      </c>
    </row>
    <row r="48" spans="1:15" ht="16.5" x14ac:dyDescent="0.15">
      <c r="A48" s="3">
        <f>Sheet1!A970</f>
        <v>1601047</v>
      </c>
      <c r="B48" t="s">
        <v>1162</v>
      </c>
      <c r="C48">
        <v>8</v>
      </c>
      <c r="D48" t="s">
        <v>1163</v>
      </c>
      <c r="E48">
        <v>610</v>
      </c>
      <c r="F48" t="s">
        <v>1164</v>
      </c>
      <c r="G48">
        <v>1</v>
      </c>
      <c r="H48" t="s">
        <v>1163</v>
      </c>
      <c r="I48">
        <v>305000</v>
      </c>
      <c r="J48" t="s">
        <v>1164</v>
      </c>
      <c r="K48">
        <v>22</v>
      </c>
      <c r="L48" t="s">
        <v>1163</v>
      </c>
      <c r="M48">
        <v>1350</v>
      </c>
      <c r="N48" t="s">
        <v>1165</v>
      </c>
      <c r="O48" t="str">
        <f t="shared" si="0"/>
        <v>[{"id":8,"num":610},{"id":1,"num":305000},{"id":22,"num":1350}]</v>
      </c>
    </row>
    <row r="49" spans="1:15" ht="16.5" x14ac:dyDescent="0.15">
      <c r="A49" s="3">
        <f>Sheet1!A971</f>
        <v>1601048</v>
      </c>
      <c r="B49" t="s">
        <v>1162</v>
      </c>
      <c r="C49">
        <v>8</v>
      </c>
      <c r="D49" t="s">
        <v>1163</v>
      </c>
      <c r="E49">
        <v>620</v>
      </c>
      <c r="F49" t="s">
        <v>1164</v>
      </c>
      <c r="G49">
        <v>1</v>
      </c>
      <c r="H49" t="s">
        <v>1163</v>
      </c>
      <c r="I49">
        <v>310000</v>
      </c>
      <c r="J49" t="s">
        <v>1164</v>
      </c>
      <c r="K49">
        <v>22</v>
      </c>
      <c r="L49" t="s">
        <v>1163</v>
      </c>
      <c r="M49">
        <v>1400</v>
      </c>
      <c r="N49" t="s">
        <v>1165</v>
      </c>
      <c r="O49" t="str">
        <f t="shared" si="0"/>
        <v>[{"id":8,"num":620},{"id":1,"num":310000},{"id":22,"num":1400}]</v>
      </c>
    </row>
    <row r="50" spans="1:15" ht="16.5" x14ac:dyDescent="0.15">
      <c r="A50" s="3">
        <f>Sheet1!A972</f>
        <v>1601049</v>
      </c>
      <c r="B50" t="s">
        <v>1162</v>
      </c>
      <c r="C50">
        <v>8</v>
      </c>
      <c r="D50" t="s">
        <v>1163</v>
      </c>
      <c r="E50">
        <v>630</v>
      </c>
      <c r="F50" t="s">
        <v>1164</v>
      </c>
      <c r="G50">
        <v>1</v>
      </c>
      <c r="H50" t="s">
        <v>1163</v>
      </c>
      <c r="I50">
        <v>315000</v>
      </c>
      <c r="J50" t="s">
        <v>1164</v>
      </c>
      <c r="K50">
        <v>22</v>
      </c>
      <c r="L50" t="s">
        <v>1163</v>
      </c>
      <c r="M50">
        <v>1450</v>
      </c>
      <c r="N50" t="s">
        <v>1165</v>
      </c>
      <c r="O50" t="str">
        <f t="shared" si="0"/>
        <v>[{"id":8,"num":630},{"id":1,"num":315000},{"id":22,"num":1450}]</v>
      </c>
    </row>
    <row r="51" spans="1:15" ht="16.5" x14ac:dyDescent="0.15">
      <c r="A51" s="3">
        <f>Sheet1!A973</f>
        <v>1601050</v>
      </c>
      <c r="B51" t="s">
        <v>1162</v>
      </c>
      <c r="C51">
        <v>8</v>
      </c>
      <c r="D51" t="s">
        <v>1163</v>
      </c>
      <c r="E51">
        <v>640</v>
      </c>
      <c r="F51" t="s">
        <v>1164</v>
      </c>
      <c r="G51">
        <v>1</v>
      </c>
      <c r="H51" t="s">
        <v>1163</v>
      </c>
      <c r="I51">
        <v>320000</v>
      </c>
      <c r="J51" t="s">
        <v>1164</v>
      </c>
      <c r="K51">
        <v>70</v>
      </c>
      <c r="L51" t="s">
        <v>1163</v>
      </c>
      <c r="M51">
        <v>12</v>
      </c>
      <c r="N51" t="s">
        <v>1165</v>
      </c>
      <c r="O51" t="str">
        <f t="shared" si="0"/>
        <v>[{"id":8,"num":640},{"id":1,"num":320000},{"id":70,"num":12}]</v>
      </c>
    </row>
    <row r="52" spans="1:15" ht="16.5" x14ac:dyDescent="0.15">
      <c r="A52" s="3">
        <f>Sheet1!A974</f>
        <v>1601051</v>
      </c>
      <c r="B52" t="s">
        <v>1162</v>
      </c>
      <c r="C52">
        <v>8</v>
      </c>
      <c r="D52" t="s">
        <v>1163</v>
      </c>
      <c r="E52">
        <v>650</v>
      </c>
      <c r="F52" t="s">
        <v>1164</v>
      </c>
      <c r="G52">
        <v>1</v>
      </c>
      <c r="H52" t="s">
        <v>1163</v>
      </c>
      <c r="I52">
        <v>325000</v>
      </c>
      <c r="J52" t="s">
        <v>1164</v>
      </c>
      <c r="K52">
        <v>22</v>
      </c>
      <c r="L52" t="s">
        <v>1163</v>
      </c>
      <c r="M52">
        <v>1500</v>
      </c>
      <c r="N52" t="s">
        <v>1165</v>
      </c>
      <c r="O52" t="str">
        <f t="shared" si="0"/>
        <v>[{"id":8,"num":650},{"id":1,"num":325000},{"id":22,"num":1500}]</v>
      </c>
    </row>
    <row r="53" spans="1:15" ht="16.5" x14ac:dyDescent="0.15">
      <c r="A53" s="3">
        <f>Sheet1!A975</f>
        <v>1601052</v>
      </c>
      <c r="B53" t="s">
        <v>1162</v>
      </c>
      <c r="C53">
        <v>8</v>
      </c>
      <c r="D53" t="s">
        <v>1163</v>
      </c>
      <c r="E53">
        <v>660</v>
      </c>
      <c r="F53" t="s">
        <v>1164</v>
      </c>
      <c r="G53">
        <v>1</v>
      </c>
      <c r="H53" t="s">
        <v>1163</v>
      </c>
      <c r="I53">
        <v>330000</v>
      </c>
      <c r="J53" t="s">
        <v>1164</v>
      </c>
      <c r="K53">
        <v>22</v>
      </c>
      <c r="L53" t="s">
        <v>1163</v>
      </c>
      <c r="M53">
        <v>1550</v>
      </c>
      <c r="N53" t="s">
        <v>1165</v>
      </c>
      <c r="O53" t="str">
        <f t="shared" si="0"/>
        <v>[{"id":8,"num":660},{"id":1,"num":330000},{"id":22,"num":1550}]</v>
      </c>
    </row>
    <row r="54" spans="1:15" ht="16.5" x14ac:dyDescent="0.15">
      <c r="A54" s="3">
        <f>Sheet1!A976</f>
        <v>1601053</v>
      </c>
      <c r="B54" t="s">
        <v>1162</v>
      </c>
      <c r="C54">
        <v>8</v>
      </c>
      <c r="D54" t="s">
        <v>1163</v>
      </c>
      <c r="E54">
        <v>670</v>
      </c>
      <c r="F54" t="s">
        <v>1164</v>
      </c>
      <c r="G54">
        <v>1</v>
      </c>
      <c r="H54" t="s">
        <v>1163</v>
      </c>
      <c r="I54">
        <v>335000</v>
      </c>
      <c r="J54" t="s">
        <v>1164</v>
      </c>
      <c r="K54">
        <v>22</v>
      </c>
      <c r="L54" t="s">
        <v>1163</v>
      </c>
      <c r="M54">
        <v>1600</v>
      </c>
      <c r="N54" t="s">
        <v>1165</v>
      </c>
      <c r="O54" t="str">
        <f t="shared" si="0"/>
        <v>[{"id":8,"num":670},{"id":1,"num":335000},{"id":22,"num":1600}]</v>
      </c>
    </row>
    <row r="55" spans="1:15" ht="16.5" x14ac:dyDescent="0.15">
      <c r="A55" s="3">
        <f>Sheet1!A977</f>
        <v>1601054</v>
      </c>
      <c r="B55" t="s">
        <v>1162</v>
      </c>
      <c r="C55">
        <v>8</v>
      </c>
      <c r="D55" t="s">
        <v>1163</v>
      </c>
      <c r="E55">
        <v>680</v>
      </c>
      <c r="F55" t="s">
        <v>1164</v>
      </c>
      <c r="G55">
        <v>1</v>
      </c>
      <c r="H55" t="s">
        <v>1163</v>
      </c>
      <c r="I55">
        <v>340000</v>
      </c>
      <c r="J55" t="s">
        <v>1164</v>
      </c>
      <c r="K55">
        <v>22</v>
      </c>
      <c r="L55" t="s">
        <v>1163</v>
      </c>
      <c r="M55">
        <v>1650</v>
      </c>
      <c r="N55" t="s">
        <v>1165</v>
      </c>
      <c r="O55" t="str">
        <f t="shared" si="0"/>
        <v>[{"id":8,"num":680},{"id":1,"num":340000},{"id":22,"num":1650}]</v>
      </c>
    </row>
    <row r="56" spans="1:15" ht="16.5" x14ac:dyDescent="0.15">
      <c r="A56" s="3">
        <f>Sheet1!A978</f>
        <v>1601055</v>
      </c>
      <c r="B56" t="s">
        <v>1162</v>
      </c>
      <c r="C56">
        <v>8</v>
      </c>
      <c r="D56" t="s">
        <v>1163</v>
      </c>
      <c r="E56">
        <v>690</v>
      </c>
      <c r="F56" t="s">
        <v>1164</v>
      </c>
      <c r="G56">
        <v>1</v>
      </c>
      <c r="H56" t="s">
        <v>1163</v>
      </c>
      <c r="I56">
        <v>345000</v>
      </c>
      <c r="J56" t="s">
        <v>1164</v>
      </c>
      <c r="K56">
        <v>88</v>
      </c>
      <c r="L56" t="s">
        <v>1163</v>
      </c>
      <c r="M56">
        <v>12</v>
      </c>
      <c r="N56" t="s">
        <v>1165</v>
      </c>
      <c r="O56" t="str">
        <f t="shared" si="0"/>
        <v>[{"id":8,"num":690},{"id":1,"num":345000},{"id":88,"num":12}]</v>
      </c>
    </row>
    <row r="57" spans="1:15" ht="16.5" x14ac:dyDescent="0.15">
      <c r="A57" s="3">
        <f>Sheet1!A979</f>
        <v>1601056</v>
      </c>
      <c r="B57" t="s">
        <v>1162</v>
      </c>
      <c r="C57">
        <v>8</v>
      </c>
      <c r="D57" t="s">
        <v>1163</v>
      </c>
      <c r="E57">
        <v>700</v>
      </c>
      <c r="F57" t="s">
        <v>1164</v>
      </c>
      <c r="G57">
        <v>1</v>
      </c>
      <c r="H57" t="s">
        <v>1163</v>
      </c>
      <c r="I57">
        <v>350000</v>
      </c>
      <c r="J57" t="s">
        <v>1164</v>
      </c>
      <c r="K57">
        <v>22</v>
      </c>
      <c r="L57" t="s">
        <v>1163</v>
      </c>
      <c r="M57">
        <v>1700</v>
      </c>
      <c r="N57" t="s">
        <v>1165</v>
      </c>
      <c r="O57" t="str">
        <f t="shared" si="0"/>
        <v>[{"id":8,"num":700},{"id":1,"num":350000},{"id":22,"num":1700}]</v>
      </c>
    </row>
    <row r="58" spans="1:15" ht="16.5" x14ac:dyDescent="0.15">
      <c r="A58" s="3">
        <f>Sheet1!A980</f>
        <v>1601057</v>
      </c>
      <c r="B58" t="s">
        <v>1162</v>
      </c>
      <c r="C58">
        <v>8</v>
      </c>
      <c r="D58" t="s">
        <v>1163</v>
      </c>
      <c r="E58">
        <v>710</v>
      </c>
      <c r="F58" t="s">
        <v>1164</v>
      </c>
      <c r="G58">
        <v>1</v>
      </c>
      <c r="H58" t="s">
        <v>1163</v>
      </c>
      <c r="I58">
        <v>355000</v>
      </c>
      <c r="J58" t="s">
        <v>1164</v>
      </c>
      <c r="K58">
        <v>22</v>
      </c>
      <c r="L58" t="s">
        <v>1163</v>
      </c>
      <c r="M58">
        <v>1750</v>
      </c>
      <c r="N58" t="s">
        <v>1165</v>
      </c>
      <c r="O58" t="str">
        <f t="shared" si="0"/>
        <v>[{"id":8,"num":710},{"id":1,"num":355000},{"id":22,"num":1750}]</v>
      </c>
    </row>
    <row r="59" spans="1:15" ht="16.5" x14ac:dyDescent="0.15">
      <c r="A59" s="3">
        <f>Sheet1!A981</f>
        <v>1601058</v>
      </c>
      <c r="B59" t="s">
        <v>1162</v>
      </c>
      <c r="C59">
        <v>8</v>
      </c>
      <c r="D59" t="s">
        <v>1163</v>
      </c>
      <c r="E59">
        <v>720</v>
      </c>
      <c r="F59" t="s">
        <v>1164</v>
      </c>
      <c r="G59">
        <v>1</v>
      </c>
      <c r="H59" t="s">
        <v>1163</v>
      </c>
      <c r="I59">
        <v>360000</v>
      </c>
      <c r="J59" t="s">
        <v>1164</v>
      </c>
      <c r="K59">
        <v>22</v>
      </c>
      <c r="L59" t="s">
        <v>1163</v>
      </c>
      <c r="M59">
        <v>1800</v>
      </c>
      <c r="N59" t="s">
        <v>1165</v>
      </c>
      <c r="O59" t="str">
        <f t="shared" si="0"/>
        <v>[{"id":8,"num":720},{"id":1,"num":360000},{"id":22,"num":1800}]</v>
      </c>
    </row>
    <row r="60" spans="1:15" ht="16.5" x14ac:dyDescent="0.15">
      <c r="A60" s="3">
        <f>Sheet1!A982</f>
        <v>1601059</v>
      </c>
      <c r="B60" t="s">
        <v>1162</v>
      </c>
      <c r="C60">
        <v>8</v>
      </c>
      <c r="D60" t="s">
        <v>1163</v>
      </c>
      <c r="E60">
        <v>730</v>
      </c>
      <c r="F60" t="s">
        <v>1164</v>
      </c>
      <c r="G60">
        <v>1</v>
      </c>
      <c r="H60" t="s">
        <v>1163</v>
      </c>
      <c r="I60">
        <v>365000</v>
      </c>
      <c r="J60" t="s">
        <v>1164</v>
      </c>
      <c r="K60">
        <v>22</v>
      </c>
      <c r="L60" t="s">
        <v>1163</v>
      </c>
      <c r="M60">
        <v>1850</v>
      </c>
      <c r="N60" t="s">
        <v>1165</v>
      </c>
      <c r="O60" t="str">
        <f t="shared" si="0"/>
        <v>[{"id":8,"num":730},{"id":1,"num":365000},{"id":22,"num":1850}]</v>
      </c>
    </row>
    <row r="61" spans="1:15" ht="16.5" x14ac:dyDescent="0.15">
      <c r="A61" s="3">
        <f>Sheet1!A983</f>
        <v>1601060</v>
      </c>
      <c r="B61" t="s">
        <v>1162</v>
      </c>
      <c r="C61">
        <v>8</v>
      </c>
      <c r="D61" t="s">
        <v>1163</v>
      </c>
      <c r="E61">
        <v>740</v>
      </c>
      <c r="F61" t="s">
        <v>1164</v>
      </c>
      <c r="G61">
        <v>1</v>
      </c>
      <c r="H61" t="s">
        <v>1163</v>
      </c>
      <c r="I61">
        <v>370000</v>
      </c>
      <c r="J61" t="s">
        <v>1164</v>
      </c>
      <c r="K61">
        <v>89</v>
      </c>
      <c r="L61" t="s">
        <v>1163</v>
      </c>
      <c r="M61">
        <v>12</v>
      </c>
      <c r="N61" t="s">
        <v>1165</v>
      </c>
      <c r="O61" t="str">
        <f t="shared" si="0"/>
        <v>[{"id":8,"num":740},{"id":1,"num":370000},{"id":89,"num":12}]</v>
      </c>
    </row>
    <row r="62" spans="1:15" ht="16.5" x14ac:dyDescent="0.15">
      <c r="A62" s="3">
        <f>Sheet1!A984</f>
        <v>1601061</v>
      </c>
      <c r="B62" t="s">
        <v>1162</v>
      </c>
      <c r="C62">
        <v>8</v>
      </c>
      <c r="D62" t="s">
        <v>1163</v>
      </c>
      <c r="E62">
        <v>750</v>
      </c>
      <c r="F62" t="s">
        <v>1164</v>
      </c>
      <c r="G62">
        <v>1</v>
      </c>
      <c r="H62" t="s">
        <v>1163</v>
      </c>
      <c r="I62">
        <v>375000</v>
      </c>
      <c r="J62" t="s">
        <v>1164</v>
      </c>
      <c r="K62">
        <v>22</v>
      </c>
      <c r="L62" t="s">
        <v>1163</v>
      </c>
      <c r="M62">
        <v>1900</v>
      </c>
      <c r="N62" t="s">
        <v>1165</v>
      </c>
      <c r="O62" t="str">
        <f t="shared" si="0"/>
        <v>[{"id":8,"num":750},{"id":1,"num":375000},{"id":22,"num":1900}]</v>
      </c>
    </row>
    <row r="63" spans="1:15" ht="16.5" x14ac:dyDescent="0.15">
      <c r="A63" s="3"/>
    </row>
    <row r="64" spans="1:15" ht="16.5" x14ac:dyDescent="0.15">
      <c r="A64" s="3"/>
    </row>
    <row r="65" spans="1:1" ht="16.5" x14ac:dyDescent="0.15">
      <c r="A65" s="3"/>
    </row>
    <row r="66" spans="1:1" ht="16.5" x14ac:dyDescent="0.15">
      <c r="A66" s="3"/>
    </row>
    <row r="67" spans="1:1" ht="16.5" x14ac:dyDescent="0.15">
      <c r="A67" s="3"/>
    </row>
    <row r="68" spans="1:1" ht="16.5" x14ac:dyDescent="0.15">
      <c r="A68" s="3"/>
    </row>
    <row r="69" spans="1:1" ht="16.5" x14ac:dyDescent="0.15">
      <c r="A69" s="3"/>
    </row>
    <row r="70" spans="1:1" ht="16.5" x14ac:dyDescent="0.15">
      <c r="A70" s="3"/>
    </row>
    <row r="71" spans="1:1" ht="16.5" x14ac:dyDescent="0.15">
      <c r="A71" s="3"/>
    </row>
    <row r="72" spans="1:1" ht="16.5" x14ac:dyDescent="0.15">
      <c r="A72" s="3"/>
    </row>
    <row r="73" spans="1:1" ht="16.5" x14ac:dyDescent="0.15">
      <c r="A73" s="3"/>
    </row>
    <row r="74" spans="1:1" ht="16.5" x14ac:dyDescent="0.15">
      <c r="A74" s="3"/>
    </row>
    <row r="75" spans="1:1" ht="16.5" x14ac:dyDescent="0.15">
      <c r="A75" s="3"/>
    </row>
    <row r="76" spans="1:1" ht="16.5" x14ac:dyDescent="0.15">
      <c r="A76" s="3"/>
    </row>
    <row r="77" spans="1:1" ht="16.5" x14ac:dyDescent="0.15">
      <c r="A77" s="3"/>
    </row>
    <row r="78" spans="1:1" ht="16.5" x14ac:dyDescent="0.15">
      <c r="A78" s="3"/>
    </row>
    <row r="79" spans="1:1" ht="16.5" x14ac:dyDescent="0.15">
      <c r="A79" s="3"/>
    </row>
    <row r="80" spans="1:1" ht="16.5" x14ac:dyDescent="0.15">
      <c r="A80" s="3"/>
    </row>
    <row r="81" spans="1:1" ht="16.5" x14ac:dyDescent="0.15">
      <c r="A81" s="3"/>
    </row>
    <row r="82" spans="1:1" ht="16.5" x14ac:dyDescent="0.15">
      <c r="A82" s="3"/>
    </row>
    <row r="83" spans="1:1" ht="16.5" x14ac:dyDescent="0.15">
      <c r="A83" s="3"/>
    </row>
    <row r="84" spans="1:1" ht="16.5" x14ac:dyDescent="0.15">
      <c r="A84" s="3"/>
    </row>
    <row r="85" spans="1:1" ht="16.5" x14ac:dyDescent="0.15">
      <c r="A85" s="3"/>
    </row>
    <row r="86" spans="1:1" ht="16.5" x14ac:dyDescent="0.15">
      <c r="A86" s="3"/>
    </row>
    <row r="87" spans="1:1" ht="16.5" x14ac:dyDescent="0.15">
      <c r="A87" s="3"/>
    </row>
    <row r="88" spans="1:1" ht="16.5" x14ac:dyDescent="0.15">
      <c r="A88" s="3"/>
    </row>
    <row r="89" spans="1:1" ht="16.5" x14ac:dyDescent="0.15">
      <c r="A89" s="3"/>
    </row>
    <row r="90" spans="1:1" ht="16.5" x14ac:dyDescent="0.15">
      <c r="A90" s="3"/>
    </row>
    <row r="91" spans="1:1" ht="16.5" x14ac:dyDescent="0.15">
      <c r="A91" s="3"/>
    </row>
    <row r="92" spans="1:1" ht="16.5" x14ac:dyDescent="0.15">
      <c r="A92" s="3"/>
    </row>
    <row r="93" spans="1:1" ht="16.5" x14ac:dyDescent="0.15">
      <c r="A93" s="3"/>
    </row>
    <row r="94" spans="1:1" ht="16.5" x14ac:dyDescent="0.15">
      <c r="A94" s="3"/>
    </row>
    <row r="95" spans="1:1" ht="16.5" x14ac:dyDescent="0.15">
      <c r="A95" s="3"/>
    </row>
    <row r="96" spans="1:1" ht="16.5" x14ac:dyDescent="0.15">
      <c r="A96" s="3"/>
    </row>
    <row r="97" spans="1:1" ht="16.5" x14ac:dyDescent="0.15">
      <c r="A97" s="3"/>
    </row>
    <row r="98" spans="1:1" ht="16.5" x14ac:dyDescent="0.15">
      <c r="A98" s="3"/>
    </row>
    <row r="99" spans="1:1" ht="16.5" x14ac:dyDescent="0.15">
      <c r="A99" s="3"/>
    </row>
    <row r="100" spans="1:1" ht="16.5" x14ac:dyDescent="0.15">
      <c r="A100" s="3"/>
    </row>
    <row r="101" spans="1:1" ht="16.5" x14ac:dyDescent="0.15">
      <c r="A101" s="3"/>
    </row>
    <row r="102" spans="1:1" ht="16.5" x14ac:dyDescent="0.15">
      <c r="A102" s="3"/>
    </row>
    <row r="103" spans="1:1" ht="16.5" x14ac:dyDescent="0.15">
      <c r="A103" s="3"/>
    </row>
    <row r="104" spans="1:1" ht="16.5" x14ac:dyDescent="0.15">
      <c r="A104" s="3"/>
    </row>
    <row r="105" spans="1:1" ht="16.5" x14ac:dyDescent="0.15">
      <c r="A105" s="3"/>
    </row>
    <row r="106" spans="1:1" ht="16.5" x14ac:dyDescent="0.15">
      <c r="A106" s="3"/>
    </row>
    <row r="107" spans="1:1" ht="16.5" x14ac:dyDescent="0.15">
      <c r="A107" s="3"/>
    </row>
    <row r="108" spans="1:1" ht="16.5" x14ac:dyDescent="0.15">
      <c r="A108" s="3"/>
    </row>
    <row r="109" spans="1:1" ht="16.5" x14ac:dyDescent="0.15">
      <c r="A109" s="3"/>
    </row>
    <row r="110" spans="1:1" ht="16.5" x14ac:dyDescent="0.15">
      <c r="A110" s="3"/>
    </row>
    <row r="111" spans="1:1" ht="16.5" x14ac:dyDescent="0.15">
      <c r="A111" s="3"/>
    </row>
    <row r="112" spans="1:1" ht="16.5" x14ac:dyDescent="0.15">
      <c r="A112" s="3"/>
    </row>
    <row r="113" spans="1:1" ht="16.5" x14ac:dyDescent="0.15">
      <c r="A113" s="3"/>
    </row>
    <row r="114" spans="1:1" ht="16.5" x14ac:dyDescent="0.15">
      <c r="A114" s="3"/>
    </row>
    <row r="115" spans="1:1" ht="16.5" x14ac:dyDescent="0.15">
      <c r="A115" s="3"/>
    </row>
    <row r="116" spans="1:1" ht="16.5" x14ac:dyDescent="0.15">
      <c r="A116" s="3"/>
    </row>
    <row r="117" spans="1:1" ht="16.5" x14ac:dyDescent="0.15">
      <c r="A117" s="3"/>
    </row>
    <row r="118" spans="1:1" ht="16.5" x14ac:dyDescent="0.15">
      <c r="A118" s="3"/>
    </row>
    <row r="119" spans="1:1" ht="16.5" x14ac:dyDescent="0.15">
      <c r="A119" s="3"/>
    </row>
    <row r="120" spans="1:1" ht="16.5" x14ac:dyDescent="0.15">
      <c r="A120" s="3"/>
    </row>
    <row r="121" spans="1:1" ht="16.5" x14ac:dyDescent="0.15">
      <c r="A121" s="3"/>
    </row>
    <row r="122" spans="1:1" ht="16.5" x14ac:dyDescent="0.15">
      <c r="A122" s="3"/>
    </row>
    <row r="123" spans="1:1" ht="16.5" x14ac:dyDescent="0.15">
      <c r="A123" s="3"/>
    </row>
    <row r="124" spans="1:1" ht="16.5" x14ac:dyDescent="0.15">
      <c r="A124" s="3"/>
    </row>
    <row r="125" spans="1:1" ht="16.5" x14ac:dyDescent="0.15">
      <c r="A125" s="3"/>
    </row>
    <row r="126" spans="1:1" ht="16.5" x14ac:dyDescent="0.15">
      <c r="A126" s="3"/>
    </row>
    <row r="127" spans="1:1" ht="16.5" x14ac:dyDescent="0.15">
      <c r="A127" s="3"/>
    </row>
    <row r="128" spans="1:1" ht="16.5" x14ac:dyDescent="0.15">
      <c r="A128" s="3"/>
    </row>
    <row r="129" spans="1:1" ht="16.5" x14ac:dyDescent="0.15">
      <c r="A129" s="3"/>
    </row>
    <row r="130" spans="1:1" ht="16.5" x14ac:dyDescent="0.15">
      <c r="A130" s="3"/>
    </row>
    <row r="131" spans="1:1" ht="16.5" x14ac:dyDescent="0.15">
      <c r="A131" s="3"/>
    </row>
    <row r="132" spans="1:1" ht="16.5" x14ac:dyDescent="0.15">
      <c r="A132" s="3"/>
    </row>
    <row r="133" spans="1:1" ht="16.5" x14ac:dyDescent="0.15">
      <c r="A133" s="3"/>
    </row>
    <row r="134" spans="1:1" ht="16.5" x14ac:dyDescent="0.15">
      <c r="A134" s="3"/>
    </row>
    <row r="135" spans="1:1" ht="16.5" x14ac:dyDescent="0.15">
      <c r="A135" s="3"/>
    </row>
    <row r="136" spans="1:1" ht="16.5" x14ac:dyDescent="0.15">
      <c r="A136" s="3"/>
    </row>
    <row r="137" spans="1:1" ht="16.5" x14ac:dyDescent="0.15">
      <c r="A137" s="3"/>
    </row>
    <row r="138" spans="1:1" ht="16.5" x14ac:dyDescent="0.15">
      <c r="A138" s="3"/>
    </row>
    <row r="139" spans="1:1" ht="16.5" x14ac:dyDescent="0.15">
      <c r="A139" s="3"/>
    </row>
    <row r="140" spans="1:1" ht="16.5" x14ac:dyDescent="0.15">
      <c r="A140" s="3"/>
    </row>
    <row r="141" spans="1:1" ht="16.5" x14ac:dyDescent="0.15">
      <c r="A141" s="3"/>
    </row>
    <row r="142" spans="1:1" ht="16.5" x14ac:dyDescent="0.15">
      <c r="A142" s="3"/>
    </row>
    <row r="143" spans="1:1" ht="16.5" x14ac:dyDescent="0.15">
      <c r="A143" s="3"/>
    </row>
    <row r="144" spans="1:1" ht="16.5" x14ac:dyDescent="0.15">
      <c r="A144" s="3"/>
    </row>
    <row r="145" spans="1:1" ht="16.5" x14ac:dyDescent="0.15">
      <c r="A145" s="3"/>
    </row>
    <row r="146" spans="1:1" ht="16.5" x14ac:dyDescent="0.15">
      <c r="A146" s="3"/>
    </row>
    <row r="147" spans="1:1" ht="16.5" x14ac:dyDescent="0.15">
      <c r="A147" s="3"/>
    </row>
    <row r="148" spans="1:1" ht="16.5" x14ac:dyDescent="0.15">
      <c r="A148" s="3"/>
    </row>
    <row r="149" spans="1:1" ht="16.5" x14ac:dyDescent="0.15">
      <c r="A149" s="3"/>
    </row>
    <row r="150" spans="1:1" ht="16.5" x14ac:dyDescent="0.15">
      <c r="A150" s="3"/>
    </row>
    <row r="151" spans="1:1" ht="16.5" x14ac:dyDescent="0.15">
      <c r="A151" s="3"/>
    </row>
    <row r="152" spans="1:1" ht="16.5" x14ac:dyDescent="0.15">
      <c r="A152" s="3"/>
    </row>
    <row r="153" spans="1:1" ht="16.5" x14ac:dyDescent="0.15">
      <c r="A153" s="3"/>
    </row>
    <row r="154" spans="1:1" ht="16.5" x14ac:dyDescent="0.15">
      <c r="A154" s="3"/>
    </row>
    <row r="155" spans="1:1" ht="16.5" x14ac:dyDescent="0.15">
      <c r="A155" s="3"/>
    </row>
    <row r="156" spans="1:1" ht="16.5" x14ac:dyDescent="0.15">
      <c r="A156" s="3"/>
    </row>
    <row r="157" spans="1:1" ht="16.5" x14ac:dyDescent="0.15">
      <c r="A157" s="3"/>
    </row>
    <row r="158" spans="1:1" ht="16.5" x14ac:dyDescent="0.15">
      <c r="A158" s="3"/>
    </row>
    <row r="159" spans="1:1" ht="16.5" x14ac:dyDescent="0.15">
      <c r="A159" s="3"/>
    </row>
    <row r="160" spans="1:1" ht="16.5" x14ac:dyDescent="0.15">
      <c r="A160" s="3"/>
    </row>
    <row r="161" spans="1:1" ht="16.5" x14ac:dyDescent="0.15">
      <c r="A161" s="3"/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"/>
  <sheetViews>
    <sheetView topLeftCell="A173" workbookViewId="0">
      <selection activeCell="O131" sqref="O131:O201"/>
    </sheetView>
  </sheetViews>
  <sheetFormatPr defaultColWidth="9" defaultRowHeight="13.5" x14ac:dyDescent="0.15"/>
  <cols>
    <col min="1" max="1" width="9.25"/>
    <col min="11" max="11" width="12.625"/>
    <col min="15" max="15" width="23.5" customWidth="1"/>
  </cols>
  <sheetData>
    <row r="1" spans="1:15" x14ac:dyDescent="0.15">
      <c r="A1" t="s">
        <v>1158</v>
      </c>
      <c r="C1" t="s">
        <v>1159</v>
      </c>
      <c r="E1" t="s">
        <v>1160</v>
      </c>
      <c r="G1" t="s">
        <v>1159</v>
      </c>
      <c r="I1" t="s">
        <v>1160</v>
      </c>
      <c r="K1" t="s">
        <v>1159</v>
      </c>
      <c r="M1" t="s">
        <v>1160</v>
      </c>
      <c r="O1" t="s">
        <v>1161</v>
      </c>
    </row>
    <row r="2" spans="1:15" ht="16.5" x14ac:dyDescent="0.15">
      <c r="A2" s="3">
        <f>Sheet1!A985</f>
        <v>1701001</v>
      </c>
      <c r="B2" t="s">
        <v>1162</v>
      </c>
      <c r="C2">
        <v>2</v>
      </c>
      <c r="D2" t="s">
        <v>1163</v>
      </c>
      <c r="E2">
        <v>10600</v>
      </c>
      <c r="F2" t="s">
        <v>1164</v>
      </c>
      <c r="G2">
        <v>1</v>
      </c>
      <c r="H2" t="s">
        <v>1163</v>
      </c>
      <c r="I2">
        <v>10000</v>
      </c>
      <c r="J2" t="s">
        <v>1164</v>
      </c>
      <c r="K2">
        <v>84</v>
      </c>
      <c r="L2" t="s">
        <v>1163</v>
      </c>
      <c r="M2">
        <v>1</v>
      </c>
      <c r="N2" t="s">
        <v>1165</v>
      </c>
      <c r="O2" t="str">
        <f t="shared" ref="O2:O62" si="0">_xlfn.TEXTJOIN(,TRUE,B2:N2)</f>
        <v>[{"id":2,"num":10600},{"id":1,"num":10000},{"id":84,"num":1}]</v>
      </c>
    </row>
    <row r="3" spans="1:15" ht="16.5" x14ac:dyDescent="0.15">
      <c r="A3" s="3">
        <f>Sheet1!A986</f>
        <v>1701002</v>
      </c>
      <c r="B3" t="s">
        <v>1162</v>
      </c>
      <c r="C3">
        <v>2</v>
      </c>
      <c r="D3" t="s">
        <v>1163</v>
      </c>
      <c r="E3">
        <v>10600</v>
      </c>
      <c r="F3" t="s">
        <v>1164</v>
      </c>
      <c r="G3">
        <v>1</v>
      </c>
      <c r="H3" t="s">
        <v>1163</v>
      </c>
      <c r="I3">
        <v>10000</v>
      </c>
      <c r="J3" t="s">
        <v>1164</v>
      </c>
      <c r="K3">
        <v>84</v>
      </c>
      <c r="L3" t="s">
        <v>1163</v>
      </c>
      <c r="M3">
        <v>1</v>
      </c>
      <c r="N3" t="s">
        <v>1165</v>
      </c>
      <c r="O3" t="str">
        <f t="shared" si="0"/>
        <v>[{"id":2,"num":10600},{"id":1,"num":10000},{"id":84,"num":1}]</v>
      </c>
    </row>
    <row r="4" spans="1:15" ht="16.5" x14ac:dyDescent="0.15">
      <c r="A4" s="3">
        <f>Sheet1!A987</f>
        <v>1701003</v>
      </c>
      <c r="B4" t="s">
        <v>1162</v>
      </c>
      <c r="C4">
        <v>2</v>
      </c>
      <c r="D4" t="s">
        <v>1163</v>
      </c>
      <c r="E4">
        <v>10600</v>
      </c>
      <c r="F4" t="s">
        <v>1164</v>
      </c>
      <c r="G4">
        <v>1</v>
      </c>
      <c r="H4" t="s">
        <v>1163</v>
      </c>
      <c r="I4">
        <v>10000</v>
      </c>
      <c r="J4" t="s">
        <v>1164</v>
      </c>
      <c r="K4">
        <v>84</v>
      </c>
      <c r="L4" t="s">
        <v>1163</v>
      </c>
      <c r="M4">
        <v>1</v>
      </c>
      <c r="N4" t="s">
        <v>1165</v>
      </c>
      <c r="O4" t="str">
        <f t="shared" si="0"/>
        <v>[{"id":2,"num":10600},{"id":1,"num":10000},{"id":84,"num":1}]</v>
      </c>
    </row>
    <row r="5" spans="1:15" ht="16.5" x14ac:dyDescent="0.15">
      <c r="A5" s="3">
        <f>Sheet1!A988</f>
        <v>1701004</v>
      </c>
      <c r="B5" t="s">
        <v>1162</v>
      </c>
      <c r="C5">
        <v>2</v>
      </c>
      <c r="D5" t="s">
        <v>1163</v>
      </c>
      <c r="E5">
        <v>10600</v>
      </c>
      <c r="F5" t="s">
        <v>1164</v>
      </c>
      <c r="G5">
        <v>1</v>
      </c>
      <c r="H5" t="s">
        <v>1163</v>
      </c>
      <c r="I5">
        <v>10000</v>
      </c>
      <c r="J5" t="s">
        <v>1164</v>
      </c>
      <c r="K5">
        <v>84</v>
      </c>
      <c r="L5" t="s">
        <v>1163</v>
      </c>
      <c r="M5">
        <v>1</v>
      </c>
      <c r="N5" t="s">
        <v>1165</v>
      </c>
      <c r="O5" t="str">
        <f t="shared" si="0"/>
        <v>[{"id":2,"num":10600},{"id":1,"num":10000},{"id":84,"num":1}]</v>
      </c>
    </row>
    <row r="6" spans="1:15" ht="16.5" x14ac:dyDescent="0.15">
      <c r="A6" s="3">
        <f>Sheet1!A989</f>
        <v>1701005</v>
      </c>
      <c r="B6" t="s">
        <v>1162</v>
      </c>
      <c r="C6">
        <v>2</v>
      </c>
      <c r="D6" t="s">
        <v>1163</v>
      </c>
      <c r="E6">
        <v>10600</v>
      </c>
      <c r="F6" t="s">
        <v>1164</v>
      </c>
      <c r="G6">
        <v>1</v>
      </c>
      <c r="H6" t="s">
        <v>1163</v>
      </c>
      <c r="I6">
        <v>10000</v>
      </c>
      <c r="J6" t="s">
        <v>1164</v>
      </c>
      <c r="K6">
        <v>84</v>
      </c>
      <c r="L6" t="s">
        <v>1163</v>
      </c>
      <c r="M6">
        <v>1</v>
      </c>
      <c r="N6" t="s">
        <v>1165</v>
      </c>
      <c r="O6" t="str">
        <f t="shared" si="0"/>
        <v>[{"id":2,"num":10600},{"id":1,"num":10000},{"id":84,"num":1}]</v>
      </c>
    </row>
    <row r="7" spans="1:15" ht="16.5" x14ac:dyDescent="0.15">
      <c r="A7" s="3">
        <f>Sheet1!A990</f>
        <v>1701006</v>
      </c>
      <c r="B7" t="s">
        <v>1162</v>
      </c>
      <c r="C7">
        <v>2</v>
      </c>
      <c r="D7" t="s">
        <v>1163</v>
      </c>
      <c r="E7">
        <v>10600</v>
      </c>
      <c r="F7" t="s">
        <v>1164</v>
      </c>
      <c r="G7">
        <v>1</v>
      </c>
      <c r="H7" t="s">
        <v>1163</v>
      </c>
      <c r="I7">
        <v>10000</v>
      </c>
      <c r="J7" t="s">
        <v>1164</v>
      </c>
      <c r="K7">
        <v>84</v>
      </c>
      <c r="L7" t="s">
        <v>1163</v>
      </c>
      <c r="M7">
        <v>1</v>
      </c>
      <c r="N7" t="s">
        <v>1165</v>
      </c>
      <c r="O7" t="str">
        <f t="shared" si="0"/>
        <v>[{"id":2,"num":10600},{"id":1,"num":10000},{"id":84,"num":1}]</v>
      </c>
    </row>
    <row r="8" spans="1:15" ht="16.5" x14ac:dyDescent="0.15">
      <c r="A8" s="3">
        <f>Sheet1!A991</f>
        <v>1701007</v>
      </c>
      <c r="B8" t="s">
        <v>1162</v>
      </c>
      <c r="C8">
        <v>2</v>
      </c>
      <c r="D8" t="s">
        <v>1163</v>
      </c>
      <c r="E8">
        <v>10600</v>
      </c>
      <c r="F8" t="s">
        <v>1164</v>
      </c>
      <c r="G8">
        <v>1</v>
      </c>
      <c r="H8" t="s">
        <v>1163</v>
      </c>
      <c r="I8">
        <v>10000</v>
      </c>
      <c r="J8" t="s">
        <v>1164</v>
      </c>
      <c r="K8">
        <v>84</v>
      </c>
      <c r="L8" t="s">
        <v>1163</v>
      </c>
      <c r="M8">
        <v>1</v>
      </c>
      <c r="N8" t="s">
        <v>1165</v>
      </c>
      <c r="O8" t="str">
        <f t="shared" si="0"/>
        <v>[{"id":2,"num":10600},{"id":1,"num":10000},{"id":84,"num":1}]</v>
      </c>
    </row>
    <row r="9" spans="1:15" ht="16.5" x14ac:dyDescent="0.15">
      <c r="A9" s="3">
        <f>Sheet1!A992</f>
        <v>1701008</v>
      </c>
      <c r="B9" t="s">
        <v>1162</v>
      </c>
      <c r="C9">
        <v>2</v>
      </c>
      <c r="D9" t="s">
        <v>1163</v>
      </c>
      <c r="E9">
        <v>10600</v>
      </c>
      <c r="F9" t="s">
        <v>1164</v>
      </c>
      <c r="G9">
        <v>1</v>
      </c>
      <c r="H9" t="s">
        <v>1163</v>
      </c>
      <c r="I9">
        <v>10000</v>
      </c>
      <c r="J9" t="s">
        <v>1164</v>
      </c>
      <c r="K9">
        <v>84</v>
      </c>
      <c r="L9" t="s">
        <v>1163</v>
      </c>
      <c r="M9">
        <v>1</v>
      </c>
      <c r="N9" t="s">
        <v>1165</v>
      </c>
      <c r="O9" t="str">
        <f t="shared" si="0"/>
        <v>[{"id":2,"num":10600},{"id":1,"num":10000},{"id":84,"num":1}]</v>
      </c>
    </row>
    <row r="10" spans="1:15" ht="16.5" x14ac:dyDescent="0.15">
      <c r="A10" s="3">
        <f>Sheet1!A993</f>
        <v>1701009</v>
      </c>
      <c r="B10" t="s">
        <v>1162</v>
      </c>
      <c r="C10">
        <v>2</v>
      </c>
      <c r="D10" t="s">
        <v>1163</v>
      </c>
      <c r="E10">
        <v>10600</v>
      </c>
      <c r="F10" t="s">
        <v>1164</v>
      </c>
      <c r="G10">
        <v>1</v>
      </c>
      <c r="H10" t="s">
        <v>1163</v>
      </c>
      <c r="I10">
        <v>10000</v>
      </c>
      <c r="J10" t="s">
        <v>1164</v>
      </c>
      <c r="K10">
        <v>84</v>
      </c>
      <c r="L10" t="s">
        <v>1163</v>
      </c>
      <c r="M10">
        <v>1</v>
      </c>
      <c r="N10" t="s">
        <v>1165</v>
      </c>
      <c r="O10" t="str">
        <f t="shared" si="0"/>
        <v>[{"id":2,"num":10600},{"id":1,"num":10000},{"id":84,"num":1}]</v>
      </c>
    </row>
    <row r="11" spans="1:15" ht="16.5" x14ac:dyDescent="0.15">
      <c r="A11" s="3">
        <f>Sheet1!A994</f>
        <v>1701010</v>
      </c>
      <c r="B11" t="s">
        <v>1162</v>
      </c>
      <c r="C11">
        <v>2</v>
      </c>
      <c r="D11" t="s">
        <v>1163</v>
      </c>
      <c r="E11">
        <v>10600</v>
      </c>
      <c r="F11" t="s">
        <v>1164</v>
      </c>
      <c r="G11">
        <v>1</v>
      </c>
      <c r="H11" t="s">
        <v>1163</v>
      </c>
      <c r="I11">
        <v>10000</v>
      </c>
      <c r="J11" t="s">
        <v>1164</v>
      </c>
      <c r="K11">
        <v>84</v>
      </c>
      <c r="L11" t="s">
        <v>1163</v>
      </c>
      <c r="M11">
        <v>1</v>
      </c>
      <c r="N11" t="s">
        <v>1165</v>
      </c>
      <c r="O11" t="str">
        <f t="shared" si="0"/>
        <v>[{"id":2,"num":10600},{"id":1,"num":10000},{"id":84,"num":1}]</v>
      </c>
    </row>
    <row r="12" spans="1:15" ht="16.5" x14ac:dyDescent="0.15">
      <c r="A12" s="3">
        <f>Sheet1!A995</f>
        <v>1702001</v>
      </c>
      <c r="B12" t="s">
        <v>1162</v>
      </c>
      <c r="C12">
        <v>2</v>
      </c>
      <c r="D12" t="s">
        <v>1163</v>
      </c>
      <c r="E12">
        <v>22400</v>
      </c>
      <c r="F12" t="s">
        <v>1164</v>
      </c>
      <c r="G12">
        <v>1</v>
      </c>
      <c r="H12" t="s">
        <v>1163</v>
      </c>
      <c r="I12">
        <v>20000</v>
      </c>
      <c r="J12" t="s">
        <v>1164</v>
      </c>
      <c r="K12">
        <v>85</v>
      </c>
      <c r="L12" t="s">
        <v>1163</v>
      </c>
      <c r="M12">
        <v>1</v>
      </c>
      <c r="N12" t="s">
        <v>1165</v>
      </c>
      <c r="O12" t="str">
        <f t="shared" si="0"/>
        <v>[{"id":2,"num":22400},{"id":1,"num":20000},{"id":85,"num":1}]</v>
      </c>
    </row>
    <row r="13" spans="1:15" ht="16.5" x14ac:dyDescent="0.15">
      <c r="A13" s="3">
        <f>Sheet1!A996</f>
        <v>1702002</v>
      </c>
      <c r="B13" t="s">
        <v>1162</v>
      </c>
      <c r="C13">
        <v>2</v>
      </c>
      <c r="D13" t="s">
        <v>1163</v>
      </c>
      <c r="E13">
        <v>22400</v>
      </c>
      <c r="F13" t="s">
        <v>1164</v>
      </c>
      <c r="G13">
        <v>1</v>
      </c>
      <c r="H13" t="s">
        <v>1163</v>
      </c>
      <c r="I13">
        <v>20000</v>
      </c>
      <c r="J13" t="s">
        <v>1164</v>
      </c>
      <c r="K13">
        <v>85</v>
      </c>
      <c r="L13" t="s">
        <v>1163</v>
      </c>
      <c r="M13">
        <v>1</v>
      </c>
      <c r="N13" t="s">
        <v>1165</v>
      </c>
      <c r="O13" t="str">
        <f t="shared" si="0"/>
        <v>[{"id":2,"num":22400},{"id":1,"num":20000},{"id":85,"num":1}]</v>
      </c>
    </row>
    <row r="14" spans="1:15" ht="16.5" x14ac:dyDescent="0.15">
      <c r="A14" s="3">
        <f>Sheet1!A997</f>
        <v>1702003</v>
      </c>
      <c r="B14" t="s">
        <v>1162</v>
      </c>
      <c r="C14">
        <v>2</v>
      </c>
      <c r="D14" t="s">
        <v>1163</v>
      </c>
      <c r="E14">
        <v>22400</v>
      </c>
      <c r="F14" t="s">
        <v>1164</v>
      </c>
      <c r="G14">
        <v>1</v>
      </c>
      <c r="H14" t="s">
        <v>1163</v>
      </c>
      <c r="I14">
        <v>20000</v>
      </c>
      <c r="J14" t="s">
        <v>1164</v>
      </c>
      <c r="K14">
        <v>85</v>
      </c>
      <c r="L14" t="s">
        <v>1163</v>
      </c>
      <c r="M14">
        <v>1</v>
      </c>
      <c r="N14" t="s">
        <v>1165</v>
      </c>
      <c r="O14" t="str">
        <f t="shared" si="0"/>
        <v>[{"id":2,"num":22400},{"id":1,"num":20000},{"id":85,"num":1}]</v>
      </c>
    </row>
    <row r="15" spans="1:15" ht="16.5" x14ac:dyDescent="0.15">
      <c r="A15" s="3">
        <f>Sheet1!A998</f>
        <v>1702004</v>
      </c>
      <c r="B15" t="s">
        <v>1162</v>
      </c>
      <c r="C15">
        <v>2</v>
      </c>
      <c r="D15" t="s">
        <v>1163</v>
      </c>
      <c r="E15">
        <v>22400</v>
      </c>
      <c r="F15" t="s">
        <v>1164</v>
      </c>
      <c r="G15">
        <v>1</v>
      </c>
      <c r="H15" t="s">
        <v>1163</v>
      </c>
      <c r="I15">
        <v>20000</v>
      </c>
      <c r="J15" t="s">
        <v>1164</v>
      </c>
      <c r="K15">
        <v>85</v>
      </c>
      <c r="L15" t="s">
        <v>1163</v>
      </c>
      <c r="M15">
        <v>1</v>
      </c>
      <c r="N15" t="s">
        <v>1165</v>
      </c>
      <c r="O15" t="str">
        <f t="shared" si="0"/>
        <v>[{"id":2,"num":22400},{"id":1,"num":20000},{"id":85,"num":1}]</v>
      </c>
    </row>
    <row r="16" spans="1:15" ht="16.5" x14ac:dyDescent="0.15">
      <c r="A16" s="3">
        <f>Sheet1!A999</f>
        <v>1702005</v>
      </c>
      <c r="B16" t="s">
        <v>1162</v>
      </c>
      <c r="C16">
        <v>2</v>
      </c>
      <c r="D16" t="s">
        <v>1163</v>
      </c>
      <c r="E16">
        <v>22400</v>
      </c>
      <c r="F16" t="s">
        <v>1164</v>
      </c>
      <c r="G16">
        <v>1</v>
      </c>
      <c r="H16" t="s">
        <v>1163</v>
      </c>
      <c r="I16">
        <v>20000</v>
      </c>
      <c r="J16" t="s">
        <v>1164</v>
      </c>
      <c r="K16">
        <v>85</v>
      </c>
      <c r="L16" t="s">
        <v>1163</v>
      </c>
      <c r="M16">
        <v>1</v>
      </c>
      <c r="N16" t="s">
        <v>1165</v>
      </c>
      <c r="O16" t="str">
        <f t="shared" si="0"/>
        <v>[{"id":2,"num":22400},{"id":1,"num":20000},{"id":85,"num":1}]</v>
      </c>
    </row>
    <row r="17" spans="1:15" ht="16.5" x14ac:dyDescent="0.15">
      <c r="A17" s="3">
        <f>Sheet1!A1000</f>
        <v>1702006</v>
      </c>
      <c r="B17" t="s">
        <v>1162</v>
      </c>
      <c r="C17">
        <v>2</v>
      </c>
      <c r="D17" t="s">
        <v>1163</v>
      </c>
      <c r="E17">
        <v>23000</v>
      </c>
      <c r="F17" t="s">
        <v>1164</v>
      </c>
      <c r="G17">
        <v>1</v>
      </c>
      <c r="H17" t="s">
        <v>1163</v>
      </c>
      <c r="I17">
        <v>20000</v>
      </c>
      <c r="J17" t="s">
        <v>1164</v>
      </c>
      <c r="K17">
        <v>85</v>
      </c>
      <c r="L17" t="s">
        <v>1163</v>
      </c>
      <c r="M17">
        <v>1</v>
      </c>
      <c r="N17" t="s">
        <v>1165</v>
      </c>
      <c r="O17" t="str">
        <f t="shared" si="0"/>
        <v>[{"id":2,"num":23000},{"id":1,"num":20000},{"id":85,"num":1}]</v>
      </c>
    </row>
    <row r="18" spans="1:15" ht="16.5" x14ac:dyDescent="0.15">
      <c r="A18" s="3">
        <f>Sheet1!A1001</f>
        <v>1702007</v>
      </c>
      <c r="B18" t="s">
        <v>1162</v>
      </c>
      <c r="C18">
        <v>2</v>
      </c>
      <c r="D18" t="s">
        <v>1163</v>
      </c>
      <c r="E18">
        <v>23000</v>
      </c>
      <c r="F18" t="s">
        <v>1164</v>
      </c>
      <c r="G18">
        <v>1</v>
      </c>
      <c r="H18" t="s">
        <v>1163</v>
      </c>
      <c r="I18">
        <v>20000</v>
      </c>
      <c r="J18" t="s">
        <v>1164</v>
      </c>
      <c r="K18">
        <v>85</v>
      </c>
      <c r="L18" t="s">
        <v>1163</v>
      </c>
      <c r="M18">
        <v>1</v>
      </c>
      <c r="N18" t="s">
        <v>1165</v>
      </c>
      <c r="O18" t="str">
        <f t="shared" si="0"/>
        <v>[{"id":2,"num":23000},{"id":1,"num":20000},{"id":85,"num":1}]</v>
      </c>
    </row>
    <row r="19" spans="1:15" ht="16.5" x14ac:dyDescent="0.15">
      <c r="A19" s="3">
        <f>Sheet1!A1002</f>
        <v>1702008</v>
      </c>
      <c r="B19" t="s">
        <v>1162</v>
      </c>
      <c r="C19">
        <v>2</v>
      </c>
      <c r="D19" t="s">
        <v>1163</v>
      </c>
      <c r="E19">
        <v>23000</v>
      </c>
      <c r="F19" t="s">
        <v>1164</v>
      </c>
      <c r="G19">
        <v>1</v>
      </c>
      <c r="H19" t="s">
        <v>1163</v>
      </c>
      <c r="I19">
        <v>20000</v>
      </c>
      <c r="J19" t="s">
        <v>1164</v>
      </c>
      <c r="K19">
        <v>85</v>
      </c>
      <c r="L19" t="s">
        <v>1163</v>
      </c>
      <c r="M19">
        <v>1</v>
      </c>
      <c r="N19" t="s">
        <v>1165</v>
      </c>
      <c r="O19" t="str">
        <f t="shared" si="0"/>
        <v>[{"id":2,"num":23000},{"id":1,"num":20000},{"id":85,"num":1}]</v>
      </c>
    </row>
    <row r="20" spans="1:15" ht="16.5" x14ac:dyDescent="0.15">
      <c r="A20" s="3">
        <f>Sheet1!A1003</f>
        <v>1702009</v>
      </c>
      <c r="B20" t="s">
        <v>1162</v>
      </c>
      <c r="C20">
        <v>2</v>
      </c>
      <c r="D20" t="s">
        <v>1163</v>
      </c>
      <c r="E20">
        <v>23000</v>
      </c>
      <c r="F20" t="s">
        <v>1164</v>
      </c>
      <c r="G20">
        <v>1</v>
      </c>
      <c r="H20" t="s">
        <v>1163</v>
      </c>
      <c r="I20">
        <v>20000</v>
      </c>
      <c r="J20" t="s">
        <v>1164</v>
      </c>
      <c r="K20">
        <v>85</v>
      </c>
      <c r="L20" t="s">
        <v>1163</v>
      </c>
      <c r="M20">
        <v>1</v>
      </c>
      <c r="N20" t="s">
        <v>1165</v>
      </c>
      <c r="O20" t="str">
        <f t="shared" si="0"/>
        <v>[{"id":2,"num":23000},{"id":1,"num":20000},{"id":85,"num":1}]</v>
      </c>
    </row>
    <row r="21" spans="1:15" ht="16.5" x14ac:dyDescent="0.15">
      <c r="A21" s="3">
        <f>Sheet1!A1004</f>
        <v>1702010</v>
      </c>
      <c r="B21" t="s">
        <v>1162</v>
      </c>
      <c r="C21">
        <v>2</v>
      </c>
      <c r="D21" t="s">
        <v>1163</v>
      </c>
      <c r="E21">
        <v>23000</v>
      </c>
      <c r="F21" t="s">
        <v>1164</v>
      </c>
      <c r="G21">
        <v>1</v>
      </c>
      <c r="H21" t="s">
        <v>1163</v>
      </c>
      <c r="I21">
        <v>20000</v>
      </c>
      <c r="J21" t="s">
        <v>1164</v>
      </c>
      <c r="K21">
        <v>85</v>
      </c>
      <c r="L21" t="s">
        <v>1163</v>
      </c>
      <c r="M21">
        <v>1</v>
      </c>
      <c r="N21" t="s">
        <v>1165</v>
      </c>
      <c r="O21" t="str">
        <f t="shared" si="0"/>
        <v>[{"id":2,"num":23000},{"id":1,"num":20000},{"id":85,"num":1}]</v>
      </c>
    </row>
    <row r="22" spans="1:15" ht="16.5" x14ac:dyDescent="0.15">
      <c r="A22" s="3">
        <f>Sheet1!A1005</f>
        <v>1703001</v>
      </c>
      <c r="B22" t="s">
        <v>1162</v>
      </c>
      <c r="C22">
        <v>2</v>
      </c>
      <c r="D22" t="s">
        <v>1163</v>
      </c>
      <c r="E22">
        <v>36600</v>
      </c>
      <c r="F22" t="s">
        <v>1164</v>
      </c>
      <c r="G22">
        <v>1</v>
      </c>
      <c r="H22" t="s">
        <v>1163</v>
      </c>
      <c r="I22">
        <v>30000</v>
      </c>
      <c r="J22" t="s">
        <v>1164</v>
      </c>
      <c r="K22">
        <v>85</v>
      </c>
      <c r="L22" t="s">
        <v>1163</v>
      </c>
      <c r="M22">
        <v>2</v>
      </c>
      <c r="N22" t="s">
        <v>1165</v>
      </c>
      <c r="O22" t="str">
        <f t="shared" si="0"/>
        <v>[{"id":2,"num":36600},{"id":1,"num":30000},{"id":85,"num":2}]</v>
      </c>
    </row>
    <row r="23" spans="1:15" ht="16.5" x14ac:dyDescent="0.15">
      <c r="A23" s="3">
        <f>Sheet1!A1006</f>
        <v>1703002</v>
      </c>
      <c r="B23" t="s">
        <v>1162</v>
      </c>
      <c r="C23">
        <v>2</v>
      </c>
      <c r="D23" t="s">
        <v>1163</v>
      </c>
      <c r="E23">
        <v>36600</v>
      </c>
      <c r="F23" t="s">
        <v>1164</v>
      </c>
      <c r="G23">
        <v>1</v>
      </c>
      <c r="H23" t="s">
        <v>1163</v>
      </c>
      <c r="I23">
        <v>30000</v>
      </c>
      <c r="J23" t="s">
        <v>1164</v>
      </c>
      <c r="K23">
        <v>85</v>
      </c>
      <c r="L23" t="s">
        <v>1163</v>
      </c>
      <c r="M23">
        <v>2</v>
      </c>
      <c r="N23" t="s">
        <v>1165</v>
      </c>
      <c r="O23" t="str">
        <f t="shared" si="0"/>
        <v>[{"id":2,"num":36600},{"id":1,"num":30000},{"id":85,"num":2}]</v>
      </c>
    </row>
    <row r="24" spans="1:15" ht="16.5" x14ac:dyDescent="0.15">
      <c r="A24" s="3">
        <f>Sheet1!A1007</f>
        <v>1703003</v>
      </c>
      <c r="B24" t="s">
        <v>1162</v>
      </c>
      <c r="C24">
        <v>2</v>
      </c>
      <c r="D24" t="s">
        <v>1163</v>
      </c>
      <c r="E24">
        <v>36600</v>
      </c>
      <c r="F24" t="s">
        <v>1164</v>
      </c>
      <c r="G24">
        <v>1</v>
      </c>
      <c r="H24" t="s">
        <v>1163</v>
      </c>
      <c r="I24">
        <v>30000</v>
      </c>
      <c r="J24" t="s">
        <v>1164</v>
      </c>
      <c r="K24">
        <v>85</v>
      </c>
      <c r="L24" t="s">
        <v>1163</v>
      </c>
      <c r="M24">
        <v>2</v>
      </c>
      <c r="N24" t="s">
        <v>1165</v>
      </c>
      <c r="O24" t="str">
        <f t="shared" si="0"/>
        <v>[{"id":2,"num":36600},{"id":1,"num":30000},{"id":85,"num":2}]</v>
      </c>
    </row>
    <row r="25" spans="1:15" ht="16.5" x14ac:dyDescent="0.15">
      <c r="A25" s="3">
        <f>Sheet1!A1008</f>
        <v>1703004</v>
      </c>
      <c r="B25" t="s">
        <v>1162</v>
      </c>
      <c r="C25">
        <v>2</v>
      </c>
      <c r="D25" t="s">
        <v>1163</v>
      </c>
      <c r="E25">
        <v>36600</v>
      </c>
      <c r="F25" t="s">
        <v>1164</v>
      </c>
      <c r="G25">
        <v>1</v>
      </c>
      <c r="H25" t="s">
        <v>1163</v>
      </c>
      <c r="I25">
        <v>30000</v>
      </c>
      <c r="J25" t="s">
        <v>1164</v>
      </c>
      <c r="K25">
        <v>85</v>
      </c>
      <c r="L25" t="s">
        <v>1163</v>
      </c>
      <c r="M25">
        <v>2</v>
      </c>
      <c r="N25" t="s">
        <v>1165</v>
      </c>
      <c r="O25" t="str">
        <f t="shared" si="0"/>
        <v>[{"id":2,"num":36600},{"id":1,"num":30000},{"id":85,"num":2}]</v>
      </c>
    </row>
    <row r="26" spans="1:15" ht="16.5" x14ac:dyDescent="0.15">
      <c r="A26" s="3">
        <f>Sheet1!A1009</f>
        <v>1703005</v>
      </c>
      <c r="B26" t="s">
        <v>1162</v>
      </c>
      <c r="C26">
        <v>2</v>
      </c>
      <c r="D26" t="s">
        <v>1163</v>
      </c>
      <c r="E26">
        <v>36600</v>
      </c>
      <c r="F26" t="s">
        <v>1164</v>
      </c>
      <c r="G26">
        <v>1</v>
      </c>
      <c r="H26" t="s">
        <v>1163</v>
      </c>
      <c r="I26">
        <v>30000</v>
      </c>
      <c r="J26" t="s">
        <v>1164</v>
      </c>
      <c r="K26">
        <v>85</v>
      </c>
      <c r="L26" t="s">
        <v>1163</v>
      </c>
      <c r="M26">
        <v>2</v>
      </c>
      <c r="N26" t="s">
        <v>1165</v>
      </c>
      <c r="O26" t="str">
        <f t="shared" si="0"/>
        <v>[{"id":2,"num":36600},{"id":1,"num":30000},{"id":85,"num":2}]</v>
      </c>
    </row>
    <row r="27" spans="1:15" ht="16.5" x14ac:dyDescent="0.15">
      <c r="A27" s="3">
        <f>Sheet1!A1010</f>
        <v>1703006</v>
      </c>
      <c r="B27" t="s">
        <v>1162</v>
      </c>
      <c r="C27">
        <v>2</v>
      </c>
      <c r="D27" t="s">
        <v>1163</v>
      </c>
      <c r="E27">
        <v>62200</v>
      </c>
      <c r="F27" t="s">
        <v>1164</v>
      </c>
      <c r="G27">
        <v>1</v>
      </c>
      <c r="H27" t="s">
        <v>1163</v>
      </c>
      <c r="I27">
        <v>60000</v>
      </c>
      <c r="J27" t="s">
        <v>1164</v>
      </c>
      <c r="K27">
        <v>85</v>
      </c>
      <c r="L27" t="s">
        <v>1163</v>
      </c>
      <c r="M27">
        <v>2</v>
      </c>
      <c r="N27" t="s">
        <v>1165</v>
      </c>
      <c r="O27" t="str">
        <f t="shared" si="0"/>
        <v>[{"id":2,"num":62200},{"id":1,"num":60000},{"id":85,"num":2}]</v>
      </c>
    </row>
    <row r="28" spans="1:15" ht="16.5" x14ac:dyDescent="0.15">
      <c r="A28" s="3">
        <f>Sheet1!A1011</f>
        <v>1703007</v>
      </c>
      <c r="B28" t="s">
        <v>1162</v>
      </c>
      <c r="C28">
        <v>2</v>
      </c>
      <c r="D28" t="s">
        <v>1163</v>
      </c>
      <c r="E28">
        <v>62200</v>
      </c>
      <c r="F28" t="s">
        <v>1164</v>
      </c>
      <c r="G28">
        <v>1</v>
      </c>
      <c r="H28" t="s">
        <v>1163</v>
      </c>
      <c r="I28">
        <v>60000</v>
      </c>
      <c r="J28" t="s">
        <v>1164</v>
      </c>
      <c r="K28">
        <v>85</v>
      </c>
      <c r="L28" t="s">
        <v>1163</v>
      </c>
      <c r="M28">
        <v>2</v>
      </c>
      <c r="N28" t="s">
        <v>1165</v>
      </c>
      <c r="O28" t="str">
        <f t="shared" si="0"/>
        <v>[{"id":2,"num":62200},{"id":1,"num":60000},{"id":85,"num":2}]</v>
      </c>
    </row>
    <row r="29" spans="1:15" ht="16.5" x14ac:dyDescent="0.15">
      <c r="A29" s="3">
        <f>Sheet1!A1012</f>
        <v>1703008</v>
      </c>
      <c r="B29" t="s">
        <v>1162</v>
      </c>
      <c r="C29">
        <v>2</v>
      </c>
      <c r="D29" t="s">
        <v>1163</v>
      </c>
      <c r="E29">
        <v>62200</v>
      </c>
      <c r="F29" t="s">
        <v>1164</v>
      </c>
      <c r="G29">
        <v>1</v>
      </c>
      <c r="H29" t="s">
        <v>1163</v>
      </c>
      <c r="I29">
        <v>60000</v>
      </c>
      <c r="J29" t="s">
        <v>1164</v>
      </c>
      <c r="K29">
        <v>85</v>
      </c>
      <c r="L29" t="s">
        <v>1163</v>
      </c>
      <c r="M29">
        <v>2</v>
      </c>
      <c r="N29" t="s">
        <v>1165</v>
      </c>
      <c r="O29" t="str">
        <f t="shared" si="0"/>
        <v>[{"id":2,"num":62200},{"id":1,"num":60000},{"id":85,"num":2}]</v>
      </c>
    </row>
    <row r="30" spans="1:15" ht="16.5" x14ac:dyDescent="0.15">
      <c r="A30" s="3">
        <f>Sheet1!A1013</f>
        <v>1703009</v>
      </c>
      <c r="B30" t="s">
        <v>1162</v>
      </c>
      <c r="C30">
        <v>2</v>
      </c>
      <c r="D30" t="s">
        <v>1163</v>
      </c>
      <c r="E30">
        <v>62200</v>
      </c>
      <c r="F30" t="s">
        <v>1164</v>
      </c>
      <c r="G30">
        <v>1</v>
      </c>
      <c r="H30" t="s">
        <v>1163</v>
      </c>
      <c r="I30">
        <v>60000</v>
      </c>
      <c r="J30" t="s">
        <v>1164</v>
      </c>
      <c r="K30">
        <v>85</v>
      </c>
      <c r="L30" t="s">
        <v>1163</v>
      </c>
      <c r="M30">
        <v>2</v>
      </c>
      <c r="N30" t="s">
        <v>1165</v>
      </c>
      <c r="O30" t="str">
        <f t="shared" si="0"/>
        <v>[{"id":2,"num":62200},{"id":1,"num":60000},{"id":85,"num":2}]</v>
      </c>
    </row>
    <row r="31" spans="1:15" ht="16.5" x14ac:dyDescent="0.15">
      <c r="A31" s="3">
        <f>Sheet1!A1014</f>
        <v>1703010</v>
      </c>
      <c r="B31" t="s">
        <v>1162</v>
      </c>
      <c r="C31">
        <v>2</v>
      </c>
      <c r="D31" t="s">
        <v>1163</v>
      </c>
      <c r="E31">
        <v>62200</v>
      </c>
      <c r="F31" t="s">
        <v>1164</v>
      </c>
      <c r="G31">
        <v>1</v>
      </c>
      <c r="H31" t="s">
        <v>1163</v>
      </c>
      <c r="I31">
        <v>60000</v>
      </c>
      <c r="J31" t="s">
        <v>1164</v>
      </c>
      <c r="K31">
        <v>85</v>
      </c>
      <c r="L31" t="s">
        <v>1163</v>
      </c>
      <c r="M31">
        <v>2</v>
      </c>
      <c r="N31" t="s">
        <v>1165</v>
      </c>
      <c r="O31" t="str">
        <f t="shared" si="0"/>
        <v>[{"id":2,"num":62200},{"id":1,"num":60000},{"id":85,"num":2}]</v>
      </c>
    </row>
    <row r="32" spans="1:15" ht="16.5" x14ac:dyDescent="0.15">
      <c r="A32" s="3">
        <f>Sheet1!A1015</f>
        <v>1704001</v>
      </c>
      <c r="B32" t="s">
        <v>1162</v>
      </c>
      <c r="C32">
        <v>2</v>
      </c>
      <c r="D32" t="s">
        <v>1163</v>
      </c>
      <c r="E32">
        <v>122000</v>
      </c>
      <c r="F32" t="s">
        <v>1164</v>
      </c>
      <c r="G32">
        <v>1</v>
      </c>
      <c r="H32" t="s">
        <v>1163</v>
      </c>
      <c r="I32">
        <v>120000</v>
      </c>
      <c r="J32" t="s">
        <v>1164</v>
      </c>
      <c r="K32">
        <v>85</v>
      </c>
      <c r="L32" t="s">
        <v>1163</v>
      </c>
      <c r="M32">
        <v>3</v>
      </c>
      <c r="N32" t="s">
        <v>1165</v>
      </c>
      <c r="O32" t="str">
        <f t="shared" si="0"/>
        <v>[{"id":2,"num":122000},{"id":1,"num":120000},{"id":85,"num":3}]</v>
      </c>
    </row>
    <row r="33" spans="1:15" ht="16.5" x14ac:dyDescent="0.15">
      <c r="A33" s="3">
        <f>Sheet1!A1016</f>
        <v>1704002</v>
      </c>
      <c r="B33" t="s">
        <v>1162</v>
      </c>
      <c r="C33">
        <v>2</v>
      </c>
      <c r="D33" t="s">
        <v>1163</v>
      </c>
      <c r="E33">
        <v>122000</v>
      </c>
      <c r="F33" t="s">
        <v>1164</v>
      </c>
      <c r="G33">
        <v>1</v>
      </c>
      <c r="H33" t="s">
        <v>1163</v>
      </c>
      <c r="I33">
        <v>120000</v>
      </c>
      <c r="J33" t="s">
        <v>1164</v>
      </c>
      <c r="K33">
        <v>85</v>
      </c>
      <c r="L33" t="s">
        <v>1163</v>
      </c>
      <c r="M33">
        <v>3</v>
      </c>
      <c r="N33" t="s">
        <v>1165</v>
      </c>
      <c r="O33" t="str">
        <f t="shared" si="0"/>
        <v>[{"id":2,"num":122000},{"id":1,"num":120000},{"id":85,"num":3}]</v>
      </c>
    </row>
    <row r="34" spans="1:15" ht="16.5" x14ac:dyDescent="0.15">
      <c r="A34" s="3">
        <f>Sheet1!A1017</f>
        <v>1704003</v>
      </c>
      <c r="B34" t="s">
        <v>1162</v>
      </c>
      <c r="C34">
        <v>2</v>
      </c>
      <c r="D34" t="s">
        <v>1163</v>
      </c>
      <c r="E34">
        <v>122000</v>
      </c>
      <c r="F34" t="s">
        <v>1164</v>
      </c>
      <c r="G34">
        <v>1</v>
      </c>
      <c r="H34" t="s">
        <v>1163</v>
      </c>
      <c r="I34">
        <v>120000</v>
      </c>
      <c r="J34" t="s">
        <v>1164</v>
      </c>
      <c r="K34">
        <v>85</v>
      </c>
      <c r="L34" t="s">
        <v>1163</v>
      </c>
      <c r="M34">
        <v>3</v>
      </c>
      <c r="N34" t="s">
        <v>1165</v>
      </c>
      <c r="O34" t="str">
        <f t="shared" si="0"/>
        <v>[{"id":2,"num":122000},{"id":1,"num":120000},{"id":85,"num":3}]</v>
      </c>
    </row>
    <row r="35" spans="1:15" ht="16.5" x14ac:dyDescent="0.15">
      <c r="A35" s="3">
        <f>Sheet1!A1018</f>
        <v>1704004</v>
      </c>
      <c r="B35" t="s">
        <v>1162</v>
      </c>
      <c r="C35">
        <v>2</v>
      </c>
      <c r="D35" t="s">
        <v>1163</v>
      </c>
      <c r="E35">
        <v>122000</v>
      </c>
      <c r="F35" t="s">
        <v>1164</v>
      </c>
      <c r="G35">
        <v>1</v>
      </c>
      <c r="H35" t="s">
        <v>1163</v>
      </c>
      <c r="I35">
        <v>120000</v>
      </c>
      <c r="J35" t="s">
        <v>1164</v>
      </c>
      <c r="K35">
        <v>85</v>
      </c>
      <c r="L35" t="s">
        <v>1163</v>
      </c>
      <c r="M35">
        <v>3</v>
      </c>
      <c r="N35" t="s">
        <v>1165</v>
      </c>
      <c r="O35" t="str">
        <f t="shared" si="0"/>
        <v>[{"id":2,"num":122000},{"id":1,"num":120000},{"id":85,"num":3}]</v>
      </c>
    </row>
    <row r="36" spans="1:15" ht="16.5" x14ac:dyDescent="0.15">
      <c r="A36" s="3">
        <f>Sheet1!A1019</f>
        <v>1704005</v>
      </c>
      <c r="B36" t="s">
        <v>1162</v>
      </c>
      <c r="C36">
        <v>2</v>
      </c>
      <c r="D36" t="s">
        <v>1163</v>
      </c>
      <c r="E36">
        <v>122000</v>
      </c>
      <c r="F36" t="s">
        <v>1164</v>
      </c>
      <c r="G36">
        <v>1</v>
      </c>
      <c r="H36" t="s">
        <v>1163</v>
      </c>
      <c r="I36">
        <v>120000</v>
      </c>
      <c r="J36" t="s">
        <v>1164</v>
      </c>
      <c r="K36">
        <v>85</v>
      </c>
      <c r="L36" t="s">
        <v>1163</v>
      </c>
      <c r="M36">
        <v>3</v>
      </c>
      <c r="N36" t="s">
        <v>1165</v>
      </c>
      <c r="O36" t="str">
        <f t="shared" si="0"/>
        <v>[{"id":2,"num":122000},{"id":1,"num":120000},{"id":85,"num":3}]</v>
      </c>
    </row>
    <row r="37" spans="1:15" ht="16.5" x14ac:dyDescent="0.15">
      <c r="A37" s="3">
        <f>Sheet1!A1020</f>
        <v>1704006</v>
      </c>
      <c r="B37" t="s">
        <v>1162</v>
      </c>
      <c r="C37">
        <v>2</v>
      </c>
      <c r="D37" t="s">
        <v>1163</v>
      </c>
      <c r="E37">
        <v>187800</v>
      </c>
      <c r="F37" t="s">
        <v>1164</v>
      </c>
      <c r="G37">
        <v>1</v>
      </c>
      <c r="H37" t="s">
        <v>1163</v>
      </c>
      <c r="I37">
        <v>180000</v>
      </c>
      <c r="J37" t="s">
        <v>1164</v>
      </c>
      <c r="K37">
        <v>85</v>
      </c>
      <c r="L37" t="s">
        <v>1163</v>
      </c>
      <c r="M37">
        <v>3</v>
      </c>
      <c r="N37" t="s">
        <v>1165</v>
      </c>
      <c r="O37" t="str">
        <f t="shared" si="0"/>
        <v>[{"id":2,"num":187800},{"id":1,"num":180000},{"id":85,"num":3}]</v>
      </c>
    </row>
    <row r="38" spans="1:15" ht="16.5" x14ac:dyDescent="0.15">
      <c r="A38" s="3">
        <f>Sheet1!A1021</f>
        <v>1704007</v>
      </c>
      <c r="B38" t="s">
        <v>1162</v>
      </c>
      <c r="C38">
        <v>2</v>
      </c>
      <c r="D38" t="s">
        <v>1163</v>
      </c>
      <c r="E38">
        <v>187800</v>
      </c>
      <c r="F38" t="s">
        <v>1164</v>
      </c>
      <c r="G38">
        <v>1</v>
      </c>
      <c r="H38" t="s">
        <v>1163</v>
      </c>
      <c r="I38">
        <v>180000</v>
      </c>
      <c r="J38" t="s">
        <v>1164</v>
      </c>
      <c r="K38">
        <v>85</v>
      </c>
      <c r="L38" t="s">
        <v>1163</v>
      </c>
      <c r="M38">
        <v>3</v>
      </c>
      <c r="N38" t="s">
        <v>1165</v>
      </c>
      <c r="O38" t="str">
        <f t="shared" si="0"/>
        <v>[{"id":2,"num":187800},{"id":1,"num":180000},{"id":85,"num":3}]</v>
      </c>
    </row>
    <row r="39" spans="1:15" ht="16.5" x14ac:dyDescent="0.15">
      <c r="A39" s="3">
        <f>Sheet1!A1022</f>
        <v>1704008</v>
      </c>
      <c r="B39" t="s">
        <v>1162</v>
      </c>
      <c r="C39">
        <v>2</v>
      </c>
      <c r="D39" t="s">
        <v>1163</v>
      </c>
      <c r="E39">
        <v>187800</v>
      </c>
      <c r="F39" t="s">
        <v>1164</v>
      </c>
      <c r="G39">
        <v>1</v>
      </c>
      <c r="H39" t="s">
        <v>1163</v>
      </c>
      <c r="I39">
        <v>180000</v>
      </c>
      <c r="J39" t="s">
        <v>1164</v>
      </c>
      <c r="K39">
        <v>85</v>
      </c>
      <c r="L39" t="s">
        <v>1163</v>
      </c>
      <c r="M39">
        <v>3</v>
      </c>
      <c r="N39" t="s">
        <v>1165</v>
      </c>
      <c r="O39" t="str">
        <f t="shared" si="0"/>
        <v>[{"id":2,"num":187800},{"id":1,"num":180000},{"id":85,"num":3}]</v>
      </c>
    </row>
    <row r="40" spans="1:15" ht="16.5" x14ac:dyDescent="0.15">
      <c r="A40" s="3">
        <f>Sheet1!A1023</f>
        <v>1704009</v>
      </c>
      <c r="B40" t="s">
        <v>1162</v>
      </c>
      <c r="C40">
        <v>2</v>
      </c>
      <c r="D40" t="s">
        <v>1163</v>
      </c>
      <c r="E40">
        <v>187800</v>
      </c>
      <c r="F40" t="s">
        <v>1164</v>
      </c>
      <c r="G40">
        <v>1</v>
      </c>
      <c r="H40" t="s">
        <v>1163</v>
      </c>
      <c r="I40">
        <v>180000</v>
      </c>
      <c r="J40" t="s">
        <v>1164</v>
      </c>
      <c r="K40">
        <v>85</v>
      </c>
      <c r="L40" t="s">
        <v>1163</v>
      </c>
      <c r="M40">
        <v>3</v>
      </c>
      <c r="N40" t="s">
        <v>1165</v>
      </c>
      <c r="O40" t="str">
        <f t="shared" si="0"/>
        <v>[{"id":2,"num":187800},{"id":1,"num":180000},{"id":85,"num":3}]</v>
      </c>
    </row>
    <row r="41" spans="1:15" ht="16.5" x14ac:dyDescent="0.15">
      <c r="A41" s="3">
        <f>Sheet1!A1024</f>
        <v>1704010</v>
      </c>
      <c r="B41" t="s">
        <v>1162</v>
      </c>
      <c r="C41">
        <v>2</v>
      </c>
      <c r="D41" t="s">
        <v>1163</v>
      </c>
      <c r="E41">
        <v>187800</v>
      </c>
      <c r="F41" t="s">
        <v>1164</v>
      </c>
      <c r="G41">
        <v>1</v>
      </c>
      <c r="H41" t="s">
        <v>1163</v>
      </c>
      <c r="I41">
        <v>180000</v>
      </c>
      <c r="J41" t="s">
        <v>1164</v>
      </c>
      <c r="K41">
        <v>85</v>
      </c>
      <c r="L41" t="s">
        <v>1163</v>
      </c>
      <c r="M41">
        <v>3</v>
      </c>
      <c r="N41" t="s">
        <v>1165</v>
      </c>
      <c r="O41" t="str">
        <f t="shared" si="0"/>
        <v>[{"id":2,"num":187800},{"id":1,"num":180000},{"id":85,"num":3}]</v>
      </c>
    </row>
    <row r="42" spans="1:15" ht="16.5" x14ac:dyDescent="0.15">
      <c r="A42" s="3">
        <f>Sheet1!A1025</f>
        <v>1705001</v>
      </c>
      <c r="B42" t="s">
        <v>1162</v>
      </c>
      <c r="C42">
        <v>2</v>
      </c>
      <c r="D42" t="s">
        <v>1163</v>
      </c>
      <c r="E42">
        <v>463200</v>
      </c>
      <c r="F42" t="s">
        <v>1164</v>
      </c>
      <c r="G42">
        <v>1</v>
      </c>
      <c r="H42" t="s">
        <v>1163</v>
      </c>
      <c r="I42">
        <v>460000</v>
      </c>
      <c r="J42" t="s">
        <v>1164</v>
      </c>
      <c r="K42">
        <v>85</v>
      </c>
      <c r="L42" t="s">
        <v>1163</v>
      </c>
      <c r="M42">
        <v>4</v>
      </c>
      <c r="N42" t="s">
        <v>1165</v>
      </c>
      <c r="O42" t="str">
        <f t="shared" si="0"/>
        <v>[{"id":2,"num":463200},{"id":1,"num":460000},{"id":85,"num":4}]</v>
      </c>
    </row>
    <row r="43" spans="1:15" ht="16.5" x14ac:dyDescent="0.15">
      <c r="A43" s="3">
        <f>Sheet1!A1026</f>
        <v>1705002</v>
      </c>
      <c r="B43" t="s">
        <v>1162</v>
      </c>
      <c r="C43">
        <v>2</v>
      </c>
      <c r="D43" t="s">
        <v>1163</v>
      </c>
      <c r="E43">
        <v>463200</v>
      </c>
      <c r="F43" t="s">
        <v>1164</v>
      </c>
      <c r="G43">
        <v>1</v>
      </c>
      <c r="H43" t="s">
        <v>1163</v>
      </c>
      <c r="I43">
        <v>460000</v>
      </c>
      <c r="J43" t="s">
        <v>1164</v>
      </c>
      <c r="K43">
        <v>85</v>
      </c>
      <c r="L43" t="s">
        <v>1163</v>
      </c>
      <c r="M43">
        <v>4</v>
      </c>
      <c r="N43" t="s">
        <v>1165</v>
      </c>
      <c r="O43" t="str">
        <f t="shared" si="0"/>
        <v>[{"id":2,"num":463200},{"id":1,"num":460000},{"id":85,"num":4}]</v>
      </c>
    </row>
    <row r="44" spans="1:15" ht="16.5" x14ac:dyDescent="0.15">
      <c r="A44" s="3">
        <f>Sheet1!A1027</f>
        <v>1705003</v>
      </c>
      <c r="B44" t="s">
        <v>1162</v>
      </c>
      <c r="C44">
        <v>2</v>
      </c>
      <c r="D44" t="s">
        <v>1163</v>
      </c>
      <c r="E44">
        <v>463200</v>
      </c>
      <c r="F44" t="s">
        <v>1164</v>
      </c>
      <c r="G44">
        <v>1</v>
      </c>
      <c r="H44" t="s">
        <v>1163</v>
      </c>
      <c r="I44">
        <v>460000</v>
      </c>
      <c r="J44" t="s">
        <v>1164</v>
      </c>
      <c r="K44">
        <v>85</v>
      </c>
      <c r="L44" t="s">
        <v>1163</v>
      </c>
      <c r="M44">
        <v>4</v>
      </c>
      <c r="N44" t="s">
        <v>1165</v>
      </c>
      <c r="O44" t="str">
        <f t="shared" si="0"/>
        <v>[{"id":2,"num":463200},{"id":1,"num":460000},{"id":85,"num":4}]</v>
      </c>
    </row>
    <row r="45" spans="1:15" ht="16.5" x14ac:dyDescent="0.15">
      <c r="A45" s="3">
        <f>Sheet1!A1028</f>
        <v>1705004</v>
      </c>
      <c r="B45" t="s">
        <v>1162</v>
      </c>
      <c r="C45">
        <v>2</v>
      </c>
      <c r="D45" t="s">
        <v>1163</v>
      </c>
      <c r="E45">
        <v>463200</v>
      </c>
      <c r="F45" t="s">
        <v>1164</v>
      </c>
      <c r="G45">
        <v>1</v>
      </c>
      <c r="H45" t="s">
        <v>1163</v>
      </c>
      <c r="I45">
        <v>460000</v>
      </c>
      <c r="J45" t="s">
        <v>1164</v>
      </c>
      <c r="K45">
        <v>85</v>
      </c>
      <c r="L45" t="s">
        <v>1163</v>
      </c>
      <c r="M45">
        <v>4</v>
      </c>
      <c r="N45" t="s">
        <v>1165</v>
      </c>
      <c r="O45" t="str">
        <f t="shared" si="0"/>
        <v>[{"id":2,"num":463200},{"id":1,"num":460000},{"id":85,"num":4}]</v>
      </c>
    </row>
    <row r="46" spans="1:15" ht="16.5" x14ac:dyDescent="0.15">
      <c r="A46" s="3">
        <f>Sheet1!A1029</f>
        <v>1705005</v>
      </c>
      <c r="B46" t="s">
        <v>1162</v>
      </c>
      <c r="C46">
        <v>2</v>
      </c>
      <c r="D46" t="s">
        <v>1163</v>
      </c>
      <c r="E46">
        <v>463200</v>
      </c>
      <c r="F46" t="s">
        <v>1164</v>
      </c>
      <c r="G46">
        <v>1</v>
      </c>
      <c r="H46" t="s">
        <v>1163</v>
      </c>
      <c r="I46">
        <v>460000</v>
      </c>
      <c r="J46" t="s">
        <v>1164</v>
      </c>
      <c r="K46">
        <v>85</v>
      </c>
      <c r="L46" t="s">
        <v>1163</v>
      </c>
      <c r="M46">
        <v>4</v>
      </c>
      <c r="N46" t="s">
        <v>1165</v>
      </c>
      <c r="O46" t="str">
        <f t="shared" si="0"/>
        <v>[{"id":2,"num":463200},{"id":1,"num":460000},{"id":85,"num":4}]</v>
      </c>
    </row>
    <row r="47" spans="1:15" ht="16.5" x14ac:dyDescent="0.15">
      <c r="A47" s="3">
        <f>Sheet1!A1030</f>
        <v>1705006</v>
      </c>
      <c r="B47" t="s">
        <v>1162</v>
      </c>
      <c r="C47">
        <v>2</v>
      </c>
      <c r="D47" t="s">
        <v>1163</v>
      </c>
      <c r="E47">
        <v>1232400</v>
      </c>
      <c r="F47" t="s">
        <v>1164</v>
      </c>
      <c r="G47">
        <v>1</v>
      </c>
      <c r="H47" t="s">
        <v>1163</v>
      </c>
      <c r="I47">
        <v>1230000</v>
      </c>
      <c r="J47" t="s">
        <v>1164</v>
      </c>
      <c r="K47">
        <v>85</v>
      </c>
      <c r="L47" t="s">
        <v>1163</v>
      </c>
      <c r="M47">
        <v>4</v>
      </c>
      <c r="N47" t="s">
        <v>1165</v>
      </c>
      <c r="O47" t="str">
        <f t="shared" si="0"/>
        <v>[{"id":2,"num":1232400},{"id":1,"num":1230000},{"id":85,"num":4}]</v>
      </c>
    </row>
    <row r="48" spans="1:15" ht="16.5" x14ac:dyDescent="0.15">
      <c r="A48" s="3">
        <f>Sheet1!A1031</f>
        <v>1705007</v>
      </c>
      <c r="B48" t="s">
        <v>1162</v>
      </c>
      <c r="C48">
        <v>2</v>
      </c>
      <c r="D48" t="s">
        <v>1163</v>
      </c>
      <c r="E48">
        <v>1232400</v>
      </c>
      <c r="F48" t="s">
        <v>1164</v>
      </c>
      <c r="G48">
        <v>1</v>
      </c>
      <c r="H48" t="s">
        <v>1163</v>
      </c>
      <c r="I48">
        <v>1230000</v>
      </c>
      <c r="J48" t="s">
        <v>1164</v>
      </c>
      <c r="K48">
        <v>85</v>
      </c>
      <c r="L48" t="s">
        <v>1163</v>
      </c>
      <c r="M48">
        <v>4</v>
      </c>
      <c r="N48" t="s">
        <v>1165</v>
      </c>
      <c r="O48" t="str">
        <f t="shared" si="0"/>
        <v>[{"id":2,"num":1232400},{"id":1,"num":1230000},{"id":85,"num":4}]</v>
      </c>
    </row>
    <row r="49" spans="1:15" ht="16.5" x14ac:dyDescent="0.15">
      <c r="A49" s="3">
        <f>Sheet1!A1032</f>
        <v>1705008</v>
      </c>
      <c r="B49" t="s">
        <v>1162</v>
      </c>
      <c r="C49">
        <v>2</v>
      </c>
      <c r="D49" t="s">
        <v>1163</v>
      </c>
      <c r="E49">
        <v>1232400</v>
      </c>
      <c r="F49" t="s">
        <v>1164</v>
      </c>
      <c r="G49">
        <v>1</v>
      </c>
      <c r="H49" t="s">
        <v>1163</v>
      </c>
      <c r="I49">
        <v>1230000</v>
      </c>
      <c r="J49" t="s">
        <v>1164</v>
      </c>
      <c r="K49">
        <v>85</v>
      </c>
      <c r="L49" t="s">
        <v>1163</v>
      </c>
      <c r="M49">
        <v>4</v>
      </c>
      <c r="N49" t="s">
        <v>1165</v>
      </c>
      <c r="O49" t="str">
        <f t="shared" si="0"/>
        <v>[{"id":2,"num":1232400},{"id":1,"num":1230000},{"id":85,"num":4}]</v>
      </c>
    </row>
    <row r="50" spans="1:15" ht="16.5" x14ac:dyDescent="0.15">
      <c r="A50" s="3">
        <f>Sheet1!A1033</f>
        <v>1705009</v>
      </c>
      <c r="B50" t="s">
        <v>1162</v>
      </c>
      <c r="C50">
        <v>2</v>
      </c>
      <c r="D50" t="s">
        <v>1163</v>
      </c>
      <c r="E50">
        <v>1232400</v>
      </c>
      <c r="F50" t="s">
        <v>1164</v>
      </c>
      <c r="G50">
        <v>1</v>
      </c>
      <c r="H50" t="s">
        <v>1163</v>
      </c>
      <c r="I50">
        <v>1230000</v>
      </c>
      <c r="J50" t="s">
        <v>1164</v>
      </c>
      <c r="K50">
        <v>85</v>
      </c>
      <c r="L50" t="s">
        <v>1163</v>
      </c>
      <c r="M50">
        <v>4</v>
      </c>
      <c r="N50" t="s">
        <v>1165</v>
      </c>
      <c r="O50" t="str">
        <f t="shared" si="0"/>
        <v>[{"id":2,"num":1232400},{"id":1,"num":1230000},{"id":85,"num":4}]</v>
      </c>
    </row>
    <row r="51" spans="1:15" ht="16.5" x14ac:dyDescent="0.15">
      <c r="A51" s="3">
        <f>Sheet1!A1034</f>
        <v>1705010</v>
      </c>
      <c r="B51" t="s">
        <v>1162</v>
      </c>
      <c r="C51">
        <v>2</v>
      </c>
      <c r="D51" t="s">
        <v>1163</v>
      </c>
      <c r="E51">
        <v>1232400</v>
      </c>
      <c r="F51" t="s">
        <v>1164</v>
      </c>
      <c r="G51">
        <v>1</v>
      </c>
      <c r="H51" t="s">
        <v>1163</v>
      </c>
      <c r="I51">
        <v>1230000</v>
      </c>
      <c r="J51" t="s">
        <v>1164</v>
      </c>
      <c r="K51">
        <v>85</v>
      </c>
      <c r="L51" t="s">
        <v>1163</v>
      </c>
      <c r="M51">
        <v>4</v>
      </c>
      <c r="N51" t="s">
        <v>1165</v>
      </c>
      <c r="O51" t="str">
        <f t="shared" si="0"/>
        <v>[{"id":2,"num":1232400},{"id":1,"num":1230000},{"id":85,"num":4}]</v>
      </c>
    </row>
    <row r="52" spans="1:15" ht="16.5" x14ac:dyDescent="0.15">
      <c r="A52" s="3">
        <f>Sheet1!A1035</f>
        <v>1706001</v>
      </c>
      <c r="B52" t="s">
        <v>1162</v>
      </c>
      <c r="C52">
        <v>2</v>
      </c>
      <c r="D52" t="s">
        <v>1163</v>
      </c>
      <c r="E52">
        <v>1698800</v>
      </c>
      <c r="F52" t="s">
        <v>1164</v>
      </c>
      <c r="G52">
        <v>1</v>
      </c>
      <c r="H52" t="s">
        <v>1163</v>
      </c>
      <c r="I52">
        <v>1690000</v>
      </c>
      <c r="J52" t="s">
        <v>1164</v>
      </c>
      <c r="K52">
        <v>86</v>
      </c>
      <c r="L52" t="s">
        <v>1163</v>
      </c>
      <c r="M52">
        <v>1</v>
      </c>
      <c r="N52" t="s">
        <v>1165</v>
      </c>
      <c r="O52" t="str">
        <f t="shared" si="0"/>
        <v>[{"id":2,"num":1698800},{"id":1,"num":1690000},{"id":86,"num":1}]</v>
      </c>
    </row>
    <row r="53" spans="1:15" ht="16.5" x14ac:dyDescent="0.15">
      <c r="A53" s="3">
        <f>Sheet1!A1036</f>
        <v>1706002</v>
      </c>
      <c r="B53" t="s">
        <v>1162</v>
      </c>
      <c r="C53">
        <v>2</v>
      </c>
      <c r="D53" t="s">
        <v>1163</v>
      </c>
      <c r="E53">
        <v>1698800</v>
      </c>
      <c r="F53" t="s">
        <v>1164</v>
      </c>
      <c r="G53">
        <v>1</v>
      </c>
      <c r="H53" t="s">
        <v>1163</v>
      </c>
      <c r="I53">
        <v>1690000</v>
      </c>
      <c r="J53" t="s">
        <v>1164</v>
      </c>
      <c r="K53">
        <v>86</v>
      </c>
      <c r="L53" t="s">
        <v>1163</v>
      </c>
      <c r="M53">
        <v>1</v>
      </c>
      <c r="N53" t="s">
        <v>1165</v>
      </c>
      <c r="O53" t="str">
        <f t="shared" si="0"/>
        <v>[{"id":2,"num":1698800},{"id":1,"num":1690000},{"id":86,"num":1}]</v>
      </c>
    </row>
    <row r="54" spans="1:15" ht="16.5" x14ac:dyDescent="0.15">
      <c r="A54" s="3">
        <f>Sheet1!A1037</f>
        <v>1706003</v>
      </c>
      <c r="B54" t="s">
        <v>1162</v>
      </c>
      <c r="C54">
        <v>2</v>
      </c>
      <c r="D54" t="s">
        <v>1163</v>
      </c>
      <c r="E54">
        <v>1698800</v>
      </c>
      <c r="F54" t="s">
        <v>1164</v>
      </c>
      <c r="G54">
        <v>1</v>
      </c>
      <c r="H54" t="s">
        <v>1163</v>
      </c>
      <c r="I54">
        <v>1690000</v>
      </c>
      <c r="J54" t="s">
        <v>1164</v>
      </c>
      <c r="K54">
        <v>86</v>
      </c>
      <c r="L54" t="s">
        <v>1163</v>
      </c>
      <c r="M54">
        <v>1</v>
      </c>
      <c r="N54" t="s">
        <v>1165</v>
      </c>
      <c r="O54" t="str">
        <f t="shared" si="0"/>
        <v>[{"id":2,"num":1698800},{"id":1,"num":1690000},{"id":86,"num":1}]</v>
      </c>
    </row>
    <row r="55" spans="1:15" ht="16.5" x14ac:dyDescent="0.15">
      <c r="A55" s="3">
        <f>Sheet1!A1038</f>
        <v>1706004</v>
      </c>
      <c r="B55" t="s">
        <v>1162</v>
      </c>
      <c r="C55">
        <v>2</v>
      </c>
      <c r="D55" t="s">
        <v>1163</v>
      </c>
      <c r="E55">
        <v>1698800</v>
      </c>
      <c r="F55" t="s">
        <v>1164</v>
      </c>
      <c r="G55">
        <v>1</v>
      </c>
      <c r="H55" t="s">
        <v>1163</v>
      </c>
      <c r="I55">
        <v>1690000</v>
      </c>
      <c r="J55" t="s">
        <v>1164</v>
      </c>
      <c r="K55">
        <v>86</v>
      </c>
      <c r="L55" t="s">
        <v>1163</v>
      </c>
      <c r="M55">
        <v>1</v>
      </c>
      <c r="N55" t="s">
        <v>1165</v>
      </c>
      <c r="O55" t="str">
        <f t="shared" si="0"/>
        <v>[{"id":2,"num":1698800},{"id":1,"num":1690000},{"id":86,"num":1}]</v>
      </c>
    </row>
    <row r="56" spans="1:15" ht="16.5" x14ac:dyDescent="0.15">
      <c r="A56" s="3">
        <f>Sheet1!A1039</f>
        <v>1706005</v>
      </c>
      <c r="B56" t="s">
        <v>1162</v>
      </c>
      <c r="C56">
        <v>2</v>
      </c>
      <c r="D56" t="s">
        <v>1163</v>
      </c>
      <c r="E56">
        <v>1698800</v>
      </c>
      <c r="F56" t="s">
        <v>1164</v>
      </c>
      <c r="G56">
        <v>1</v>
      </c>
      <c r="H56" t="s">
        <v>1163</v>
      </c>
      <c r="I56">
        <v>1690000</v>
      </c>
      <c r="J56" t="s">
        <v>1164</v>
      </c>
      <c r="K56">
        <v>86</v>
      </c>
      <c r="L56" t="s">
        <v>1163</v>
      </c>
      <c r="M56">
        <v>1</v>
      </c>
      <c r="N56" t="s">
        <v>1165</v>
      </c>
      <c r="O56" t="str">
        <f t="shared" si="0"/>
        <v>[{"id":2,"num":1698800},{"id":1,"num":1690000},{"id":86,"num":1}]</v>
      </c>
    </row>
    <row r="57" spans="1:15" ht="16.5" x14ac:dyDescent="0.15">
      <c r="A57" s="3">
        <f>Sheet1!A1040</f>
        <v>1706006</v>
      </c>
      <c r="B57" t="s">
        <v>1162</v>
      </c>
      <c r="C57">
        <v>2</v>
      </c>
      <c r="D57" t="s">
        <v>1163</v>
      </c>
      <c r="E57">
        <v>1698800</v>
      </c>
      <c r="F57" t="s">
        <v>1164</v>
      </c>
      <c r="G57">
        <v>1</v>
      </c>
      <c r="H57" t="s">
        <v>1163</v>
      </c>
      <c r="I57">
        <v>1690000</v>
      </c>
      <c r="J57" t="s">
        <v>1164</v>
      </c>
      <c r="K57">
        <v>86</v>
      </c>
      <c r="L57" t="s">
        <v>1163</v>
      </c>
      <c r="M57">
        <v>1</v>
      </c>
      <c r="N57" t="s">
        <v>1165</v>
      </c>
      <c r="O57" t="str">
        <f t="shared" si="0"/>
        <v>[{"id":2,"num":1698800},{"id":1,"num":1690000},{"id":86,"num":1}]</v>
      </c>
    </row>
    <row r="58" spans="1:15" ht="16.5" x14ac:dyDescent="0.15">
      <c r="A58" s="3">
        <f>Sheet1!A1041</f>
        <v>1706007</v>
      </c>
      <c r="B58" t="s">
        <v>1162</v>
      </c>
      <c r="C58">
        <v>2</v>
      </c>
      <c r="D58" t="s">
        <v>1163</v>
      </c>
      <c r="E58">
        <v>1698800</v>
      </c>
      <c r="F58" t="s">
        <v>1164</v>
      </c>
      <c r="G58">
        <v>1</v>
      </c>
      <c r="H58" t="s">
        <v>1163</v>
      </c>
      <c r="I58">
        <v>1690000</v>
      </c>
      <c r="J58" t="s">
        <v>1164</v>
      </c>
      <c r="K58">
        <v>86</v>
      </c>
      <c r="L58" t="s">
        <v>1163</v>
      </c>
      <c r="M58">
        <v>1</v>
      </c>
      <c r="N58" t="s">
        <v>1165</v>
      </c>
      <c r="O58" t="str">
        <f t="shared" si="0"/>
        <v>[{"id":2,"num":1698800},{"id":1,"num":1690000},{"id":86,"num":1}]</v>
      </c>
    </row>
    <row r="59" spans="1:15" ht="16.5" x14ac:dyDescent="0.15">
      <c r="A59" s="3">
        <f>Sheet1!A1042</f>
        <v>1706008</v>
      </c>
      <c r="B59" t="s">
        <v>1162</v>
      </c>
      <c r="C59">
        <v>2</v>
      </c>
      <c r="D59" t="s">
        <v>1163</v>
      </c>
      <c r="E59">
        <v>1698800</v>
      </c>
      <c r="F59" t="s">
        <v>1164</v>
      </c>
      <c r="G59">
        <v>1</v>
      </c>
      <c r="H59" t="s">
        <v>1163</v>
      </c>
      <c r="I59">
        <v>1690000</v>
      </c>
      <c r="J59" t="s">
        <v>1164</v>
      </c>
      <c r="K59">
        <v>86</v>
      </c>
      <c r="L59" t="s">
        <v>1163</v>
      </c>
      <c r="M59">
        <v>1</v>
      </c>
      <c r="N59" t="s">
        <v>1165</v>
      </c>
      <c r="O59" t="str">
        <f t="shared" si="0"/>
        <v>[{"id":2,"num":1698800},{"id":1,"num":1690000},{"id":86,"num":1}]</v>
      </c>
    </row>
    <row r="60" spans="1:15" ht="16.5" x14ac:dyDescent="0.15">
      <c r="A60" s="3">
        <f>Sheet1!A1043</f>
        <v>1706009</v>
      </c>
      <c r="B60" t="s">
        <v>1162</v>
      </c>
      <c r="C60">
        <v>2</v>
      </c>
      <c r="D60" t="s">
        <v>1163</v>
      </c>
      <c r="E60">
        <v>1698800</v>
      </c>
      <c r="F60" t="s">
        <v>1164</v>
      </c>
      <c r="G60">
        <v>1</v>
      </c>
      <c r="H60" t="s">
        <v>1163</v>
      </c>
      <c r="I60">
        <v>1690000</v>
      </c>
      <c r="J60" t="s">
        <v>1164</v>
      </c>
      <c r="K60">
        <v>86</v>
      </c>
      <c r="L60" t="s">
        <v>1163</v>
      </c>
      <c r="M60">
        <v>1</v>
      </c>
      <c r="N60" t="s">
        <v>1165</v>
      </c>
      <c r="O60" t="str">
        <f t="shared" si="0"/>
        <v>[{"id":2,"num":1698800},{"id":1,"num":1690000},{"id":86,"num":1}]</v>
      </c>
    </row>
    <row r="61" spans="1:15" ht="16.5" x14ac:dyDescent="0.15">
      <c r="A61" s="3">
        <f>Sheet1!A1044</f>
        <v>1706010</v>
      </c>
      <c r="B61" t="s">
        <v>1162</v>
      </c>
      <c r="C61">
        <v>2</v>
      </c>
      <c r="D61" t="s">
        <v>1163</v>
      </c>
      <c r="E61">
        <v>1698800</v>
      </c>
      <c r="F61" t="s">
        <v>1164</v>
      </c>
      <c r="G61">
        <v>1</v>
      </c>
      <c r="H61" t="s">
        <v>1163</v>
      </c>
      <c r="I61">
        <v>1690000</v>
      </c>
      <c r="J61" t="s">
        <v>1164</v>
      </c>
      <c r="K61">
        <v>86</v>
      </c>
      <c r="L61" t="s">
        <v>1163</v>
      </c>
      <c r="M61">
        <v>1</v>
      </c>
      <c r="N61" t="s">
        <v>1165</v>
      </c>
      <c r="O61" t="str">
        <f t="shared" si="0"/>
        <v>[{"id":2,"num":1698800},{"id":1,"num":1690000},{"id":86,"num":1}]</v>
      </c>
    </row>
    <row r="62" spans="1:15" ht="16.5" x14ac:dyDescent="0.15">
      <c r="A62" s="3">
        <f>Sheet1!A1045</f>
        <v>1707001</v>
      </c>
      <c r="B62" t="s">
        <v>1162</v>
      </c>
      <c r="C62">
        <v>2</v>
      </c>
      <c r="D62" t="s">
        <v>1163</v>
      </c>
      <c r="E62">
        <v>1698800</v>
      </c>
      <c r="F62" t="s">
        <v>1164</v>
      </c>
      <c r="G62">
        <v>1</v>
      </c>
      <c r="H62" t="s">
        <v>1163</v>
      </c>
      <c r="I62">
        <v>1690000</v>
      </c>
      <c r="J62" t="s">
        <v>1164</v>
      </c>
      <c r="K62">
        <v>86</v>
      </c>
      <c r="L62" t="s">
        <v>1163</v>
      </c>
      <c r="M62">
        <f>M52+1</f>
        <v>2</v>
      </c>
      <c r="N62" t="s">
        <v>1165</v>
      </c>
      <c r="O62" t="str">
        <f t="shared" si="0"/>
        <v>[{"id":2,"num":1698800},{"id":1,"num":1690000},{"id":86,"num":2}]</v>
      </c>
    </row>
    <row r="63" spans="1:15" ht="16.5" x14ac:dyDescent="0.15">
      <c r="A63" s="3">
        <f>Sheet1!A1046</f>
        <v>1707002</v>
      </c>
      <c r="B63" t="s">
        <v>1162</v>
      </c>
      <c r="C63">
        <v>2</v>
      </c>
      <c r="D63" t="s">
        <v>1163</v>
      </c>
      <c r="E63">
        <v>1698800</v>
      </c>
      <c r="F63" t="s">
        <v>1164</v>
      </c>
      <c r="G63">
        <v>1</v>
      </c>
      <c r="H63" t="s">
        <v>1163</v>
      </c>
      <c r="I63">
        <v>1690000</v>
      </c>
      <c r="J63" t="s">
        <v>1164</v>
      </c>
      <c r="K63">
        <v>86</v>
      </c>
      <c r="L63" t="s">
        <v>1163</v>
      </c>
      <c r="M63">
        <f t="shared" ref="M63:M94" si="1">M53+1</f>
        <v>2</v>
      </c>
      <c r="N63" t="s">
        <v>1165</v>
      </c>
      <c r="O63" t="str">
        <f t="shared" ref="O63:O94" si="2">_xlfn.TEXTJOIN(,TRUE,B63:N63)</f>
        <v>[{"id":2,"num":1698800},{"id":1,"num":1690000},{"id":86,"num":2}]</v>
      </c>
    </row>
    <row r="64" spans="1:15" ht="16.5" x14ac:dyDescent="0.15">
      <c r="A64" s="3">
        <f>Sheet1!A1047</f>
        <v>1707003</v>
      </c>
      <c r="B64" t="s">
        <v>1162</v>
      </c>
      <c r="C64">
        <v>2</v>
      </c>
      <c r="D64" t="s">
        <v>1163</v>
      </c>
      <c r="E64">
        <v>1698800</v>
      </c>
      <c r="F64" t="s">
        <v>1164</v>
      </c>
      <c r="G64">
        <v>1</v>
      </c>
      <c r="H64" t="s">
        <v>1163</v>
      </c>
      <c r="I64">
        <v>1690000</v>
      </c>
      <c r="J64" t="s">
        <v>1164</v>
      </c>
      <c r="K64">
        <v>86</v>
      </c>
      <c r="L64" t="s">
        <v>1163</v>
      </c>
      <c r="M64">
        <f t="shared" si="1"/>
        <v>2</v>
      </c>
      <c r="N64" t="s">
        <v>1165</v>
      </c>
      <c r="O64" t="str">
        <f t="shared" si="2"/>
        <v>[{"id":2,"num":1698800},{"id":1,"num":1690000},{"id":86,"num":2}]</v>
      </c>
    </row>
    <row r="65" spans="1:15" ht="16.5" x14ac:dyDescent="0.15">
      <c r="A65" s="3">
        <f>Sheet1!A1048</f>
        <v>1707004</v>
      </c>
      <c r="B65" t="s">
        <v>1162</v>
      </c>
      <c r="C65">
        <v>2</v>
      </c>
      <c r="D65" t="s">
        <v>1163</v>
      </c>
      <c r="E65">
        <v>1698800</v>
      </c>
      <c r="F65" t="s">
        <v>1164</v>
      </c>
      <c r="G65">
        <v>1</v>
      </c>
      <c r="H65" t="s">
        <v>1163</v>
      </c>
      <c r="I65">
        <v>1690000</v>
      </c>
      <c r="J65" t="s">
        <v>1164</v>
      </c>
      <c r="K65">
        <v>86</v>
      </c>
      <c r="L65" t="s">
        <v>1163</v>
      </c>
      <c r="M65">
        <f t="shared" si="1"/>
        <v>2</v>
      </c>
      <c r="N65" t="s">
        <v>1165</v>
      </c>
      <c r="O65" t="str">
        <f t="shared" si="2"/>
        <v>[{"id":2,"num":1698800},{"id":1,"num":1690000},{"id":86,"num":2}]</v>
      </c>
    </row>
    <row r="66" spans="1:15" ht="16.5" x14ac:dyDescent="0.15">
      <c r="A66" s="3">
        <f>Sheet1!A1049</f>
        <v>1707005</v>
      </c>
      <c r="B66" t="s">
        <v>1162</v>
      </c>
      <c r="C66">
        <v>2</v>
      </c>
      <c r="D66" t="s">
        <v>1163</v>
      </c>
      <c r="E66">
        <v>1698800</v>
      </c>
      <c r="F66" t="s">
        <v>1164</v>
      </c>
      <c r="G66">
        <v>1</v>
      </c>
      <c r="H66" t="s">
        <v>1163</v>
      </c>
      <c r="I66">
        <v>1690000</v>
      </c>
      <c r="J66" t="s">
        <v>1164</v>
      </c>
      <c r="K66">
        <v>86</v>
      </c>
      <c r="L66" t="s">
        <v>1163</v>
      </c>
      <c r="M66">
        <f t="shared" si="1"/>
        <v>2</v>
      </c>
      <c r="N66" t="s">
        <v>1165</v>
      </c>
      <c r="O66" t="str">
        <f t="shared" si="2"/>
        <v>[{"id":2,"num":1698800},{"id":1,"num":1690000},{"id":86,"num":2}]</v>
      </c>
    </row>
    <row r="67" spans="1:15" ht="16.5" x14ac:dyDescent="0.15">
      <c r="A67" s="3">
        <f>Sheet1!A1050</f>
        <v>1707006</v>
      </c>
      <c r="B67" t="s">
        <v>1162</v>
      </c>
      <c r="C67">
        <v>2</v>
      </c>
      <c r="D67" t="s">
        <v>1163</v>
      </c>
      <c r="E67">
        <v>1698800</v>
      </c>
      <c r="F67" t="s">
        <v>1164</v>
      </c>
      <c r="G67">
        <v>1</v>
      </c>
      <c r="H67" t="s">
        <v>1163</v>
      </c>
      <c r="I67">
        <v>1690000</v>
      </c>
      <c r="J67" t="s">
        <v>1164</v>
      </c>
      <c r="K67">
        <v>86</v>
      </c>
      <c r="L67" t="s">
        <v>1163</v>
      </c>
      <c r="M67">
        <f t="shared" si="1"/>
        <v>2</v>
      </c>
      <c r="N67" t="s">
        <v>1165</v>
      </c>
      <c r="O67" t="str">
        <f t="shared" si="2"/>
        <v>[{"id":2,"num":1698800},{"id":1,"num":1690000},{"id":86,"num":2}]</v>
      </c>
    </row>
    <row r="68" spans="1:15" ht="16.5" x14ac:dyDescent="0.15">
      <c r="A68" s="3">
        <f>Sheet1!A1051</f>
        <v>1707007</v>
      </c>
      <c r="B68" t="s">
        <v>1162</v>
      </c>
      <c r="C68">
        <v>2</v>
      </c>
      <c r="D68" t="s">
        <v>1163</v>
      </c>
      <c r="E68">
        <v>1698800</v>
      </c>
      <c r="F68" t="s">
        <v>1164</v>
      </c>
      <c r="G68">
        <v>1</v>
      </c>
      <c r="H68" t="s">
        <v>1163</v>
      </c>
      <c r="I68">
        <v>1690000</v>
      </c>
      <c r="J68" t="s">
        <v>1164</v>
      </c>
      <c r="K68">
        <v>86</v>
      </c>
      <c r="L68" t="s">
        <v>1163</v>
      </c>
      <c r="M68">
        <f t="shared" si="1"/>
        <v>2</v>
      </c>
      <c r="N68" t="s">
        <v>1165</v>
      </c>
      <c r="O68" t="str">
        <f t="shared" si="2"/>
        <v>[{"id":2,"num":1698800},{"id":1,"num":1690000},{"id":86,"num":2}]</v>
      </c>
    </row>
    <row r="69" spans="1:15" ht="16.5" x14ac:dyDescent="0.15">
      <c r="A69" s="3">
        <f>Sheet1!A1052</f>
        <v>1707008</v>
      </c>
      <c r="B69" t="s">
        <v>1162</v>
      </c>
      <c r="C69">
        <v>2</v>
      </c>
      <c r="D69" t="s">
        <v>1163</v>
      </c>
      <c r="E69">
        <v>1698800</v>
      </c>
      <c r="F69" t="s">
        <v>1164</v>
      </c>
      <c r="G69">
        <v>1</v>
      </c>
      <c r="H69" t="s">
        <v>1163</v>
      </c>
      <c r="I69">
        <v>1690000</v>
      </c>
      <c r="J69" t="s">
        <v>1164</v>
      </c>
      <c r="K69">
        <v>86</v>
      </c>
      <c r="L69" t="s">
        <v>1163</v>
      </c>
      <c r="M69">
        <f t="shared" si="1"/>
        <v>2</v>
      </c>
      <c r="N69" t="s">
        <v>1165</v>
      </c>
      <c r="O69" t="str">
        <f t="shared" si="2"/>
        <v>[{"id":2,"num":1698800},{"id":1,"num":1690000},{"id":86,"num":2}]</v>
      </c>
    </row>
    <row r="70" spans="1:15" ht="16.5" x14ac:dyDescent="0.15">
      <c r="A70" s="3">
        <f>Sheet1!A1053</f>
        <v>1707009</v>
      </c>
      <c r="B70" t="s">
        <v>1162</v>
      </c>
      <c r="C70">
        <v>2</v>
      </c>
      <c r="D70" t="s">
        <v>1163</v>
      </c>
      <c r="E70">
        <v>1698800</v>
      </c>
      <c r="F70" t="s">
        <v>1164</v>
      </c>
      <c r="G70">
        <v>1</v>
      </c>
      <c r="H70" t="s">
        <v>1163</v>
      </c>
      <c r="I70">
        <v>1690000</v>
      </c>
      <c r="J70" t="s">
        <v>1164</v>
      </c>
      <c r="K70">
        <v>86</v>
      </c>
      <c r="L70" t="s">
        <v>1163</v>
      </c>
      <c r="M70">
        <f t="shared" si="1"/>
        <v>2</v>
      </c>
      <c r="N70" t="s">
        <v>1165</v>
      </c>
      <c r="O70" t="str">
        <f t="shared" si="2"/>
        <v>[{"id":2,"num":1698800},{"id":1,"num":1690000},{"id":86,"num":2}]</v>
      </c>
    </row>
    <row r="71" spans="1:15" ht="16.5" x14ac:dyDescent="0.15">
      <c r="A71" s="3">
        <f>Sheet1!A1054</f>
        <v>1707010</v>
      </c>
      <c r="B71" t="s">
        <v>1162</v>
      </c>
      <c r="C71">
        <v>2</v>
      </c>
      <c r="D71" t="s">
        <v>1163</v>
      </c>
      <c r="E71">
        <v>1698800</v>
      </c>
      <c r="F71" t="s">
        <v>1164</v>
      </c>
      <c r="G71">
        <v>1</v>
      </c>
      <c r="H71" t="s">
        <v>1163</v>
      </c>
      <c r="I71">
        <v>1690000</v>
      </c>
      <c r="J71" t="s">
        <v>1164</v>
      </c>
      <c r="K71">
        <v>86</v>
      </c>
      <c r="L71" t="s">
        <v>1163</v>
      </c>
      <c r="M71">
        <f t="shared" si="1"/>
        <v>2</v>
      </c>
      <c r="N71" t="s">
        <v>1165</v>
      </c>
      <c r="O71" t="str">
        <f t="shared" si="2"/>
        <v>[{"id":2,"num":1698800},{"id":1,"num":1690000},{"id":86,"num":2}]</v>
      </c>
    </row>
    <row r="72" spans="1:15" ht="16.5" x14ac:dyDescent="0.15">
      <c r="A72" s="3">
        <f>Sheet1!A1055</f>
        <v>1708001</v>
      </c>
      <c r="B72" t="s">
        <v>1162</v>
      </c>
      <c r="C72">
        <v>2</v>
      </c>
      <c r="D72" t="s">
        <v>1163</v>
      </c>
      <c r="E72">
        <v>1698800</v>
      </c>
      <c r="F72" t="s">
        <v>1164</v>
      </c>
      <c r="G72">
        <v>1</v>
      </c>
      <c r="H72" t="s">
        <v>1163</v>
      </c>
      <c r="I72">
        <v>1690000</v>
      </c>
      <c r="J72" t="s">
        <v>1164</v>
      </c>
      <c r="K72">
        <v>86</v>
      </c>
      <c r="L72" t="s">
        <v>1163</v>
      </c>
      <c r="M72">
        <f t="shared" si="1"/>
        <v>3</v>
      </c>
      <c r="N72" t="s">
        <v>1165</v>
      </c>
      <c r="O72" t="str">
        <f t="shared" si="2"/>
        <v>[{"id":2,"num":1698800},{"id":1,"num":1690000},{"id":86,"num":3}]</v>
      </c>
    </row>
    <row r="73" spans="1:15" ht="16.5" x14ac:dyDescent="0.15">
      <c r="A73" s="3">
        <f>Sheet1!A1056</f>
        <v>1708002</v>
      </c>
      <c r="B73" t="s">
        <v>1162</v>
      </c>
      <c r="C73">
        <v>2</v>
      </c>
      <c r="D73" t="s">
        <v>1163</v>
      </c>
      <c r="E73">
        <v>1698800</v>
      </c>
      <c r="F73" t="s">
        <v>1164</v>
      </c>
      <c r="G73">
        <v>1</v>
      </c>
      <c r="H73" t="s">
        <v>1163</v>
      </c>
      <c r="I73">
        <v>1690000</v>
      </c>
      <c r="J73" t="s">
        <v>1164</v>
      </c>
      <c r="K73">
        <v>86</v>
      </c>
      <c r="L73" t="s">
        <v>1163</v>
      </c>
      <c r="M73">
        <f t="shared" si="1"/>
        <v>3</v>
      </c>
      <c r="N73" t="s">
        <v>1165</v>
      </c>
      <c r="O73" t="str">
        <f t="shared" si="2"/>
        <v>[{"id":2,"num":1698800},{"id":1,"num":1690000},{"id":86,"num":3}]</v>
      </c>
    </row>
    <row r="74" spans="1:15" ht="16.5" x14ac:dyDescent="0.15">
      <c r="A74" s="3">
        <f>Sheet1!A1057</f>
        <v>1708003</v>
      </c>
      <c r="B74" t="s">
        <v>1162</v>
      </c>
      <c r="C74">
        <v>2</v>
      </c>
      <c r="D74" t="s">
        <v>1163</v>
      </c>
      <c r="E74">
        <v>1698800</v>
      </c>
      <c r="F74" t="s">
        <v>1164</v>
      </c>
      <c r="G74">
        <v>1</v>
      </c>
      <c r="H74" t="s">
        <v>1163</v>
      </c>
      <c r="I74">
        <v>1690000</v>
      </c>
      <c r="J74" t="s">
        <v>1164</v>
      </c>
      <c r="K74">
        <v>86</v>
      </c>
      <c r="L74" t="s">
        <v>1163</v>
      </c>
      <c r="M74">
        <f t="shared" si="1"/>
        <v>3</v>
      </c>
      <c r="N74" t="s">
        <v>1165</v>
      </c>
      <c r="O74" t="str">
        <f t="shared" si="2"/>
        <v>[{"id":2,"num":1698800},{"id":1,"num":1690000},{"id":86,"num":3}]</v>
      </c>
    </row>
    <row r="75" spans="1:15" ht="16.5" x14ac:dyDescent="0.15">
      <c r="A75" s="3">
        <f>Sheet1!A1058</f>
        <v>1708004</v>
      </c>
      <c r="B75" t="s">
        <v>1162</v>
      </c>
      <c r="C75">
        <v>2</v>
      </c>
      <c r="D75" t="s">
        <v>1163</v>
      </c>
      <c r="E75">
        <v>1698800</v>
      </c>
      <c r="F75" t="s">
        <v>1164</v>
      </c>
      <c r="G75">
        <v>1</v>
      </c>
      <c r="H75" t="s">
        <v>1163</v>
      </c>
      <c r="I75">
        <v>1690000</v>
      </c>
      <c r="J75" t="s">
        <v>1164</v>
      </c>
      <c r="K75">
        <v>86</v>
      </c>
      <c r="L75" t="s">
        <v>1163</v>
      </c>
      <c r="M75">
        <f t="shared" si="1"/>
        <v>3</v>
      </c>
      <c r="N75" t="s">
        <v>1165</v>
      </c>
      <c r="O75" t="str">
        <f t="shared" si="2"/>
        <v>[{"id":2,"num":1698800},{"id":1,"num":1690000},{"id":86,"num":3}]</v>
      </c>
    </row>
    <row r="76" spans="1:15" ht="16.5" x14ac:dyDescent="0.15">
      <c r="A76" s="3">
        <f>Sheet1!A1059</f>
        <v>1708005</v>
      </c>
      <c r="B76" t="s">
        <v>1162</v>
      </c>
      <c r="C76">
        <v>2</v>
      </c>
      <c r="D76" t="s">
        <v>1163</v>
      </c>
      <c r="E76">
        <v>1698800</v>
      </c>
      <c r="F76" t="s">
        <v>1164</v>
      </c>
      <c r="G76">
        <v>1</v>
      </c>
      <c r="H76" t="s">
        <v>1163</v>
      </c>
      <c r="I76">
        <v>1690000</v>
      </c>
      <c r="J76" t="s">
        <v>1164</v>
      </c>
      <c r="K76">
        <v>86</v>
      </c>
      <c r="L76" t="s">
        <v>1163</v>
      </c>
      <c r="M76">
        <f t="shared" si="1"/>
        <v>3</v>
      </c>
      <c r="N76" t="s">
        <v>1165</v>
      </c>
      <c r="O76" t="str">
        <f t="shared" si="2"/>
        <v>[{"id":2,"num":1698800},{"id":1,"num":1690000},{"id":86,"num":3}]</v>
      </c>
    </row>
    <row r="77" spans="1:15" ht="16.5" x14ac:dyDescent="0.15">
      <c r="A77" s="3">
        <f>Sheet1!A1060</f>
        <v>1708006</v>
      </c>
      <c r="B77" t="s">
        <v>1162</v>
      </c>
      <c r="C77">
        <v>2</v>
      </c>
      <c r="D77" t="s">
        <v>1163</v>
      </c>
      <c r="E77">
        <v>1698800</v>
      </c>
      <c r="F77" t="s">
        <v>1164</v>
      </c>
      <c r="G77">
        <v>1</v>
      </c>
      <c r="H77" t="s">
        <v>1163</v>
      </c>
      <c r="I77">
        <v>1690000</v>
      </c>
      <c r="J77" t="s">
        <v>1164</v>
      </c>
      <c r="K77">
        <v>86</v>
      </c>
      <c r="L77" t="s">
        <v>1163</v>
      </c>
      <c r="M77">
        <f t="shared" si="1"/>
        <v>3</v>
      </c>
      <c r="N77" t="s">
        <v>1165</v>
      </c>
      <c r="O77" t="str">
        <f t="shared" si="2"/>
        <v>[{"id":2,"num":1698800},{"id":1,"num":1690000},{"id":86,"num":3}]</v>
      </c>
    </row>
    <row r="78" spans="1:15" ht="16.5" x14ac:dyDescent="0.15">
      <c r="A78" s="3">
        <f>Sheet1!A1061</f>
        <v>1708007</v>
      </c>
      <c r="B78" t="s">
        <v>1162</v>
      </c>
      <c r="C78">
        <v>2</v>
      </c>
      <c r="D78" t="s">
        <v>1163</v>
      </c>
      <c r="E78">
        <v>1698800</v>
      </c>
      <c r="F78" t="s">
        <v>1164</v>
      </c>
      <c r="G78">
        <v>1</v>
      </c>
      <c r="H78" t="s">
        <v>1163</v>
      </c>
      <c r="I78">
        <v>1690000</v>
      </c>
      <c r="J78" t="s">
        <v>1164</v>
      </c>
      <c r="K78">
        <v>86</v>
      </c>
      <c r="L78" t="s">
        <v>1163</v>
      </c>
      <c r="M78">
        <f t="shared" si="1"/>
        <v>3</v>
      </c>
      <c r="N78" t="s">
        <v>1165</v>
      </c>
      <c r="O78" t="str">
        <f t="shared" si="2"/>
        <v>[{"id":2,"num":1698800},{"id":1,"num":1690000},{"id":86,"num":3}]</v>
      </c>
    </row>
    <row r="79" spans="1:15" ht="16.5" x14ac:dyDescent="0.15">
      <c r="A79" s="3">
        <f>Sheet1!A1062</f>
        <v>1708008</v>
      </c>
      <c r="B79" t="s">
        <v>1162</v>
      </c>
      <c r="C79">
        <v>2</v>
      </c>
      <c r="D79" t="s">
        <v>1163</v>
      </c>
      <c r="E79">
        <v>1698800</v>
      </c>
      <c r="F79" t="s">
        <v>1164</v>
      </c>
      <c r="G79">
        <v>1</v>
      </c>
      <c r="H79" t="s">
        <v>1163</v>
      </c>
      <c r="I79">
        <v>1690000</v>
      </c>
      <c r="J79" t="s">
        <v>1164</v>
      </c>
      <c r="K79">
        <v>86</v>
      </c>
      <c r="L79" t="s">
        <v>1163</v>
      </c>
      <c r="M79">
        <f t="shared" si="1"/>
        <v>3</v>
      </c>
      <c r="N79" t="s">
        <v>1165</v>
      </c>
      <c r="O79" t="str">
        <f t="shared" si="2"/>
        <v>[{"id":2,"num":1698800},{"id":1,"num":1690000},{"id":86,"num":3}]</v>
      </c>
    </row>
    <row r="80" spans="1:15" ht="16.5" x14ac:dyDescent="0.15">
      <c r="A80" s="3">
        <f>Sheet1!A1063</f>
        <v>1708009</v>
      </c>
      <c r="B80" t="s">
        <v>1162</v>
      </c>
      <c r="C80">
        <v>2</v>
      </c>
      <c r="D80" t="s">
        <v>1163</v>
      </c>
      <c r="E80">
        <v>1698800</v>
      </c>
      <c r="F80" t="s">
        <v>1164</v>
      </c>
      <c r="G80">
        <v>1</v>
      </c>
      <c r="H80" t="s">
        <v>1163</v>
      </c>
      <c r="I80">
        <v>1690000</v>
      </c>
      <c r="J80" t="s">
        <v>1164</v>
      </c>
      <c r="K80">
        <v>86</v>
      </c>
      <c r="L80" t="s">
        <v>1163</v>
      </c>
      <c r="M80">
        <f t="shared" si="1"/>
        <v>3</v>
      </c>
      <c r="N80" t="s">
        <v>1165</v>
      </c>
      <c r="O80" t="str">
        <f t="shared" si="2"/>
        <v>[{"id":2,"num":1698800},{"id":1,"num":1690000},{"id":86,"num":3}]</v>
      </c>
    </row>
    <row r="81" spans="1:15" ht="16.5" x14ac:dyDescent="0.15">
      <c r="A81" s="3">
        <f>Sheet1!A1064</f>
        <v>1708010</v>
      </c>
      <c r="B81" t="s">
        <v>1162</v>
      </c>
      <c r="C81">
        <v>2</v>
      </c>
      <c r="D81" t="s">
        <v>1163</v>
      </c>
      <c r="E81">
        <v>1698800</v>
      </c>
      <c r="F81" t="s">
        <v>1164</v>
      </c>
      <c r="G81">
        <v>1</v>
      </c>
      <c r="H81" t="s">
        <v>1163</v>
      </c>
      <c r="I81">
        <v>1690000</v>
      </c>
      <c r="J81" t="s">
        <v>1164</v>
      </c>
      <c r="K81">
        <v>86</v>
      </c>
      <c r="L81" t="s">
        <v>1163</v>
      </c>
      <c r="M81">
        <f t="shared" si="1"/>
        <v>3</v>
      </c>
      <c r="N81" t="s">
        <v>1165</v>
      </c>
      <c r="O81" t="str">
        <f t="shared" si="2"/>
        <v>[{"id":2,"num":1698800},{"id":1,"num":1690000},{"id":86,"num":3}]</v>
      </c>
    </row>
    <row r="82" spans="1:15" ht="16.5" x14ac:dyDescent="0.15">
      <c r="A82" s="3">
        <f>Sheet1!A1065</f>
        <v>1709001</v>
      </c>
      <c r="B82" t="s">
        <v>1162</v>
      </c>
      <c r="C82">
        <v>2</v>
      </c>
      <c r="D82" t="s">
        <v>1163</v>
      </c>
      <c r="E82">
        <v>1698800</v>
      </c>
      <c r="F82" t="s">
        <v>1164</v>
      </c>
      <c r="G82">
        <v>1</v>
      </c>
      <c r="H82" t="s">
        <v>1163</v>
      </c>
      <c r="I82">
        <v>1690000</v>
      </c>
      <c r="J82" t="s">
        <v>1164</v>
      </c>
      <c r="K82">
        <v>86</v>
      </c>
      <c r="L82" t="s">
        <v>1163</v>
      </c>
      <c r="M82">
        <f t="shared" si="1"/>
        <v>4</v>
      </c>
      <c r="N82" t="s">
        <v>1165</v>
      </c>
      <c r="O82" t="str">
        <f t="shared" si="2"/>
        <v>[{"id":2,"num":1698800},{"id":1,"num":1690000},{"id":86,"num":4}]</v>
      </c>
    </row>
    <row r="83" spans="1:15" ht="16.5" x14ac:dyDescent="0.15">
      <c r="A83" s="3">
        <f>Sheet1!A1066</f>
        <v>1709002</v>
      </c>
      <c r="B83" t="s">
        <v>1162</v>
      </c>
      <c r="C83">
        <v>2</v>
      </c>
      <c r="D83" t="s">
        <v>1163</v>
      </c>
      <c r="E83">
        <v>1698800</v>
      </c>
      <c r="F83" t="s">
        <v>1164</v>
      </c>
      <c r="G83">
        <v>1</v>
      </c>
      <c r="H83" t="s">
        <v>1163</v>
      </c>
      <c r="I83">
        <v>1690000</v>
      </c>
      <c r="J83" t="s">
        <v>1164</v>
      </c>
      <c r="K83">
        <v>86</v>
      </c>
      <c r="L83" t="s">
        <v>1163</v>
      </c>
      <c r="M83">
        <f t="shared" si="1"/>
        <v>4</v>
      </c>
      <c r="N83" t="s">
        <v>1165</v>
      </c>
      <c r="O83" t="str">
        <f t="shared" si="2"/>
        <v>[{"id":2,"num":1698800},{"id":1,"num":1690000},{"id":86,"num":4}]</v>
      </c>
    </row>
    <row r="84" spans="1:15" ht="16.5" x14ac:dyDescent="0.15">
      <c r="A84" s="3">
        <f>Sheet1!A1067</f>
        <v>1709003</v>
      </c>
      <c r="B84" t="s">
        <v>1162</v>
      </c>
      <c r="C84">
        <v>2</v>
      </c>
      <c r="D84" t="s">
        <v>1163</v>
      </c>
      <c r="E84">
        <v>1698800</v>
      </c>
      <c r="F84" t="s">
        <v>1164</v>
      </c>
      <c r="G84">
        <v>1</v>
      </c>
      <c r="H84" t="s">
        <v>1163</v>
      </c>
      <c r="I84">
        <v>1690000</v>
      </c>
      <c r="J84" t="s">
        <v>1164</v>
      </c>
      <c r="K84">
        <v>86</v>
      </c>
      <c r="L84" t="s">
        <v>1163</v>
      </c>
      <c r="M84">
        <f t="shared" si="1"/>
        <v>4</v>
      </c>
      <c r="N84" t="s">
        <v>1165</v>
      </c>
      <c r="O84" t="str">
        <f t="shared" si="2"/>
        <v>[{"id":2,"num":1698800},{"id":1,"num":1690000},{"id":86,"num":4}]</v>
      </c>
    </row>
    <row r="85" spans="1:15" ht="16.5" x14ac:dyDescent="0.15">
      <c r="A85" s="3">
        <f>Sheet1!A1068</f>
        <v>1709004</v>
      </c>
      <c r="B85" t="s">
        <v>1162</v>
      </c>
      <c r="C85">
        <v>2</v>
      </c>
      <c r="D85" t="s">
        <v>1163</v>
      </c>
      <c r="E85">
        <v>1698800</v>
      </c>
      <c r="F85" t="s">
        <v>1164</v>
      </c>
      <c r="G85">
        <v>1</v>
      </c>
      <c r="H85" t="s">
        <v>1163</v>
      </c>
      <c r="I85">
        <v>1690000</v>
      </c>
      <c r="J85" t="s">
        <v>1164</v>
      </c>
      <c r="K85">
        <v>86</v>
      </c>
      <c r="L85" t="s">
        <v>1163</v>
      </c>
      <c r="M85">
        <f t="shared" si="1"/>
        <v>4</v>
      </c>
      <c r="N85" t="s">
        <v>1165</v>
      </c>
      <c r="O85" t="str">
        <f t="shared" si="2"/>
        <v>[{"id":2,"num":1698800},{"id":1,"num":1690000},{"id":86,"num":4}]</v>
      </c>
    </row>
    <row r="86" spans="1:15" ht="16.5" x14ac:dyDescent="0.15">
      <c r="A86" s="3">
        <f>Sheet1!A1069</f>
        <v>1709005</v>
      </c>
      <c r="B86" t="s">
        <v>1162</v>
      </c>
      <c r="C86">
        <v>2</v>
      </c>
      <c r="D86" t="s">
        <v>1163</v>
      </c>
      <c r="E86">
        <v>1698800</v>
      </c>
      <c r="F86" t="s">
        <v>1164</v>
      </c>
      <c r="G86">
        <v>1</v>
      </c>
      <c r="H86" t="s">
        <v>1163</v>
      </c>
      <c r="I86">
        <v>1690000</v>
      </c>
      <c r="J86" t="s">
        <v>1164</v>
      </c>
      <c r="K86">
        <v>86</v>
      </c>
      <c r="L86" t="s">
        <v>1163</v>
      </c>
      <c r="M86">
        <f t="shared" si="1"/>
        <v>4</v>
      </c>
      <c r="N86" t="s">
        <v>1165</v>
      </c>
      <c r="O86" t="str">
        <f t="shared" si="2"/>
        <v>[{"id":2,"num":1698800},{"id":1,"num":1690000},{"id":86,"num":4}]</v>
      </c>
    </row>
    <row r="87" spans="1:15" ht="16.5" x14ac:dyDescent="0.15">
      <c r="A87" s="3">
        <f>Sheet1!A1070</f>
        <v>1709006</v>
      </c>
      <c r="B87" t="s">
        <v>1162</v>
      </c>
      <c r="C87">
        <v>2</v>
      </c>
      <c r="D87" t="s">
        <v>1163</v>
      </c>
      <c r="E87">
        <v>1698800</v>
      </c>
      <c r="F87" t="s">
        <v>1164</v>
      </c>
      <c r="G87">
        <v>1</v>
      </c>
      <c r="H87" t="s">
        <v>1163</v>
      </c>
      <c r="I87">
        <v>1690000</v>
      </c>
      <c r="J87" t="s">
        <v>1164</v>
      </c>
      <c r="K87">
        <v>86</v>
      </c>
      <c r="L87" t="s">
        <v>1163</v>
      </c>
      <c r="M87">
        <f t="shared" si="1"/>
        <v>4</v>
      </c>
      <c r="N87" t="s">
        <v>1165</v>
      </c>
      <c r="O87" t="str">
        <f t="shared" si="2"/>
        <v>[{"id":2,"num":1698800},{"id":1,"num":1690000},{"id":86,"num":4}]</v>
      </c>
    </row>
    <row r="88" spans="1:15" ht="16.5" x14ac:dyDescent="0.15">
      <c r="A88" s="3">
        <f>Sheet1!A1071</f>
        <v>1709007</v>
      </c>
      <c r="B88" t="s">
        <v>1162</v>
      </c>
      <c r="C88">
        <v>2</v>
      </c>
      <c r="D88" t="s">
        <v>1163</v>
      </c>
      <c r="E88">
        <v>1698800</v>
      </c>
      <c r="F88" t="s">
        <v>1164</v>
      </c>
      <c r="G88">
        <v>1</v>
      </c>
      <c r="H88" t="s">
        <v>1163</v>
      </c>
      <c r="I88">
        <v>1690000</v>
      </c>
      <c r="J88" t="s">
        <v>1164</v>
      </c>
      <c r="K88">
        <v>86</v>
      </c>
      <c r="L88" t="s">
        <v>1163</v>
      </c>
      <c r="M88">
        <f t="shared" si="1"/>
        <v>4</v>
      </c>
      <c r="N88" t="s">
        <v>1165</v>
      </c>
      <c r="O88" t="str">
        <f t="shared" si="2"/>
        <v>[{"id":2,"num":1698800},{"id":1,"num":1690000},{"id":86,"num":4}]</v>
      </c>
    </row>
    <row r="89" spans="1:15" ht="16.5" x14ac:dyDescent="0.15">
      <c r="A89" s="3">
        <f>Sheet1!A1072</f>
        <v>1709008</v>
      </c>
      <c r="B89" t="s">
        <v>1162</v>
      </c>
      <c r="C89">
        <v>2</v>
      </c>
      <c r="D89" t="s">
        <v>1163</v>
      </c>
      <c r="E89">
        <v>1698800</v>
      </c>
      <c r="F89" t="s">
        <v>1164</v>
      </c>
      <c r="G89">
        <v>1</v>
      </c>
      <c r="H89" t="s">
        <v>1163</v>
      </c>
      <c r="I89">
        <v>1690000</v>
      </c>
      <c r="J89" t="s">
        <v>1164</v>
      </c>
      <c r="K89">
        <v>86</v>
      </c>
      <c r="L89" t="s">
        <v>1163</v>
      </c>
      <c r="M89">
        <f t="shared" si="1"/>
        <v>4</v>
      </c>
      <c r="N89" t="s">
        <v>1165</v>
      </c>
      <c r="O89" t="str">
        <f t="shared" si="2"/>
        <v>[{"id":2,"num":1698800},{"id":1,"num":1690000},{"id":86,"num":4}]</v>
      </c>
    </row>
    <row r="90" spans="1:15" ht="16.5" x14ac:dyDescent="0.15">
      <c r="A90" s="3">
        <f>Sheet1!A1073</f>
        <v>1709009</v>
      </c>
      <c r="B90" t="s">
        <v>1162</v>
      </c>
      <c r="C90">
        <v>2</v>
      </c>
      <c r="D90" t="s">
        <v>1163</v>
      </c>
      <c r="E90">
        <v>1698800</v>
      </c>
      <c r="F90" t="s">
        <v>1164</v>
      </c>
      <c r="G90">
        <v>1</v>
      </c>
      <c r="H90" t="s">
        <v>1163</v>
      </c>
      <c r="I90">
        <v>1690000</v>
      </c>
      <c r="J90" t="s">
        <v>1164</v>
      </c>
      <c r="K90">
        <v>86</v>
      </c>
      <c r="L90" t="s">
        <v>1163</v>
      </c>
      <c r="M90">
        <f t="shared" si="1"/>
        <v>4</v>
      </c>
      <c r="N90" t="s">
        <v>1165</v>
      </c>
      <c r="O90" t="str">
        <f t="shared" si="2"/>
        <v>[{"id":2,"num":1698800},{"id":1,"num":1690000},{"id":86,"num":4}]</v>
      </c>
    </row>
    <row r="91" spans="1:15" ht="16.5" x14ac:dyDescent="0.15">
      <c r="A91" s="3">
        <f>Sheet1!A1074</f>
        <v>1709010</v>
      </c>
      <c r="B91" t="s">
        <v>1162</v>
      </c>
      <c r="C91">
        <v>2</v>
      </c>
      <c r="D91" t="s">
        <v>1163</v>
      </c>
      <c r="E91">
        <v>1698800</v>
      </c>
      <c r="F91" t="s">
        <v>1164</v>
      </c>
      <c r="G91">
        <v>1</v>
      </c>
      <c r="H91" t="s">
        <v>1163</v>
      </c>
      <c r="I91">
        <v>1690000</v>
      </c>
      <c r="J91" t="s">
        <v>1164</v>
      </c>
      <c r="K91">
        <v>86</v>
      </c>
      <c r="L91" t="s">
        <v>1163</v>
      </c>
      <c r="M91">
        <f t="shared" si="1"/>
        <v>4</v>
      </c>
      <c r="N91" t="s">
        <v>1165</v>
      </c>
      <c r="O91" t="str">
        <f t="shared" si="2"/>
        <v>[{"id":2,"num":1698800},{"id":1,"num":1690000},{"id":86,"num":4}]</v>
      </c>
    </row>
    <row r="92" spans="1:15" ht="16.5" x14ac:dyDescent="0.15">
      <c r="A92" s="3">
        <f>Sheet1!A1075</f>
        <v>1710001</v>
      </c>
      <c r="B92" t="s">
        <v>1162</v>
      </c>
      <c r="C92">
        <v>2</v>
      </c>
      <c r="D92" t="s">
        <v>1163</v>
      </c>
      <c r="E92">
        <v>1698800</v>
      </c>
      <c r="F92" t="s">
        <v>1164</v>
      </c>
      <c r="G92">
        <v>1</v>
      </c>
      <c r="H92" t="s">
        <v>1163</v>
      </c>
      <c r="I92">
        <v>1690000</v>
      </c>
      <c r="J92" t="s">
        <v>1164</v>
      </c>
      <c r="K92">
        <v>86</v>
      </c>
      <c r="L92" t="s">
        <v>1163</v>
      </c>
      <c r="M92">
        <f t="shared" si="1"/>
        <v>5</v>
      </c>
      <c r="N92" t="s">
        <v>1165</v>
      </c>
      <c r="O92" t="str">
        <f t="shared" si="2"/>
        <v>[{"id":2,"num":1698800},{"id":1,"num":1690000},{"id":86,"num":5}]</v>
      </c>
    </row>
    <row r="93" spans="1:15" ht="16.5" x14ac:dyDescent="0.15">
      <c r="A93" s="3">
        <f>Sheet1!A1076</f>
        <v>1710002</v>
      </c>
      <c r="B93" t="s">
        <v>1162</v>
      </c>
      <c r="C93">
        <v>2</v>
      </c>
      <c r="D93" t="s">
        <v>1163</v>
      </c>
      <c r="E93">
        <v>1698800</v>
      </c>
      <c r="F93" t="s">
        <v>1164</v>
      </c>
      <c r="G93">
        <v>1</v>
      </c>
      <c r="H93" t="s">
        <v>1163</v>
      </c>
      <c r="I93">
        <v>1690000</v>
      </c>
      <c r="J93" t="s">
        <v>1164</v>
      </c>
      <c r="K93">
        <v>86</v>
      </c>
      <c r="L93" t="s">
        <v>1163</v>
      </c>
      <c r="M93">
        <f t="shared" si="1"/>
        <v>5</v>
      </c>
      <c r="N93" t="s">
        <v>1165</v>
      </c>
      <c r="O93" t="str">
        <f t="shared" si="2"/>
        <v>[{"id":2,"num":1698800},{"id":1,"num":1690000},{"id":86,"num":5}]</v>
      </c>
    </row>
    <row r="94" spans="1:15" ht="16.5" x14ac:dyDescent="0.15">
      <c r="A94" s="3">
        <f>Sheet1!A1077</f>
        <v>1710003</v>
      </c>
      <c r="B94" t="s">
        <v>1162</v>
      </c>
      <c r="C94">
        <v>2</v>
      </c>
      <c r="D94" t="s">
        <v>1163</v>
      </c>
      <c r="E94">
        <v>1698800</v>
      </c>
      <c r="F94" t="s">
        <v>1164</v>
      </c>
      <c r="G94">
        <v>1</v>
      </c>
      <c r="H94" t="s">
        <v>1163</v>
      </c>
      <c r="I94">
        <v>1690000</v>
      </c>
      <c r="J94" t="s">
        <v>1164</v>
      </c>
      <c r="K94">
        <v>86</v>
      </c>
      <c r="L94" t="s">
        <v>1163</v>
      </c>
      <c r="M94">
        <f t="shared" si="1"/>
        <v>5</v>
      </c>
      <c r="N94" t="s">
        <v>1165</v>
      </c>
      <c r="O94" t="str">
        <f t="shared" si="2"/>
        <v>[{"id":2,"num":1698800},{"id":1,"num":1690000},{"id":86,"num":5}]</v>
      </c>
    </row>
    <row r="95" spans="1:15" ht="16.5" x14ac:dyDescent="0.15">
      <c r="A95" s="3">
        <f>Sheet1!A1078</f>
        <v>1710004</v>
      </c>
      <c r="B95" t="s">
        <v>1162</v>
      </c>
      <c r="C95">
        <v>2</v>
      </c>
      <c r="D95" t="s">
        <v>1163</v>
      </c>
      <c r="E95">
        <v>1698800</v>
      </c>
      <c r="F95" t="s">
        <v>1164</v>
      </c>
      <c r="G95">
        <v>1</v>
      </c>
      <c r="H95" t="s">
        <v>1163</v>
      </c>
      <c r="I95">
        <v>1690000</v>
      </c>
      <c r="J95" t="s">
        <v>1164</v>
      </c>
      <c r="K95">
        <v>86</v>
      </c>
      <c r="L95" t="s">
        <v>1163</v>
      </c>
      <c r="M95">
        <f t="shared" ref="M95:M131" si="3">M85+1</f>
        <v>5</v>
      </c>
      <c r="N95" t="s">
        <v>1165</v>
      </c>
      <c r="O95" t="str">
        <f t="shared" ref="O95:O131" si="4">_xlfn.TEXTJOIN(,TRUE,B95:N95)</f>
        <v>[{"id":2,"num":1698800},{"id":1,"num":1690000},{"id":86,"num":5}]</v>
      </c>
    </row>
    <row r="96" spans="1:15" ht="16.5" x14ac:dyDescent="0.15">
      <c r="A96" s="3">
        <f>Sheet1!A1079</f>
        <v>1710005</v>
      </c>
      <c r="B96" t="s">
        <v>1162</v>
      </c>
      <c r="C96">
        <v>2</v>
      </c>
      <c r="D96" t="s">
        <v>1163</v>
      </c>
      <c r="E96">
        <v>1698800</v>
      </c>
      <c r="F96" t="s">
        <v>1164</v>
      </c>
      <c r="G96">
        <v>1</v>
      </c>
      <c r="H96" t="s">
        <v>1163</v>
      </c>
      <c r="I96">
        <v>1690000</v>
      </c>
      <c r="J96" t="s">
        <v>1164</v>
      </c>
      <c r="K96">
        <v>86</v>
      </c>
      <c r="L96" t="s">
        <v>1163</v>
      </c>
      <c r="M96">
        <f t="shared" si="3"/>
        <v>5</v>
      </c>
      <c r="N96" t="s">
        <v>1165</v>
      </c>
      <c r="O96" t="str">
        <f t="shared" si="4"/>
        <v>[{"id":2,"num":1698800},{"id":1,"num":1690000},{"id":86,"num":5}]</v>
      </c>
    </row>
    <row r="97" spans="1:15" ht="16.5" x14ac:dyDescent="0.15">
      <c r="A97" s="3">
        <f>Sheet1!A1080</f>
        <v>1710006</v>
      </c>
      <c r="B97" t="s">
        <v>1162</v>
      </c>
      <c r="C97">
        <v>2</v>
      </c>
      <c r="D97" t="s">
        <v>1163</v>
      </c>
      <c r="E97">
        <v>1698800</v>
      </c>
      <c r="F97" t="s">
        <v>1164</v>
      </c>
      <c r="G97">
        <v>1</v>
      </c>
      <c r="H97" t="s">
        <v>1163</v>
      </c>
      <c r="I97">
        <v>1690000</v>
      </c>
      <c r="J97" t="s">
        <v>1164</v>
      </c>
      <c r="K97">
        <v>86</v>
      </c>
      <c r="L97" t="s">
        <v>1163</v>
      </c>
      <c r="M97">
        <f t="shared" si="3"/>
        <v>5</v>
      </c>
      <c r="N97" t="s">
        <v>1165</v>
      </c>
      <c r="O97" t="str">
        <f t="shared" si="4"/>
        <v>[{"id":2,"num":1698800},{"id":1,"num":1690000},{"id":86,"num":5}]</v>
      </c>
    </row>
    <row r="98" spans="1:15" ht="16.5" x14ac:dyDescent="0.15">
      <c r="A98" s="3">
        <f>Sheet1!A1081</f>
        <v>1710007</v>
      </c>
      <c r="B98" t="s">
        <v>1162</v>
      </c>
      <c r="C98">
        <v>2</v>
      </c>
      <c r="D98" t="s">
        <v>1163</v>
      </c>
      <c r="E98">
        <v>1698800</v>
      </c>
      <c r="F98" t="s">
        <v>1164</v>
      </c>
      <c r="G98">
        <v>1</v>
      </c>
      <c r="H98" t="s">
        <v>1163</v>
      </c>
      <c r="I98">
        <v>1690000</v>
      </c>
      <c r="J98" t="s">
        <v>1164</v>
      </c>
      <c r="K98">
        <v>86</v>
      </c>
      <c r="L98" t="s">
        <v>1163</v>
      </c>
      <c r="M98">
        <f t="shared" si="3"/>
        <v>5</v>
      </c>
      <c r="N98" t="s">
        <v>1165</v>
      </c>
      <c r="O98" t="str">
        <f t="shared" si="4"/>
        <v>[{"id":2,"num":1698800},{"id":1,"num":1690000},{"id":86,"num":5}]</v>
      </c>
    </row>
    <row r="99" spans="1:15" ht="16.5" x14ac:dyDescent="0.15">
      <c r="A99" s="3">
        <f>Sheet1!A1082</f>
        <v>1710008</v>
      </c>
      <c r="B99" t="s">
        <v>1162</v>
      </c>
      <c r="C99">
        <v>2</v>
      </c>
      <c r="D99" t="s">
        <v>1163</v>
      </c>
      <c r="E99">
        <v>1698800</v>
      </c>
      <c r="F99" t="s">
        <v>1164</v>
      </c>
      <c r="G99">
        <v>1</v>
      </c>
      <c r="H99" t="s">
        <v>1163</v>
      </c>
      <c r="I99">
        <v>1690000</v>
      </c>
      <c r="J99" t="s">
        <v>1164</v>
      </c>
      <c r="K99">
        <v>86</v>
      </c>
      <c r="L99" t="s">
        <v>1163</v>
      </c>
      <c r="M99">
        <f t="shared" si="3"/>
        <v>5</v>
      </c>
      <c r="N99" t="s">
        <v>1165</v>
      </c>
      <c r="O99" t="str">
        <f t="shared" si="4"/>
        <v>[{"id":2,"num":1698800},{"id":1,"num":1690000},{"id":86,"num":5}]</v>
      </c>
    </row>
    <row r="100" spans="1:15" ht="16.5" x14ac:dyDescent="0.15">
      <c r="A100" s="3">
        <f>Sheet1!A1083</f>
        <v>1710009</v>
      </c>
      <c r="B100" t="s">
        <v>1162</v>
      </c>
      <c r="C100">
        <v>2</v>
      </c>
      <c r="D100" t="s">
        <v>1163</v>
      </c>
      <c r="E100">
        <v>1698800</v>
      </c>
      <c r="F100" t="s">
        <v>1164</v>
      </c>
      <c r="G100">
        <v>1</v>
      </c>
      <c r="H100" t="s">
        <v>1163</v>
      </c>
      <c r="I100">
        <v>1690000</v>
      </c>
      <c r="J100" t="s">
        <v>1164</v>
      </c>
      <c r="K100">
        <v>86</v>
      </c>
      <c r="L100" t="s">
        <v>1163</v>
      </c>
      <c r="M100">
        <f t="shared" si="3"/>
        <v>5</v>
      </c>
      <c r="N100" t="s">
        <v>1165</v>
      </c>
      <c r="O100" t="str">
        <f t="shared" si="4"/>
        <v>[{"id":2,"num":1698800},{"id":1,"num":1690000},{"id":86,"num":5}]</v>
      </c>
    </row>
    <row r="101" spans="1:15" ht="16.5" x14ac:dyDescent="0.15">
      <c r="A101" s="3">
        <f>Sheet1!A1084</f>
        <v>1710010</v>
      </c>
      <c r="B101" t="s">
        <v>1162</v>
      </c>
      <c r="C101">
        <v>2</v>
      </c>
      <c r="D101" t="s">
        <v>1163</v>
      </c>
      <c r="E101">
        <v>1698800</v>
      </c>
      <c r="F101" t="s">
        <v>1164</v>
      </c>
      <c r="G101">
        <v>1</v>
      </c>
      <c r="H101" t="s">
        <v>1163</v>
      </c>
      <c r="I101">
        <v>1690000</v>
      </c>
      <c r="J101" t="s">
        <v>1164</v>
      </c>
      <c r="K101">
        <v>86</v>
      </c>
      <c r="L101" t="s">
        <v>1163</v>
      </c>
      <c r="M101">
        <f t="shared" si="3"/>
        <v>5</v>
      </c>
      <c r="N101" t="s">
        <v>1165</v>
      </c>
      <c r="O101" t="str">
        <f t="shared" si="4"/>
        <v>[{"id":2,"num":1698800},{"id":1,"num":1690000},{"id":86,"num":5}]</v>
      </c>
    </row>
    <row r="102" spans="1:15" ht="16.5" x14ac:dyDescent="0.15">
      <c r="A102" s="3">
        <f>Sheet1!A1085</f>
        <v>1711001</v>
      </c>
      <c r="B102" t="s">
        <v>1162</v>
      </c>
      <c r="C102">
        <v>2</v>
      </c>
      <c r="D102" t="s">
        <v>1163</v>
      </c>
      <c r="E102">
        <v>1698800</v>
      </c>
      <c r="F102" t="s">
        <v>1164</v>
      </c>
      <c r="G102">
        <v>1</v>
      </c>
      <c r="H102" t="s">
        <v>1163</v>
      </c>
      <c r="I102">
        <v>1690000</v>
      </c>
      <c r="J102" t="s">
        <v>1164</v>
      </c>
      <c r="K102">
        <v>86</v>
      </c>
      <c r="L102" t="s">
        <v>1163</v>
      </c>
      <c r="M102">
        <f t="shared" si="3"/>
        <v>6</v>
      </c>
      <c r="N102" t="s">
        <v>1165</v>
      </c>
      <c r="O102" t="str">
        <f t="shared" si="4"/>
        <v>[{"id":2,"num":1698800},{"id":1,"num":1690000},{"id":86,"num":6}]</v>
      </c>
    </row>
    <row r="103" spans="1:15" ht="16.5" x14ac:dyDescent="0.15">
      <c r="A103" s="3">
        <f>Sheet1!A1086</f>
        <v>1711002</v>
      </c>
      <c r="B103" t="s">
        <v>1162</v>
      </c>
      <c r="C103">
        <v>2</v>
      </c>
      <c r="D103" t="s">
        <v>1163</v>
      </c>
      <c r="E103">
        <v>1698800</v>
      </c>
      <c r="F103" t="s">
        <v>1164</v>
      </c>
      <c r="G103">
        <v>1</v>
      </c>
      <c r="H103" t="s">
        <v>1163</v>
      </c>
      <c r="I103">
        <v>1690000</v>
      </c>
      <c r="J103" t="s">
        <v>1164</v>
      </c>
      <c r="K103">
        <v>86</v>
      </c>
      <c r="L103" t="s">
        <v>1163</v>
      </c>
      <c r="M103">
        <f t="shared" si="3"/>
        <v>6</v>
      </c>
      <c r="N103" t="s">
        <v>1165</v>
      </c>
      <c r="O103" t="str">
        <f t="shared" si="4"/>
        <v>[{"id":2,"num":1698800},{"id":1,"num":1690000},{"id":86,"num":6}]</v>
      </c>
    </row>
    <row r="104" spans="1:15" ht="16.5" x14ac:dyDescent="0.15">
      <c r="A104" s="3">
        <f>Sheet1!A1087</f>
        <v>1711003</v>
      </c>
      <c r="B104" t="s">
        <v>1162</v>
      </c>
      <c r="C104">
        <v>2</v>
      </c>
      <c r="D104" t="s">
        <v>1163</v>
      </c>
      <c r="E104">
        <v>1698800</v>
      </c>
      <c r="F104" t="s">
        <v>1164</v>
      </c>
      <c r="G104">
        <v>1</v>
      </c>
      <c r="H104" t="s">
        <v>1163</v>
      </c>
      <c r="I104">
        <v>1690000</v>
      </c>
      <c r="J104" t="s">
        <v>1164</v>
      </c>
      <c r="K104">
        <v>86</v>
      </c>
      <c r="L104" t="s">
        <v>1163</v>
      </c>
      <c r="M104">
        <f t="shared" si="3"/>
        <v>6</v>
      </c>
      <c r="N104" t="s">
        <v>1165</v>
      </c>
      <c r="O104" t="str">
        <f t="shared" si="4"/>
        <v>[{"id":2,"num":1698800},{"id":1,"num":1690000},{"id":86,"num":6}]</v>
      </c>
    </row>
    <row r="105" spans="1:15" ht="16.5" x14ac:dyDescent="0.15">
      <c r="A105" s="3">
        <f>Sheet1!A1088</f>
        <v>1711004</v>
      </c>
      <c r="B105" t="s">
        <v>1162</v>
      </c>
      <c r="C105">
        <v>2</v>
      </c>
      <c r="D105" t="s">
        <v>1163</v>
      </c>
      <c r="E105">
        <v>1698800</v>
      </c>
      <c r="F105" t="s">
        <v>1164</v>
      </c>
      <c r="G105">
        <v>1</v>
      </c>
      <c r="H105" t="s">
        <v>1163</v>
      </c>
      <c r="I105">
        <v>1690000</v>
      </c>
      <c r="J105" t="s">
        <v>1164</v>
      </c>
      <c r="K105">
        <v>86</v>
      </c>
      <c r="L105" t="s">
        <v>1163</v>
      </c>
      <c r="M105">
        <f t="shared" si="3"/>
        <v>6</v>
      </c>
      <c r="N105" t="s">
        <v>1165</v>
      </c>
      <c r="O105" t="str">
        <f t="shared" si="4"/>
        <v>[{"id":2,"num":1698800},{"id":1,"num":1690000},{"id":86,"num":6}]</v>
      </c>
    </row>
    <row r="106" spans="1:15" ht="16.5" x14ac:dyDescent="0.15">
      <c r="A106" s="3">
        <f>Sheet1!A1089</f>
        <v>1711005</v>
      </c>
      <c r="B106" t="s">
        <v>1162</v>
      </c>
      <c r="C106">
        <v>2</v>
      </c>
      <c r="D106" t="s">
        <v>1163</v>
      </c>
      <c r="E106">
        <v>1698800</v>
      </c>
      <c r="F106" t="s">
        <v>1164</v>
      </c>
      <c r="G106">
        <v>1</v>
      </c>
      <c r="H106" t="s">
        <v>1163</v>
      </c>
      <c r="I106">
        <v>1690000</v>
      </c>
      <c r="J106" t="s">
        <v>1164</v>
      </c>
      <c r="K106">
        <v>86</v>
      </c>
      <c r="L106" t="s">
        <v>1163</v>
      </c>
      <c r="M106">
        <f t="shared" si="3"/>
        <v>6</v>
      </c>
      <c r="N106" t="s">
        <v>1165</v>
      </c>
      <c r="O106" t="str">
        <f t="shared" si="4"/>
        <v>[{"id":2,"num":1698800},{"id":1,"num":1690000},{"id":86,"num":6}]</v>
      </c>
    </row>
    <row r="107" spans="1:15" ht="16.5" x14ac:dyDescent="0.15">
      <c r="A107" s="3">
        <f>Sheet1!A1090</f>
        <v>1711006</v>
      </c>
      <c r="B107" t="s">
        <v>1162</v>
      </c>
      <c r="C107">
        <v>2</v>
      </c>
      <c r="D107" t="s">
        <v>1163</v>
      </c>
      <c r="E107">
        <v>1698800</v>
      </c>
      <c r="F107" t="s">
        <v>1164</v>
      </c>
      <c r="G107">
        <v>1</v>
      </c>
      <c r="H107" t="s">
        <v>1163</v>
      </c>
      <c r="I107">
        <v>1690000</v>
      </c>
      <c r="J107" t="s">
        <v>1164</v>
      </c>
      <c r="K107">
        <v>86</v>
      </c>
      <c r="L107" t="s">
        <v>1163</v>
      </c>
      <c r="M107">
        <f t="shared" si="3"/>
        <v>6</v>
      </c>
      <c r="N107" t="s">
        <v>1165</v>
      </c>
      <c r="O107" t="str">
        <f t="shared" si="4"/>
        <v>[{"id":2,"num":1698800},{"id":1,"num":1690000},{"id":86,"num":6}]</v>
      </c>
    </row>
    <row r="108" spans="1:15" ht="16.5" x14ac:dyDescent="0.15">
      <c r="A108" s="3">
        <f>Sheet1!A1091</f>
        <v>1711007</v>
      </c>
      <c r="B108" t="s">
        <v>1162</v>
      </c>
      <c r="C108">
        <v>2</v>
      </c>
      <c r="D108" t="s">
        <v>1163</v>
      </c>
      <c r="E108">
        <v>1698800</v>
      </c>
      <c r="F108" t="s">
        <v>1164</v>
      </c>
      <c r="G108">
        <v>1</v>
      </c>
      <c r="H108" t="s">
        <v>1163</v>
      </c>
      <c r="I108">
        <v>1690000</v>
      </c>
      <c r="J108" t="s">
        <v>1164</v>
      </c>
      <c r="K108">
        <v>86</v>
      </c>
      <c r="L108" t="s">
        <v>1163</v>
      </c>
      <c r="M108">
        <f t="shared" si="3"/>
        <v>6</v>
      </c>
      <c r="N108" t="s">
        <v>1165</v>
      </c>
      <c r="O108" t="str">
        <f t="shared" si="4"/>
        <v>[{"id":2,"num":1698800},{"id":1,"num":1690000},{"id":86,"num":6}]</v>
      </c>
    </row>
    <row r="109" spans="1:15" ht="16.5" x14ac:dyDescent="0.15">
      <c r="A109" s="3">
        <f>Sheet1!A1092</f>
        <v>1711008</v>
      </c>
      <c r="B109" t="s">
        <v>1162</v>
      </c>
      <c r="C109">
        <v>2</v>
      </c>
      <c r="D109" t="s">
        <v>1163</v>
      </c>
      <c r="E109">
        <v>1698800</v>
      </c>
      <c r="F109" t="s">
        <v>1164</v>
      </c>
      <c r="G109">
        <v>1</v>
      </c>
      <c r="H109" t="s">
        <v>1163</v>
      </c>
      <c r="I109">
        <v>1690000</v>
      </c>
      <c r="J109" t="s">
        <v>1164</v>
      </c>
      <c r="K109">
        <v>86</v>
      </c>
      <c r="L109" t="s">
        <v>1163</v>
      </c>
      <c r="M109">
        <f t="shared" si="3"/>
        <v>6</v>
      </c>
      <c r="N109" t="s">
        <v>1165</v>
      </c>
      <c r="O109" t="str">
        <f t="shared" si="4"/>
        <v>[{"id":2,"num":1698800},{"id":1,"num":1690000},{"id":86,"num":6}]</v>
      </c>
    </row>
    <row r="110" spans="1:15" ht="16.5" x14ac:dyDescent="0.15">
      <c r="A110" s="3">
        <f>Sheet1!A1093</f>
        <v>1711009</v>
      </c>
      <c r="B110" t="s">
        <v>1162</v>
      </c>
      <c r="C110">
        <v>2</v>
      </c>
      <c r="D110" t="s">
        <v>1163</v>
      </c>
      <c r="E110">
        <v>1698800</v>
      </c>
      <c r="F110" t="s">
        <v>1164</v>
      </c>
      <c r="G110">
        <v>1</v>
      </c>
      <c r="H110" t="s">
        <v>1163</v>
      </c>
      <c r="I110">
        <v>1690000</v>
      </c>
      <c r="J110" t="s">
        <v>1164</v>
      </c>
      <c r="K110">
        <v>86</v>
      </c>
      <c r="L110" t="s">
        <v>1163</v>
      </c>
      <c r="M110">
        <f t="shared" si="3"/>
        <v>6</v>
      </c>
      <c r="N110" t="s">
        <v>1165</v>
      </c>
      <c r="O110" t="str">
        <f t="shared" si="4"/>
        <v>[{"id":2,"num":1698800},{"id":1,"num":1690000},{"id":86,"num":6}]</v>
      </c>
    </row>
    <row r="111" spans="1:15" ht="16.5" x14ac:dyDescent="0.15">
      <c r="A111" s="3">
        <f>Sheet1!A1094</f>
        <v>1711010</v>
      </c>
      <c r="B111" t="s">
        <v>1162</v>
      </c>
      <c r="C111">
        <v>2</v>
      </c>
      <c r="D111" t="s">
        <v>1163</v>
      </c>
      <c r="E111">
        <v>1698800</v>
      </c>
      <c r="F111" t="s">
        <v>1164</v>
      </c>
      <c r="G111">
        <v>1</v>
      </c>
      <c r="H111" t="s">
        <v>1163</v>
      </c>
      <c r="I111">
        <v>1690000</v>
      </c>
      <c r="J111" t="s">
        <v>1164</v>
      </c>
      <c r="K111">
        <v>86</v>
      </c>
      <c r="L111" t="s">
        <v>1163</v>
      </c>
      <c r="M111">
        <f t="shared" si="3"/>
        <v>6</v>
      </c>
      <c r="N111" t="s">
        <v>1165</v>
      </c>
      <c r="O111" t="str">
        <f t="shared" si="4"/>
        <v>[{"id":2,"num":1698800},{"id":1,"num":1690000},{"id":86,"num":6}]</v>
      </c>
    </row>
    <row r="112" spans="1:15" ht="16.5" x14ac:dyDescent="0.15">
      <c r="A112" s="3">
        <f>Sheet1!A1095</f>
        <v>1712001</v>
      </c>
      <c r="B112" t="s">
        <v>1162</v>
      </c>
      <c r="C112">
        <v>2</v>
      </c>
      <c r="D112" t="s">
        <v>1163</v>
      </c>
      <c r="E112">
        <v>1698800</v>
      </c>
      <c r="F112" t="s">
        <v>1164</v>
      </c>
      <c r="G112">
        <v>1</v>
      </c>
      <c r="H112" t="s">
        <v>1163</v>
      </c>
      <c r="I112">
        <v>1690000</v>
      </c>
      <c r="J112" t="s">
        <v>1164</v>
      </c>
      <c r="K112">
        <v>86</v>
      </c>
      <c r="L112" t="s">
        <v>1163</v>
      </c>
      <c r="M112">
        <f t="shared" si="3"/>
        <v>7</v>
      </c>
      <c r="N112" t="s">
        <v>1165</v>
      </c>
      <c r="O112" t="str">
        <f t="shared" si="4"/>
        <v>[{"id":2,"num":1698800},{"id":1,"num":1690000},{"id":86,"num":7}]</v>
      </c>
    </row>
    <row r="113" spans="1:15" ht="16.5" x14ac:dyDescent="0.15">
      <c r="A113" s="3">
        <f>Sheet1!A1096</f>
        <v>1712002</v>
      </c>
      <c r="B113" t="s">
        <v>1162</v>
      </c>
      <c r="C113">
        <v>2</v>
      </c>
      <c r="D113" t="s">
        <v>1163</v>
      </c>
      <c r="E113">
        <v>1698800</v>
      </c>
      <c r="F113" t="s">
        <v>1164</v>
      </c>
      <c r="G113">
        <v>1</v>
      </c>
      <c r="H113" t="s">
        <v>1163</v>
      </c>
      <c r="I113">
        <v>1690000</v>
      </c>
      <c r="J113" t="s">
        <v>1164</v>
      </c>
      <c r="K113">
        <v>86</v>
      </c>
      <c r="L113" t="s">
        <v>1163</v>
      </c>
      <c r="M113">
        <f t="shared" si="3"/>
        <v>7</v>
      </c>
      <c r="N113" t="s">
        <v>1165</v>
      </c>
      <c r="O113" t="str">
        <f t="shared" si="4"/>
        <v>[{"id":2,"num":1698800},{"id":1,"num":1690000},{"id":86,"num":7}]</v>
      </c>
    </row>
    <row r="114" spans="1:15" ht="16.5" x14ac:dyDescent="0.15">
      <c r="A114" s="3">
        <f>Sheet1!A1097</f>
        <v>1712003</v>
      </c>
      <c r="B114" t="s">
        <v>1162</v>
      </c>
      <c r="C114">
        <v>2</v>
      </c>
      <c r="D114" t="s">
        <v>1163</v>
      </c>
      <c r="E114">
        <v>1698800</v>
      </c>
      <c r="F114" t="s">
        <v>1164</v>
      </c>
      <c r="G114">
        <v>1</v>
      </c>
      <c r="H114" t="s">
        <v>1163</v>
      </c>
      <c r="I114">
        <v>1690000</v>
      </c>
      <c r="J114" t="s">
        <v>1164</v>
      </c>
      <c r="K114">
        <v>86</v>
      </c>
      <c r="L114" t="s">
        <v>1163</v>
      </c>
      <c r="M114">
        <f t="shared" si="3"/>
        <v>7</v>
      </c>
      <c r="N114" t="s">
        <v>1165</v>
      </c>
      <c r="O114" t="str">
        <f t="shared" si="4"/>
        <v>[{"id":2,"num":1698800},{"id":1,"num":1690000},{"id":86,"num":7}]</v>
      </c>
    </row>
    <row r="115" spans="1:15" ht="16.5" x14ac:dyDescent="0.15">
      <c r="A115" s="3">
        <f>Sheet1!A1098</f>
        <v>1712004</v>
      </c>
      <c r="B115" t="s">
        <v>1162</v>
      </c>
      <c r="C115">
        <v>2</v>
      </c>
      <c r="D115" t="s">
        <v>1163</v>
      </c>
      <c r="E115">
        <v>1698800</v>
      </c>
      <c r="F115" t="s">
        <v>1164</v>
      </c>
      <c r="G115">
        <v>1</v>
      </c>
      <c r="H115" t="s">
        <v>1163</v>
      </c>
      <c r="I115">
        <v>1690000</v>
      </c>
      <c r="J115" t="s">
        <v>1164</v>
      </c>
      <c r="K115">
        <v>86</v>
      </c>
      <c r="L115" t="s">
        <v>1163</v>
      </c>
      <c r="M115">
        <f t="shared" si="3"/>
        <v>7</v>
      </c>
      <c r="N115" t="s">
        <v>1165</v>
      </c>
      <c r="O115" t="str">
        <f t="shared" si="4"/>
        <v>[{"id":2,"num":1698800},{"id":1,"num":1690000},{"id":86,"num":7}]</v>
      </c>
    </row>
    <row r="116" spans="1:15" ht="16.5" x14ac:dyDescent="0.15">
      <c r="A116" s="3">
        <f>Sheet1!A1099</f>
        <v>1712005</v>
      </c>
      <c r="B116" t="s">
        <v>1162</v>
      </c>
      <c r="C116">
        <v>2</v>
      </c>
      <c r="D116" t="s">
        <v>1163</v>
      </c>
      <c r="E116">
        <v>1698800</v>
      </c>
      <c r="F116" t="s">
        <v>1164</v>
      </c>
      <c r="G116">
        <v>1</v>
      </c>
      <c r="H116" t="s">
        <v>1163</v>
      </c>
      <c r="I116">
        <v>1690000</v>
      </c>
      <c r="J116" t="s">
        <v>1164</v>
      </c>
      <c r="K116">
        <v>86</v>
      </c>
      <c r="L116" t="s">
        <v>1163</v>
      </c>
      <c r="M116">
        <f t="shared" si="3"/>
        <v>7</v>
      </c>
      <c r="N116" t="s">
        <v>1165</v>
      </c>
      <c r="O116" t="str">
        <f t="shared" si="4"/>
        <v>[{"id":2,"num":1698800},{"id":1,"num":1690000},{"id":86,"num":7}]</v>
      </c>
    </row>
    <row r="117" spans="1:15" ht="16.5" x14ac:dyDescent="0.15">
      <c r="A117" s="3">
        <f>Sheet1!A1100</f>
        <v>1712006</v>
      </c>
      <c r="B117" t="s">
        <v>1162</v>
      </c>
      <c r="C117">
        <v>2</v>
      </c>
      <c r="D117" t="s">
        <v>1163</v>
      </c>
      <c r="E117">
        <v>1698800</v>
      </c>
      <c r="F117" t="s">
        <v>1164</v>
      </c>
      <c r="G117">
        <v>1</v>
      </c>
      <c r="H117" t="s">
        <v>1163</v>
      </c>
      <c r="I117">
        <v>1690000</v>
      </c>
      <c r="J117" t="s">
        <v>1164</v>
      </c>
      <c r="K117">
        <v>86</v>
      </c>
      <c r="L117" t="s">
        <v>1163</v>
      </c>
      <c r="M117">
        <f t="shared" si="3"/>
        <v>7</v>
      </c>
      <c r="N117" t="s">
        <v>1165</v>
      </c>
      <c r="O117" t="str">
        <f t="shared" si="4"/>
        <v>[{"id":2,"num":1698800},{"id":1,"num":1690000},{"id":86,"num":7}]</v>
      </c>
    </row>
    <row r="118" spans="1:15" ht="16.5" x14ac:dyDescent="0.15">
      <c r="A118" s="3">
        <f>Sheet1!A1101</f>
        <v>1712007</v>
      </c>
      <c r="B118" t="s">
        <v>1162</v>
      </c>
      <c r="C118">
        <v>2</v>
      </c>
      <c r="D118" t="s">
        <v>1163</v>
      </c>
      <c r="E118">
        <v>1698800</v>
      </c>
      <c r="F118" t="s">
        <v>1164</v>
      </c>
      <c r="G118">
        <v>1</v>
      </c>
      <c r="H118" t="s">
        <v>1163</v>
      </c>
      <c r="I118">
        <v>1690000</v>
      </c>
      <c r="J118" t="s">
        <v>1164</v>
      </c>
      <c r="K118">
        <v>86</v>
      </c>
      <c r="L118" t="s">
        <v>1163</v>
      </c>
      <c r="M118">
        <f t="shared" si="3"/>
        <v>7</v>
      </c>
      <c r="N118" t="s">
        <v>1165</v>
      </c>
      <c r="O118" t="str">
        <f t="shared" si="4"/>
        <v>[{"id":2,"num":1698800},{"id":1,"num":1690000},{"id":86,"num":7}]</v>
      </c>
    </row>
    <row r="119" spans="1:15" ht="16.5" x14ac:dyDescent="0.15">
      <c r="A119" s="3">
        <f>Sheet1!A1102</f>
        <v>1712008</v>
      </c>
      <c r="B119" t="s">
        <v>1162</v>
      </c>
      <c r="C119">
        <v>2</v>
      </c>
      <c r="D119" t="s">
        <v>1163</v>
      </c>
      <c r="E119">
        <v>1698800</v>
      </c>
      <c r="F119" t="s">
        <v>1164</v>
      </c>
      <c r="G119">
        <v>1</v>
      </c>
      <c r="H119" t="s">
        <v>1163</v>
      </c>
      <c r="I119">
        <v>1690000</v>
      </c>
      <c r="J119" t="s">
        <v>1164</v>
      </c>
      <c r="K119">
        <v>86</v>
      </c>
      <c r="L119" t="s">
        <v>1163</v>
      </c>
      <c r="M119">
        <f t="shared" si="3"/>
        <v>7</v>
      </c>
      <c r="N119" t="s">
        <v>1165</v>
      </c>
      <c r="O119" t="str">
        <f t="shared" si="4"/>
        <v>[{"id":2,"num":1698800},{"id":1,"num":1690000},{"id":86,"num":7}]</v>
      </c>
    </row>
    <row r="120" spans="1:15" ht="16.5" x14ac:dyDescent="0.15">
      <c r="A120" s="3">
        <f>Sheet1!A1103</f>
        <v>1712009</v>
      </c>
      <c r="B120" t="s">
        <v>1162</v>
      </c>
      <c r="C120">
        <v>2</v>
      </c>
      <c r="D120" t="s">
        <v>1163</v>
      </c>
      <c r="E120">
        <v>1698800</v>
      </c>
      <c r="F120" t="s">
        <v>1164</v>
      </c>
      <c r="G120">
        <v>1</v>
      </c>
      <c r="H120" t="s">
        <v>1163</v>
      </c>
      <c r="I120">
        <v>1690000</v>
      </c>
      <c r="J120" t="s">
        <v>1164</v>
      </c>
      <c r="K120">
        <v>86</v>
      </c>
      <c r="L120" t="s">
        <v>1163</v>
      </c>
      <c r="M120">
        <f t="shared" si="3"/>
        <v>7</v>
      </c>
      <c r="N120" t="s">
        <v>1165</v>
      </c>
      <c r="O120" t="str">
        <f t="shared" si="4"/>
        <v>[{"id":2,"num":1698800},{"id":1,"num":1690000},{"id":86,"num":7}]</v>
      </c>
    </row>
    <row r="121" spans="1:15" ht="16.5" x14ac:dyDescent="0.15">
      <c r="A121" s="3">
        <f>Sheet1!A1104</f>
        <v>1712010</v>
      </c>
      <c r="B121" t="s">
        <v>1162</v>
      </c>
      <c r="C121">
        <v>2</v>
      </c>
      <c r="D121" t="s">
        <v>1163</v>
      </c>
      <c r="E121">
        <v>1698800</v>
      </c>
      <c r="F121" t="s">
        <v>1164</v>
      </c>
      <c r="G121">
        <v>1</v>
      </c>
      <c r="H121" t="s">
        <v>1163</v>
      </c>
      <c r="I121">
        <v>1690000</v>
      </c>
      <c r="J121" t="s">
        <v>1164</v>
      </c>
      <c r="K121">
        <v>86</v>
      </c>
      <c r="L121" t="s">
        <v>1163</v>
      </c>
      <c r="M121">
        <f t="shared" si="3"/>
        <v>7</v>
      </c>
      <c r="N121" t="s">
        <v>1165</v>
      </c>
      <c r="O121" t="str">
        <f t="shared" si="4"/>
        <v>[{"id":2,"num":1698800},{"id":1,"num":1690000},{"id":86,"num":7}]</v>
      </c>
    </row>
    <row r="122" spans="1:15" ht="16.5" x14ac:dyDescent="0.15">
      <c r="A122" s="3">
        <f>Sheet1!A1105</f>
        <v>1713001</v>
      </c>
      <c r="B122" t="s">
        <v>1162</v>
      </c>
      <c r="C122">
        <v>2</v>
      </c>
      <c r="D122" t="s">
        <v>1163</v>
      </c>
      <c r="E122">
        <v>1698800</v>
      </c>
      <c r="F122" t="s">
        <v>1164</v>
      </c>
      <c r="G122">
        <v>1</v>
      </c>
      <c r="H122" t="s">
        <v>1163</v>
      </c>
      <c r="I122">
        <v>1690000</v>
      </c>
      <c r="J122" t="s">
        <v>1164</v>
      </c>
      <c r="K122">
        <v>86</v>
      </c>
      <c r="L122" t="s">
        <v>1163</v>
      </c>
      <c r="M122">
        <f t="shared" si="3"/>
        <v>8</v>
      </c>
      <c r="N122" t="s">
        <v>1165</v>
      </c>
      <c r="O122" t="str">
        <f t="shared" si="4"/>
        <v>[{"id":2,"num":1698800},{"id":1,"num":1690000},{"id":86,"num":8}]</v>
      </c>
    </row>
    <row r="123" spans="1:15" ht="16.5" x14ac:dyDescent="0.15">
      <c r="A123" s="3">
        <f>Sheet1!A1106</f>
        <v>1713002</v>
      </c>
      <c r="B123" t="s">
        <v>1162</v>
      </c>
      <c r="C123">
        <v>2</v>
      </c>
      <c r="D123" t="s">
        <v>1163</v>
      </c>
      <c r="E123">
        <v>1698800</v>
      </c>
      <c r="F123" t="s">
        <v>1164</v>
      </c>
      <c r="G123">
        <v>1</v>
      </c>
      <c r="H123" t="s">
        <v>1163</v>
      </c>
      <c r="I123">
        <v>1690000</v>
      </c>
      <c r="J123" t="s">
        <v>1164</v>
      </c>
      <c r="K123">
        <v>86</v>
      </c>
      <c r="L123" t="s">
        <v>1163</v>
      </c>
      <c r="M123">
        <f t="shared" si="3"/>
        <v>8</v>
      </c>
      <c r="N123" t="s">
        <v>1165</v>
      </c>
      <c r="O123" t="str">
        <f t="shared" si="4"/>
        <v>[{"id":2,"num":1698800},{"id":1,"num":1690000},{"id":86,"num":8}]</v>
      </c>
    </row>
    <row r="124" spans="1:15" ht="16.5" x14ac:dyDescent="0.15">
      <c r="A124" s="3">
        <f>Sheet1!A1107</f>
        <v>1713003</v>
      </c>
      <c r="B124" t="s">
        <v>1162</v>
      </c>
      <c r="C124">
        <v>2</v>
      </c>
      <c r="D124" t="s">
        <v>1163</v>
      </c>
      <c r="E124">
        <v>1698800</v>
      </c>
      <c r="F124" t="s">
        <v>1164</v>
      </c>
      <c r="G124">
        <v>1</v>
      </c>
      <c r="H124" t="s">
        <v>1163</v>
      </c>
      <c r="I124">
        <v>1690000</v>
      </c>
      <c r="J124" t="s">
        <v>1164</v>
      </c>
      <c r="K124">
        <v>86</v>
      </c>
      <c r="L124" t="s">
        <v>1163</v>
      </c>
      <c r="M124">
        <f t="shared" si="3"/>
        <v>8</v>
      </c>
      <c r="N124" t="s">
        <v>1165</v>
      </c>
      <c r="O124" t="str">
        <f t="shared" si="4"/>
        <v>[{"id":2,"num":1698800},{"id":1,"num":1690000},{"id":86,"num":8}]</v>
      </c>
    </row>
    <row r="125" spans="1:15" ht="16.5" x14ac:dyDescent="0.15">
      <c r="A125" s="3">
        <f>Sheet1!A1108</f>
        <v>1713004</v>
      </c>
      <c r="B125" t="s">
        <v>1162</v>
      </c>
      <c r="C125">
        <v>2</v>
      </c>
      <c r="D125" t="s">
        <v>1163</v>
      </c>
      <c r="E125">
        <v>1698800</v>
      </c>
      <c r="F125" t="s">
        <v>1164</v>
      </c>
      <c r="G125">
        <v>1</v>
      </c>
      <c r="H125" t="s">
        <v>1163</v>
      </c>
      <c r="I125">
        <v>1690000</v>
      </c>
      <c r="J125" t="s">
        <v>1164</v>
      </c>
      <c r="K125">
        <v>86</v>
      </c>
      <c r="L125" t="s">
        <v>1163</v>
      </c>
      <c r="M125">
        <f t="shared" si="3"/>
        <v>8</v>
      </c>
      <c r="N125" t="s">
        <v>1165</v>
      </c>
      <c r="O125" t="str">
        <f t="shared" si="4"/>
        <v>[{"id":2,"num":1698800},{"id":1,"num":1690000},{"id":86,"num":8}]</v>
      </c>
    </row>
    <row r="126" spans="1:15" ht="16.5" x14ac:dyDescent="0.15">
      <c r="A126" s="3">
        <f>Sheet1!A1109</f>
        <v>1713005</v>
      </c>
      <c r="B126" t="s">
        <v>1162</v>
      </c>
      <c r="C126">
        <v>2</v>
      </c>
      <c r="D126" t="s">
        <v>1163</v>
      </c>
      <c r="E126">
        <v>1698800</v>
      </c>
      <c r="F126" t="s">
        <v>1164</v>
      </c>
      <c r="G126">
        <v>1</v>
      </c>
      <c r="H126" t="s">
        <v>1163</v>
      </c>
      <c r="I126">
        <v>1690000</v>
      </c>
      <c r="J126" t="s">
        <v>1164</v>
      </c>
      <c r="K126">
        <v>86</v>
      </c>
      <c r="L126" t="s">
        <v>1163</v>
      </c>
      <c r="M126">
        <f t="shared" si="3"/>
        <v>8</v>
      </c>
      <c r="N126" t="s">
        <v>1165</v>
      </c>
      <c r="O126" t="str">
        <f t="shared" si="4"/>
        <v>[{"id":2,"num":1698800},{"id":1,"num":1690000},{"id":86,"num":8}]</v>
      </c>
    </row>
    <row r="127" spans="1:15" ht="16.5" x14ac:dyDescent="0.15">
      <c r="A127" s="3">
        <f>Sheet1!A1110</f>
        <v>1713006</v>
      </c>
      <c r="B127" t="s">
        <v>1162</v>
      </c>
      <c r="C127">
        <v>2</v>
      </c>
      <c r="D127" t="s">
        <v>1163</v>
      </c>
      <c r="E127">
        <v>1698800</v>
      </c>
      <c r="F127" t="s">
        <v>1164</v>
      </c>
      <c r="G127">
        <v>1</v>
      </c>
      <c r="H127" t="s">
        <v>1163</v>
      </c>
      <c r="I127">
        <v>1690000</v>
      </c>
      <c r="J127" t="s">
        <v>1164</v>
      </c>
      <c r="K127">
        <v>86</v>
      </c>
      <c r="L127" t="s">
        <v>1163</v>
      </c>
      <c r="M127">
        <f t="shared" si="3"/>
        <v>8</v>
      </c>
      <c r="N127" t="s">
        <v>1165</v>
      </c>
      <c r="O127" t="str">
        <f t="shared" si="4"/>
        <v>[{"id":2,"num":1698800},{"id":1,"num":1690000},{"id":86,"num":8}]</v>
      </c>
    </row>
    <row r="128" spans="1:15" ht="16.5" x14ac:dyDescent="0.15">
      <c r="A128" s="3">
        <f>Sheet1!A1111</f>
        <v>1713007</v>
      </c>
      <c r="B128" t="s">
        <v>1162</v>
      </c>
      <c r="C128">
        <v>2</v>
      </c>
      <c r="D128" t="s">
        <v>1163</v>
      </c>
      <c r="E128">
        <v>1698800</v>
      </c>
      <c r="F128" t="s">
        <v>1164</v>
      </c>
      <c r="G128">
        <v>1</v>
      </c>
      <c r="H128" t="s">
        <v>1163</v>
      </c>
      <c r="I128">
        <v>1690000</v>
      </c>
      <c r="J128" t="s">
        <v>1164</v>
      </c>
      <c r="K128">
        <v>86</v>
      </c>
      <c r="L128" t="s">
        <v>1163</v>
      </c>
      <c r="M128">
        <f t="shared" si="3"/>
        <v>8</v>
      </c>
      <c r="N128" t="s">
        <v>1165</v>
      </c>
      <c r="O128" t="str">
        <f t="shared" si="4"/>
        <v>[{"id":2,"num":1698800},{"id":1,"num":1690000},{"id":86,"num":8}]</v>
      </c>
    </row>
    <row r="129" spans="1:15" ht="16.5" x14ac:dyDescent="0.15">
      <c r="A129" s="3">
        <f>Sheet1!A1112</f>
        <v>1713008</v>
      </c>
      <c r="B129" t="s">
        <v>1162</v>
      </c>
      <c r="C129">
        <v>2</v>
      </c>
      <c r="D129" t="s">
        <v>1163</v>
      </c>
      <c r="E129">
        <v>1698800</v>
      </c>
      <c r="F129" t="s">
        <v>1164</v>
      </c>
      <c r="G129">
        <v>1</v>
      </c>
      <c r="H129" t="s">
        <v>1163</v>
      </c>
      <c r="I129">
        <v>1690000</v>
      </c>
      <c r="J129" t="s">
        <v>1164</v>
      </c>
      <c r="K129">
        <v>86</v>
      </c>
      <c r="L129" t="s">
        <v>1163</v>
      </c>
      <c r="M129">
        <f t="shared" si="3"/>
        <v>8</v>
      </c>
      <c r="N129" t="s">
        <v>1165</v>
      </c>
      <c r="O129" t="str">
        <f t="shared" si="4"/>
        <v>[{"id":2,"num":1698800},{"id":1,"num":1690000},{"id":86,"num":8}]</v>
      </c>
    </row>
    <row r="130" spans="1:15" ht="16.5" x14ac:dyDescent="0.15">
      <c r="A130" s="3">
        <f>Sheet1!A1113</f>
        <v>1713009</v>
      </c>
      <c r="B130" t="s">
        <v>1162</v>
      </c>
      <c r="C130">
        <v>2</v>
      </c>
      <c r="D130" t="s">
        <v>1163</v>
      </c>
      <c r="E130">
        <v>1698800</v>
      </c>
      <c r="F130" t="s">
        <v>1164</v>
      </c>
      <c r="G130">
        <v>1</v>
      </c>
      <c r="H130" t="s">
        <v>1163</v>
      </c>
      <c r="I130">
        <v>1690000</v>
      </c>
      <c r="J130" t="s">
        <v>1164</v>
      </c>
      <c r="K130">
        <v>86</v>
      </c>
      <c r="L130" t="s">
        <v>1163</v>
      </c>
      <c r="M130">
        <f t="shared" si="3"/>
        <v>8</v>
      </c>
      <c r="N130" t="s">
        <v>1165</v>
      </c>
      <c r="O130" t="str">
        <f t="shared" si="4"/>
        <v>[{"id":2,"num":1698800},{"id":1,"num":1690000},{"id":86,"num":8}]</v>
      </c>
    </row>
    <row r="131" spans="1:15" ht="16.5" x14ac:dyDescent="0.15">
      <c r="A131" s="3">
        <f>Sheet1!A1114</f>
        <v>1713010</v>
      </c>
      <c r="B131" t="s">
        <v>1162</v>
      </c>
      <c r="C131">
        <v>2</v>
      </c>
      <c r="D131" t="s">
        <v>1163</v>
      </c>
      <c r="E131">
        <v>1698800</v>
      </c>
      <c r="F131" t="s">
        <v>1164</v>
      </c>
      <c r="G131">
        <v>1</v>
      </c>
      <c r="H131" t="s">
        <v>1163</v>
      </c>
      <c r="I131">
        <v>1690000</v>
      </c>
      <c r="J131" t="s">
        <v>1164</v>
      </c>
      <c r="K131">
        <v>86</v>
      </c>
      <c r="L131" t="s">
        <v>1163</v>
      </c>
      <c r="M131">
        <f t="shared" si="3"/>
        <v>8</v>
      </c>
      <c r="N131" t="s">
        <v>1165</v>
      </c>
      <c r="O131" t="str">
        <f t="shared" si="4"/>
        <v>[{"id":2,"num":1698800},{"id":1,"num":1690000},{"id":86,"num":8}]</v>
      </c>
    </row>
    <row r="132" spans="1:15" ht="16.5" x14ac:dyDescent="0.15">
      <c r="A132" s="3">
        <f>Sheet1!A1115</f>
        <v>1714001</v>
      </c>
      <c r="B132" t="s">
        <v>1162</v>
      </c>
      <c r="C132">
        <v>2</v>
      </c>
      <c r="D132" t="s">
        <v>1163</v>
      </c>
      <c r="E132">
        <v>1698800</v>
      </c>
      <c r="F132" t="s">
        <v>1164</v>
      </c>
      <c r="G132">
        <v>1</v>
      </c>
      <c r="H132" t="s">
        <v>1163</v>
      </c>
      <c r="I132">
        <v>1690000</v>
      </c>
      <c r="J132" t="s">
        <v>1164</v>
      </c>
      <c r="K132">
        <v>86</v>
      </c>
      <c r="L132" t="s">
        <v>1163</v>
      </c>
      <c r="M132">
        <f t="shared" ref="M132:M163" si="5">M122+1</f>
        <v>9</v>
      </c>
      <c r="N132" t="s">
        <v>1165</v>
      </c>
      <c r="O132" t="str">
        <f t="shared" ref="O132:O163" si="6">_xlfn.TEXTJOIN(,TRUE,B132:N132)</f>
        <v>[{"id":2,"num":1698800},{"id":1,"num":1690000},{"id":86,"num":9}]</v>
      </c>
    </row>
    <row r="133" spans="1:15" ht="16.5" x14ac:dyDescent="0.15">
      <c r="A133" s="3">
        <f>Sheet1!A1116</f>
        <v>1714002</v>
      </c>
      <c r="B133" t="s">
        <v>1162</v>
      </c>
      <c r="C133">
        <v>2</v>
      </c>
      <c r="D133" t="s">
        <v>1163</v>
      </c>
      <c r="E133">
        <v>1698800</v>
      </c>
      <c r="F133" t="s">
        <v>1164</v>
      </c>
      <c r="G133">
        <v>1</v>
      </c>
      <c r="H133" t="s">
        <v>1163</v>
      </c>
      <c r="I133">
        <v>1690000</v>
      </c>
      <c r="J133" t="s">
        <v>1164</v>
      </c>
      <c r="K133">
        <v>86</v>
      </c>
      <c r="L133" t="s">
        <v>1163</v>
      </c>
      <c r="M133">
        <f t="shared" si="5"/>
        <v>9</v>
      </c>
      <c r="N133" t="s">
        <v>1165</v>
      </c>
      <c r="O133" t="str">
        <f t="shared" si="6"/>
        <v>[{"id":2,"num":1698800},{"id":1,"num":1690000},{"id":86,"num":9}]</v>
      </c>
    </row>
    <row r="134" spans="1:15" ht="16.5" x14ac:dyDescent="0.15">
      <c r="A134" s="3">
        <f>Sheet1!A1117</f>
        <v>1714003</v>
      </c>
      <c r="B134" t="s">
        <v>1162</v>
      </c>
      <c r="C134">
        <v>2</v>
      </c>
      <c r="D134" t="s">
        <v>1163</v>
      </c>
      <c r="E134">
        <v>1698800</v>
      </c>
      <c r="F134" t="s">
        <v>1164</v>
      </c>
      <c r="G134">
        <v>1</v>
      </c>
      <c r="H134" t="s">
        <v>1163</v>
      </c>
      <c r="I134">
        <v>1690000</v>
      </c>
      <c r="J134" t="s">
        <v>1164</v>
      </c>
      <c r="K134">
        <v>86</v>
      </c>
      <c r="L134" t="s">
        <v>1163</v>
      </c>
      <c r="M134">
        <f t="shared" si="5"/>
        <v>9</v>
      </c>
      <c r="N134" t="s">
        <v>1165</v>
      </c>
      <c r="O134" t="str">
        <f t="shared" si="6"/>
        <v>[{"id":2,"num":1698800},{"id":1,"num":1690000},{"id":86,"num":9}]</v>
      </c>
    </row>
    <row r="135" spans="1:15" ht="16.5" x14ac:dyDescent="0.15">
      <c r="A135" s="3">
        <f>Sheet1!A1118</f>
        <v>1714004</v>
      </c>
      <c r="B135" t="s">
        <v>1162</v>
      </c>
      <c r="C135">
        <v>2</v>
      </c>
      <c r="D135" t="s">
        <v>1163</v>
      </c>
      <c r="E135">
        <v>1698800</v>
      </c>
      <c r="F135" t="s">
        <v>1164</v>
      </c>
      <c r="G135">
        <v>1</v>
      </c>
      <c r="H135" t="s">
        <v>1163</v>
      </c>
      <c r="I135">
        <v>1690000</v>
      </c>
      <c r="J135" t="s">
        <v>1164</v>
      </c>
      <c r="K135">
        <v>86</v>
      </c>
      <c r="L135" t="s">
        <v>1163</v>
      </c>
      <c r="M135">
        <f t="shared" si="5"/>
        <v>9</v>
      </c>
      <c r="N135" t="s">
        <v>1165</v>
      </c>
      <c r="O135" t="str">
        <f t="shared" si="6"/>
        <v>[{"id":2,"num":1698800},{"id":1,"num":1690000},{"id":86,"num":9}]</v>
      </c>
    </row>
    <row r="136" spans="1:15" ht="16.5" x14ac:dyDescent="0.15">
      <c r="A136" s="3">
        <f>Sheet1!A1119</f>
        <v>1714005</v>
      </c>
      <c r="B136" t="s">
        <v>1162</v>
      </c>
      <c r="C136">
        <v>2</v>
      </c>
      <c r="D136" t="s">
        <v>1163</v>
      </c>
      <c r="E136">
        <v>1698800</v>
      </c>
      <c r="F136" t="s">
        <v>1164</v>
      </c>
      <c r="G136">
        <v>1</v>
      </c>
      <c r="H136" t="s">
        <v>1163</v>
      </c>
      <c r="I136">
        <v>1690000</v>
      </c>
      <c r="J136" t="s">
        <v>1164</v>
      </c>
      <c r="K136">
        <v>86</v>
      </c>
      <c r="L136" t="s">
        <v>1163</v>
      </c>
      <c r="M136">
        <f t="shared" si="5"/>
        <v>9</v>
      </c>
      <c r="N136" t="s">
        <v>1165</v>
      </c>
      <c r="O136" t="str">
        <f t="shared" si="6"/>
        <v>[{"id":2,"num":1698800},{"id":1,"num":1690000},{"id":86,"num":9}]</v>
      </c>
    </row>
    <row r="137" spans="1:15" ht="16.5" x14ac:dyDescent="0.15">
      <c r="A137" s="3">
        <f>Sheet1!A1120</f>
        <v>1714006</v>
      </c>
      <c r="B137" t="s">
        <v>1162</v>
      </c>
      <c r="C137">
        <v>2</v>
      </c>
      <c r="D137" t="s">
        <v>1163</v>
      </c>
      <c r="E137">
        <v>1698800</v>
      </c>
      <c r="F137" t="s">
        <v>1164</v>
      </c>
      <c r="G137">
        <v>1</v>
      </c>
      <c r="H137" t="s">
        <v>1163</v>
      </c>
      <c r="I137">
        <v>1690000</v>
      </c>
      <c r="J137" t="s">
        <v>1164</v>
      </c>
      <c r="K137">
        <v>86</v>
      </c>
      <c r="L137" t="s">
        <v>1163</v>
      </c>
      <c r="M137">
        <f t="shared" si="5"/>
        <v>9</v>
      </c>
      <c r="N137" t="s">
        <v>1165</v>
      </c>
      <c r="O137" t="str">
        <f t="shared" si="6"/>
        <v>[{"id":2,"num":1698800},{"id":1,"num":1690000},{"id":86,"num":9}]</v>
      </c>
    </row>
    <row r="138" spans="1:15" ht="16.5" x14ac:dyDescent="0.15">
      <c r="A138" s="3">
        <f>Sheet1!A1121</f>
        <v>1714007</v>
      </c>
      <c r="B138" t="s">
        <v>1162</v>
      </c>
      <c r="C138">
        <v>2</v>
      </c>
      <c r="D138" t="s">
        <v>1163</v>
      </c>
      <c r="E138">
        <v>1698800</v>
      </c>
      <c r="F138" t="s">
        <v>1164</v>
      </c>
      <c r="G138">
        <v>1</v>
      </c>
      <c r="H138" t="s">
        <v>1163</v>
      </c>
      <c r="I138">
        <v>1690000</v>
      </c>
      <c r="J138" t="s">
        <v>1164</v>
      </c>
      <c r="K138">
        <v>86</v>
      </c>
      <c r="L138" t="s">
        <v>1163</v>
      </c>
      <c r="M138">
        <f t="shared" si="5"/>
        <v>9</v>
      </c>
      <c r="N138" t="s">
        <v>1165</v>
      </c>
      <c r="O138" t="str">
        <f t="shared" si="6"/>
        <v>[{"id":2,"num":1698800},{"id":1,"num":1690000},{"id":86,"num":9}]</v>
      </c>
    </row>
    <row r="139" spans="1:15" ht="16.5" x14ac:dyDescent="0.15">
      <c r="A139" s="3">
        <f>Sheet1!A1122</f>
        <v>1714008</v>
      </c>
      <c r="B139" t="s">
        <v>1162</v>
      </c>
      <c r="C139">
        <v>2</v>
      </c>
      <c r="D139" t="s">
        <v>1163</v>
      </c>
      <c r="E139">
        <v>1698800</v>
      </c>
      <c r="F139" t="s">
        <v>1164</v>
      </c>
      <c r="G139">
        <v>1</v>
      </c>
      <c r="H139" t="s">
        <v>1163</v>
      </c>
      <c r="I139">
        <v>1690000</v>
      </c>
      <c r="J139" t="s">
        <v>1164</v>
      </c>
      <c r="K139">
        <v>86</v>
      </c>
      <c r="L139" t="s">
        <v>1163</v>
      </c>
      <c r="M139">
        <f t="shared" si="5"/>
        <v>9</v>
      </c>
      <c r="N139" t="s">
        <v>1165</v>
      </c>
      <c r="O139" t="str">
        <f t="shared" si="6"/>
        <v>[{"id":2,"num":1698800},{"id":1,"num":1690000},{"id":86,"num":9}]</v>
      </c>
    </row>
    <row r="140" spans="1:15" ht="16.5" x14ac:dyDescent="0.15">
      <c r="A140" s="3">
        <f>Sheet1!A1123</f>
        <v>1714009</v>
      </c>
      <c r="B140" t="s">
        <v>1162</v>
      </c>
      <c r="C140">
        <v>2</v>
      </c>
      <c r="D140" t="s">
        <v>1163</v>
      </c>
      <c r="E140">
        <v>1698800</v>
      </c>
      <c r="F140" t="s">
        <v>1164</v>
      </c>
      <c r="G140">
        <v>1</v>
      </c>
      <c r="H140" t="s">
        <v>1163</v>
      </c>
      <c r="I140">
        <v>1690000</v>
      </c>
      <c r="J140" t="s">
        <v>1164</v>
      </c>
      <c r="K140">
        <v>86</v>
      </c>
      <c r="L140" t="s">
        <v>1163</v>
      </c>
      <c r="M140">
        <f t="shared" si="5"/>
        <v>9</v>
      </c>
      <c r="N140" t="s">
        <v>1165</v>
      </c>
      <c r="O140" t="str">
        <f t="shared" si="6"/>
        <v>[{"id":2,"num":1698800},{"id":1,"num":1690000},{"id":86,"num":9}]</v>
      </c>
    </row>
    <row r="141" spans="1:15" ht="16.5" x14ac:dyDescent="0.15">
      <c r="A141" s="3">
        <f>Sheet1!A1124</f>
        <v>1714010</v>
      </c>
      <c r="B141" t="s">
        <v>1162</v>
      </c>
      <c r="C141">
        <v>2</v>
      </c>
      <c r="D141" t="s">
        <v>1163</v>
      </c>
      <c r="E141">
        <v>1698800</v>
      </c>
      <c r="F141" t="s">
        <v>1164</v>
      </c>
      <c r="G141">
        <v>1</v>
      </c>
      <c r="H141" t="s">
        <v>1163</v>
      </c>
      <c r="I141">
        <v>1690000</v>
      </c>
      <c r="J141" t="s">
        <v>1164</v>
      </c>
      <c r="K141">
        <v>86</v>
      </c>
      <c r="L141" t="s">
        <v>1163</v>
      </c>
      <c r="M141">
        <f t="shared" si="5"/>
        <v>9</v>
      </c>
      <c r="N141" t="s">
        <v>1165</v>
      </c>
      <c r="O141" t="str">
        <f t="shared" si="6"/>
        <v>[{"id":2,"num":1698800},{"id":1,"num":1690000},{"id":86,"num":9}]</v>
      </c>
    </row>
    <row r="142" spans="1:15" ht="16.5" x14ac:dyDescent="0.15">
      <c r="A142" s="3">
        <f>Sheet1!A1125</f>
        <v>1715001</v>
      </c>
      <c r="B142" t="s">
        <v>1162</v>
      </c>
      <c r="C142">
        <v>2</v>
      </c>
      <c r="D142" t="s">
        <v>1163</v>
      </c>
      <c r="E142">
        <v>1698800</v>
      </c>
      <c r="F142" t="s">
        <v>1164</v>
      </c>
      <c r="G142">
        <v>1</v>
      </c>
      <c r="H142" t="s">
        <v>1163</v>
      </c>
      <c r="I142">
        <v>1690000</v>
      </c>
      <c r="J142" t="s">
        <v>1164</v>
      </c>
      <c r="K142">
        <v>86</v>
      </c>
      <c r="L142" t="s">
        <v>1163</v>
      </c>
      <c r="M142">
        <f t="shared" si="5"/>
        <v>10</v>
      </c>
      <c r="N142" t="s">
        <v>1165</v>
      </c>
      <c r="O142" t="str">
        <f t="shared" si="6"/>
        <v>[{"id":2,"num":1698800},{"id":1,"num":1690000},{"id":86,"num":10}]</v>
      </c>
    </row>
    <row r="143" spans="1:15" ht="16.5" x14ac:dyDescent="0.15">
      <c r="A143" s="3">
        <f>Sheet1!A1126</f>
        <v>1715002</v>
      </c>
      <c r="B143" t="s">
        <v>1162</v>
      </c>
      <c r="C143">
        <v>2</v>
      </c>
      <c r="D143" t="s">
        <v>1163</v>
      </c>
      <c r="E143">
        <v>1698800</v>
      </c>
      <c r="F143" t="s">
        <v>1164</v>
      </c>
      <c r="G143">
        <v>1</v>
      </c>
      <c r="H143" t="s">
        <v>1163</v>
      </c>
      <c r="I143">
        <v>1690000</v>
      </c>
      <c r="J143" t="s">
        <v>1164</v>
      </c>
      <c r="K143">
        <v>86</v>
      </c>
      <c r="L143" t="s">
        <v>1163</v>
      </c>
      <c r="M143">
        <f t="shared" si="5"/>
        <v>10</v>
      </c>
      <c r="N143" t="s">
        <v>1165</v>
      </c>
      <c r="O143" t="str">
        <f t="shared" si="6"/>
        <v>[{"id":2,"num":1698800},{"id":1,"num":1690000},{"id":86,"num":10}]</v>
      </c>
    </row>
    <row r="144" spans="1:15" ht="16.5" x14ac:dyDescent="0.15">
      <c r="A144" s="3">
        <f>Sheet1!A1127</f>
        <v>1715003</v>
      </c>
      <c r="B144" t="s">
        <v>1162</v>
      </c>
      <c r="C144">
        <v>2</v>
      </c>
      <c r="D144" t="s">
        <v>1163</v>
      </c>
      <c r="E144">
        <v>1698800</v>
      </c>
      <c r="F144" t="s">
        <v>1164</v>
      </c>
      <c r="G144">
        <v>1</v>
      </c>
      <c r="H144" t="s">
        <v>1163</v>
      </c>
      <c r="I144">
        <v>1690000</v>
      </c>
      <c r="J144" t="s">
        <v>1164</v>
      </c>
      <c r="K144">
        <v>86</v>
      </c>
      <c r="L144" t="s">
        <v>1163</v>
      </c>
      <c r="M144">
        <f t="shared" si="5"/>
        <v>10</v>
      </c>
      <c r="N144" t="s">
        <v>1165</v>
      </c>
      <c r="O144" t="str">
        <f t="shared" si="6"/>
        <v>[{"id":2,"num":1698800},{"id":1,"num":1690000},{"id":86,"num":10}]</v>
      </c>
    </row>
    <row r="145" spans="1:15" ht="16.5" x14ac:dyDescent="0.15">
      <c r="A145" s="3">
        <f>Sheet1!A1128</f>
        <v>1715004</v>
      </c>
      <c r="B145" t="s">
        <v>1162</v>
      </c>
      <c r="C145">
        <v>2</v>
      </c>
      <c r="D145" t="s">
        <v>1163</v>
      </c>
      <c r="E145">
        <v>1698800</v>
      </c>
      <c r="F145" t="s">
        <v>1164</v>
      </c>
      <c r="G145">
        <v>1</v>
      </c>
      <c r="H145" t="s">
        <v>1163</v>
      </c>
      <c r="I145">
        <v>1690000</v>
      </c>
      <c r="J145" t="s">
        <v>1164</v>
      </c>
      <c r="K145">
        <v>86</v>
      </c>
      <c r="L145" t="s">
        <v>1163</v>
      </c>
      <c r="M145">
        <f t="shared" si="5"/>
        <v>10</v>
      </c>
      <c r="N145" t="s">
        <v>1165</v>
      </c>
      <c r="O145" t="str">
        <f t="shared" si="6"/>
        <v>[{"id":2,"num":1698800},{"id":1,"num":1690000},{"id":86,"num":10}]</v>
      </c>
    </row>
    <row r="146" spans="1:15" ht="16.5" x14ac:dyDescent="0.15">
      <c r="A146" s="3">
        <f>Sheet1!A1129</f>
        <v>1715005</v>
      </c>
      <c r="B146" t="s">
        <v>1162</v>
      </c>
      <c r="C146">
        <v>2</v>
      </c>
      <c r="D146" t="s">
        <v>1163</v>
      </c>
      <c r="E146">
        <v>1698800</v>
      </c>
      <c r="F146" t="s">
        <v>1164</v>
      </c>
      <c r="G146">
        <v>1</v>
      </c>
      <c r="H146" t="s">
        <v>1163</v>
      </c>
      <c r="I146">
        <v>1690000</v>
      </c>
      <c r="J146" t="s">
        <v>1164</v>
      </c>
      <c r="K146">
        <v>86</v>
      </c>
      <c r="L146" t="s">
        <v>1163</v>
      </c>
      <c r="M146">
        <f t="shared" si="5"/>
        <v>10</v>
      </c>
      <c r="N146" t="s">
        <v>1165</v>
      </c>
      <c r="O146" t="str">
        <f t="shared" si="6"/>
        <v>[{"id":2,"num":1698800},{"id":1,"num":1690000},{"id":86,"num":10}]</v>
      </c>
    </row>
    <row r="147" spans="1:15" ht="16.5" x14ac:dyDescent="0.15">
      <c r="A147" s="3">
        <f>Sheet1!A1130</f>
        <v>1715006</v>
      </c>
      <c r="B147" t="s">
        <v>1162</v>
      </c>
      <c r="C147">
        <v>2</v>
      </c>
      <c r="D147" t="s">
        <v>1163</v>
      </c>
      <c r="E147">
        <v>1698800</v>
      </c>
      <c r="F147" t="s">
        <v>1164</v>
      </c>
      <c r="G147">
        <v>1</v>
      </c>
      <c r="H147" t="s">
        <v>1163</v>
      </c>
      <c r="I147">
        <v>1690000</v>
      </c>
      <c r="J147" t="s">
        <v>1164</v>
      </c>
      <c r="K147">
        <v>86</v>
      </c>
      <c r="L147" t="s">
        <v>1163</v>
      </c>
      <c r="M147">
        <f t="shared" si="5"/>
        <v>10</v>
      </c>
      <c r="N147" t="s">
        <v>1165</v>
      </c>
      <c r="O147" t="str">
        <f t="shared" si="6"/>
        <v>[{"id":2,"num":1698800},{"id":1,"num":1690000},{"id":86,"num":10}]</v>
      </c>
    </row>
    <row r="148" spans="1:15" ht="16.5" x14ac:dyDescent="0.15">
      <c r="A148" s="3">
        <f>Sheet1!A1131</f>
        <v>1715007</v>
      </c>
      <c r="B148" t="s">
        <v>1162</v>
      </c>
      <c r="C148">
        <v>2</v>
      </c>
      <c r="D148" t="s">
        <v>1163</v>
      </c>
      <c r="E148">
        <v>1698800</v>
      </c>
      <c r="F148" t="s">
        <v>1164</v>
      </c>
      <c r="G148">
        <v>1</v>
      </c>
      <c r="H148" t="s">
        <v>1163</v>
      </c>
      <c r="I148">
        <v>1690000</v>
      </c>
      <c r="J148" t="s">
        <v>1164</v>
      </c>
      <c r="K148">
        <v>86</v>
      </c>
      <c r="L148" t="s">
        <v>1163</v>
      </c>
      <c r="M148">
        <f t="shared" si="5"/>
        <v>10</v>
      </c>
      <c r="N148" t="s">
        <v>1165</v>
      </c>
      <c r="O148" t="str">
        <f t="shared" si="6"/>
        <v>[{"id":2,"num":1698800},{"id":1,"num":1690000},{"id":86,"num":10}]</v>
      </c>
    </row>
    <row r="149" spans="1:15" ht="16.5" x14ac:dyDescent="0.15">
      <c r="A149" s="3">
        <f>Sheet1!A1132</f>
        <v>1715008</v>
      </c>
      <c r="B149" t="s">
        <v>1162</v>
      </c>
      <c r="C149">
        <v>2</v>
      </c>
      <c r="D149" t="s">
        <v>1163</v>
      </c>
      <c r="E149">
        <v>1698800</v>
      </c>
      <c r="F149" t="s">
        <v>1164</v>
      </c>
      <c r="G149">
        <v>1</v>
      </c>
      <c r="H149" t="s">
        <v>1163</v>
      </c>
      <c r="I149">
        <v>1690000</v>
      </c>
      <c r="J149" t="s">
        <v>1164</v>
      </c>
      <c r="K149">
        <v>86</v>
      </c>
      <c r="L149" t="s">
        <v>1163</v>
      </c>
      <c r="M149">
        <f t="shared" si="5"/>
        <v>10</v>
      </c>
      <c r="N149" t="s">
        <v>1165</v>
      </c>
      <c r="O149" t="str">
        <f t="shared" si="6"/>
        <v>[{"id":2,"num":1698800},{"id":1,"num":1690000},{"id":86,"num":10}]</v>
      </c>
    </row>
    <row r="150" spans="1:15" ht="16.5" x14ac:dyDescent="0.15">
      <c r="A150" s="3">
        <f>Sheet1!A1133</f>
        <v>1715009</v>
      </c>
      <c r="B150" t="s">
        <v>1162</v>
      </c>
      <c r="C150">
        <v>2</v>
      </c>
      <c r="D150" t="s">
        <v>1163</v>
      </c>
      <c r="E150">
        <v>1698800</v>
      </c>
      <c r="F150" t="s">
        <v>1164</v>
      </c>
      <c r="G150">
        <v>1</v>
      </c>
      <c r="H150" t="s">
        <v>1163</v>
      </c>
      <c r="I150">
        <v>1690000</v>
      </c>
      <c r="J150" t="s">
        <v>1164</v>
      </c>
      <c r="K150">
        <v>86</v>
      </c>
      <c r="L150" t="s">
        <v>1163</v>
      </c>
      <c r="M150">
        <f t="shared" si="5"/>
        <v>10</v>
      </c>
      <c r="N150" t="s">
        <v>1165</v>
      </c>
      <c r="O150" t="str">
        <f t="shared" si="6"/>
        <v>[{"id":2,"num":1698800},{"id":1,"num":1690000},{"id":86,"num":10}]</v>
      </c>
    </row>
    <row r="151" spans="1:15" ht="16.5" x14ac:dyDescent="0.15">
      <c r="A151" s="3">
        <f>Sheet1!A1134</f>
        <v>1715010</v>
      </c>
      <c r="B151" t="s">
        <v>1162</v>
      </c>
      <c r="C151">
        <v>2</v>
      </c>
      <c r="D151" t="s">
        <v>1163</v>
      </c>
      <c r="E151">
        <v>1698800</v>
      </c>
      <c r="F151" t="s">
        <v>1164</v>
      </c>
      <c r="G151">
        <v>1</v>
      </c>
      <c r="H151" t="s">
        <v>1163</v>
      </c>
      <c r="I151">
        <v>1690000</v>
      </c>
      <c r="J151" t="s">
        <v>1164</v>
      </c>
      <c r="K151">
        <v>86</v>
      </c>
      <c r="L151" t="s">
        <v>1163</v>
      </c>
      <c r="M151">
        <f t="shared" si="5"/>
        <v>10</v>
      </c>
      <c r="N151" t="s">
        <v>1165</v>
      </c>
      <c r="O151" t="str">
        <f t="shared" si="6"/>
        <v>[{"id":2,"num":1698800},{"id":1,"num":1690000},{"id":86,"num":10}]</v>
      </c>
    </row>
    <row r="152" spans="1:15" ht="16.5" x14ac:dyDescent="0.15">
      <c r="A152" s="3">
        <f>Sheet1!A1135</f>
        <v>1716001</v>
      </c>
      <c r="B152" t="s">
        <v>1162</v>
      </c>
      <c r="C152">
        <v>2</v>
      </c>
      <c r="D152" t="s">
        <v>1163</v>
      </c>
      <c r="E152">
        <v>1698800</v>
      </c>
      <c r="F152" t="s">
        <v>1164</v>
      </c>
      <c r="G152">
        <v>1</v>
      </c>
      <c r="H152" t="s">
        <v>1163</v>
      </c>
      <c r="I152">
        <v>1690000</v>
      </c>
      <c r="J152" t="s">
        <v>1164</v>
      </c>
      <c r="K152">
        <v>86</v>
      </c>
      <c r="L152" t="s">
        <v>1163</v>
      </c>
      <c r="M152">
        <f t="shared" si="5"/>
        <v>11</v>
      </c>
      <c r="N152" t="s">
        <v>1165</v>
      </c>
      <c r="O152" t="str">
        <f t="shared" si="6"/>
        <v>[{"id":2,"num":1698800},{"id":1,"num":1690000},{"id":86,"num":11}]</v>
      </c>
    </row>
    <row r="153" spans="1:15" ht="16.5" x14ac:dyDescent="0.15">
      <c r="A153" s="3">
        <f>Sheet1!A1136</f>
        <v>1716002</v>
      </c>
      <c r="B153" t="s">
        <v>1162</v>
      </c>
      <c r="C153">
        <v>2</v>
      </c>
      <c r="D153" t="s">
        <v>1163</v>
      </c>
      <c r="E153">
        <v>1698800</v>
      </c>
      <c r="F153" t="s">
        <v>1164</v>
      </c>
      <c r="G153">
        <v>1</v>
      </c>
      <c r="H153" t="s">
        <v>1163</v>
      </c>
      <c r="I153">
        <v>1690000</v>
      </c>
      <c r="J153" t="s">
        <v>1164</v>
      </c>
      <c r="K153">
        <v>86</v>
      </c>
      <c r="L153" t="s">
        <v>1163</v>
      </c>
      <c r="M153">
        <f t="shared" si="5"/>
        <v>11</v>
      </c>
      <c r="N153" t="s">
        <v>1165</v>
      </c>
      <c r="O153" t="str">
        <f t="shared" si="6"/>
        <v>[{"id":2,"num":1698800},{"id":1,"num":1690000},{"id":86,"num":11}]</v>
      </c>
    </row>
    <row r="154" spans="1:15" ht="16.5" x14ac:dyDescent="0.15">
      <c r="A154" s="3">
        <f>Sheet1!A1137</f>
        <v>1716003</v>
      </c>
      <c r="B154" t="s">
        <v>1162</v>
      </c>
      <c r="C154">
        <v>2</v>
      </c>
      <c r="D154" t="s">
        <v>1163</v>
      </c>
      <c r="E154">
        <v>1698800</v>
      </c>
      <c r="F154" t="s">
        <v>1164</v>
      </c>
      <c r="G154">
        <v>1</v>
      </c>
      <c r="H154" t="s">
        <v>1163</v>
      </c>
      <c r="I154">
        <v>1690000</v>
      </c>
      <c r="J154" t="s">
        <v>1164</v>
      </c>
      <c r="K154">
        <v>86</v>
      </c>
      <c r="L154" t="s">
        <v>1163</v>
      </c>
      <c r="M154">
        <f t="shared" si="5"/>
        <v>11</v>
      </c>
      <c r="N154" t="s">
        <v>1165</v>
      </c>
      <c r="O154" t="str">
        <f t="shared" si="6"/>
        <v>[{"id":2,"num":1698800},{"id":1,"num":1690000},{"id":86,"num":11}]</v>
      </c>
    </row>
    <row r="155" spans="1:15" ht="16.5" x14ac:dyDescent="0.15">
      <c r="A155" s="3">
        <f>Sheet1!A1138</f>
        <v>1716004</v>
      </c>
      <c r="B155" t="s">
        <v>1162</v>
      </c>
      <c r="C155">
        <v>2</v>
      </c>
      <c r="D155" t="s">
        <v>1163</v>
      </c>
      <c r="E155">
        <v>1698800</v>
      </c>
      <c r="F155" t="s">
        <v>1164</v>
      </c>
      <c r="G155">
        <v>1</v>
      </c>
      <c r="H155" t="s">
        <v>1163</v>
      </c>
      <c r="I155">
        <v>1690000</v>
      </c>
      <c r="J155" t="s">
        <v>1164</v>
      </c>
      <c r="K155">
        <v>86</v>
      </c>
      <c r="L155" t="s">
        <v>1163</v>
      </c>
      <c r="M155">
        <f t="shared" si="5"/>
        <v>11</v>
      </c>
      <c r="N155" t="s">
        <v>1165</v>
      </c>
      <c r="O155" t="str">
        <f t="shared" si="6"/>
        <v>[{"id":2,"num":1698800},{"id":1,"num":1690000},{"id":86,"num":11}]</v>
      </c>
    </row>
    <row r="156" spans="1:15" ht="16.5" x14ac:dyDescent="0.15">
      <c r="A156" s="3">
        <f>Sheet1!A1139</f>
        <v>1716005</v>
      </c>
      <c r="B156" t="s">
        <v>1162</v>
      </c>
      <c r="C156">
        <v>2</v>
      </c>
      <c r="D156" t="s">
        <v>1163</v>
      </c>
      <c r="E156">
        <v>1698800</v>
      </c>
      <c r="F156" t="s">
        <v>1164</v>
      </c>
      <c r="G156">
        <v>1</v>
      </c>
      <c r="H156" t="s">
        <v>1163</v>
      </c>
      <c r="I156">
        <v>1690000</v>
      </c>
      <c r="J156" t="s">
        <v>1164</v>
      </c>
      <c r="K156">
        <v>86</v>
      </c>
      <c r="L156" t="s">
        <v>1163</v>
      </c>
      <c r="M156">
        <f t="shared" si="5"/>
        <v>11</v>
      </c>
      <c r="N156" t="s">
        <v>1165</v>
      </c>
      <c r="O156" t="str">
        <f t="shared" si="6"/>
        <v>[{"id":2,"num":1698800},{"id":1,"num":1690000},{"id":86,"num":11}]</v>
      </c>
    </row>
    <row r="157" spans="1:15" ht="16.5" x14ac:dyDescent="0.15">
      <c r="A157" s="3">
        <f>Sheet1!A1140</f>
        <v>1716006</v>
      </c>
      <c r="B157" t="s">
        <v>1162</v>
      </c>
      <c r="C157">
        <v>2</v>
      </c>
      <c r="D157" t="s">
        <v>1163</v>
      </c>
      <c r="E157">
        <v>1698800</v>
      </c>
      <c r="F157" t="s">
        <v>1164</v>
      </c>
      <c r="G157">
        <v>1</v>
      </c>
      <c r="H157" t="s">
        <v>1163</v>
      </c>
      <c r="I157">
        <v>1690000</v>
      </c>
      <c r="J157" t="s">
        <v>1164</v>
      </c>
      <c r="K157">
        <v>86</v>
      </c>
      <c r="L157" t="s">
        <v>1163</v>
      </c>
      <c r="M157">
        <f t="shared" si="5"/>
        <v>11</v>
      </c>
      <c r="N157" t="s">
        <v>1165</v>
      </c>
      <c r="O157" t="str">
        <f t="shared" si="6"/>
        <v>[{"id":2,"num":1698800},{"id":1,"num":1690000},{"id":86,"num":11}]</v>
      </c>
    </row>
    <row r="158" spans="1:15" ht="16.5" x14ac:dyDescent="0.15">
      <c r="A158" s="3">
        <f>Sheet1!A1141</f>
        <v>1716007</v>
      </c>
      <c r="B158" t="s">
        <v>1162</v>
      </c>
      <c r="C158">
        <v>2</v>
      </c>
      <c r="D158" t="s">
        <v>1163</v>
      </c>
      <c r="E158">
        <v>1698800</v>
      </c>
      <c r="F158" t="s">
        <v>1164</v>
      </c>
      <c r="G158">
        <v>1</v>
      </c>
      <c r="H158" t="s">
        <v>1163</v>
      </c>
      <c r="I158">
        <v>1690000</v>
      </c>
      <c r="J158" t="s">
        <v>1164</v>
      </c>
      <c r="K158">
        <v>86</v>
      </c>
      <c r="L158" t="s">
        <v>1163</v>
      </c>
      <c r="M158">
        <f t="shared" si="5"/>
        <v>11</v>
      </c>
      <c r="N158" t="s">
        <v>1165</v>
      </c>
      <c r="O158" t="str">
        <f t="shared" si="6"/>
        <v>[{"id":2,"num":1698800},{"id":1,"num":1690000},{"id":86,"num":11}]</v>
      </c>
    </row>
    <row r="159" spans="1:15" ht="16.5" x14ac:dyDescent="0.15">
      <c r="A159" s="3">
        <f>Sheet1!A1142</f>
        <v>1716008</v>
      </c>
      <c r="B159" t="s">
        <v>1162</v>
      </c>
      <c r="C159">
        <v>2</v>
      </c>
      <c r="D159" t="s">
        <v>1163</v>
      </c>
      <c r="E159">
        <v>1698800</v>
      </c>
      <c r="F159" t="s">
        <v>1164</v>
      </c>
      <c r="G159">
        <v>1</v>
      </c>
      <c r="H159" t="s">
        <v>1163</v>
      </c>
      <c r="I159">
        <v>1690000</v>
      </c>
      <c r="J159" t="s">
        <v>1164</v>
      </c>
      <c r="K159">
        <v>86</v>
      </c>
      <c r="L159" t="s">
        <v>1163</v>
      </c>
      <c r="M159">
        <f t="shared" si="5"/>
        <v>11</v>
      </c>
      <c r="N159" t="s">
        <v>1165</v>
      </c>
      <c r="O159" t="str">
        <f t="shared" si="6"/>
        <v>[{"id":2,"num":1698800},{"id":1,"num":1690000},{"id":86,"num":11}]</v>
      </c>
    </row>
    <row r="160" spans="1:15" ht="16.5" x14ac:dyDescent="0.15">
      <c r="A160" s="3">
        <f>Sheet1!A1143</f>
        <v>1716009</v>
      </c>
      <c r="B160" t="s">
        <v>1162</v>
      </c>
      <c r="C160">
        <v>2</v>
      </c>
      <c r="D160" t="s">
        <v>1163</v>
      </c>
      <c r="E160">
        <v>1698800</v>
      </c>
      <c r="F160" t="s">
        <v>1164</v>
      </c>
      <c r="G160">
        <v>1</v>
      </c>
      <c r="H160" t="s">
        <v>1163</v>
      </c>
      <c r="I160">
        <v>1690000</v>
      </c>
      <c r="J160" t="s">
        <v>1164</v>
      </c>
      <c r="K160">
        <v>86</v>
      </c>
      <c r="L160" t="s">
        <v>1163</v>
      </c>
      <c r="M160">
        <f t="shared" si="5"/>
        <v>11</v>
      </c>
      <c r="N160" t="s">
        <v>1165</v>
      </c>
      <c r="O160" t="str">
        <f t="shared" si="6"/>
        <v>[{"id":2,"num":1698800},{"id":1,"num":1690000},{"id":86,"num":11}]</v>
      </c>
    </row>
    <row r="161" spans="1:15" ht="16.5" x14ac:dyDescent="0.15">
      <c r="A161" s="3">
        <f>Sheet1!A1144</f>
        <v>1716010</v>
      </c>
      <c r="B161" t="s">
        <v>1162</v>
      </c>
      <c r="C161">
        <v>2</v>
      </c>
      <c r="D161" t="s">
        <v>1163</v>
      </c>
      <c r="E161">
        <v>1698800</v>
      </c>
      <c r="F161" t="s">
        <v>1164</v>
      </c>
      <c r="G161">
        <v>1</v>
      </c>
      <c r="H161" t="s">
        <v>1163</v>
      </c>
      <c r="I161">
        <v>1690000</v>
      </c>
      <c r="J161" t="s">
        <v>1164</v>
      </c>
      <c r="K161">
        <v>86</v>
      </c>
      <c r="L161" t="s">
        <v>1163</v>
      </c>
      <c r="M161">
        <f t="shared" si="5"/>
        <v>11</v>
      </c>
      <c r="N161" t="s">
        <v>1165</v>
      </c>
      <c r="O161" t="str">
        <f t="shared" si="6"/>
        <v>[{"id":2,"num":1698800},{"id":1,"num":1690000},{"id":86,"num":11}]</v>
      </c>
    </row>
    <row r="162" spans="1:15" ht="16.5" x14ac:dyDescent="0.15">
      <c r="A162" s="3">
        <f>Sheet1!A1145</f>
        <v>1717001</v>
      </c>
      <c r="B162" t="s">
        <v>1162</v>
      </c>
      <c r="C162">
        <v>2</v>
      </c>
      <c r="D162" t="s">
        <v>1163</v>
      </c>
      <c r="E162">
        <v>1698800</v>
      </c>
      <c r="F162" t="s">
        <v>1164</v>
      </c>
      <c r="G162">
        <v>1</v>
      </c>
      <c r="H162" t="s">
        <v>1163</v>
      </c>
      <c r="I162">
        <v>1690000</v>
      </c>
      <c r="J162" t="s">
        <v>1164</v>
      </c>
      <c r="K162">
        <v>86</v>
      </c>
      <c r="L162" t="s">
        <v>1163</v>
      </c>
      <c r="M162">
        <f t="shared" si="5"/>
        <v>12</v>
      </c>
      <c r="N162" t="s">
        <v>1165</v>
      </c>
      <c r="O162" t="str">
        <f t="shared" si="6"/>
        <v>[{"id":2,"num":1698800},{"id":1,"num":1690000},{"id":86,"num":12}]</v>
      </c>
    </row>
    <row r="163" spans="1:15" ht="16.5" x14ac:dyDescent="0.15">
      <c r="A163" s="3">
        <f>Sheet1!A1146</f>
        <v>1717002</v>
      </c>
      <c r="B163" t="s">
        <v>1162</v>
      </c>
      <c r="C163">
        <v>2</v>
      </c>
      <c r="D163" t="s">
        <v>1163</v>
      </c>
      <c r="E163">
        <v>1698800</v>
      </c>
      <c r="F163" t="s">
        <v>1164</v>
      </c>
      <c r="G163">
        <v>1</v>
      </c>
      <c r="H163" t="s">
        <v>1163</v>
      </c>
      <c r="I163">
        <v>1690000</v>
      </c>
      <c r="J163" t="s">
        <v>1164</v>
      </c>
      <c r="K163">
        <v>86</v>
      </c>
      <c r="L163" t="s">
        <v>1163</v>
      </c>
      <c r="M163">
        <f t="shared" si="5"/>
        <v>12</v>
      </c>
      <c r="N163" t="s">
        <v>1165</v>
      </c>
      <c r="O163" t="str">
        <f t="shared" si="6"/>
        <v>[{"id":2,"num":1698800},{"id":1,"num":1690000},{"id":86,"num":12}]</v>
      </c>
    </row>
    <row r="164" spans="1:15" ht="16.5" x14ac:dyDescent="0.15">
      <c r="A164" s="3">
        <f>Sheet1!A1147</f>
        <v>1717003</v>
      </c>
      <c r="B164" t="s">
        <v>1162</v>
      </c>
      <c r="C164">
        <v>2</v>
      </c>
      <c r="D164" t="s">
        <v>1163</v>
      </c>
      <c r="E164">
        <v>1698800</v>
      </c>
      <c r="F164" t="s">
        <v>1164</v>
      </c>
      <c r="G164">
        <v>1</v>
      </c>
      <c r="H164" t="s">
        <v>1163</v>
      </c>
      <c r="I164">
        <v>1690000</v>
      </c>
      <c r="J164" t="s">
        <v>1164</v>
      </c>
      <c r="K164">
        <v>86</v>
      </c>
      <c r="L164" t="s">
        <v>1163</v>
      </c>
      <c r="M164">
        <f t="shared" ref="M164:M201" si="7">M154+1</f>
        <v>12</v>
      </c>
      <c r="N164" t="s">
        <v>1165</v>
      </c>
      <c r="O164" t="str">
        <f t="shared" ref="O164:O201" si="8">_xlfn.TEXTJOIN(,TRUE,B164:N164)</f>
        <v>[{"id":2,"num":1698800},{"id":1,"num":1690000},{"id":86,"num":12}]</v>
      </c>
    </row>
    <row r="165" spans="1:15" ht="16.5" x14ac:dyDescent="0.15">
      <c r="A165" s="3">
        <f>Sheet1!A1148</f>
        <v>1717004</v>
      </c>
      <c r="B165" t="s">
        <v>1162</v>
      </c>
      <c r="C165">
        <v>2</v>
      </c>
      <c r="D165" t="s">
        <v>1163</v>
      </c>
      <c r="E165">
        <v>1698800</v>
      </c>
      <c r="F165" t="s">
        <v>1164</v>
      </c>
      <c r="G165">
        <v>1</v>
      </c>
      <c r="H165" t="s">
        <v>1163</v>
      </c>
      <c r="I165">
        <v>1690000</v>
      </c>
      <c r="J165" t="s">
        <v>1164</v>
      </c>
      <c r="K165">
        <v>86</v>
      </c>
      <c r="L165" t="s">
        <v>1163</v>
      </c>
      <c r="M165">
        <f t="shared" si="7"/>
        <v>12</v>
      </c>
      <c r="N165" t="s">
        <v>1165</v>
      </c>
      <c r="O165" t="str">
        <f t="shared" si="8"/>
        <v>[{"id":2,"num":1698800},{"id":1,"num":1690000},{"id":86,"num":12}]</v>
      </c>
    </row>
    <row r="166" spans="1:15" ht="16.5" x14ac:dyDescent="0.15">
      <c r="A166" s="3">
        <f>Sheet1!A1149</f>
        <v>1717005</v>
      </c>
      <c r="B166" t="s">
        <v>1162</v>
      </c>
      <c r="C166">
        <v>2</v>
      </c>
      <c r="D166" t="s">
        <v>1163</v>
      </c>
      <c r="E166">
        <v>1698800</v>
      </c>
      <c r="F166" t="s">
        <v>1164</v>
      </c>
      <c r="G166">
        <v>1</v>
      </c>
      <c r="H166" t="s">
        <v>1163</v>
      </c>
      <c r="I166">
        <v>1690000</v>
      </c>
      <c r="J166" t="s">
        <v>1164</v>
      </c>
      <c r="K166">
        <v>86</v>
      </c>
      <c r="L166" t="s">
        <v>1163</v>
      </c>
      <c r="M166">
        <f t="shared" si="7"/>
        <v>12</v>
      </c>
      <c r="N166" t="s">
        <v>1165</v>
      </c>
      <c r="O166" t="str">
        <f t="shared" si="8"/>
        <v>[{"id":2,"num":1698800},{"id":1,"num":1690000},{"id":86,"num":12}]</v>
      </c>
    </row>
    <row r="167" spans="1:15" ht="16.5" x14ac:dyDescent="0.15">
      <c r="A167" s="3">
        <f>Sheet1!A1150</f>
        <v>1717006</v>
      </c>
      <c r="B167" t="s">
        <v>1162</v>
      </c>
      <c r="C167">
        <v>2</v>
      </c>
      <c r="D167" t="s">
        <v>1163</v>
      </c>
      <c r="E167">
        <v>1698800</v>
      </c>
      <c r="F167" t="s">
        <v>1164</v>
      </c>
      <c r="G167">
        <v>1</v>
      </c>
      <c r="H167" t="s">
        <v>1163</v>
      </c>
      <c r="I167">
        <v>1690000</v>
      </c>
      <c r="J167" t="s">
        <v>1164</v>
      </c>
      <c r="K167">
        <v>86</v>
      </c>
      <c r="L167" t="s">
        <v>1163</v>
      </c>
      <c r="M167">
        <f t="shared" si="7"/>
        <v>12</v>
      </c>
      <c r="N167" t="s">
        <v>1165</v>
      </c>
      <c r="O167" t="str">
        <f t="shared" si="8"/>
        <v>[{"id":2,"num":1698800},{"id":1,"num":1690000},{"id":86,"num":12}]</v>
      </c>
    </row>
    <row r="168" spans="1:15" ht="16.5" x14ac:dyDescent="0.15">
      <c r="A168" s="3">
        <f>Sheet1!A1151</f>
        <v>1717007</v>
      </c>
      <c r="B168" t="s">
        <v>1162</v>
      </c>
      <c r="C168">
        <v>2</v>
      </c>
      <c r="D168" t="s">
        <v>1163</v>
      </c>
      <c r="E168">
        <v>1698800</v>
      </c>
      <c r="F168" t="s">
        <v>1164</v>
      </c>
      <c r="G168">
        <v>1</v>
      </c>
      <c r="H168" t="s">
        <v>1163</v>
      </c>
      <c r="I168">
        <v>1690000</v>
      </c>
      <c r="J168" t="s">
        <v>1164</v>
      </c>
      <c r="K168">
        <v>86</v>
      </c>
      <c r="L168" t="s">
        <v>1163</v>
      </c>
      <c r="M168">
        <f t="shared" si="7"/>
        <v>12</v>
      </c>
      <c r="N168" t="s">
        <v>1165</v>
      </c>
      <c r="O168" t="str">
        <f t="shared" si="8"/>
        <v>[{"id":2,"num":1698800},{"id":1,"num":1690000},{"id":86,"num":12}]</v>
      </c>
    </row>
    <row r="169" spans="1:15" ht="16.5" x14ac:dyDescent="0.15">
      <c r="A169" s="3">
        <f>Sheet1!A1152</f>
        <v>1717008</v>
      </c>
      <c r="B169" t="s">
        <v>1162</v>
      </c>
      <c r="C169">
        <v>2</v>
      </c>
      <c r="D169" t="s">
        <v>1163</v>
      </c>
      <c r="E169">
        <v>1698800</v>
      </c>
      <c r="F169" t="s">
        <v>1164</v>
      </c>
      <c r="G169">
        <v>1</v>
      </c>
      <c r="H169" t="s">
        <v>1163</v>
      </c>
      <c r="I169">
        <v>1690000</v>
      </c>
      <c r="J169" t="s">
        <v>1164</v>
      </c>
      <c r="K169">
        <v>86</v>
      </c>
      <c r="L169" t="s">
        <v>1163</v>
      </c>
      <c r="M169">
        <f t="shared" si="7"/>
        <v>12</v>
      </c>
      <c r="N169" t="s">
        <v>1165</v>
      </c>
      <c r="O169" t="str">
        <f t="shared" si="8"/>
        <v>[{"id":2,"num":1698800},{"id":1,"num":1690000},{"id":86,"num":12}]</v>
      </c>
    </row>
    <row r="170" spans="1:15" ht="16.5" x14ac:dyDescent="0.15">
      <c r="A170" s="3">
        <f>Sheet1!A1153</f>
        <v>1717009</v>
      </c>
      <c r="B170" t="s">
        <v>1162</v>
      </c>
      <c r="C170">
        <v>2</v>
      </c>
      <c r="D170" t="s">
        <v>1163</v>
      </c>
      <c r="E170">
        <v>1698800</v>
      </c>
      <c r="F170" t="s">
        <v>1164</v>
      </c>
      <c r="G170">
        <v>1</v>
      </c>
      <c r="H170" t="s">
        <v>1163</v>
      </c>
      <c r="I170">
        <v>1690000</v>
      </c>
      <c r="J170" t="s">
        <v>1164</v>
      </c>
      <c r="K170">
        <v>86</v>
      </c>
      <c r="L170" t="s">
        <v>1163</v>
      </c>
      <c r="M170">
        <f t="shared" si="7"/>
        <v>12</v>
      </c>
      <c r="N170" t="s">
        <v>1165</v>
      </c>
      <c r="O170" t="str">
        <f t="shared" si="8"/>
        <v>[{"id":2,"num":1698800},{"id":1,"num":1690000},{"id":86,"num":12}]</v>
      </c>
    </row>
    <row r="171" spans="1:15" ht="16.5" x14ac:dyDescent="0.15">
      <c r="A171" s="3">
        <f>Sheet1!A1154</f>
        <v>1717010</v>
      </c>
      <c r="B171" t="s">
        <v>1162</v>
      </c>
      <c r="C171">
        <v>2</v>
      </c>
      <c r="D171" t="s">
        <v>1163</v>
      </c>
      <c r="E171">
        <v>1698800</v>
      </c>
      <c r="F171" t="s">
        <v>1164</v>
      </c>
      <c r="G171">
        <v>1</v>
      </c>
      <c r="H171" t="s">
        <v>1163</v>
      </c>
      <c r="I171">
        <v>1690000</v>
      </c>
      <c r="J171" t="s">
        <v>1164</v>
      </c>
      <c r="K171">
        <v>86</v>
      </c>
      <c r="L171" t="s">
        <v>1163</v>
      </c>
      <c r="M171">
        <f t="shared" si="7"/>
        <v>12</v>
      </c>
      <c r="N171" t="s">
        <v>1165</v>
      </c>
      <c r="O171" t="str">
        <f t="shared" si="8"/>
        <v>[{"id":2,"num":1698800},{"id":1,"num":1690000},{"id":86,"num":12}]</v>
      </c>
    </row>
    <row r="172" spans="1:15" ht="16.5" x14ac:dyDescent="0.15">
      <c r="A172" s="3">
        <f>Sheet1!A1155</f>
        <v>1718001</v>
      </c>
      <c r="B172" t="s">
        <v>1162</v>
      </c>
      <c r="C172">
        <v>2</v>
      </c>
      <c r="D172" t="s">
        <v>1163</v>
      </c>
      <c r="E172">
        <v>1698800</v>
      </c>
      <c r="F172" t="s">
        <v>1164</v>
      </c>
      <c r="G172">
        <v>1</v>
      </c>
      <c r="H172" t="s">
        <v>1163</v>
      </c>
      <c r="I172">
        <v>1690000</v>
      </c>
      <c r="J172" t="s">
        <v>1164</v>
      </c>
      <c r="K172">
        <v>86</v>
      </c>
      <c r="L172" t="s">
        <v>1163</v>
      </c>
      <c r="M172">
        <f t="shared" si="7"/>
        <v>13</v>
      </c>
      <c r="N172" t="s">
        <v>1165</v>
      </c>
      <c r="O172" t="str">
        <f t="shared" si="8"/>
        <v>[{"id":2,"num":1698800},{"id":1,"num":1690000},{"id":86,"num":13}]</v>
      </c>
    </row>
    <row r="173" spans="1:15" ht="16.5" x14ac:dyDescent="0.15">
      <c r="A173" s="3">
        <f>Sheet1!A1156</f>
        <v>1718002</v>
      </c>
      <c r="B173" t="s">
        <v>1162</v>
      </c>
      <c r="C173">
        <v>2</v>
      </c>
      <c r="D173" t="s">
        <v>1163</v>
      </c>
      <c r="E173">
        <v>1698800</v>
      </c>
      <c r="F173" t="s">
        <v>1164</v>
      </c>
      <c r="G173">
        <v>1</v>
      </c>
      <c r="H173" t="s">
        <v>1163</v>
      </c>
      <c r="I173">
        <v>1690000</v>
      </c>
      <c r="J173" t="s">
        <v>1164</v>
      </c>
      <c r="K173">
        <v>86</v>
      </c>
      <c r="L173" t="s">
        <v>1163</v>
      </c>
      <c r="M173">
        <f t="shared" si="7"/>
        <v>13</v>
      </c>
      <c r="N173" t="s">
        <v>1165</v>
      </c>
      <c r="O173" t="str">
        <f t="shared" si="8"/>
        <v>[{"id":2,"num":1698800},{"id":1,"num":1690000},{"id":86,"num":13}]</v>
      </c>
    </row>
    <row r="174" spans="1:15" ht="16.5" x14ac:dyDescent="0.15">
      <c r="A174" s="3">
        <f>Sheet1!A1157</f>
        <v>1718003</v>
      </c>
      <c r="B174" t="s">
        <v>1162</v>
      </c>
      <c r="C174">
        <v>2</v>
      </c>
      <c r="D174" t="s">
        <v>1163</v>
      </c>
      <c r="E174">
        <v>1698800</v>
      </c>
      <c r="F174" t="s">
        <v>1164</v>
      </c>
      <c r="G174">
        <v>1</v>
      </c>
      <c r="H174" t="s">
        <v>1163</v>
      </c>
      <c r="I174">
        <v>1690000</v>
      </c>
      <c r="J174" t="s">
        <v>1164</v>
      </c>
      <c r="K174">
        <v>86</v>
      </c>
      <c r="L174" t="s">
        <v>1163</v>
      </c>
      <c r="M174">
        <f t="shared" si="7"/>
        <v>13</v>
      </c>
      <c r="N174" t="s">
        <v>1165</v>
      </c>
      <c r="O174" t="str">
        <f t="shared" si="8"/>
        <v>[{"id":2,"num":1698800},{"id":1,"num":1690000},{"id":86,"num":13}]</v>
      </c>
    </row>
    <row r="175" spans="1:15" ht="16.5" x14ac:dyDescent="0.15">
      <c r="A175" s="3">
        <f>Sheet1!A1158</f>
        <v>1718004</v>
      </c>
      <c r="B175" t="s">
        <v>1162</v>
      </c>
      <c r="C175">
        <v>2</v>
      </c>
      <c r="D175" t="s">
        <v>1163</v>
      </c>
      <c r="E175">
        <v>1698800</v>
      </c>
      <c r="F175" t="s">
        <v>1164</v>
      </c>
      <c r="G175">
        <v>1</v>
      </c>
      <c r="H175" t="s">
        <v>1163</v>
      </c>
      <c r="I175">
        <v>1690000</v>
      </c>
      <c r="J175" t="s">
        <v>1164</v>
      </c>
      <c r="K175">
        <v>86</v>
      </c>
      <c r="L175" t="s">
        <v>1163</v>
      </c>
      <c r="M175">
        <f t="shared" si="7"/>
        <v>13</v>
      </c>
      <c r="N175" t="s">
        <v>1165</v>
      </c>
      <c r="O175" t="str">
        <f t="shared" si="8"/>
        <v>[{"id":2,"num":1698800},{"id":1,"num":1690000},{"id":86,"num":13}]</v>
      </c>
    </row>
    <row r="176" spans="1:15" ht="16.5" x14ac:dyDescent="0.15">
      <c r="A176" s="3">
        <f>Sheet1!A1159</f>
        <v>1718005</v>
      </c>
      <c r="B176" t="s">
        <v>1162</v>
      </c>
      <c r="C176">
        <v>2</v>
      </c>
      <c r="D176" t="s">
        <v>1163</v>
      </c>
      <c r="E176">
        <v>1698800</v>
      </c>
      <c r="F176" t="s">
        <v>1164</v>
      </c>
      <c r="G176">
        <v>1</v>
      </c>
      <c r="H176" t="s">
        <v>1163</v>
      </c>
      <c r="I176">
        <v>1690000</v>
      </c>
      <c r="J176" t="s">
        <v>1164</v>
      </c>
      <c r="K176">
        <v>86</v>
      </c>
      <c r="L176" t="s">
        <v>1163</v>
      </c>
      <c r="M176">
        <f t="shared" si="7"/>
        <v>13</v>
      </c>
      <c r="N176" t="s">
        <v>1165</v>
      </c>
      <c r="O176" t="str">
        <f t="shared" si="8"/>
        <v>[{"id":2,"num":1698800},{"id":1,"num":1690000},{"id":86,"num":13}]</v>
      </c>
    </row>
    <row r="177" spans="1:15" ht="16.5" x14ac:dyDescent="0.15">
      <c r="A177" s="3">
        <f>Sheet1!A1160</f>
        <v>1718006</v>
      </c>
      <c r="B177" t="s">
        <v>1162</v>
      </c>
      <c r="C177">
        <v>2</v>
      </c>
      <c r="D177" t="s">
        <v>1163</v>
      </c>
      <c r="E177">
        <v>1698800</v>
      </c>
      <c r="F177" t="s">
        <v>1164</v>
      </c>
      <c r="G177">
        <v>1</v>
      </c>
      <c r="H177" t="s">
        <v>1163</v>
      </c>
      <c r="I177">
        <v>1690000</v>
      </c>
      <c r="J177" t="s">
        <v>1164</v>
      </c>
      <c r="K177">
        <v>86</v>
      </c>
      <c r="L177" t="s">
        <v>1163</v>
      </c>
      <c r="M177">
        <f t="shared" si="7"/>
        <v>13</v>
      </c>
      <c r="N177" t="s">
        <v>1165</v>
      </c>
      <c r="O177" t="str">
        <f t="shared" si="8"/>
        <v>[{"id":2,"num":1698800},{"id":1,"num":1690000},{"id":86,"num":13}]</v>
      </c>
    </row>
    <row r="178" spans="1:15" ht="16.5" x14ac:dyDescent="0.15">
      <c r="A178" s="3">
        <f>Sheet1!A1161</f>
        <v>1718007</v>
      </c>
      <c r="B178" t="s">
        <v>1162</v>
      </c>
      <c r="C178">
        <v>2</v>
      </c>
      <c r="D178" t="s">
        <v>1163</v>
      </c>
      <c r="E178">
        <v>1698800</v>
      </c>
      <c r="F178" t="s">
        <v>1164</v>
      </c>
      <c r="G178">
        <v>1</v>
      </c>
      <c r="H178" t="s">
        <v>1163</v>
      </c>
      <c r="I178">
        <v>1690000</v>
      </c>
      <c r="J178" t="s">
        <v>1164</v>
      </c>
      <c r="K178">
        <v>86</v>
      </c>
      <c r="L178" t="s">
        <v>1163</v>
      </c>
      <c r="M178">
        <f t="shared" si="7"/>
        <v>13</v>
      </c>
      <c r="N178" t="s">
        <v>1165</v>
      </c>
      <c r="O178" t="str">
        <f t="shared" si="8"/>
        <v>[{"id":2,"num":1698800},{"id":1,"num":1690000},{"id":86,"num":13}]</v>
      </c>
    </row>
    <row r="179" spans="1:15" ht="16.5" x14ac:dyDescent="0.15">
      <c r="A179" s="3">
        <f>Sheet1!A1162</f>
        <v>1718008</v>
      </c>
      <c r="B179" t="s">
        <v>1162</v>
      </c>
      <c r="C179">
        <v>2</v>
      </c>
      <c r="D179" t="s">
        <v>1163</v>
      </c>
      <c r="E179">
        <v>1698800</v>
      </c>
      <c r="F179" t="s">
        <v>1164</v>
      </c>
      <c r="G179">
        <v>1</v>
      </c>
      <c r="H179" t="s">
        <v>1163</v>
      </c>
      <c r="I179">
        <v>1690000</v>
      </c>
      <c r="J179" t="s">
        <v>1164</v>
      </c>
      <c r="K179">
        <v>86</v>
      </c>
      <c r="L179" t="s">
        <v>1163</v>
      </c>
      <c r="M179">
        <f t="shared" si="7"/>
        <v>13</v>
      </c>
      <c r="N179" t="s">
        <v>1165</v>
      </c>
      <c r="O179" t="str">
        <f t="shared" si="8"/>
        <v>[{"id":2,"num":1698800},{"id":1,"num":1690000},{"id":86,"num":13}]</v>
      </c>
    </row>
    <row r="180" spans="1:15" ht="16.5" x14ac:dyDescent="0.15">
      <c r="A180" s="3">
        <f>Sheet1!A1163</f>
        <v>1718009</v>
      </c>
      <c r="B180" t="s">
        <v>1162</v>
      </c>
      <c r="C180">
        <v>2</v>
      </c>
      <c r="D180" t="s">
        <v>1163</v>
      </c>
      <c r="E180">
        <v>1698800</v>
      </c>
      <c r="F180" t="s">
        <v>1164</v>
      </c>
      <c r="G180">
        <v>1</v>
      </c>
      <c r="H180" t="s">
        <v>1163</v>
      </c>
      <c r="I180">
        <v>1690000</v>
      </c>
      <c r="J180" t="s">
        <v>1164</v>
      </c>
      <c r="K180">
        <v>86</v>
      </c>
      <c r="L180" t="s">
        <v>1163</v>
      </c>
      <c r="M180">
        <f t="shared" si="7"/>
        <v>13</v>
      </c>
      <c r="N180" t="s">
        <v>1165</v>
      </c>
      <c r="O180" t="str">
        <f t="shared" si="8"/>
        <v>[{"id":2,"num":1698800},{"id":1,"num":1690000},{"id":86,"num":13}]</v>
      </c>
    </row>
    <row r="181" spans="1:15" ht="16.5" x14ac:dyDescent="0.15">
      <c r="A181" s="3">
        <f>Sheet1!A1164</f>
        <v>1718010</v>
      </c>
      <c r="B181" t="s">
        <v>1162</v>
      </c>
      <c r="C181">
        <v>2</v>
      </c>
      <c r="D181" t="s">
        <v>1163</v>
      </c>
      <c r="E181">
        <v>1698800</v>
      </c>
      <c r="F181" t="s">
        <v>1164</v>
      </c>
      <c r="G181">
        <v>1</v>
      </c>
      <c r="H181" t="s">
        <v>1163</v>
      </c>
      <c r="I181">
        <v>1690000</v>
      </c>
      <c r="J181" t="s">
        <v>1164</v>
      </c>
      <c r="K181">
        <v>86</v>
      </c>
      <c r="L181" t="s">
        <v>1163</v>
      </c>
      <c r="M181">
        <f t="shared" si="7"/>
        <v>13</v>
      </c>
      <c r="N181" t="s">
        <v>1165</v>
      </c>
      <c r="O181" t="str">
        <f t="shared" si="8"/>
        <v>[{"id":2,"num":1698800},{"id":1,"num":1690000},{"id":86,"num":13}]</v>
      </c>
    </row>
    <row r="182" spans="1:15" ht="16.5" x14ac:dyDescent="0.15">
      <c r="A182" s="3">
        <f>Sheet1!A1165</f>
        <v>1719001</v>
      </c>
      <c r="B182" t="s">
        <v>1162</v>
      </c>
      <c r="C182">
        <v>2</v>
      </c>
      <c r="D182" t="s">
        <v>1163</v>
      </c>
      <c r="E182">
        <v>1698800</v>
      </c>
      <c r="F182" t="s">
        <v>1164</v>
      </c>
      <c r="G182">
        <v>1</v>
      </c>
      <c r="H182" t="s">
        <v>1163</v>
      </c>
      <c r="I182">
        <v>1690000</v>
      </c>
      <c r="J182" t="s">
        <v>1164</v>
      </c>
      <c r="K182">
        <v>86</v>
      </c>
      <c r="L182" t="s">
        <v>1163</v>
      </c>
      <c r="M182">
        <f t="shared" si="7"/>
        <v>14</v>
      </c>
      <c r="N182" t="s">
        <v>1165</v>
      </c>
      <c r="O182" t="str">
        <f t="shared" si="8"/>
        <v>[{"id":2,"num":1698800},{"id":1,"num":1690000},{"id":86,"num":14}]</v>
      </c>
    </row>
    <row r="183" spans="1:15" ht="16.5" x14ac:dyDescent="0.15">
      <c r="A183" s="3">
        <f>Sheet1!A1166</f>
        <v>1719002</v>
      </c>
      <c r="B183" t="s">
        <v>1162</v>
      </c>
      <c r="C183">
        <v>2</v>
      </c>
      <c r="D183" t="s">
        <v>1163</v>
      </c>
      <c r="E183">
        <v>1698800</v>
      </c>
      <c r="F183" t="s">
        <v>1164</v>
      </c>
      <c r="G183">
        <v>1</v>
      </c>
      <c r="H183" t="s">
        <v>1163</v>
      </c>
      <c r="I183">
        <v>1690000</v>
      </c>
      <c r="J183" t="s">
        <v>1164</v>
      </c>
      <c r="K183">
        <v>86</v>
      </c>
      <c r="L183" t="s">
        <v>1163</v>
      </c>
      <c r="M183">
        <f t="shared" si="7"/>
        <v>14</v>
      </c>
      <c r="N183" t="s">
        <v>1165</v>
      </c>
      <c r="O183" t="str">
        <f t="shared" si="8"/>
        <v>[{"id":2,"num":1698800},{"id":1,"num":1690000},{"id":86,"num":14}]</v>
      </c>
    </row>
    <row r="184" spans="1:15" ht="16.5" x14ac:dyDescent="0.15">
      <c r="A184" s="3">
        <f>Sheet1!A1167</f>
        <v>1719003</v>
      </c>
      <c r="B184" t="s">
        <v>1162</v>
      </c>
      <c r="C184">
        <v>2</v>
      </c>
      <c r="D184" t="s">
        <v>1163</v>
      </c>
      <c r="E184">
        <v>1698800</v>
      </c>
      <c r="F184" t="s">
        <v>1164</v>
      </c>
      <c r="G184">
        <v>1</v>
      </c>
      <c r="H184" t="s">
        <v>1163</v>
      </c>
      <c r="I184">
        <v>1690000</v>
      </c>
      <c r="J184" t="s">
        <v>1164</v>
      </c>
      <c r="K184">
        <v>86</v>
      </c>
      <c r="L184" t="s">
        <v>1163</v>
      </c>
      <c r="M184">
        <f t="shared" si="7"/>
        <v>14</v>
      </c>
      <c r="N184" t="s">
        <v>1165</v>
      </c>
      <c r="O184" t="str">
        <f t="shared" si="8"/>
        <v>[{"id":2,"num":1698800},{"id":1,"num":1690000},{"id":86,"num":14}]</v>
      </c>
    </row>
    <row r="185" spans="1:15" ht="16.5" x14ac:dyDescent="0.15">
      <c r="A185" s="3">
        <f>Sheet1!A1168</f>
        <v>1719004</v>
      </c>
      <c r="B185" t="s">
        <v>1162</v>
      </c>
      <c r="C185">
        <v>2</v>
      </c>
      <c r="D185" t="s">
        <v>1163</v>
      </c>
      <c r="E185">
        <v>1698800</v>
      </c>
      <c r="F185" t="s">
        <v>1164</v>
      </c>
      <c r="G185">
        <v>1</v>
      </c>
      <c r="H185" t="s">
        <v>1163</v>
      </c>
      <c r="I185">
        <v>1690000</v>
      </c>
      <c r="J185" t="s">
        <v>1164</v>
      </c>
      <c r="K185">
        <v>86</v>
      </c>
      <c r="L185" t="s">
        <v>1163</v>
      </c>
      <c r="M185">
        <f t="shared" si="7"/>
        <v>14</v>
      </c>
      <c r="N185" t="s">
        <v>1165</v>
      </c>
      <c r="O185" t="str">
        <f t="shared" si="8"/>
        <v>[{"id":2,"num":1698800},{"id":1,"num":1690000},{"id":86,"num":14}]</v>
      </c>
    </row>
    <row r="186" spans="1:15" ht="16.5" x14ac:dyDescent="0.15">
      <c r="A186" s="3">
        <f>Sheet1!A1169</f>
        <v>1719005</v>
      </c>
      <c r="B186" t="s">
        <v>1162</v>
      </c>
      <c r="C186">
        <v>2</v>
      </c>
      <c r="D186" t="s">
        <v>1163</v>
      </c>
      <c r="E186">
        <v>1698800</v>
      </c>
      <c r="F186" t="s">
        <v>1164</v>
      </c>
      <c r="G186">
        <v>1</v>
      </c>
      <c r="H186" t="s">
        <v>1163</v>
      </c>
      <c r="I186">
        <v>1690000</v>
      </c>
      <c r="J186" t="s">
        <v>1164</v>
      </c>
      <c r="K186">
        <v>86</v>
      </c>
      <c r="L186" t="s">
        <v>1163</v>
      </c>
      <c r="M186">
        <f t="shared" si="7"/>
        <v>14</v>
      </c>
      <c r="N186" t="s">
        <v>1165</v>
      </c>
      <c r="O186" t="str">
        <f t="shared" si="8"/>
        <v>[{"id":2,"num":1698800},{"id":1,"num":1690000},{"id":86,"num":14}]</v>
      </c>
    </row>
    <row r="187" spans="1:15" ht="16.5" x14ac:dyDescent="0.15">
      <c r="A187" s="3">
        <f>Sheet1!A1170</f>
        <v>1719006</v>
      </c>
      <c r="B187" t="s">
        <v>1162</v>
      </c>
      <c r="C187">
        <v>2</v>
      </c>
      <c r="D187" t="s">
        <v>1163</v>
      </c>
      <c r="E187">
        <v>1698800</v>
      </c>
      <c r="F187" t="s">
        <v>1164</v>
      </c>
      <c r="G187">
        <v>1</v>
      </c>
      <c r="H187" t="s">
        <v>1163</v>
      </c>
      <c r="I187">
        <v>1690000</v>
      </c>
      <c r="J187" t="s">
        <v>1164</v>
      </c>
      <c r="K187">
        <v>86</v>
      </c>
      <c r="L187" t="s">
        <v>1163</v>
      </c>
      <c r="M187">
        <f t="shared" si="7"/>
        <v>14</v>
      </c>
      <c r="N187" t="s">
        <v>1165</v>
      </c>
      <c r="O187" t="str">
        <f t="shared" si="8"/>
        <v>[{"id":2,"num":1698800},{"id":1,"num":1690000},{"id":86,"num":14}]</v>
      </c>
    </row>
    <row r="188" spans="1:15" ht="16.5" x14ac:dyDescent="0.15">
      <c r="A188" s="3">
        <f>Sheet1!A1171</f>
        <v>1719007</v>
      </c>
      <c r="B188" t="s">
        <v>1162</v>
      </c>
      <c r="C188">
        <v>2</v>
      </c>
      <c r="D188" t="s">
        <v>1163</v>
      </c>
      <c r="E188">
        <v>1698800</v>
      </c>
      <c r="F188" t="s">
        <v>1164</v>
      </c>
      <c r="G188">
        <v>1</v>
      </c>
      <c r="H188" t="s">
        <v>1163</v>
      </c>
      <c r="I188">
        <v>1690000</v>
      </c>
      <c r="J188" t="s">
        <v>1164</v>
      </c>
      <c r="K188">
        <v>86</v>
      </c>
      <c r="L188" t="s">
        <v>1163</v>
      </c>
      <c r="M188">
        <f t="shared" si="7"/>
        <v>14</v>
      </c>
      <c r="N188" t="s">
        <v>1165</v>
      </c>
      <c r="O188" t="str">
        <f t="shared" si="8"/>
        <v>[{"id":2,"num":1698800},{"id":1,"num":1690000},{"id":86,"num":14}]</v>
      </c>
    </row>
    <row r="189" spans="1:15" ht="16.5" x14ac:dyDescent="0.15">
      <c r="A189" s="3">
        <f>Sheet1!A1172</f>
        <v>1719008</v>
      </c>
      <c r="B189" t="s">
        <v>1162</v>
      </c>
      <c r="C189">
        <v>2</v>
      </c>
      <c r="D189" t="s">
        <v>1163</v>
      </c>
      <c r="E189">
        <v>1698800</v>
      </c>
      <c r="F189" t="s">
        <v>1164</v>
      </c>
      <c r="G189">
        <v>1</v>
      </c>
      <c r="H189" t="s">
        <v>1163</v>
      </c>
      <c r="I189">
        <v>1690000</v>
      </c>
      <c r="J189" t="s">
        <v>1164</v>
      </c>
      <c r="K189">
        <v>86</v>
      </c>
      <c r="L189" t="s">
        <v>1163</v>
      </c>
      <c r="M189">
        <f t="shared" si="7"/>
        <v>14</v>
      </c>
      <c r="N189" t="s">
        <v>1165</v>
      </c>
      <c r="O189" t="str">
        <f t="shared" si="8"/>
        <v>[{"id":2,"num":1698800},{"id":1,"num":1690000},{"id":86,"num":14}]</v>
      </c>
    </row>
    <row r="190" spans="1:15" ht="16.5" x14ac:dyDescent="0.15">
      <c r="A190" s="3">
        <f>Sheet1!A1173</f>
        <v>1719009</v>
      </c>
      <c r="B190" t="s">
        <v>1162</v>
      </c>
      <c r="C190">
        <v>2</v>
      </c>
      <c r="D190" t="s">
        <v>1163</v>
      </c>
      <c r="E190">
        <v>1698800</v>
      </c>
      <c r="F190" t="s">
        <v>1164</v>
      </c>
      <c r="G190">
        <v>1</v>
      </c>
      <c r="H190" t="s">
        <v>1163</v>
      </c>
      <c r="I190">
        <v>1690000</v>
      </c>
      <c r="J190" t="s">
        <v>1164</v>
      </c>
      <c r="K190">
        <v>86</v>
      </c>
      <c r="L190" t="s">
        <v>1163</v>
      </c>
      <c r="M190">
        <f t="shared" si="7"/>
        <v>14</v>
      </c>
      <c r="N190" t="s">
        <v>1165</v>
      </c>
      <c r="O190" t="str">
        <f t="shared" si="8"/>
        <v>[{"id":2,"num":1698800},{"id":1,"num":1690000},{"id":86,"num":14}]</v>
      </c>
    </row>
    <row r="191" spans="1:15" ht="16.5" x14ac:dyDescent="0.15">
      <c r="A191" s="3">
        <f>Sheet1!A1174</f>
        <v>1719010</v>
      </c>
      <c r="B191" t="s">
        <v>1162</v>
      </c>
      <c r="C191">
        <v>2</v>
      </c>
      <c r="D191" t="s">
        <v>1163</v>
      </c>
      <c r="E191">
        <v>1698800</v>
      </c>
      <c r="F191" t="s">
        <v>1164</v>
      </c>
      <c r="G191">
        <v>1</v>
      </c>
      <c r="H191" t="s">
        <v>1163</v>
      </c>
      <c r="I191">
        <v>1690000</v>
      </c>
      <c r="J191" t="s">
        <v>1164</v>
      </c>
      <c r="K191">
        <v>86</v>
      </c>
      <c r="L191" t="s">
        <v>1163</v>
      </c>
      <c r="M191">
        <f t="shared" si="7"/>
        <v>14</v>
      </c>
      <c r="N191" t="s">
        <v>1165</v>
      </c>
      <c r="O191" t="str">
        <f t="shared" si="8"/>
        <v>[{"id":2,"num":1698800},{"id":1,"num":1690000},{"id":86,"num":14}]</v>
      </c>
    </row>
    <row r="192" spans="1:15" ht="16.5" x14ac:dyDescent="0.15">
      <c r="A192" s="3">
        <f>Sheet1!A1175</f>
        <v>1720001</v>
      </c>
      <c r="B192" t="s">
        <v>1162</v>
      </c>
      <c r="C192">
        <v>2</v>
      </c>
      <c r="D192" t="s">
        <v>1163</v>
      </c>
      <c r="E192">
        <v>1698800</v>
      </c>
      <c r="F192" t="s">
        <v>1164</v>
      </c>
      <c r="G192">
        <v>1</v>
      </c>
      <c r="H192" t="s">
        <v>1163</v>
      </c>
      <c r="I192">
        <v>1690000</v>
      </c>
      <c r="J192" t="s">
        <v>1164</v>
      </c>
      <c r="K192">
        <v>86</v>
      </c>
      <c r="L192" t="s">
        <v>1163</v>
      </c>
      <c r="M192">
        <f t="shared" si="7"/>
        <v>15</v>
      </c>
      <c r="N192" t="s">
        <v>1165</v>
      </c>
      <c r="O192" t="str">
        <f t="shared" si="8"/>
        <v>[{"id":2,"num":1698800},{"id":1,"num":1690000},{"id":86,"num":15}]</v>
      </c>
    </row>
    <row r="193" spans="1:15" ht="16.5" x14ac:dyDescent="0.15">
      <c r="A193" s="3">
        <f>Sheet1!A1176</f>
        <v>1720002</v>
      </c>
      <c r="B193" t="s">
        <v>1162</v>
      </c>
      <c r="C193">
        <v>2</v>
      </c>
      <c r="D193" t="s">
        <v>1163</v>
      </c>
      <c r="E193">
        <v>1698800</v>
      </c>
      <c r="F193" t="s">
        <v>1164</v>
      </c>
      <c r="G193">
        <v>1</v>
      </c>
      <c r="H193" t="s">
        <v>1163</v>
      </c>
      <c r="I193">
        <v>1690000</v>
      </c>
      <c r="J193" t="s">
        <v>1164</v>
      </c>
      <c r="K193">
        <v>86</v>
      </c>
      <c r="L193" t="s">
        <v>1163</v>
      </c>
      <c r="M193">
        <f t="shared" si="7"/>
        <v>15</v>
      </c>
      <c r="N193" t="s">
        <v>1165</v>
      </c>
      <c r="O193" t="str">
        <f t="shared" si="8"/>
        <v>[{"id":2,"num":1698800},{"id":1,"num":1690000},{"id":86,"num":15}]</v>
      </c>
    </row>
    <row r="194" spans="1:15" ht="16.5" x14ac:dyDescent="0.15">
      <c r="A194" s="3">
        <f>Sheet1!A1177</f>
        <v>1720003</v>
      </c>
      <c r="B194" t="s">
        <v>1162</v>
      </c>
      <c r="C194">
        <v>2</v>
      </c>
      <c r="D194" t="s">
        <v>1163</v>
      </c>
      <c r="E194">
        <v>1698800</v>
      </c>
      <c r="F194" t="s">
        <v>1164</v>
      </c>
      <c r="G194">
        <v>1</v>
      </c>
      <c r="H194" t="s">
        <v>1163</v>
      </c>
      <c r="I194">
        <v>1690000</v>
      </c>
      <c r="J194" t="s">
        <v>1164</v>
      </c>
      <c r="K194">
        <v>86</v>
      </c>
      <c r="L194" t="s">
        <v>1163</v>
      </c>
      <c r="M194">
        <f t="shared" si="7"/>
        <v>15</v>
      </c>
      <c r="N194" t="s">
        <v>1165</v>
      </c>
      <c r="O194" t="str">
        <f t="shared" si="8"/>
        <v>[{"id":2,"num":1698800},{"id":1,"num":1690000},{"id":86,"num":15}]</v>
      </c>
    </row>
    <row r="195" spans="1:15" ht="16.5" x14ac:dyDescent="0.15">
      <c r="A195" s="3">
        <f>Sheet1!A1178</f>
        <v>1720004</v>
      </c>
      <c r="B195" t="s">
        <v>1162</v>
      </c>
      <c r="C195">
        <v>2</v>
      </c>
      <c r="D195" t="s">
        <v>1163</v>
      </c>
      <c r="E195">
        <v>1698800</v>
      </c>
      <c r="F195" t="s">
        <v>1164</v>
      </c>
      <c r="G195">
        <v>1</v>
      </c>
      <c r="H195" t="s">
        <v>1163</v>
      </c>
      <c r="I195">
        <v>1690000</v>
      </c>
      <c r="J195" t="s">
        <v>1164</v>
      </c>
      <c r="K195">
        <v>86</v>
      </c>
      <c r="L195" t="s">
        <v>1163</v>
      </c>
      <c r="M195">
        <f t="shared" si="7"/>
        <v>15</v>
      </c>
      <c r="N195" t="s">
        <v>1165</v>
      </c>
      <c r="O195" t="str">
        <f t="shared" si="8"/>
        <v>[{"id":2,"num":1698800},{"id":1,"num":1690000},{"id":86,"num":15}]</v>
      </c>
    </row>
    <row r="196" spans="1:15" ht="16.5" x14ac:dyDescent="0.15">
      <c r="A196" s="3">
        <f>Sheet1!A1179</f>
        <v>1720005</v>
      </c>
      <c r="B196" t="s">
        <v>1162</v>
      </c>
      <c r="C196">
        <v>2</v>
      </c>
      <c r="D196" t="s">
        <v>1163</v>
      </c>
      <c r="E196">
        <v>1698800</v>
      </c>
      <c r="F196" t="s">
        <v>1164</v>
      </c>
      <c r="G196">
        <v>1</v>
      </c>
      <c r="H196" t="s">
        <v>1163</v>
      </c>
      <c r="I196">
        <v>1690000</v>
      </c>
      <c r="J196" t="s">
        <v>1164</v>
      </c>
      <c r="K196">
        <v>86</v>
      </c>
      <c r="L196" t="s">
        <v>1163</v>
      </c>
      <c r="M196">
        <f t="shared" si="7"/>
        <v>15</v>
      </c>
      <c r="N196" t="s">
        <v>1165</v>
      </c>
      <c r="O196" t="str">
        <f t="shared" si="8"/>
        <v>[{"id":2,"num":1698800},{"id":1,"num":1690000},{"id":86,"num":15}]</v>
      </c>
    </row>
    <row r="197" spans="1:15" ht="16.5" x14ac:dyDescent="0.15">
      <c r="A197" s="3">
        <f>Sheet1!A1180</f>
        <v>1720006</v>
      </c>
      <c r="B197" t="s">
        <v>1162</v>
      </c>
      <c r="C197">
        <v>2</v>
      </c>
      <c r="D197" t="s">
        <v>1163</v>
      </c>
      <c r="E197">
        <v>1698800</v>
      </c>
      <c r="F197" t="s">
        <v>1164</v>
      </c>
      <c r="G197">
        <v>1</v>
      </c>
      <c r="H197" t="s">
        <v>1163</v>
      </c>
      <c r="I197">
        <v>1690000</v>
      </c>
      <c r="J197" t="s">
        <v>1164</v>
      </c>
      <c r="K197">
        <v>86</v>
      </c>
      <c r="L197" t="s">
        <v>1163</v>
      </c>
      <c r="M197">
        <f t="shared" si="7"/>
        <v>15</v>
      </c>
      <c r="N197" t="s">
        <v>1165</v>
      </c>
      <c r="O197" t="str">
        <f t="shared" si="8"/>
        <v>[{"id":2,"num":1698800},{"id":1,"num":1690000},{"id":86,"num":15}]</v>
      </c>
    </row>
    <row r="198" spans="1:15" ht="16.5" x14ac:dyDescent="0.15">
      <c r="A198" s="3">
        <f>Sheet1!A1181</f>
        <v>1720007</v>
      </c>
      <c r="B198" t="s">
        <v>1162</v>
      </c>
      <c r="C198">
        <v>2</v>
      </c>
      <c r="D198" t="s">
        <v>1163</v>
      </c>
      <c r="E198">
        <v>1698800</v>
      </c>
      <c r="F198" t="s">
        <v>1164</v>
      </c>
      <c r="G198">
        <v>1</v>
      </c>
      <c r="H198" t="s">
        <v>1163</v>
      </c>
      <c r="I198">
        <v>1690000</v>
      </c>
      <c r="J198" t="s">
        <v>1164</v>
      </c>
      <c r="K198">
        <v>86</v>
      </c>
      <c r="L198" t="s">
        <v>1163</v>
      </c>
      <c r="M198">
        <f t="shared" si="7"/>
        <v>15</v>
      </c>
      <c r="N198" t="s">
        <v>1165</v>
      </c>
      <c r="O198" t="str">
        <f t="shared" si="8"/>
        <v>[{"id":2,"num":1698800},{"id":1,"num":1690000},{"id":86,"num":15}]</v>
      </c>
    </row>
    <row r="199" spans="1:15" ht="16.5" x14ac:dyDescent="0.15">
      <c r="A199" s="3">
        <f>Sheet1!A1182</f>
        <v>1720008</v>
      </c>
      <c r="B199" t="s">
        <v>1162</v>
      </c>
      <c r="C199">
        <v>2</v>
      </c>
      <c r="D199" t="s">
        <v>1163</v>
      </c>
      <c r="E199">
        <v>1698800</v>
      </c>
      <c r="F199" t="s">
        <v>1164</v>
      </c>
      <c r="G199">
        <v>1</v>
      </c>
      <c r="H199" t="s">
        <v>1163</v>
      </c>
      <c r="I199">
        <v>1690000</v>
      </c>
      <c r="J199" t="s">
        <v>1164</v>
      </c>
      <c r="K199">
        <v>86</v>
      </c>
      <c r="L199" t="s">
        <v>1163</v>
      </c>
      <c r="M199">
        <f t="shared" si="7"/>
        <v>15</v>
      </c>
      <c r="N199" t="s">
        <v>1165</v>
      </c>
      <c r="O199" t="str">
        <f t="shared" si="8"/>
        <v>[{"id":2,"num":1698800},{"id":1,"num":1690000},{"id":86,"num":15}]</v>
      </c>
    </row>
    <row r="200" spans="1:15" ht="16.5" x14ac:dyDescent="0.15">
      <c r="A200" s="3">
        <f>Sheet1!A1183</f>
        <v>1720009</v>
      </c>
      <c r="B200" t="s">
        <v>1162</v>
      </c>
      <c r="C200">
        <v>2</v>
      </c>
      <c r="D200" t="s">
        <v>1163</v>
      </c>
      <c r="E200">
        <v>1698800</v>
      </c>
      <c r="F200" t="s">
        <v>1164</v>
      </c>
      <c r="G200">
        <v>1</v>
      </c>
      <c r="H200" t="s">
        <v>1163</v>
      </c>
      <c r="I200">
        <v>1690000</v>
      </c>
      <c r="J200" t="s">
        <v>1164</v>
      </c>
      <c r="K200">
        <v>86</v>
      </c>
      <c r="L200" t="s">
        <v>1163</v>
      </c>
      <c r="M200">
        <f t="shared" si="7"/>
        <v>15</v>
      </c>
      <c r="N200" t="s">
        <v>1165</v>
      </c>
      <c r="O200" t="str">
        <f t="shared" si="8"/>
        <v>[{"id":2,"num":1698800},{"id":1,"num":1690000},{"id":86,"num":15}]</v>
      </c>
    </row>
    <row r="201" spans="1:15" ht="16.5" x14ac:dyDescent="0.15">
      <c r="A201" s="3">
        <f>Sheet1!A1184</f>
        <v>1720010</v>
      </c>
      <c r="B201" t="s">
        <v>1162</v>
      </c>
      <c r="C201">
        <v>2</v>
      </c>
      <c r="D201" t="s">
        <v>1163</v>
      </c>
      <c r="E201">
        <v>1698800</v>
      </c>
      <c r="F201" t="s">
        <v>1164</v>
      </c>
      <c r="G201">
        <v>1</v>
      </c>
      <c r="H201" t="s">
        <v>1163</v>
      </c>
      <c r="I201">
        <v>1690000</v>
      </c>
      <c r="J201" t="s">
        <v>1164</v>
      </c>
      <c r="K201">
        <v>86</v>
      </c>
      <c r="L201" t="s">
        <v>1163</v>
      </c>
      <c r="M201">
        <f t="shared" si="7"/>
        <v>15</v>
      </c>
      <c r="N201" t="s">
        <v>1165</v>
      </c>
      <c r="O201" t="str">
        <f t="shared" si="8"/>
        <v>[{"id":2,"num":1698800},{"id":1,"num":1690000},{"id":86,"num":15}]</v>
      </c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4"/>
  <sheetViews>
    <sheetView workbookViewId="0">
      <selection activeCell="B44" sqref="B44"/>
    </sheetView>
  </sheetViews>
  <sheetFormatPr defaultColWidth="9" defaultRowHeight="13.5" x14ac:dyDescent="0.15"/>
  <cols>
    <col min="1" max="1" width="8.5" customWidth="1"/>
    <col min="2" max="2" width="184.875" customWidth="1"/>
    <col min="3" max="3" width="8.5" customWidth="1"/>
    <col min="4" max="4" width="4.5" customWidth="1"/>
    <col min="5" max="5" width="8.5" customWidth="1"/>
    <col min="6" max="6" width="2.5" customWidth="1"/>
    <col min="7" max="7" width="37.125" customWidth="1"/>
    <col min="8" max="8" width="4.5" customWidth="1"/>
    <col min="9" max="9" width="9.5" customWidth="1"/>
    <col min="10" max="10" width="2.5" customWidth="1"/>
    <col min="11" max="11" width="37.125" customWidth="1"/>
    <col min="12" max="12" width="4.5" customWidth="1"/>
    <col min="13" max="13" width="9.5" customWidth="1"/>
    <col min="14" max="14" width="2.5" customWidth="1"/>
    <col min="15" max="15" width="37.125" customWidth="1"/>
    <col min="16" max="16" width="4.5" customWidth="1"/>
    <col min="17" max="17" width="9.5" customWidth="1"/>
    <col min="18" max="18" width="2.5" customWidth="1"/>
    <col min="19" max="19" width="29.375" customWidth="1"/>
  </cols>
  <sheetData>
    <row r="1" spans="1:19" x14ac:dyDescent="0.15">
      <c r="A1">
        <v>1408020</v>
      </c>
      <c r="B1" t="s">
        <v>1166</v>
      </c>
    </row>
    <row r="2" spans="1:19" x14ac:dyDescent="0.15">
      <c r="A2">
        <v>1408021</v>
      </c>
      <c r="B2" t="s">
        <v>1167</v>
      </c>
    </row>
    <row r="3" spans="1:19" x14ac:dyDescent="0.15">
      <c r="A3">
        <v>1408022</v>
      </c>
      <c r="B3" t="s">
        <v>1168</v>
      </c>
    </row>
    <row r="4" spans="1:19" x14ac:dyDescent="0.15">
      <c r="A4">
        <v>1408023</v>
      </c>
      <c r="B4" t="s">
        <v>1169</v>
      </c>
    </row>
    <row r="5" spans="1:19" x14ac:dyDescent="0.15">
      <c r="A5">
        <v>1408024</v>
      </c>
      <c r="B5" t="s">
        <v>1170</v>
      </c>
    </row>
    <row r="6" spans="1:19" x14ac:dyDescent="0.15">
      <c r="A6">
        <v>1408025</v>
      </c>
      <c r="B6" t="s">
        <v>1171</v>
      </c>
    </row>
    <row r="7" spans="1:19" x14ac:dyDescent="0.15">
      <c r="A7">
        <v>1408026</v>
      </c>
      <c r="B7" t="s">
        <v>1172</v>
      </c>
    </row>
    <row r="8" spans="1:19" x14ac:dyDescent="0.15">
      <c r="A8">
        <v>1408027</v>
      </c>
      <c r="B8" t="s">
        <v>1173</v>
      </c>
    </row>
    <row r="9" spans="1:19" x14ac:dyDescent="0.15">
      <c r="A9">
        <v>1408028</v>
      </c>
      <c r="B9" t="s">
        <v>1174</v>
      </c>
    </row>
    <row r="10" spans="1:19" x14ac:dyDescent="0.15">
      <c r="A10">
        <v>1408029</v>
      </c>
      <c r="B10" t="s">
        <v>1175</v>
      </c>
    </row>
    <row r="11" spans="1:19" x14ac:dyDescent="0.15">
      <c r="A11">
        <v>1408030</v>
      </c>
      <c r="B11" t="s">
        <v>1176</v>
      </c>
    </row>
    <row r="14" spans="1:19" x14ac:dyDescent="0.15">
      <c r="A14">
        <v>1408020</v>
      </c>
      <c r="B14" t="str">
        <f>CONCATENATE(C14,D14,E14,F14,G14,H14,I14,J14,K14,L14,M14,N14,O14,P14,Q14,R14,S14)</f>
        <v>[{"id":30,"num":6,"point":{"x":15,"y":35}}, {"id":30, "num":6,"point":{"x":26,"y":39}}, {"id":30, "num":5,"point":{"x":36,"y":37}}, {"id":60, "num":1,"point":{"x":25,"y":42}}]</v>
      </c>
      <c r="C14" t="s">
        <v>1162</v>
      </c>
      <c r="D14">
        <v>30</v>
      </c>
      <c r="E14" t="s">
        <v>1163</v>
      </c>
      <c r="F14">
        <v>6</v>
      </c>
      <c r="G14" s="1" t="s">
        <v>1177</v>
      </c>
      <c r="H14">
        <v>30</v>
      </c>
      <c r="I14" t="s">
        <v>1178</v>
      </c>
      <c r="J14">
        <v>6</v>
      </c>
      <c r="K14" t="s">
        <v>1179</v>
      </c>
      <c r="L14">
        <v>30</v>
      </c>
      <c r="M14" t="s">
        <v>1178</v>
      </c>
      <c r="N14">
        <v>5</v>
      </c>
      <c r="O14" t="s">
        <v>1180</v>
      </c>
      <c r="P14">
        <v>60</v>
      </c>
      <c r="Q14" t="s">
        <v>1178</v>
      </c>
      <c r="R14">
        <v>1</v>
      </c>
      <c r="S14" t="s">
        <v>1181</v>
      </c>
    </row>
    <row r="15" spans="1:19" x14ac:dyDescent="0.15">
      <c r="A15">
        <v>1408021</v>
      </c>
      <c r="B15" t="str">
        <f t="shared" ref="B15:B74" si="0">CONCATENATE(C15,D15,E15,F15,G15,H15,I15,J15,K15,L15,M15,N15,O15,P15,Q15,R15,S15)</f>
        <v>[{"id":201,"num":2,"point":{"x":24,"y":37}}, {"id":201, "num":2,"point":{"x":15,"y":35}}, {"id":231, "num":3,"point":{"x":33,"y":33}}]</v>
      </c>
      <c r="C15" t="s">
        <v>1162</v>
      </c>
      <c r="D15">
        <v>201</v>
      </c>
      <c r="E15" t="s">
        <v>1163</v>
      </c>
      <c r="F15">
        <v>2</v>
      </c>
      <c r="G15" t="s">
        <v>1182</v>
      </c>
      <c r="H15">
        <f>D15</f>
        <v>201</v>
      </c>
      <c r="I15" t="s">
        <v>1178</v>
      </c>
      <c r="J15">
        <v>2</v>
      </c>
      <c r="K15" t="s">
        <v>1177</v>
      </c>
      <c r="L15">
        <v>231</v>
      </c>
      <c r="M15" t="s">
        <v>1178</v>
      </c>
      <c r="N15">
        <v>3</v>
      </c>
      <c r="O15" t="s">
        <v>1183</v>
      </c>
    </row>
    <row r="16" spans="1:19" x14ac:dyDescent="0.15">
      <c r="A16">
        <v>1408022</v>
      </c>
      <c r="B16" t="str">
        <f t="shared" si="0"/>
        <v>[{"id":201,"num":3,"point":{"x":24,"y":37}}, {"id":201, "num":2,"point":{"x":15,"y":35}}, {"id":231, "num":3,"point":{"x":33,"y":33}}]</v>
      </c>
      <c r="C16" t="s">
        <v>1162</v>
      </c>
      <c r="D16">
        <v>201</v>
      </c>
      <c r="E16" t="s">
        <v>1163</v>
      </c>
      <c r="F16">
        <v>3</v>
      </c>
      <c r="G16" t="s">
        <v>1182</v>
      </c>
      <c r="H16">
        <f t="shared" ref="H16:H47" si="1">D16</f>
        <v>201</v>
      </c>
      <c r="I16" t="s">
        <v>1178</v>
      </c>
      <c r="J16">
        <v>2</v>
      </c>
      <c r="K16" t="s">
        <v>1177</v>
      </c>
      <c r="L16">
        <v>231</v>
      </c>
      <c r="M16" t="s">
        <v>1178</v>
      </c>
      <c r="N16">
        <v>3</v>
      </c>
      <c r="O16" t="s">
        <v>1183</v>
      </c>
    </row>
    <row r="17" spans="1:19" x14ac:dyDescent="0.15">
      <c r="A17">
        <v>1408023</v>
      </c>
      <c r="B17" t="str">
        <f t="shared" si="0"/>
        <v>[{"id":202,"num":3,"point":{"x":16,"y":38}}, {"id":202, "num":3,"point":{"x":35,"y":35}}, {"id":231, "num":4,"point":{"x":23,"y":12}}]</v>
      </c>
      <c r="C17" t="s">
        <v>1162</v>
      </c>
      <c r="D17">
        <v>202</v>
      </c>
      <c r="E17" t="s">
        <v>1163</v>
      </c>
      <c r="F17">
        <v>3</v>
      </c>
      <c r="G17" t="s">
        <v>1184</v>
      </c>
      <c r="H17">
        <f t="shared" si="1"/>
        <v>202</v>
      </c>
      <c r="I17" t="s">
        <v>1178</v>
      </c>
      <c r="J17">
        <v>3</v>
      </c>
      <c r="K17" t="s">
        <v>1185</v>
      </c>
      <c r="L17">
        <v>231</v>
      </c>
      <c r="M17" t="s">
        <v>1178</v>
      </c>
      <c r="N17">
        <v>4</v>
      </c>
      <c r="O17" t="s">
        <v>1186</v>
      </c>
    </row>
    <row r="18" spans="1:19" x14ac:dyDescent="0.15">
      <c r="A18">
        <v>1408024</v>
      </c>
      <c r="B18" t="str">
        <f t="shared" si="0"/>
        <v>[{"id":202,"num":4,"point":{"x":16,"y":38}}, {"id":202, "num":3,"point":{"x":35,"y":35}}, {"id":231, "num":4,"point":{"x":23,"y":12}}]</v>
      </c>
      <c r="C18" t="s">
        <v>1162</v>
      </c>
      <c r="D18">
        <v>202</v>
      </c>
      <c r="E18" t="s">
        <v>1163</v>
      </c>
      <c r="F18">
        <v>4</v>
      </c>
      <c r="G18" t="s">
        <v>1184</v>
      </c>
      <c r="H18">
        <f t="shared" si="1"/>
        <v>202</v>
      </c>
      <c r="I18" t="s">
        <v>1178</v>
      </c>
      <c r="J18">
        <v>3</v>
      </c>
      <c r="K18" t="s">
        <v>1185</v>
      </c>
      <c r="L18">
        <v>231</v>
      </c>
      <c r="M18" t="s">
        <v>1178</v>
      </c>
      <c r="N18">
        <v>4</v>
      </c>
      <c r="O18" t="s">
        <v>1186</v>
      </c>
    </row>
    <row r="19" spans="1:19" x14ac:dyDescent="0.15">
      <c r="A19">
        <v>1408025</v>
      </c>
      <c r="B19" t="str">
        <f t="shared" si="0"/>
        <v>[{"id":203,"num":4,"point":{"x":16,"y":20}}, {"id":203, "num":4,"point":{"x":25,"y":37}}, {"id":231, "num":5,"point":{"x":33,"y":16}}]</v>
      </c>
      <c r="C19" t="s">
        <v>1162</v>
      </c>
      <c r="D19">
        <v>203</v>
      </c>
      <c r="E19" t="s">
        <v>1163</v>
      </c>
      <c r="F19">
        <v>4</v>
      </c>
      <c r="G19" t="s">
        <v>1187</v>
      </c>
      <c r="H19">
        <f t="shared" si="1"/>
        <v>203</v>
      </c>
      <c r="I19" t="s">
        <v>1178</v>
      </c>
      <c r="J19">
        <v>4</v>
      </c>
      <c r="K19" t="s">
        <v>1188</v>
      </c>
      <c r="L19">
        <v>231</v>
      </c>
      <c r="M19" t="s">
        <v>1178</v>
      </c>
      <c r="N19">
        <v>5</v>
      </c>
      <c r="O19" t="s">
        <v>1189</v>
      </c>
    </row>
    <row r="20" spans="1:19" x14ac:dyDescent="0.15">
      <c r="A20">
        <v>1408026</v>
      </c>
      <c r="B20" t="str">
        <f t="shared" si="0"/>
        <v>[{"id":203,"num":5,"point":{"x":16,"y":20}}, {"id":203, "num":4,"point":{"x":25,"y":37}}, {"id":231, "num":5,"point":{"x":33,"y":16}}]</v>
      </c>
      <c r="C20" t="s">
        <v>1162</v>
      </c>
      <c r="D20">
        <v>203</v>
      </c>
      <c r="E20" t="s">
        <v>1163</v>
      </c>
      <c r="F20">
        <v>5</v>
      </c>
      <c r="G20" t="s">
        <v>1187</v>
      </c>
      <c r="H20">
        <f t="shared" si="1"/>
        <v>203</v>
      </c>
      <c r="I20" t="s">
        <v>1178</v>
      </c>
      <c r="J20">
        <v>4</v>
      </c>
      <c r="K20" t="s">
        <v>1188</v>
      </c>
      <c r="L20">
        <v>231</v>
      </c>
      <c r="M20" t="s">
        <v>1178</v>
      </c>
      <c r="N20">
        <v>5</v>
      </c>
      <c r="O20" t="s">
        <v>1189</v>
      </c>
    </row>
    <row r="21" spans="1:19" x14ac:dyDescent="0.15">
      <c r="A21">
        <v>1408027</v>
      </c>
      <c r="B21" t="str">
        <f t="shared" si="0"/>
        <v>[{"id":204,"num":5,"point":{"x":25,"y":35}}, {"id":204, "num":5,"point":{"x":33,"y":33}}, {"id":231, "num":5,"point":{"x":20,"y":18}}]</v>
      </c>
      <c r="C21" t="s">
        <v>1162</v>
      </c>
      <c r="D21">
        <v>204</v>
      </c>
      <c r="E21" t="s">
        <v>1163</v>
      </c>
      <c r="F21">
        <v>5</v>
      </c>
      <c r="G21" t="s">
        <v>1190</v>
      </c>
      <c r="H21">
        <f t="shared" si="1"/>
        <v>204</v>
      </c>
      <c r="I21" t="s">
        <v>1178</v>
      </c>
      <c r="J21">
        <v>5</v>
      </c>
      <c r="K21" t="s">
        <v>1191</v>
      </c>
      <c r="L21">
        <v>231</v>
      </c>
      <c r="M21" t="s">
        <v>1178</v>
      </c>
      <c r="N21">
        <v>5</v>
      </c>
      <c r="O21" t="s">
        <v>1192</v>
      </c>
    </row>
    <row r="22" spans="1:19" x14ac:dyDescent="0.15">
      <c r="A22">
        <v>1408028</v>
      </c>
      <c r="B22" t="str">
        <f t="shared" si="0"/>
        <v>[{"id":204,"num":6,"point":{"x":25,"y":35}}, {"id":204, "num":5,"point":{"x":33,"y":33}}, {"id":231, "num":6,"point":{"x":20,"y":18}}]</v>
      </c>
      <c r="C22" t="s">
        <v>1162</v>
      </c>
      <c r="D22">
        <v>204</v>
      </c>
      <c r="E22" t="s">
        <v>1163</v>
      </c>
      <c r="F22">
        <v>6</v>
      </c>
      <c r="G22" t="s">
        <v>1190</v>
      </c>
      <c r="H22">
        <f t="shared" si="1"/>
        <v>204</v>
      </c>
      <c r="I22" t="s">
        <v>1178</v>
      </c>
      <c r="J22">
        <v>5</v>
      </c>
      <c r="K22" t="s">
        <v>1191</v>
      </c>
      <c r="L22">
        <v>231</v>
      </c>
      <c r="M22" t="s">
        <v>1178</v>
      </c>
      <c r="N22">
        <v>6</v>
      </c>
      <c r="O22" t="s">
        <v>1192</v>
      </c>
    </row>
    <row r="23" spans="1:19" x14ac:dyDescent="0.15">
      <c r="A23">
        <v>1408029</v>
      </c>
      <c r="B23" t="str">
        <f t="shared" si="0"/>
        <v>[{"id":205,"num":6,"point":{"x":15,"y":35}}, {"id":205, "num":6,"point":{"x":26,"y":39}}, {"id":231, "num":6,"point":{"x":36,"y":37}}]</v>
      </c>
      <c r="C23" t="s">
        <v>1162</v>
      </c>
      <c r="D23">
        <v>205</v>
      </c>
      <c r="E23" t="s">
        <v>1163</v>
      </c>
      <c r="F23">
        <v>6</v>
      </c>
      <c r="G23" t="s">
        <v>1177</v>
      </c>
      <c r="H23">
        <f t="shared" si="1"/>
        <v>205</v>
      </c>
      <c r="I23" t="s">
        <v>1178</v>
      </c>
      <c r="J23">
        <v>6</v>
      </c>
      <c r="K23" t="s">
        <v>1179</v>
      </c>
      <c r="L23">
        <v>231</v>
      </c>
      <c r="M23" t="s">
        <v>1178</v>
      </c>
      <c r="N23">
        <v>6</v>
      </c>
      <c r="O23" t="s">
        <v>1193</v>
      </c>
    </row>
    <row r="24" spans="1:19" s="1" customFormat="1" x14ac:dyDescent="0.15">
      <c r="A24" s="1">
        <v>1408030</v>
      </c>
      <c r="B24" s="1" t="str">
        <f t="shared" si="0"/>
        <v>[{"id":206,"num":6,"point":{"x":15,"y":35}}, {"id":206, "num":6,"point":{"x":26,"y":39}}, {"id":231, "num":7,"point":{"x":36,"y":37}}, {"id":261, "num":1,"point":{"x":25,"y":42}}]</v>
      </c>
      <c r="C24" s="1" t="s">
        <v>1162</v>
      </c>
      <c r="D24" s="1">
        <v>206</v>
      </c>
      <c r="E24" s="1" t="s">
        <v>1163</v>
      </c>
      <c r="F24" s="1">
        <v>6</v>
      </c>
      <c r="G24" s="1" t="s">
        <v>1177</v>
      </c>
      <c r="H24">
        <f t="shared" si="1"/>
        <v>206</v>
      </c>
      <c r="I24" s="1" t="s">
        <v>1178</v>
      </c>
      <c r="J24" s="1">
        <v>6</v>
      </c>
      <c r="K24" s="1" t="s">
        <v>1179</v>
      </c>
      <c r="L24" s="1">
        <v>231</v>
      </c>
      <c r="M24" s="1" t="s">
        <v>1178</v>
      </c>
      <c r="N24" s="1">
        <v>7</v>
      </c>
      <c r="O24" s="1" t="s">
        <v>1180</v>
      </c>
      <c r="P24" s="1">
        <v>261</v>
      </c>
      <c r="Q24" s="1" t="s">
        <v>1178</v>
      </c>
      <c r="R24" s="1">
        <f>IF(R14=0,"",R14)</f>
        <v>1</v>
      </c>
      <c r="S24" s="1" t="s">
        <v>1181</v>
      </c>
    </row>
    <row r="25" spans="1:19" x14ac:dyDescent="0.15">
      <c r="A25">
        <v>1408031</v>
      </c>
      <c r="B25" t="str">
        <f t="shared" si="0"/>
        <v>[{"id":204,"num":2,"point":{"x":24,"y":37}}, {"id":204, "num":2,"point":{"x":15,"y":35}}, {"id":232, "num":3,"point":{"x":33,"y":33}}]</v>
      </c>
      <c r="C25" t="s">
        <v>1162</v>
      </c>
      <c r="D25">
        <v>204</v>
      </c>
      <c r="E25" t="s">
        <v>1163</v>
      </c>
      <c r="F25">
        <f>F15</f>
        <v>2</v>
      </c>
      <c r="G25" t="str">
        <f>G15</f>
        <v>,"point":{"x":24,"y":37}}, {"id":</v>
      </c>
      <c r="H25">
        <f t="shared" si="1"/>
        <v>204</v>
      </c>
      <c r="I25" t="s">
        <v>1178</v>
      </c>
      <c r="J25">
        <f>J15</f>
        <v>2</v>
      </c>
      <c r="K25" t="str">
        <f>K15</f>
        <v>,"point":{"x":15,"y":35}}, {"id":</v>
      </c>
      <c r="L25">
        <f>L15+1</f>
        <v>232</v>
      </c>
      <c r="M25" t="s">
        <v>1178</v>
      </c>
      <c r="N25">
        <f>N15</f>
        <v>3</v>
      </c>
      <c r="O25" t="str">
        <f>O15</f>
        <v>,"point":{"x":33,"y":33}}]</v>
      </c>
      <c r="P25" t="str">
        <f>IF(P15=0,"",P15)</f>
        <v/>
      </c>
      <c r="Q25" t="str">
        <f>IF(Q15=0,"",Q15)</f>
        <v/>
      </c>
      <c r="R25" t="str">
        <f>IF(R15=0,"",R15)</f>
        <v/>
      </c>
      <c r="S25" t="str">
        <f>IF(S15=0,"",S15)</f>
        <v/>
      </c>
    </row>
    <row r="26" spans="1:19" x14ac:dyDescent="0.15">
      <c r="A26">
        <v>1408032</v>
      </c>
      <c r="B26" t="str">
        <f t="shared" si="0"/>
        <v>[{"id":204,"num":3,"point":{"x":24,"y":37}}, {"id":204, "num":2,"point":{"x":15,"y":35}}, {"id":232, "num":3,"point":{"x":33,"y":33}}]</v>
      </c>
      <c r="C26" t="s">
        <v>1162</v>
      </c>
      <c r="D26">
        <v>204</v>
      </c>
      <c r="E26" t="s">
        <v>1163</v>
      </c>
      <c r="F26">
        <f t="shared" ref="F26:F74" si="2">F16</f>
        <v>3</v>
      </c>
      <c r="G26" t="str">
        <f t="shared" ref="G26:G74" si="3">G16</f>
        <v>,"point":{"x":24,"y":37}}, {"id":</v>
      </c>
      <c r="H26">
        <f t="shared" si="1"/>
        <v>204</v>
      </c>
      <c r="I26" t="s">
        <v>1178</v>
      </c>
      <c r="J26">
        <f t="shared" ref="J26:J74" si="4">J16</f>
        <v>2</v>
      </c>
      <c r="K26" t="str">
        <f t="shared" ref="K26:K74" si="5">K16</f>
        <v>,"point":{"x":15,"y":35}}, {"id":</v>
      </c>
      <c r="L26">
        <f t="shared" ref="L26:L39" si="6">L16+1</f>
        <v>232</v>
      </c>
      <c r="M26" t="s">
        <v>1178</v>
      </c>
      <c r="N26">
        <f t="shared" ref="N26:N74" si="7">N16</f>
        <v>3</v>
      </c>
      <c r="O26" t="str">
        <f t="shared" ref="O26:O74" si="8">O16</f>
        <v>,"point":{"x":33,"y":33}}]</v>
      </c>
      <c r="Q26" t="str">
        <f t="shared" ref="Q26:R74" si="9">IF(Q16=0,"",Q16)</f>
        <v/>
      </c>
      <c r="R26" t="str">
        <f t="shared" si="9"/>
        <v/>
      </c>
      <c r="S26" t="str">
        <f t="shared" ref="S26:S74" si="10">IF(S16=0,"",S16)</f>
        <v/>
      </c>
    </row>
    <row r="27" spans="1:19" x14ac:dyDescent="0.15">
      <c r="A27">
        <v>1408033</v>
      </c>
      <c r="B27" t="str">
        <f t="shared" si="0"/>
        <v>[{"id":205,"num":3,"point":{"x":16,"y":38}}, {"id":205, "num":3,"point":{"x":35,"y":35}}, {"id":232, "num":4,"point":{"x":23,"y":12}}]</v>
      </c>
      <c r="C27" t="s">
        <v>1162</v>
      </c>
      <c r="D27">
        <v>205</v>
      </c>
      <c r="E27" t="s">
        <v>1163</v>
      </c>
      <c r="F27">
        <f t="shared" si="2"/>
        <v>3</v>
      </c>
      <c r="G27" t="str">
        <f t="shared" si="3"/>
        <v>,"point":{"x":16,"y":38}}, {"id":</v>
      </c>
      <c r="H27">
        <f t="shared" si="1"/>
        <v>205</v>
      </c>
      <c r="I27" t="s">
        <v>1178</v>
      </c>
      <c r="J27">
        <f t="shared" si="4"/>
        <v>3</v>
      </c>
      <c r="K27" t="str">
        <f t="shared" si="5"/>
        <v>,"point":{"x":35,"y":35}}, {"id":</v>
      </c>
      <c r="L27">
        <f t="shared" si="6"/>
        <v>232</v>
      </c>
      <c r="M27" t="s">
        <v>1178</v>
      </c>
      <c r="N27">
        <f t="shared" si="7"/>
        <v>4</v>
      </c>
      <c r="O27" t="str">
        <f t="shared" si="8"/>
        <v>,"point":{"x":23,"y":12}}]</v>
      </c>
      <c r="Q27" t="str">
        <f t="shared" si="9"/>
        <v/>
      </c>
      <c r="R27" t="str">
        <f t="shared" si="9"/>
        <v/>
      </c>
      <c r="S27" t="str">
        <f t="shared" si="10"/>
        <v/>
      </c>
    </row>
    <row r="28" spans="1:19" x14ac:dyDescent="0.15">
      <c r="A28">
        <v>1408034</v>
      </c>
      <c r="B28" t="str">
        <f t="shared" si="0"/>
        <v>[{"id":205,"num":4,"point":{"x":16,"y":38}}, {"id":205, "num":3,"point":{"x":35,"y":35}}, {"id":232, "num":4,"point":{"x":23,"y":12}}]</v>
      </c>
      <c r="C28" t="s">
        <v>1162</v>
      </c>
      <c r="D28">
        <v>205</v>
      </c>
      <c r="E28" t="s">
        <v>1163</v>
      </c>
      <c r="F28">
        <f t="shared" si="2"/>
        <v>4</v>
      </c>
      <c r="G28" t="str">
        <f t="shared" si="3"/>
        <v>,"point":{"x":16,"y":38}}, {"id":</v>
      </c>
      <c r="H28">
        <f t="shared" si="1"/>
        <v>205</v>
      </c>
      <c r="I28" t="s">
        <v>1178</v>
      </c>
      <c r="J28">
        <f t="shared" si="4"/>
        <v>3</v>
      </c>
      <c r="K28" t="str">
        <f t="shared" si="5"/>
        <v>,"point":{"x":35,"y":35}}, {"id":</v>
      </c>
      <c r="L28">
        <f t="shared" si="6"/>
        <v>232</v>
      </c>
      <c r="M28" t="s">
        <v>1178</v>
      </c>
      <c r="N28">
        <f t="shared" si="7"/>
        <v>4</v>
      </c>
      <c r="O28" t="str">
        <f t="shared" si="8"/>
        <v>,"point":{"x":23,"y":12}}]</v>
      </c>
      <c r="Q28" t="str">
        <f t="shared" si="9"/>
        <v/>
      </c>
      <c r="R28" t="str">
        <f t="shared" si="9"/>
        <v/>
      </c>
      <c r="S28" t="str">
        <f t="shared" si="10"/>
        <v/>
      </c>
    </row>
    <row r="29" spans="1:19" x14ac:dyDescent="0.15">
      <c r="A29">
        <v>1408035</v>
      </c>
      <c r="B29" t="str">
        <f t="shared" si="0"/>
        <v>[{"id":206,"num":4,"point":{"x":16,"y":20}}, {"id":206, "num":4,"point":{"x":25,"y":37}}, {"id":232, "num":5,"point":{"x":33,"y":16}}]</v>
      </c>
      <c r="C29" t="s">
        <v>1162</v>
      </c>
      <c r="D29">
        <v>206</v>
      </c>
      <c r="E29" t="s">
        <v>1163</v>
      </c>
      <c r="F29">
        <f t="shared" si="2"/>
        <v>4</v>
      </c>
      <c r="G29" t="str">
        <f t="shared" si="3"/>
        <v>,"point":{"x":16,"y":20}}, {"id":</v>
      </c>
      <c r="H29">
        <f t="shared" si="1"/>
        <v>206</v>
      </c>
      <c r="I29" t="s">
        <v>1178</v>
      </c>
      <c r="J29">
        <f t="shared" si="4"/>
        <v>4</v>
      </c>
      <c r="K29" t="str">
        <f t="shared" si="5"/>
        <v>,"point":{"x":25,"y":37}}, {"id":</v>
      </c>
      <c r="L29">
        <f t="shared" si="6"/>
        <v>232</v>
      </c>
      <c r="M29" t="s">
        <v>1178</v>
      </c>
      <c r="N29">
        <f t="shared" si="7"/>
        <v>5</v>
      </c>
      <c r="O29" t="str">
        <f t="shared" si="8"/>
        <v>,"point":{"x":33,"y":16}}]</v>
      </c>
      <c r="Q29" t="str">
        <f t="shared" si="9"/>
        <v/>
      </c>
      <c r="R29" t="str">
        <f t="shared" si="9"/>
        <v/>
      </c>
      <c r="S29" t="str">
        <f t="shared" si="10"/>
        <v/>
      </c>
    </row>
    <row r="30" spans="1:19" x14ac:dyDescent="0.15">
      <c r="A30">
        <v>1408036</v>
      </c>
      <c r="B30" t="str">
        <f t="shared" si="0"/>
        <v>[{"id":206,"num":5,"point":{"x":16,"y":20}}, {"id":206, "num":4,"point":{"x":25,"y":37}}, {"id":232, "num":5,"point":{"x":33,"y":16}}]</v>
      </c>
      <c r="C30" t="s">
        <v>1162</v>
      </c>
      <c r="D30">
        <v>206</v>
      </c>
      <c r="E30" t="s">
        <v>1163</v>
      </c>
      <c r="F30">
        <f t="shared" si="2"/>
        <v>5</v>
      </c>
      <c r="G30" t="str">
        <f t="shared" si="3"/>
        <v>,"point":{"x":16,"y":20}}, {"id":</v>
      </c>
      <c r="H30">
        <f t="shared" si="1"/>
        <v>206</v>
      </c>
      <c r="I30" t="s">
        <v>1178</v>
      </c>
      <c r="J30">
        <f t="shared" si="4"/>
        <v>4</v>
      </c>
      <c r="K30" t="str">
        <f t="shared" si="5"/>
        <v>,"point":{"x":25,"y":37}}, {"id":</v>
      </c>
      <c r="L30">
        <f t="shared" si="6"/>
        <v>232</v>
      </c>
      <c r="M30" t="s">
        <v>1178</v>
      </c>
      <c r="N30">
        <f t="shared" si="7"/>
        <v>5</v>
      </c>
      <c r="O30" t="str">
        <f t="shared" si="8"/>
        <v>,"point":{"x":33,"y":16}}]</v>
      </c>
      <c r="Q30" t="str">
        <f t="shared" si="9"/>
        <v/>
      </c>
      <c r="R30" t="str">
        <f t="shared" si="9"/>
        <v/>
      </c>
      <c r="S30" t="str">
        <f t="shared" si="10"/>
        <v/>
      </c>
    </row>
    <row r="31" spans="1:19" x14ac:dyDescent="0.15">
      <c r="A31">
        <v>1408037</v>
      </c>
      <c r="B31" t="str">
        <f t="shared" si="0"/>
        <v>[{"id":207,"num":5,"point":{"x":25,"y":35}}, {"id":207, "num":5,"point":{"x":33,"y":33}}, {"id":232, "num":6,"point":{"x":20,"y":18}}]</v>
      </c>
      <c r="C31" t="s">
        <v>1162</v>
      </c>
      <c r="D31">
        <v>207</v>
      </c>
      <c r="E31" t="s">
        <v>1163</v>
      </c>
      <c r="F31">
        <f t="shared" si="2"/>
        <v>5</v>
      </c>
      <c r="G31" t="str">
        <f t="shared" si="3"/>
        <v>,"point":{"x":25,"y":35}}, {"id":</v>
      </c>
      <c r="H31">
        <f t="shared" si="1"/>
        <v>207</v>
      </c>
      <c r="I31" t="s">
        <v>1178</v>
      </c>
      <c r="J31">
        <f t="shared" si="4"/>
        <v>5</v>
      </c>
      <c r="K31" t="str">
        <f t="shared" si="5"/>
        <v>,"point":{"x":33,"y":33}}, {"id":</v>
      </c>
      <c r="L31">
        <f t="shared" si="6"/>
        <v>232</v>
      </c>
      <c r="M31" t="s">
        <v>1178</v>
      </c>
      <c r="N31">
        <v>6</v>
      </c>
      <c r="O31" t="str">
        <f t="shared" si="8"/>
        <v>,"point":{"x":20,"y":18}}]</v>
      </c>
      <c r="Q31" t="str">
        <f t="shared" si="9"/>
        <v/>
      </c>
      <c r="R31" t="str">
        <f t="shared" si="9"/>
        <v/>
      </c>
      <c r="S31" t="str">
        <f t="shared" si="10"/>
        <v/>
      </c>
    </row>
    <row r="32" spans="1:19" x14ac:dyDescent="0.15">
      <c r="A32">
        <v>1408038</v>
      </c>
      <c r="B32" t="str">
        <f t="shared" si="0"/>
        <v>[{"id":207,"num":6,"point":{"x":25,"y":35}}, {"id":207, "num":5,"point":{"x":33,"y":33}}, {"id":232, "num":6,"point":{"x":20,"y":18}}]</v>
      </c>
      <c r="C32" t="s">
        <v>1162</v>
      </c>
      <c r="D32">
        <v>207</v>
      </c>
      <c r="E32" t="s">
        <v>1163</v>
      </c>
      <c r="F32">
        <f t="shared" si="2"/>
        <v>6</v>
      </c>
      <c r="G32" t="str">
        <f t="shared" si="3"/>
        <v>,"point":{"x":25,"y":35}}, {"id":</v>
      </c>
      <c r="H32">
        <f t="shared" si="1"/>
        <v>207</v>
      </c>
      <c r="I32" t="s">
        <v>1178</v>
      </c>
      <c r="J32">
        <f t="shared" si="4"/>
        <v>5</v>
      </c>
      <c r="K32" t="str">
        <f t="shared" si="5"/>
        <v>,"point":{"x":33,"y":33}}, {"id":</v>
      </c>
      <c r="L32">
        <f t="shared" si="6"/>
        <v>232</v>
      </c>
      <c r="M32" t="s">
        <v>1178</v>
      </c>
      <c r="N32">
        <f t="shared" si="7"/>
        <v>6</v>
      </c>
      <c r="O32" t="str">
        <f t="shared" si="8"/>
        <v>,"point":{"x":20,"y":18}}]</v>
      </c>
      <c r="Q32" t="str">
        <f t="shared" si="9"/>
        <v/>
      </c>
      <c r="R32" t="str">
        <f t="shared" si="9"/>
        <v/>
      </c>
      <c r="S32" t="str">
        <f t="shared" si="10"/>
        <v/>
      </c>
    </row>
    <row r="33" spans="1:19" x14ac:dyDescent="0.15">
      <c r="A33">
        <v>1408039</v>
      </c>
      <c r="B33" t="str">
        <f t="shared" si="0"/>
        <v>[{"id":208,"num":6,"point":{"x":15,"y":35}}, {"id":208, "num":6,"point":{"x":26,"y":39}}, {"id":232, "num":7,"point":{"x":36,"y":37}}]</v>
      </c>
      <c r="C33" t="s">
        <v>1162</v>
      </c>
      <c r="D33">
        <v>208</v>
      </c>
      <c r="E33" t="s">
        <v>1163</v>
      </c>
      <c r="F33">
        <f t="shared" si="2"/>
        <v>6</v>
      </c>
      <c r="G33" t="str">
        <f t="shared" si="3"/>
        <v>,"point":{"x":15,"y":35}}, {"id":</v>
      </c>
      <c r="H33">
        <f t="shared" si="1"/>
        <v>208</v>
      </c>
      <c r="I33" t="s">
        <v>1178</v>
      </c>
      <c r="J33">
        <f t="shared" si="4"/>
        <v>6</v>
      </c>
      <c r="K33" t="str">
        <f t="shared" si="5"/>
        <v>,"point":{"x":26,"y":39}}, {"id":</v>
      </c>
      <c r="L33">
        <f t="shared" si="6"/>
        <v>232</v>
      </c>
      <c r="M33" t="s">
        <v>1178</v>
      </c>
      <c r="N33">
        <v>7</v>
      </c>
      <c r="O33" t="str">
        <f t="shared" si="8"/>
        <v>,"point":{"x":36,"y":37}}]</v>
      </c>
      <c r="Q33" t="str">
        <f t="shared" si="9"/>
        <v/>
      </c>
      <c r="R33" t="str">
        <f t="shared" si="9"/>
        <v/>
      </c>
      <c r="S33" t="str">
        <f t="shared" si="10"/>
        <v/>
      </c>
    </row>
    <row r="34" spans="1:19" s="1" customFormat="1" x14ac:dyDescent="0.15">
      <c r="A34" s="1">
        <v>1408040</v>
      </c>
      <c r="B34" s="1" t="str">
        <f t="shared" si="0"/>
        <v>[{"id":209,"num":6,"point":{"x":15,"y":35}}, {"id":209, "num":6,"point":{"x":26,"y":39}}, {"id":232, "num":7,"point":{"x":36,"y":37}}, {"id":262, "num":1,"point":{"x":25,"y":42}}]</v>
      </c>
      <c r="C34" s="1" t="s">
        <v>1162</v>
      </c>
      <c r="D34" s="1">
        <v>209</v>
      </c>
      <c r="E34" s="1" t="s">
        <v>1163</v>
      </c>
      <c r="F34" s="1">
        <f t="shared" si="2"/>
        <v>6</v>
      </c>
      <c r="G34" s="1" t="str">
        <f t="shared" si="3"/>
        <v>,"point":{"x":15,"y":35}}, {"id":</v>
      </c>
      <c r="H34">
        <f t="shared" si="1"/>
        <v>209</v>
      </c>
      <c r="I34" s="1" t="s">
        <v>1178</v>
      </c>
      <c r="J34" s="1">
        <f t="shared" si="4"/>
        <v>6</v>
      </c>
      <c r="K34" s="1" t="str">
        <f t="shared" si="5"/>
        <v>,"point":{"x":26,"y":39}}, {"id":</v>
      </c>
      <c r="L34" s="1">
        <f t="shared" si="6"/>
        <v>232</v>
      </c>
      <c r="M34" s="1" t="s">
        <v>1178</v>
      </c>
      <c r="N34" s="1">
        <f t="shared" si="7"/>
        <v>7</v>
      </c>
      <c r="O34" s="1" t="str">
        <f t="shared" si="8"/>
        <v>,"point":{"x":36,"y":37}}, {"id":</v>
      </c>
      <c r="P34" s="1">
        <v>262</v>
      </c>
      <c r="Q34" s="1" t="str">
        <f t="shared" si="9"/>
        <v>, "num":</v>
      </c>
      <c r="R34" s="1">
        <f t="shared" si="9"/>
        <v>1</v>
      </c>
      <c r="S34" s="1" t="str">
        <f t="shared" si="10"/>
        <v>,"point":{"x":25,"y":42}}]</v>
      </c>
    </row>
    <row r="35" spans="1:19" x14ac:dyDescent="0.15">
      <c r="A35">
        <v>1409001</v>
      </c>
      <c r="B35" t="str">
        <f t="shared" si="0"/>
        <v>[{"id":207,"num":2,"point":{"x":24,"y":37}}, {"id":207, "num":2,"point":{"x":15,"y":35}}, {"id":233, "num":3,"point":{"x":33,"y":33}}]</v>
      </c>
      <c r="C35" t="s">
        <v>1162</v>
      </c>
      <c r="D35">
        <f>D34-2</f>
        <v>207</v>
      </c>
      <c r="E35" t="s">
        <v>1163</v>
      </c>
      <c r="F35">
        <f t="shared" si="2"/>
        <v>2</v>
      </c>
      <c r="G35" t="str">
        <f t="shared" si="3"/>
        <v>,"point":{"x":24,"y":37}}, {"id":</v>
      </c>
      <c r="H35">
        <f t="shared" si="1"/>
        <v>207</v>
      </c>
      <c r="I35" t="s">
        <v>1178</v>
      </c>
      <c r="J35">
        <f t="shared" si="4"/>
        <v>2</v>
      </c>
      <c r="K35" t="str">
        <f t="shared" si="5"/>
        <v>,"point":{"x":15,"y":35}}, {"id":</v>
      </c>
      <c r="L35">
        <f t="shared" si="6"/>
        <v>233</v>
      </c>
      <c r="M35" t="s">
        <v>1178</v>
      </c>
      <c r="N35">
        <f t="shared" si="7"/>
        <v>3</v>
      </c>
      <c r="O35" t="str">
        <f t="shared" si="8"/>
        <v>,"point":{"x":33,"y":33}}]</v>
      </c>
      <c r="Q35" t="str">
        <f t="shared" si="9"/>
        <v/>
      </c>
      <c r="R35" t="str">
        <f t="shared" si="9"/>
        <v/>
      </c>
      <c r="S35" t="str">
        <f t="shared" si="10"/>
        <v/>
      </c>
    </row>
    <row r="36" spans="1:19" x14ac:dyDescent="0.15">
      <c r="A36">
        <v>1409002</v>
      </c>
      <c r="B36" t="str">
        <f t="shared" si="0"/>
        <v>[{"id":207,"num":3,"point":{"x":24,"y":37}}, {"id":207, "num":2,"point":{"x":15,"y":35}}, {"id":233, "num":3,"point":{"x":33,"y":33}}]</v>
      </c>
      <c r="C36" t="s">
        <v>1162</v>
      </c>
      <c r="D36">
        <f>D34-2</f>
        <v>207</v>
      </c>
      <c r="E36" t="s">
        <v>1163</v>
      </c>
      <c r="F36">
        <f t="shared" si="2"/>
        <v>3</v>
      </c>
      <c r="G36" t="str">
        <f t="shared" si="3"/>
        <v>,"point":{"x":24,"y":37}}, {"id":</v>
      </c>
      <c r="H36">
        <f t="shared" si="1"/>
        <v>207</v>
      </c>
      <c r="I36" t="s">
        <v>1178</v>
      </c>
      <c r="J36">
        <f t="shared" si="4"/>
        <v>2</v>
      </c>
      <c r="K36" t="str">
        <f t="shared" si="5"/>
        <v>,"point":{"x":15,"y":35}}, {"id":</v>
      </c>
      <c r="L36">
        <f t="shared" si="6"/>
        <v>233</v>
      </c>
      <c r="M36" t="s">
        <v>1178</v>
      </c>
      <c r="N36">
        <f t="shared" si="7"/>
        <v>3</v>
      </c>
      <c r="O36" t="str">
        <f t="shared" si="8"/>
        <v>,"point":{"x":33,"y":33}}]</v>
      </c>
      <c r="Q36" t="str">
        <f t="shared" si="9"/>
        <v/>
      </c>
      <c r="R36" t="str">
        <f t="shared" si="9"/>
        <v/>
      </c>
      <c r="S36" t="str">
        <f t="shared" si="10"/>
        <v/>
      </c>
    </row>
    <row r="37" spans="1:19" x14ac:dyDescent="0.15">
      <c r="A37">
        <v>1409003</v>
      </c>
      <c r="B37" t="str">
        <f t="shared" si="0"/>
        <v>[{"id":208,"num":3,"point":{"x":16,"y":38}}, {"id":208, "num":3,"point":{"x":35,"y":35}}, {"id":233, "num":4,"point":{"x":23,"y":12}}]</v>
      </c>
      <c r="C37" t="s">
        <v>1162</v>
      </c>
      <c r="D37">
        <f>D34-1</f>
        <v>208</v>
      </c>
      <c r="E37" t="s">
        <v>1163</v>
      </c>
      <c r="F37">
        <f t="shared" si="2"/>
        <v>3</v>
      </c>
      <c r="G37" t="str">
        <f t="shared" si="3"/>
        <v>,"point":{"x":16,"y":38}}, {"id":</v>
      </c>
      <c r="H37">
        <f t="shared" si="1"/>
        <v>208</v>
      </c>
      <c r="I37" t="s">
        <v>1178</v>
      </c>
      <c r="J37">
        <f t="shared" si="4"/>
        <v>3</v>
      </c>
      <c r="K37" t="str">
        <f t="shared" si="5"/>
        <v>,"point":{"x":35,"y":35}}, {"id":</v>
      </c>
      <c r="L37">
        <f t="shared" si="6"/>
        <v>233</v>
      </c>
      <c r="M37" t="s">
        <v>1178</v>
      </c>
      <c r="N37">
        <f t="shared" si="7"/>
        <v>4</v>
      </c>
      <c r="O37" t="str">
        <f t="shared" si="8"/>
        <v>,"point":{"x":23,"y":12}}]</v>
      </c>
      <c r="Q37" t="str">
        <f t="shared" si="9"/>
        <v/>
      </c>
      <c r="R37" t="str">
        <f t="shared" si="9"/>
        <v/>
      </c>
      <c r="S37" t="str">
        <f t="shared" si="10"/>
        <v/>
      </c>
    </row>
    <row r="38" spans="1:19" x14ac:dyDescent="0.15">
      <c r="A38">
        <v>1409004</v>
      </c>
      <c r="B38" t="str">
        <f t="shared" si="0"/>
        <v>[{"id":208,"num":4,"point":{"x":16,"y":38}}, {"id":208, "num":3,"point":{"x":35,"y":35}}, {"id":233, "num":4,"point":{"x":23,"y":12}}]</v>
      </c>
      <c r="C38" t="s">
        <v>1162</v>
      </c>
      <c r="D38">
        <f>D34-1</f>
        <v>208</v>
      </c>
      <c r="E38" t="s">
        <v>1163</v>
      </c>
      <c r="F38">
        <f t="shared" si="2"/>
        <v>4</v>
      </c>
      <c r="G38" t="str">
        <f t="shared" si="3"/>
        <v>,"point":{"x":16,"y":38}}, {"id":</v>
      </c>
      <c r="H38">
        <f t="shared" si="1"/>
        <v>208</v>
      </c>
      <c r="I38" t="s">
        <v>1178</v>
      </c>
      <c r="J38">
        <f t="shared" si="4"/>
        <v>3</v>
      </c>
      <c r="K38" t="str">
        <f t="shared" si="5"/>
        <v>,"point":{"x":35,"y":35}}, {"id":</v>
      </c>
      <c r="L38">
        <f t="shared" si="6"/>
        <v>233</v>
      </c>
      <c r="M38" t="s">
        <v>1178</v>
      </c>
      <c r="N38">
        <f t="shared" si="7"/>
        <v>4</v>
      </c>
      <c r="O38" t="str">
        <f t="shared" si="8"/>
        <v>,"point":{"x":23,"y":12}}]</v>
      </c>
      <c r="Q38" t="str">
        <f t="shared" si="9"/>
        <v/>
      </c>
      <c r="R38" t="str">
        <f t="shared" si="9"/>
        <v/>
      </c>
      <c r="S38" t="str">
        <f t="shared" si="10"/>
        <v/>
      </c>
    </row>
    <row r="39" spans="1:19" s="2" customFormat="1" x14ac:dyDescent="0.15">
      <c r="A39" s="2">
        <v>1409005</v>
      </c>
      <c r="B39" s="2" t="str">
        <f t="shared" si="0"/>
        <v>[{"id":209,"num":4,"point":{"x":16,"y":20}}, {"id":209, "num":4,"point":{"x":25,"y":37}}, {"id":233, "num":5,"point":{"x":36,"y":37}}, {"id":263,"point":{"x":25,"y":42}}]</v>
      </c>
      <c r="C39" s="2" t="s">
        <v>1162</v>
      </c>
      <c r="D39" s="2">
        <f>D34</f>
        <v>209</v>
      </c>
      <c r="E39" s="2" t="s">
        <v>1163</v>
      </c>
      <c r="F39" s="2">
        <f t="shared" si="2"/>
        <v>4</v>
      </c>
      <c r="G39" s="2" t="str">
        <f t="shared" si="3"/>
        <v>,"point":{"x":16,"y":20}}, {"id":</v>
      </c>
      <c r="H39" s="2">
        <f t="shared" si="1"/>
        <v>209</v>
      </c>
      <c r="I39" s="2" t="s">
        <v>1178</v>
      </c>
      <c r="J39" s="2">
        <f t="shared" si="4"/>
        <v>4</v>
      </c>
      <c r="K39" s="2" t="str">
        <f t="shared" si="5"/>
        <v>,"point":{"x":25,"y":37}}, {"id":</v>
      </c>
      <c r="L39" s="2">
        <f t="shared" si="6"/>
        <v>233</v>
      </c>
      <c r="M39" s="2" t="s">
        <v>1178</v>
      </c>
      <c r="N39" s="2">
        <f t="shared" si="7"/>
        <v>5</v>
      </c>
      <c r="O39" s="1" t="s">
        <v>1180</v>
      </c>
      <c r="P39" s="1">
        <f>P34+1</f>
        <v>263</v>
      </c>
      <c r="Q39" s="1" t="str">
        <f t="shared" si="9"/>
        <v/>
      </c>
      <c r="R39" s="1" t="str">
        <f t="shared" si="9"/>
        <v/>
      </c>
      <c r="S39" s="1" t="s">
        <v>1181</v>
      </c>
    </row>
    <row r="40" spans="1:19" x14ac:dyDescent="0.15">
      <c r="A40">
        <v>1409006</v>
      </c>
      <c r="B40" t="str">
        <f t="shared" si="0"/>
        <v>[{"id":210,"num":5,"point":{"x":16,"y":20}}, {"id":210, "num":4,"point":{"x":25,"y":37}}, {"id":234, "num":5,"point":{"x":33,"y":16}}]</v>
      </c>
      <c r="C40" t="s">
        <v>1162</v>
      </c>
      <c r="D40">
        <f>D34+1</f>
        <v>210</v>
      </c>
      <c r="E40" t="s">
        <v>1163</v>
      </c>
      <c r="F40">
        <f t="shared" si="2"/>
        <v>5</v>
      </c>
      <c r="G40" t="str">
        <f t="shared" si="3"/>
        <v>,"point":{"x":16,"y":20}}, {"id":</v>
      </c>
      <c r="H40">
        <f t="shared" si="1"/>
        <v>210</v>
      </c>
      <c r="I40" t="s">
        <v>1178</v>
      </c>
      <c r="J40">
        <f t="shared" si="4"/>
        <v>4</v>
      </c>
      <c r="K40" t="str">
        <f t="shared" si="5"/>
        <v>,"point":{"x":25,"y":37}}, {"id":</v>
      </c>
      <c r="L40">
        <v>234</v>
      </c>
      <c r="M40" t="s">
        <v>1178</v>
      </c>
      <c r="N40">
        <f t="shared" si="7"/>
        <v>5</v>
      </c>
      <c r="O40" t="str">
        <f t="shared" si="8"/>
        <v>,"point":{"x":33,"y":16}}]</v>
      </c>
      <c r="Q40" t="str">
        <f t="shared" si="9"/>
        <v/>
      </c>
      <c r="R40" t="str">
        <f t="shared" si="9"/>
        <v/>
      </c>
      <c r="S40" t="str">
        <f t="shared" si="10"/>
        <v/>
      </c>
    </row>
    <row r="41" spans="1:19" x14ac:dyDescent="0.15">
      <c r="A41">
        <v>1409007</v>
      </c>
      <c r="B41" t="str">
        <f t="shared" si="0"/>
        <v>[{"id":210,"num":5,"point":{"x":25,"y":35}}, {"id":210, "num":5,"point":{"x":33,"y":33}}, {"id":234, "num":6,"point":{"x":20,"y":18}}]</v>
      </c>
      <c r="C41" t="s">
        <v>1162</v>
      </c>
      <c r="D41">
        <f>D34+1</f>
        <v>210</v>
      </c>
      <c r="E41" t="s">
        <v>1163</v>
      </c>
      <c r="F41">
        <f t="shared" si="2"/>
        <v>5</v>
      </c>
      <c r="G41" t="str">
        <f t="shared" si="3"/>
        <v>,"point":{"x":25,"y":35}}, {"id":</v>
      </c>
      <c r="H41">
        <f t="shared" si="1"/>
        <v>210</v>
      </c>
      <c r="I41" t="s">
        <v>1178</v>
      </c>
      <c r="J41">
        <f t="shared" si="4"/>
        <v>5</v>
      </c>
      <c r="K41" t="str">
        <f t="shared" si="5"/>
        <v>,"point":{"x":33,"y":33}}, {"id":</v>
      </c>
      <c r="L41">
        <v>234</v>
      </c>
      <c r="M41" t="s">
        <v>1178</v>
      </c>
      <c r="N41">
        <f t="shared" si="7"/>
        <v>6</v>
      </c>
      <c r="O41" t="str">
        <f t="shared" si="8"/>
        <v>,"point":{"x":20,"y":18}}]</v>
      </c>
      <c r="Q41" t="str">
        <f t="shared" si="9"/>
        <v/>
      </c>
      <c r="R41" t="str">
        <f t="shared" si="9"/>
        <v/>
      </c>
      <c r="S41" t="str">
        <f t="shared" si="10"/>
        <v/>
      </c>
    </row>
    <row r="42" spans="1:19" x14ac:dyDescent="0.15">
      <c r="A42">
        <v>1409008</v>
      </c>
      <c r="B42" t="str">
        <f t="shared" si="0"/>
        <v>[{"id":211,"num":6,"point":{"x":25,"y":35}}, {"id":211, "num":5,"point":{"x":33,"y":33}}, {"id":234, "num":6,"point":{"x":20,"y":18}}]</v>
      </c>
      <c r="C42" t="s">
        <v>1162</v>
      </c>
      <c r="D42">
        <f>D34+2</f>
        <v>211</v>
      </c>
      <c r="E42" t="s">
        <v>1163</v>
      </c>
      <c r="F42">
        <f t="shared" si="2"/>
        <v>6</v>
      </c>
      <c r="G42" t="str">
        <f t="shared" si="3"/>
        <v>,"point":{"x":25,"y":35}}, {"id":</v>
      </c>
      <c r="H42">
        <f t="shared" si="1"/>
        <v>211</v>
      </c>
      <c r="I42" t="s">
        <v>1178</v>
      </c>
      <c r="J42">
        <f t="shared" si="4"/>
        <v>5</v>
      </c>
      <c r="K42" t="str">
        <f t="shared" si="5"/>
        <v>,"point":{"x":33,"y":33}}, {"id":</v>
      </c>
      <c r="L42">
        <v>234</v>
      </c>
      <c r="M42" t="s">
        <v>1178</v>
      </c>
      <c r="N42">
        <f t="shared" si="7"/>
        <v>6</v>
      </c>
      <c r="O42" t="str">
        <f t="shared" si="8"/>
        <v>,"point":{"x":20,"y":18}}]</v>
      </c>
      <c r="Q42" t="str">
        <f t="shared" si="9"/>
        <v/>
      </c>
      <c r="R42" t="str">
        <f t="shared" si="9"/>
        <v/>
      </c>
      <c r="S42" t="str">
        <f t="shared" si="10"/>
        <v/>
      </c>
    </row>
    <row r="43" spans="1:19" x14ac:dyDescent="0.15">
      <c r="A43">
        <v>1409009</v>
      </c>
      <c r="B43" t="str">
        <f t="shared" si="0"/>
        <v>[{"id":212,"num":6,"point":{"x":15,"y":35}}, {"id":212, "num":6,"point":{"x":26,"y":39}}, {"id":234, "num":7,"point":{"x":36,"y":37}}]</v>
      </c>
      <c r="C43" t="s">
        <v>1162</v>
      </c>
      <c r="D43">
        <f>D34+3</f>
        <v>212</v>
      </c>
      <c r="E43" t="s">
        <v>1163</v>
      </c>
      <c r="F43">
        <f t="shared" si="2"/>
        <v>6</v>
      </c>
      <c r="G43" t="str">
        <f t="shared" si="3"/>
        <v>,"point":{"x":15,"y":35}}, {"id":</v>
      </c>
      <c r="H43">
        <f t="shared" si="1"/>
        <v>212</v>
      </c>
      <c r="I43" t="s">
        <v>1178</v>
      </c>
      <c r="J43">
        <f t="shared" si="4"/>
        <v>6</v>
      </c>
      <c r="K43" t="str">
        <f t="shared" si="5"/>
        <v>,"point":{"x":26,"y":39}}, {"id":</v>
      </c>
      <c r="L43">
        <v>234</v>
      </c>
      <c r="M43" t="s">
        <v>1178</v>
      </c>
      <c r="N43">
        <f t="shared" si="7"/>
        <v>7</v>
      </c>
      <c r="O43" t="str">
        <f t="shared" si="8"/>
        <v>,"point":{"x":36,"y":37}}]</v>
      </c>
      <c r="Q43" t="str">
        <f t="shared" si="9"/>
        <v/>
      </c>
      <c r="R43" t="str">
        <f t="shared" si="9"/>
        <v/>
      </c>
      <c r="S43" t="str">
        <f t="shared" si="10"/>
        <v/>
      </c>
    </row>
    <row r="44" spans="1:19" s="1" customFormat="1" x14ac:dyDescent="0.15">
      <c r="A44" s="1">
        <v>1409010</v>
      </c>
      <c r="B44" s="1" t="str">
        <f t="shared" si="0"/>
        <v>[{"id":213,"num":6,"point":{"x":15,"y":35}}, {"id":213, "num":6,"point":{"x":26,"y":39}}, {"id":234, "num":7,"point":{"x":36,"y":37}}, {"id":264, "num":1,"point":{"x":25,"y":42}}]</v>
      </c>
      <c r="C44" s="1" t="s">
        <v>1162</v>
      </c>
      <c r="D44" s="1">
        <f>D34+4</f>
        <v>213</v>
      </c>
      <c r="E44" s="1" t="s">
        <v>1163</v>
      </c>
      <c r="F44" s="1">
        <f t="shared" si="2"/>
        <v>6</v>
      </c>
      <c r="G44" s="1" t="str">
        <f t="shared" si="3"/>
        <v>,"point":{"x":15,"y":35}}, {"id":</v>
      </c>
      <c r="H44">
        <f t="shared" si="1"/>
        <v>213</v>
      </c>
      <c r="I44" s="1" t="s">
        <v>1178</v>
      </c>
      <c r="J44" s="1">
        <f t="shared" si="4"/>
        <v>6</v>
      </c>
      <c r="K44" s="1" t="str">
        <f t="shared" si="5"/>
        <v>,"point":{"x":26,"y":39}}, {"id":</v>
      </c>
      <c r="L44" s="1">
        <v>234</v>
      </c>
      <c r="M44" s="1" t="s">
        <v>1178</v>
      </c>
      <c r="N44" s="1">
        <f t="shared" si="7"/>
        <v>7</v>
      </c>
      <c r="O44" s="1" t="s">
        <v>1180</v>
      </c>
      <c r="P44" s="1">
        <f>P39+1</f>
        <v>264</v>
      </c>
      <c r="Q44" s="1" t="str">
        <f t="shared" si="9"/>
        <v>, "num":</v>
      </c>
      <c r="R44" s="1">
        <f t="shared" si="9"/>
        <v>1</v>
      </c>
      <c r="S44" s="1" t="str">
        <f t="shared" si="10"/>
        <v>,"point":{"x":25,"y":42}}]</v>
      </c>
    </row>
    <row r="45" spans="1:19" x14ac:dyDescent="0.15">
      <c r="A45">
        <v>1409011</v>
      </c>
      <c r="B45" t="str">
        <f t="shared" si="0"/>
        <v>[{"id":211,"num":2,"point":{"x":24,"y":37}}, {"id":211, "num":2,"point":{"x":15,"y":35}}, {"id":235, "num":3,"point":{"x":33,"y":33}}]</v>
      </c>
      <c r="C45" t="s">
        <v>1162</v>
      </c>
      <c r="D45">
        <f>D44-2</f>
        <v>211</v>
      </c>
      <c r="E45" t="s">
        <v>1163</v>
      </c>
      <c r="F45">
        <f t="shared" si="2"/>
        <v>2</v>
      </c>
      <c r="G45" t="str">
        <f t="shared" si="3"/>
        <v>,"point":{"x":24,"y":37}}, {"id":</v>
      </c>
      <c r="H45">
        <f t="shared" si="1"/>
        <v>211</v>
      </c>
      <c r="I45" t="s">
        <v>1178</v>
      </c>
      <c r="J45">
        <f t="shared" si="4"/>
        <v>2</v>
      </c>
      <c r="K45" t="str">
        <f t="shared" si="5"/>
        <v>,"point":{"x":15,"y":35}}, {"id":</v>
      </c>
      <c r="L45">
        <f>L40+1</f>
        <v>235</v>
      </c>
      <c r="M45" t="s">
        <v>1178</v>
      </c>
      <c r="N45">
        <f t="shared" si="7"/>
        <v>3</v>
      </c>
      <c r="O45" t="str">
        <f t="shared" si="8"/>
        <v>,"point":{"x":33,"y":33}}]</v>
      </c>
      <c r="Q45" t="str">
        <f t="shared" si="9"/>
        <v/>
      </c>
      <c r="R45" t="str">
        <f t="shared" si="9"/>
        <v/>
      </c>
      <c r="S45" t="str">
        <f t="shared" si="10"/>
        <v/>
      </c>
    </row>
    <row r="46" spans="1:19" x14ac:dyDescent="0.15">
      <c r="A46">
        <v>1409012</v>
      </c>
      <c r="B46" t="str">
        <f t="shared" si="0"/>
        <v>[{"id":211,"num":3,"point":{"x":24,"y":37}}, {"id":211, "num":2,"point":{"x":15,"y":35}}, {"id":235, "num":3,"point":{"x":33,"y":33}}]</v>
      </c>
      <c r="C46" t="s">
        <v>1162</v>
      </c>
      <c r="D46">
        <f>D44-2</f>
        <v>211</v>
      </c>
      <c r="E46" t="s">
        <v>1163</v>
      </c>
      <c r="F46">
        <f t="shared" si="2"/>
        <v>3</v>
      </c>
      <c r="G46" t="str">
        <f t="shared" si="3"/>
        <v>,"point":{"x":24,"y":37}}, {"id":</v>
      </c>
      <c r="H46">
        <f t="shared" si="1"/>
        <v>211</v>
      </c>
      <c r="I46" t="s">
        <v>1178</v>
      </c>
      <c r="J46">
        <f t="shared" si="4"/>
        <v>2</v>
      </c>
      <c r="K46" t="str">
        <f t="shared" si="5"/>
        <v>,"point":{"x":15,"y":35}}, {"id":</v>
      </c>
      <c r="L46">
        <f t="shared" ref="L46:L74" si="11">L41+1</f>
        <v>235</v>
      </c>
      <c r="M46" t="s">
        <v>1178</v>
      </c>
      <c r="N46">
        <f t="shared" si="7"/>
        <v>3</v>
      </c>
      <c r="O46" t="str">
        <f t="shared" si="8"/>
        <v>,"point":{"x":33,"y":33}}]</v>
      </c>
      <c r="Q46" t="str">
        <f t="shared" si="9"/>
        <v/>
      </c>
      <c r="R46" t="str">
        <f t="shared" si="9"/>
        <v/>
      </c>
      <c r="S46" t="str">
        <f t="shared" si="10"/>
        <v/>
      </c>
    </row>
    <row r="47" spans="1:19" x14ac:dyDescent="0.15">
      <c r="A47">
        <v>1409013</v>
      </c>
      <c r="B47" t="str">
        <f t="shared" si="0"/>
        <v>[{"id":212,"num":3,"point":{"x":16,"y":38}}, {"id":212, "num":3,"point":{"x":35,"y":35}}, {"id":235, "num":4,"point":{"x":23,"y":12}}]</v>
      </c>
      <c r="C47" t="s">
        <v>1162</v>
      </c>
      <c r="D47">
        <f>D44-1</f>
        <v>212</v>
      </c>
      <c r="E47" t="s">
        <v>1163</v>
      </c>
      <c r="F47">
        <f t="shared" si="2"/>
        <v>3</v>
      </c>
      <c r="G47" t="str">
        <f t="shared" si="3"/>
        <v>,"point":{"x":16,"y":38}}, {"id":</v>
      </c>
      <c r="H47">
        <f t="shared" si="1"/>
        <v>212</v>
      </c>
      <c r="I47" t="s">
        <v>1178</v>
      </c>
      <c r="J47">
        <f t="shared" si="4"/>
        <v>3</v>
      </c>
      <c r="K47" t="str">
        <f t="shared" si="5"/>
        <v>,"point":{"x":35,"y":35}}, {"id":</v>
      </c>
      <c r="L47">
        <f t="shared" si="11"/>
        <v>235</v>
      </c>
      <c r="M47" t="s">
        <v>1178</v>
      </c>
      <c r="N47">
        <f t="shared" si="7"/>
        <v>4</v>
      </c>
      <c r="O47" t="str">
        <f t="shared" si="8"/>
        <v>,"point":{"x":23,"y":12}}]</v>
      </c>
      <c r="Q47" t="str">
        <f t="shared" si="9"/>
        <v/>
      </c>
      <c r="R47" t="str">
        <f t="shared" si="9"/>
        <v/>
      </c>
      <c r="S47" t="str">
        <f t="shared" si="10"/>
        <v/>
      </c>
    </row>
    <row r="48" spans="1:19" x14ac:dyDescent="0.15">
      <c r="A48">
        <v>1409014</v>
      </c>
      <c r="B48" t="str">
        <f t="shared" si="0"/>
        <v>[{"id":212,"num":4,"point":{"x":16,"y":38}}, {"id":212, "num":3,"point":{"x":35,"y":35}}, {"id":235, "num":4,"point":{"x":23,"y":12}}]</v>
      </c>
      <c r="C48" t="s">
        <v>1162</v>
      </c>
      <c r="D48">
        <f>D44-1</f>
        <v>212</v>
      </c>
      <c r="E48" t="s">
        <v>1163</v>
      </c>
      <c r="F48">
        <f t="shared" si="2"/>
        <v>4</v>
      </c>
      <c r="G48" t="str">
        <f t="shared" si="3"/>
        <v>,"point":{"x":16,"y":38}}, {"id":</v>
      </c>
      <c r="H48">
        <f t="shared" ref="H48:H74" si="12">D48</f>
        <v>212</v>
      </c>
      <c r="I48" t="s">
        <v>1178</v>
      </c>
      <c r="J48">
        <f t="shared" si="4"/>
        <v>3</v>
      </c>
      <c r="K48" t="str">
        <f t="shared" si="5"/>
        <v>,"point":{"x":35,"y":35}}, {"id":</v>
      </c>
      <c r="L48">
        <f t="shared" si="11"/>
        <v>235</v>
      </c>
      <c r="M48" t="s">
        <v>1178</v>
      </c>
      <c r="N48">
        <f t="shared" si="7"/>
        <v>4</v>
      </c>
      <c r="O48" t="str">
        <f t="shared" si="8"/>
        <v>,"point":{"x":23,"y":12}}]</v>
      </c>
      <c r="Q48" t="str">
        <f t="shared" si="9"/>
        <v/>
      </c>
      <c r="R48" t="str">
        <f t="shared" si="9"/>
        <v/>
      </c>
      <c r="S48" t="str">
        <f t="shared" si="10"/>
        <v/>
      </c>
    </row>
    <row r="49" spans="1:19" x14ac:dyDescent="0.15">
      <c r="A49">
        <v>1409015</v>
      </c>
      <c r="B49" t="str">
        <f t="shared" si="0"/>
        <v>[{"id":213,"num":4,"point":{"x":16,"y":20}}, {"id":213, "num":4,"point":{"x":25,"y":37}}, {"id":235, "num":5,"point":{"x":36,"y":37}}, {"id":265,"point":{"x":25,"y":42}}]</v>
      </c>
      <c r="C49" t="s">
        <v>1162</v>
      </c>
      <c r="D49">
        <f>D44</f>
        <v>213</v>
      </c>
      <c r="E49" t="s">
        <v>1163</v>
      </c>
      <c r="F49">
        <f t="shared" si="2"/>
        <v>4</v>
      </c>
      <c r="G49" t="str">
        <f t="shared" si="3"/>
        <v>,"point":{"x":16,"y":20}}, {"id":</v>
      </c>
      <c r="H49">
        <f t="shared" si="12"/>
        <v>213</v>
      </c>
      <c r="I49" t="s">
        <v>1178</v>
      </c>
      <c r="J49">
        <f t="shared" si="4"/>
        <v>4</v>
      </c>
      <c r="K49" t="str">
        <f t="shared" si="5"/>
        <v>,"point":{"x":25,"y":37}}, {"id":</v>
      </c>
      <c r="L49">
        <f t="shared" si="11"/>
        <v>235</v>
      </c>
      <c r="M49" t="s">
        <v>1178</v>
      </c>
      <c r="N49">
        <f t="shared" si="7"/>
        <v>5</v>
      </c>
      <c r="O49" s="1" t="s">
        <v>1180</v>
      </c>
      <c r="P49" s="1">
        <f>P44+1</f>
        <v>265</v>
      </c>
      <c r="Q49" s="1" t="str">
        <f t="shared" si="9"/>
        <v/>
      </c>
      <c r="R49" s="1" t="str">
        <f t="shared" si="9"/>
        <v/>
      </c>
      <c r="S49" s="1" t="s">
        <v>1181</v>
      </c>
    </row>
    <row r="50" spans="1:19" x14ac:dyDescent="0.15">
      <c r="A50">
        <v>1409016</v>
      </c>
      <c r="B50" t="str">
        <f t="shared" si="0"/>
        <v>[{"id":214,"num":5,"point":{"x":16,"y":20}}, {"id":214, "num":4,"point":{"x":25,"y":37}}, {"id":236, "num":5,"point":{"x":33,"y":16}}]</v>
      </c>
      <c r="C50" t="s">
        <v>1162</v>
      </c>
      <c r="D50">
        <f>D44+1</f>
        <v>214</v>
      </c>
      <c r="E50" t="s">
        <v>1163</v>
      </c>
      <c r="F50">
        <f t="shared" si="2"/>
        <v>5</v>
      </c>
      <c r="G50" t="str">
        <f t="shared" si="3"/>
        <v>,"point":{"x":16,"y":20}}, {"id":</v>
      </c>
      <c r="H50">
        <f t="shared" si="12"/>
        <v>214</v>
      </c>
      <c r="I50" t="s">
        <v>1178</v>
      </c>
      <c r="J50">
        <f t="shared" si="4"/>
        <v>4</v>
      </c>
      <c r="K50" t="str">
        <f t="shared" si="5"/>
        <v>,"point":{"x":25,"y":37}}, {"id":</v>
      </c>
      <c r="L50">
        <f t="shared" si="11"/>
        <v>236</v>
      </c>
      <c r="M50" t="s">
        <v>1178</v>
      </c>
      <c r="N50">
        <f t="shared" si="7"/>
        <v>5</v>
      </c>
      <c r="O50" t="str">
        <f t="shared" si="8"/>
        <v>,"point":{"x":33,"y":16}}]</v>
      </c>
      <c r="Q50" t="str">
        <f t="shared" si="9"/>
        <v/>
      </c>
      <c r="R50" t="str">
        <f t="shared" si="9"/>
        <v/>
      </c>
      <c r="S50" t="str">
        <f t="shared" si="10"/>
        <v/>
      </c>
    </row>
    <row r="51" spans="1:19" x14ac:dyDescent="0.15">
      <c r="A51">
        <v>1409017</v>
      </c>
      <c r="B51" t="str">
        <f t="shared" si="0"/>
        <v>[{"id":214,"num":5,"point":{"x":25,"y":35}}, {"id":214, "num":5,"point":{"x":33,"y":33}}, {"id":236, "num":6,"point":{"x":20,"y":18}}]</v>
      </c>
      <c r="C51" t="s">
        <v>1162</v>
      </c>
      <c r="D51">
        <f>D44+1</f>
        <v>214</v>
      </c>
      <c r="E51" t="s">
        <v>1163</v>
      </c>
      <c r="F51">
        <f t="shared" si="2"/>
        <v>5</v>
      </c>
      <c r="G51" t="str">
        <f t="shared" si="3"/>
        <v>,"point":{"x":25,"y":35}}, {"id":</v>
      </c>
      <c r="H51">
        <f t="shared" si="12"/>
        <v>214</v>
      </c>
      <c r="I51" t="s">
        <v>1178</v>
      </c>
      <c r="J51">
        <f t="shared" si="4"/>
        <v>5</v>
      </c>
      <c r="K51" t="str">
        <f t="shared" si="5"/>
        <v>,"point":{"x":33,"y":33}}, {"id":</v>
      </c>
      <c r="L51">
        <f t="shared" si="11"/>
        <v>236</v>
      </c>
      <c r="M51" t="s">
        <v>1178</v>
      </c>
      <c r="N51">
        <f t="shared" si="7"/>
        <v>6</v>
      </c>
      <c r="O51" t="str">
        <f t="shared" si="8"/>
        <v>,"point":{"x":20,"y":18}}]</v>
      </c>
      <c r="Q51" t="str">
        <f t="shared" si="9"/>
        <v/>
      </c>
      <c r="R51" t="str">
        <f t="shared" si="9"/>
        <v/>
      </c>
      <c r="S51" t="str">
        <f t="shared" si="10"/>
        <v/>
      </c>
    </row>
    <row r="52" spans="1:19" x14ac:dyDescent="0.15">
      <c r="A52">
        <v>1409018</v>
      </c>
      <c r="B52" t="str">
        <f t="shared" si="0"/>
        <v>[{"id":215,"num":6,"point":{"x":25,"y":35}}, {"id":215, "num":5,"point":{"x":33,"y":33}}, {"id":236, "num":6,"point":{"x":20,"y":18}}]</v>
      </c>
      <c r="C52" t="s">
        <v>1162</v>
      </c>
      <c r="D52">
        <f>D44+2</f>
        <v>215</v>
      </c>
      <c r="E52" t="s">
        <v>1163</v>
      </c>
      <c r="F52">
        <f t="shared" si="2"/>
        <v>6</v>
      </c>
      <c r="G52" t="str">
        <f t="shared" si="3"/>
        <v>,"point":{"x":25,"y":35}}, {"id":</v>
      </c>
      <c r="H52">
        <f t="shared" si="12"/>
        <v>215</v>
      </c>
      <c r="I52" t="s">
        <v>1178</v>
      </c>
      <c r="J52">
        <f t="shared" si="4"/>
        <v>5</v>
      </c>
      <c r="K52" t="str">
        <f t="shared" si="5"/>
        <v>,"point":{"x":33,"y":33}}, {"id":</v>
      </c>
      <c r="L52">
        <f t="shared" si="11"/>
        <v>236</v>
      </c>
      <c r="M52" t="s">
        <v>1178</v>
      </c>
      <c r="N52">
        <f t="shared" si="7"/>
        <v>6</v>
      </c>
      <c r="O52" t="str">
        <f t="shared" si="8"/>
        <v>,"point":{"x":20,"y":18}}]</v>
      </c>
      <c r="Q52" t="str">
        <f t="shared" si="9"/>
        <v/>
      </c>
      <c r="R52" t="str">
        <f t="shared" si="9"/>
        <v/>
      </c>
      <c r="S52" t="str">
        <f t="shared" si="10"/>
        <v/>
      </c>
    </row>
    <row r="53" spans="1:19" x14ac:dyDescent="0.15">
      <c r="A53">
        <v>1409019</v>
      </c>
      <c r="B53" t="str">
        <f t="shared" si="0"/>
        <v>[{"id":216,"num":6,"point":{"x":15,"y":35}}, {"id":216, "num":6,"point":{"x":26,"y":39}}, {"id":236, "num":7,"point":{"x":36,"y":37}}]</v>
      </c>
      <c r="C53" t="s">
        <v>1162</v>
      </c>
      <c r="D53">
        <f>D44+3</f>
        <v>216</v>
      </c>
      <c r="E53" t="s">
        <v>1163</v>
      </c>
      <c r="F53">
        <f t="shared" si="2"/>
        <v>6</v>
      </c>
      <c r="G53" t="str">
        <f t="shared" si="3"/>
        <v>,"point":{"x":15,"y":35}}, {"id":</v>
      </c>
      <c r="H53">
        <f t="shared" si="12"/>
        <v>216</v>
      </c>
      <c r="I53" t="s">
        <v>1178</v>
      </c>
      <c r="J53">
        <f t="shared" si="4"/>
        <v>6</v>
      </c>
      <c r="K53" t="str">
        <f t="shared" si="5"/>
        <v>,"point":{"x":26,"y":39}}, {"id":</v>
      </c>
      <c r="L53">
        <f t="shared" si="11"/>
        <v>236</v>
      </c>
      <c r="M53" t="s">
        <v>1178</v>
      </c>
      <c r="N53">
        <f t="shared" si="7"/>
        <v>7</v>
      </c>
      <c r="O53" t="str">
        <f t="shared" si="8"/>
        <v>,"point":{"x":36,"y":37}}]</v>
      </c>
      <c r="Q53" t="str">
        <f t="shared" si="9"/>
        <v/>
      </c>
      <c r="R53" t="str">
        <f t="shared" si="9"/>
        <v/>
      </c>
      <c r="S53" t="str">
        <f t="shared" si="10"/>
        <v/>
      </c>
    </row>
    <row r="54" spans="1:19" x14ac:dyDescent="0.15">
      <c r="A54">
        <v>1409020</v>
      </c>
      <c r="B54" t="str">
        <f t="shared" si="0"/>
        <v>[{"id":217,"num":6,"point":{"x":15,"y":35}}, {"id":217, "num":6,"point":{"x":26,"y":39}}, {"id":236, "num":7,"point":{"x":36,"y":37}}, {"id":266, "num":1,"point":{"x":25,"y":42}}]</v>
      </c>
      <c r="C54" t="s">
        <v>1162</v>
      </c>
      <c r="D54" s="1">
        <f>D44+4</f>
        <v>217</v>
      </c>
      <c r="E54" t="s">
        <v>1163</v>
      </c>
      <c r="F54">
        <f t="shared" si="2"/>
        <v>6</v>
      </c>
      <c r="G54" t="str">
        <f t="shared" si="3"/>
        <v>,"point":{"x":15,"y":35}}, {"id":</v>
      </c>
      <c r="H54">
        <f t="shared" si="12"/>
        <v>217</v>
      </c>
      <c r="I54" t="s">
        <v>1178</v>
      </c>
      <c r="J54">
        <f t="shared" si="4"/>
        <v>6</v>
      </c>
      <c r="K54" t="str">
        <f t="shared" si="5"/>
        <v>,"point":{"x":26,"y":39}}, {"id":</v>
      </c>
      <c r="L54">
        <f t="shared" si="11"/>
        <v>236</v>
      </c>
      <c r="M54" t="s">
        <v>1178</v>
      </c>
      <c r="N54">
        <f t="shared" si="7"/>
        <v>7</v>
      </c>
      <c r="O54" s="1" t="s">
        <v>1180</v>
      </c>
      <c r="P54" s="1">
        <f>P49+1</f>
        <v>266</v>
      </c>
      <c r="Q54" t="str">
        <f t="shared" si="9"/>
        <v>, "num":</v>
      </c>
      <c r="R54">
        <f t="shared" si="9"/>
        <v>1</v>
      </c>
      <c r="S54" t="str">
        <f t="shared" si="10"/>
        <v>,"point":{"x":25,"y":42}}]</v>
      </c>
    </row>
    <row r="55" spans="1:19" x14ac:dyDescent="0.15">
      <c r="A55">
        <v>1409021</v>
      </c>
      <c r="B55" t="str">
        <f t="shared" si="0"/>
        <v>[{"id":215,"num":2,"point":{"x":24,"y":37}}, {"id":215, "num":2,"point":{"x":15,"y":35}}, {"id":237, "num":3,"point":{"x":33,"y":33}}]</v>
      </c>
      <c r="C55" t="s">
        <v>1162</v>
      </c>
      <c r="D55">
        <f>D54-2</f>
        <v>215</v>
      </c>
      <c r="E55" t="s">
        <v>1163</v>
      </c>
      <c r="F55">
        <f t="shared" si="2"/>
        <v>2</v>
      </c>
      <c r="G55" t="str">
        <f t="shared" si="3"/>
        <v>,"point":{"x":24,"y":37}}, {"id":</v>
      </c>
      <c r="H55">
        <f t="shared" si="12"/>
        <v>215</v>
      </c>
      <c r="I55" t="s">
        <v>1178</v>
      </c>
      <c r="J55">
        <f t="shared" si="4"/>
        <v>2</v>
      </c>
      <c r="K55" t="str">
        <f t="shared" si="5"/>
        <v>,"point":{"x":15,"y":35}}, {"id":</v>
      </c>
      <c r="L55">
        <f t="shared" si="11"/>
        <v>237</v>
      </c>
      <c r="M55" t="s">
        <v>1178</v>
      </c>
      <c r="N55">
        <f t="shared" si="7"/>
        <v>3</v>
      </c>
      <c r="O55" t="str">
        <f t="shared" si="8"/>
        <v>,"point":{"x":33,"y":33}}]</v>
      </c>
      <c r="Q55" t="str">
        <f t="shared" si="9"/>
        <v/>
      </c>
      <c r="R55" t="str">
        <f t="shared" si="9"/>
        <v/>
      </c>
      <c r="S55" t="str">
        <f t="shared" si="10"/>
        <v/>
      </c>
    </row>
    <row r="56" spans="1:19" x14ac:dyDescent="0.15">
      <c r="A56">
        <v>1409022</v>
      </c>
      <c r="B56" t="str">
        <f t="shared" si="0"/>
        <v>[{"id":215,"num":3,"point":{"x":24,"y":37}}, {"id":215, "num":2,"point":{"x":15,"y":35}}, {"id":237, "num":3,"point":{"x":33,"y":33}}]</v>
      </c>
      <c r="C56" t="s">
        <v>1162</v>
      </c>
      <c r="D56">
        <f>D54-2</f>
        <v>215</v>
      </c>
      <c r="E56" t="s">
        <v>1163</v>
      </c>
      <c r="F56">
        <f t="shared" si="2"/>
        <v>3</v>
      </c>
      <c r="G56" t="str">
        <f t="shared" si="3"/>
        <v>,"point":{"x":24,"y":37}}, {"id":</v>
      </c>
      <c r="H56">
        <f t="shared" si="12"/>
        <v>215</v>
      </c>
      <c r="I56" t="s">
        <v>1178</v>
      </c>
      <c r="J56">
        <f t="shared" si="4"/>
        <v>2</v>
      </c>
      <c r="K56" t="str">
        <f t="shared" si="5"/>
        <v>,"point":{"x":15,"y":35}}, {"id":</v>
      </c>
      <c r="L56">
        <f t="shared" si="11"/>
        <v>237</v>
      </c>
      <c r="M56" t="s">
        <v>1178</v>
      </c>
      <c r="N56">
        <f t="shared" si="7"/>
        <v>3</v>
      </c>
      <c r="O56" t="str">
        <f t="shared" si="8"/>
        <v>,"point":{"x":33,"y":33}}]</v>
      </c>
      <c r="Q56" t="str">
        <f t="shared" si="9"/>
        <v/>
      </c>
      <c r="R56" t="str">
        <f t="shared" si="9"/>
        <v/>
      </c>
      <c r="S56" t="str">
        <f t="shared" si="10"/>
        <v/>
      </c>
    </row>
    <row r="57" spans="1:19" x14ac:dyDescent="0.15">
      <c r="A57">
        <v>1409023</v>
      </c>
      <c r="B57" t="str">
        <f t="shared" si="0"/>
        <v>[{"id":216,"num":3,"point":{"x":16,"y":38}}, {"id":216, "num":3,"point":{"x":35,"y":35}}, {"id":237, "num":4,"point":{"x":23,"y":12}}]</v>
      </c>
      <c r="C57" t="s">
        <v>1162</v>
      </c>
      <c r="D57">
        <f>D54-1</f>
        <v>216</v>
      </c>
      <c r="E57" t="s">
        <v>1163</v>
      </c>
      <c r="F57">
        <f t="shared" si="2"/>
        <v>3</v>
      </c>
      <c r="G57" t="str">
        <f t="shared" si="3"/>
        <v>,"point":{"x":16,"y":38}}, {"id":</v>
      </c>
      <c r="H57">
        <f t="shared" si="12"/>
        <v>216</v>
      </c>
      <c r="I57" t="s">
        <v>1178</v>
      </c>
      <c r="J57">
        <f t="shared" si="4"/>
        <v>3</v>
      </c>
      <c r="K57" t="str">
        <f t="shared" si="5"/>
        <v>,"point":{"x":35,"y":35}}, {"id":</v>
      </c>
      <c r="L57">
        <f t="shared" si="11"/>
        <v>237</v>
      </c>
      <c r="M57" t="s">
        <v>1178</v>
      </c>
      <c r="N57">
        <f t="shared" si="7"/>
        <v>4</v>
      </c>
      <c r="O57" t="str">
        <f t="shared" si="8"/>
        <v>,"point":{"x":23,"y":12}}]</v>
      </c>
      <c r="Q57" t="str">
        <f t="shared" si="9"/>
        <v/>
      </c>
      <c r="R57" t="str">
        <f t="shared" si="9"/>
        <v/>
      </c>
      <c r="S57" t="str">
        <f t="shared" si="10"/>
        <v/>
      </c>
    </row>
    <row r="58" spans="1:19" x14ac:dyDescent="0.15">
      <c r="A58">
        <v>1409024</v>
      </c>
      <c r="B58" t="str">
        <f t="shared" si="0"/>
        <v>[{"id":216,"num":4,"point":{"x":16,"y":38}}, {"id":216, "num":3,"point":{"x":35,"y":35}}, {"id":237, "num":4,"point":{"x":23,"y":12}}]</v>
      </c>
      <c r="C58" t="s">
        <v>1162</v>
      </c>
      <c r="D58">
        <f>D54-1</f>
        <v>216</v>
      </c>
      <c r="E58" t="s">
        <v>1163</v>
      </c>
      <c r="F58">
        <f t="shared" si="2"/>
        <v>4</v>
      </c>
      <c r="G58" t="str">
        <f t="shared" si="3"/>
        <v>,"point":{"x":16,"y":38}}, {"id":</v>
      </c>
      <c r="H58">
        <f t="shared" si="12"/>
        <v>216</v>
      </c>
      <c r="I58" t="s">
        <v>1178</v>
      </c>
      <c r="J58">
        <f t="shared" si="4"/>
        <v>3</v>
      </c>
      <c r="K58" t="str">
        <f t="shared" si="5"/>
        <v>,"point":{"x":35,"y":35}}, {"id":</v>
      </c>
      <c r="L58">
        <f t="shared" si="11"/>
        <v>237</v>
      </c>
      <c r="M58" t="s">
        <v>1178</v>
      </c>
      <c r="N58">
        <f t="shared" si="7"/>
        <v>4</v>
      </c>
      <c r="O58" t="str">
        <f t="shared" si="8"/>
        <v>,"point":{"x":23,"y":12}}]</v>
      </c>
      <c r="Q58" t="str">
        <f t="shared" si="9"/>
        <v/>
      </c>
      <c r="R58" t="str">
        <f t="shared" si="9"/>
        <v/>
      </c>
      <c r="S58" t="str">
        <f t="shared" si="10"/>
        <v/>
      </c>
    </row>
    <row r="59" spans="1:19" x14ac:dyDescent="0.15">
      <c r="A59">
        <v>1409025</v>
      </c>
      <c r="B59" t="str">
        <f t="shared" si="0"/>
        <v>[{"id":217,"num":4,"point":{"x":16,"y":20}}, {"id":217, "num":4,"point":{"x":25,"y":37}}, {"id":237, "num":5,"point":{"x":36,"y":37}}, {"id":267,"point":{"x":25,"y":42}}]</v>
      </c>
      <c r="C59" t="s">
        <v>1162</v>
      </c>
      <c r="D59">
        <f>D54</f>
        <v>217</v>
      </c>
      <c r="E59" t="s">
        <v>1163</v>
      </c>
      <c r="F59">
        <f t="shared" si="2"/>
        <v>4</v>
      </c>
      <c r="G59" t="str">
        <f t="shared" si="3"/>
        <v>,"point":{"x":16,"y":20}}, {"id":</v>
      </c>
      <c r="H59">
        <f t="shared" si="12"/>
        <v>217</v>
      </c>
      <c r="I59" t="s">
        <v>1178</v>
      </c>
      <c r="J59">
        <f t="shared" si="4"/>
        <v>4</v>
      </c>
      <c r="K59" t="str">
        <f t="shared" si="5"/>
        <v>,"point":{"x":25,"y":37}}, {"id":</v>
      </c>
      <c r="L59">
        <f t="shared" si="11"/>
        <v>237</v>
      </c>
      <c r="M59" t="s">
        <v>1178</v>
      </c>
      <c r="N59">
        <f t="shared" si="7"/>
        <v>5</v>
      </c>
      <c r="O59" s="1" t="str">
        <f t="shared" si="8"/>
        <v>,"point":{"x":36,"y":37}}, {"id":</v>
      </c>
      <c r="P59" s="1">
        <f>P54+1</f>
        <v>267</v>
      </c>
      <c r="Q59" s="1" t="str">
        <f t="shared" si="9"/>
        <v/>
      </c>
      <c r="R59" s="1" t="str">
        <f t="shared" si="9"/>
        <v/>
      </c>
      <c r="S59" s="1" t="s">
        <v>1181</v>
      </c>
    </row>
    <row r="60" spans="1:19" x14ac:dyDescent="0.15">
      <c r="A60">
        <v>1409026</v>
      </c>
      <c r="B60" t="str">
        <f t="shared" si="0"/>
        <v>[{"id":218,"num":5,"point":{"x":16,"y":20}}, {"id":218, "num":4,"point":{"x":25,"y":37}}, {"id":238, "num":5,"point":{"x":33,"y":16}}]</v>
      </c>
      <c r="C60" t="s">
        <v>1162</v>
      </c>
      <c r="D60">
        <f>D54+1</f>
        <v>218</v>
      </c>
      <c r="E60" t="s">
        <v>1163</v>
      </c>
      <c r="F60">
        <f t="shared" si="2"/>
        <v>5</v>
      </c>
      <c r="G60" t="str">
        <f t="shared" si="3"/>
        <v>,"point":{"x":16,"y":20}}, {"id":</v>
      </c>
      <c r="H60">
        <f t="shared" si="12"/>
        <v>218</v>
      </c>
      <c r="I60" t="s">
        <v>1178</v>
      </c>
      <c r="J60">
        <f t="shared" si="4"/>
        <v>4</v>
      </c>
      <c r="K60" t="str">
        <f t="shared" si="5"/>
        <v>,"point":{"x":25,"y":37}}, {"id":</v>
      </c>
      <c r="L60">
        <f t="shared" si="11"/>
        <v>238</v>
      </c>
      <c r="M60" t="s">
        <v>1178</v>
      </c>
      <c r="N60">
        <f t="shared" si="7"/>
        <v>5</v>
      </c>
      <c r="O60" t="str">
        <f t="shared" si="8"/>
        <v>,"point":{"x":33,"y":16}}]</v>
      </c>
      <c r="Q60" t="str">
        <f t="shared" si="9"/>
        <v/>
      </c>
      <c r="R60" t="str">
        <f t="shared" si="9"/>
        <v/>
      </c>
      <c r="S60" t="str">
        <f t="shared" si="10"/>
        <v/>
      </c>
    </row>
    <row r="61" spans="1:19" x14ac:dyDescent="0.15">
      <c r="A61">
        <v>1409027</v>
      </c>
      <c r="B61" t="str">
        <f t="shared" si="0"/>
        <v>[{"id":218,"num":5,"point":{"x":25,"y":35}}, {"id":218, "num":5,"point":{"x":33,"y":33}}, {"id":238, "num":6,"point":{"x":20,"y":18}}]</v>
      </c>
      <c r="C61" t="s">
        <v>1162</v>
      </c>
      <c r="D61">
        <f>D54+1</f>
        <v>218</v>
      </c>
      <c r="E61" t="s">
        <v>1163</v>
      </c>
      <c r="F61">
        <f t="shared" si="2"/>
        <v>5</v>
      </c>
      <c r="G61" t="str">
        <f t="shared" si="3"/>
        <v>,"point":{"x":25,"y":35}}, {"id":</v>
      </c>
      <c r="H61">
        <f t="shared" si="12"/>
        <v>218</v>
      </c>
      <c r="I61" t="s">
        <v>1178</v>
      </c>
      <c r="J61">
        <f t="shared" si="4"/>
        <v>5</v>
      </c>
      <c r="K61" t="str">
        <f t="shared" si="5"/>
        <v>,"point":{"x":33,"y":33}}, {"id":</v>
      </c>
      <c r="L61">
        <f t="shared" si="11"/>
        <v>238</v>
      </c>
      <c r="M61" t="s">
        <v>1178</v>
      </c>
      <c r="N61">
        <f t="shared" si="7"/>
        <v>6</v>
      </c>
      <c r="O61" t="str">
        <f t="shared" si="8"/>
        <v>,"point":{"x":20,"y":18}}]</v>
      </c>
      <c r="Q61" t="str">
        <f t="shared" si="9"/>
        <v/>
      </c>
      <c r="R61" t="str">
        <f t="shared" si="9"/>
        <v/>
      </c>
      <c r="S61" t="str">
        <f t="shared" si="10"/>
        <v/>
      </c>
    </row>
    <row r="62" spans="1:19" x14ac:dyDescent="0.15">
      <c r="A62">
        <v>1409028</v>
      </c>
      <c r="B62" t="str">
        <f t="shared" si="0"/>
        <v>[{"id":219,"num":6,"point":{"x":25,"y":35}}, {"id":219, "num":5,"point":{"x":33,"y":33}}, {"id":238, "num":6,"point":{"x":20,"y":18}}]</v>
      </c>
      <c r="C62" t="s">
        <v>1162</v>
      </c>
      <c r="D62">
        <f>D54+2</f>
        <v>219</v>
      </c>
      <c r="E62" t="s">
        <v>1163</v>
      </c>
      <c r="F62">
        <f t="shared" si="2"/>
        <v>6</v>
      </c>
      <c r="G62" t="str">
        <f t="shared" si="3"/>
        <v>,"point":{"x":25,"y":35}}, {"id":</v>
      </c>
      <c r="H62">
        <f t="shared" si="12"/>
        <v>219</v>
      </c>
      <c r="I62" t="s">
        <v>1178</v>
      </c>
      <c r="J62">
        <f t="shared" si="4"/>
        <v>5</v>
      </c>
      <c r="K62" t="str">
        <f t="shared" si="5"/>
        <v>,"point":{"x":33,"y":33}}, {"id":</v>
      </c>
      <c r="L62">
        <f t="shared" si="11"/>
        <v>238</v>
      </c>
      <c r="M62" t="s">
        <v>1178</v>
      </c>
      <c r="N62">
        <f t="shared" si="7"/>
        <v>6</v>
      </c>
      <c r="O62" t="str">
        <f t="shared" si="8"/>
        <v>,"point":{"x":20,"y":18}}]</v>
      </c>
      <c r="Q62" t="str">
        <f t="shared" si="9"/>
        <v/>
      </c>
      <c r="R62" t="str">
        <f t="shared" si="9"/>
        <v/>
      </c>
      <c r="S62" t="str">
        <f t="shared" si="10"/>
        <v/>
      </c>
    </row>
    <row r="63" spans="1:19" x14ac:dyDescent="0.15">
      <c r="A63">
        <v>1409029</v>
      </c>
      <c r="B63" t="str">
        <f t="shared" si="0"/>
        <v>[{"id":220,"num":6,"point":{"x":15,"y":35}}, {"id":220, "num":6,"point":{"x":26,"y":39}}, {"id":238, "num":7,"point":{"x":36,"y":37}}]</v>
      </c>
      <c r="C63" t="s">
        <v>1162</v>
      </c>
      <c r="D63">
        <f>D54+3</f>
        <v>220</v>
      </c>
      <c r="E63" t="s">
        <v>1163</v>
      </c>
      <c r="F63">
        <f t="shared" si="2"/>
        <v>6</v>
      </c>
      <c r="G63" t="str">
        <f t="shared" si="3"/>
        <v>,"point":{"x":15,"y":35}}, {"id":</v>
      </c>
      <c r="H63">
        <f t="shared" si="12"/>
        <v>220</v>
      </c>
      <c r="I63" t="s">
        <v>1178</v>
      </c>
      <c r="J63">
        <f t="shared" si="4"/>
        <v>6</v>
      </c>
      <c r="K63" t="str">
        <f t="shared" si="5"/>
        <v>,"point":{"x":26,"y":39}}, {"id":</v>
      </c>
      <c r="L63">
        <f t="shared" si="11"/>
        <v>238</v>
      </c>
      <c r="M63" t="s">
        <v>1178</v>
      </c>
      <c r="N63">
        <f t="shared" si="7"/>
        <v>7</v>
      </c>
      <c r="O63" t="str">
        <f t="shared" si="8"/>
        <v>,"point":{"x":36,"y":37}}]</v>
      </c>
      <c r="Q63" t="str">
        <f t="shared" si="9"/>
        <v/>
      </c>
      <c r="R63" t="str">
        <f t="shared" si="9"/>
        <v/>
      </c>
      <c r="S63" t="str">
        <f t="shared" si="10"/>
        <v/>
      </c>
    </row>
    <row r="64" spans="1:19" x14ac:dyDescent="0.15">
      <c r="A64">
        <v>1409030</v>
      </c>
      <c r="B64" t="str">
        <f t="shared" si="0"/>
        <v>[{"id":221,"num":6,"point":{"x":15,"y":35}}, {"id":221, "num":6,"point":{"x":26,"y":39}}, {"id":238, "num":7,"point":{"x":36,"y":37}}, {"id":268, "num":1,"point":{"x":25,"y":42}}]</v>
      </c>
      <c r="C64" t="s">
        <v>1162</v>
      </c>
      <c r="D64" s="1">
        <f>D54+4</f>
        <v>221</v>
      </c>
      <c r="E64" t="s">
        <v>1163</v>
      </c>
      <c r="F64">
        <f t="shared" si="2"/>
        <v>6</v>
      </c>
      <c r="G64" t="str">
        <f t="shared" si="3"/>
        <v>,"point":{"x":15,"y":35}}, {"id":</v>
      </c>
      <c r="H64">
        <f t="shared" si="12"/>
        <v>221</v>
      </c>
      <c r="I64" t="s">
        <v>1178</v>
      </c>
      <c r="J64">
        <f t="shared" si="4"/>
        <v>6</v>
      </c>
      <c r="K64" t="str">
        <f t="shared" si="5"/>
        <v>,"point":{"x":26,"y":39}}, {"id":</v>
      </c>
      <c r="L64">
        <f t="shared" si="11"/>
        <v>238</v>
      </c>
      <c r="M64" t="s">
        <v>1178</v>
      </c>
      <c r="N64">
        <f t="shared" si="7"/>
        <v>7</v>
      </c>
      <c r="O64" t="str">
        <f t="shared" si="8"/>
        <v>,"point":{"x":36,"y":37}}, {"id":</v>
      </c>
      <c r="P64" s="1">
        <f>P59+1</f>
        <v>268</v>
      </c>
      <c r="Q64" t="str">
        <f t="shared" si="9"/>
        <v>, "num":</v>
      </c>
      <c r="R64">
        <f t="shared" si="9"/>
        <v>1</v>
      </c>
      <c r="S64" t="str">
        <f t="shared" si="10"/>
        <v>,"point":{"x":25,"y":42}}]</v>
      </c>
    </row>
    <row r="65" spans="1:19" x14ac:dyDescent="0.15">
      <c r="A65">
        <v>1409031</v>
      </c>
      <c r="B65" t="str">
        <f t="shared" si="0"/>
        <v>[{"id":219,"num":2,"point":{"x":24,"y":37}}, {"id":219, "num":2,"point":{"x":15,"y":35}}, {"id":239, "num":3,"point":{"x":33,"y":33}}]</v>
      </c>
      <c r="C65" t="s">
        <v>1162</v>
      </c>
      <c r="D65">
        <f>D64-2</f>
        <v>219</v>
      </c>
      <c r="E65" t="s">
        <v>1163</v>
      </c>
      <c r="F65">
        <f t="shared" si="2"/>
        <v>2</v>
      </c>
      <c r="G65" t="str">
        <f t="shared" si="3"/>
        <v>,"point":{"x":24,"y":37}}, {"id":</v>
      </c>
      <c r="H65">
        <f t="shared" si="12"/>
        <v>219</v>
      </c>
      <c r="I65" t="s">
        <v>1178</v>
      </c>
      <c r="J65">
        <f t="shared" si="4"/>
        <v>2</v>
      </c>
      <c r="K65" t="str">
        <f t="shared" si="5"/>
        <v>,"point":{"x":15,"y":35}}, {"id":</v>
      </c>
      <c r="L65">
        <f t="shared" si="11"/>
        <v>239</v>
      </c>
      <c r="M65" t="s">
        <v>1178</v>
      </c>
      <c r="N65">
        <f t="shared" si="7"/>
        <v>3</v>
      </c>
      <c r="O65" t="str">
        <f t="shared" si="8"/>
        <v>,"point":{"x":33,"y":33}}]</v>
      </c>
      <c r="Q65" t="str">
        <f t="shared" si="9"/>
        <v/>
      </c>
      <c r="R65" t="str">
        <f t="shared" si="9"/>
        <v/>
      </c>
      <c r="S65" t="str">
        <f t="shared" si="10"/>
        <v/>
      </c>
    </row>
    <row r="66" spans="1:19" x14ac:dyDescent="0.15">
      <c r="A66">
        <v>1409032</v>
      </c>
      <c r="B66" t="str">
        <f t="shared" si="0"/>
        <v>[{"id":219,"num":3,"point":{"x":24,"y":37}}, {"id":219, "num":2,"point":{"x":15,"y":35}}, {"id":239, "num":3,"point":{"x":33,"y":33}}]</v>
      </c>
      <c r="C66" t="s">
        <v>1162</v>
      </c>
      <c r="D66">
        <f>D64-2</f>
        <v>219</v>
      </c>
      <c r="E66" t="s">
        <v>1163</v>
      </c>
      <c r="F66">
        <f t="shared" si="2"/>
        <v>3</v>
      </c>
      <c r="G66" t="str">
        <f t="shared" si="3"/>
        <v>,"point":{"x":24,"y":37}}, {"id":</v>
      </c>
      <c r="H66">
        <f t="shared" si="12"/>
        <v>219</v>
      </c>
      <c r="I66" t="s">
        <v>1178</v>
      </c>
      <c r="J66">
        <f t="shared" si="4"/>
        <v>2</v>
      </c>
      <c r="K66" t="str">
        <f t="shared" si="5"/>
        <v>,"point":{"x":15,"y":35}}, {"id":</v>
      </c>
      <c r="L66">
        <f t="shared" si="11"/>
        <v>239</v>
      </c>
      <c r="M66" t="s">
        <v>1178</v>
      </c>
      <c r="N66">
        <f t="shared" si="7"/>
        <v>3</v>
      </c>
      <c r="O66" t="str">
        <f t="shared" si="8"/>
        <v>,"point":{"x":33,"y":33}}]</v>
      </c>
      <c r="Q66" t="str">
        <f t="shared" si="9"/>
        <v/>
      </c>
      <c r="R66" t="str">
        <f t="shared" si="9"/>
        <v/>
      </c>
      <c r="S66" t="str">
        <f t="shared" si="10"/>
        <v/>
      </c>
    </row>
    <row r="67" spans="1:19" x14ac:dyDescent="0.15">
      <c r="A67">
        <v>1409033</v>
      </c>
      <c r="B67" t="str">
        <f t="shared" si="0"/>
        <v>[{"id":220,"num":3,"point":{"x":16,"y":38}}, {"id":220, "num":3,"point":{"x":35,"y":35}}, {"id":239, "num":4,"point":{"x":23,"y":12}}]</v>
      </c>
      <c r="C67" t="s">
        <v>1162</v>
      </c>
      <c r="D67">
        <f>D64-1</f>
        <v>220</v>
      </c>
      <c r="E67" t="s">
        <v>1163</v>
      </c>
      <c r="F67">
        <f t="shared" si="2"/>
        <v>3</v>
      </c>
      <c r="G67" t="str">
        <f t="shared" si="3"/>
        <v>,"point":{"x":16,"y":38}}, {"id":</v>
      </c>
      <c r="H67">
        <f t="shared" si="12"/>
        <v>220</v>
      </c>
      <c r="I67" t="s">
        <v>1178</v>
      </c>
      <c r="J67">
        <f t="shared" si="4"/>
        <v>3</v>
      </c>
      <c r="K67" t="str">
        <f t="shared" si="5"/>
        <v>,"point":{"x":35,"y":35}}, {"id":</v>
      </c>
      <c r="L67">
        <f t="shared" si="11"/>
        <v>239</v>
      </c>
      <c r="M67" t="s">
        <v>1178</v>
      </c>
      <c r="N67">
        <f t="shared" si="7"/>
        <v>4</v>
      </c>
      <c r="O67" t="str">
        <f t="shared" si="8"/>
        <v>,"point":{"x":23,"y":12}}]</v>
      </c>
      <c r="Q67" t="str">
        <f t="shared" si="9"/>
        <v/>
      </c>
      <c r="R67" t="str">
        <f t="shared" si="9"/>
        <v/>
      </c>
      <c r="S67" t="str">
        <f t="shared" si="10"/>
        <v/>
      </c>
    </row>
    <row r="68" spans="1:19" x14ac:dyDescent="0.15">
      <c r="A68">
        <v>1409034</v>
      </c>
      <c r="B68" t="str">
        <f t="shared" si="0"/>
        <v>[{"id":220,"num":4,"point":{"x":16,"y":38}}, {"id":220, "num":3,"point":{"x":35,"y":35}}, {"id":239, "num":4,"point":{"x":23,"y":12}}]</v>
      </c>
      <c r="C68" t="s">
        <v>1162</v>
      </c>
      <c r="D68">
        <f>D64-1</f>
        <v>220</v>
      </c>
      <c r="E68" t="s">
        <v>1163</v>
      </c>
      <c r="F68">
        <f t="shared" si="2"/>
        <v>4</v>
      </c>
      <c r="G68" t="str">
        <f t="shared" si="3"/>
        <v>,"point":{"x":16,"y":38}}, {"id":</v>
      </c>
      <c r="H68">
        <f t="shared" si="12"/>
        <v>220</v>
      </c>
      <c r="I68" t="s">
        <v>1178</v>
      </c>
      <c r="J68">
        <f t="shared" si="4"/>
        <v>3</v>
      </c>
      <c r="K68" t="str">
        <f t="shared" si="5"/>
        <v>,"point":{"x":35,"y":35}}, {"id":</v>
      </c>
      <c r="L68">
        <f t="shared" si="11"/>
        <v>239</v>
      </c>
      <c r="M68" t="s">
        <v>1178</v>
      </c>
      <c r="N68">
        <f t="shared" si="7"/>
        <v>4</v>
      </c>
      <c r="O68" t="str">
        <f t="shared" si="8"/>
        <v>,"point":{"x":23,"y":12}}]</v>
      </c>
      <c r="Q68" t="str">
        <f t="shared" si="9"/>
        <v/>
      </c>
      <c r="R68" t="str">
        <f t="shared" si="9"/>
        <v/>
      </c>
      <c r="S68" t="str">
        <f t="shared" si="10"/>
        <v/>
      </c>
    </row>
    <row r="69" spans="1:19" x14ac:dyDescent="0.15">
      <c r="A69">
        <v>1409035</v>
      </c>
      <c r="B69" t="str">
        <f t="shared" si="0"/>
        <v>[{"id":221,"num":4,"point":{"x":16,"y":20}}, {"id":221, "num":4,"point":{"x":25,"y":37}}, {"id":239, "num":5,"point":{"x":36,"y":37}}, {"id":269,"point":{"x":25,"y":42}}]</v>
      </c>
      <c r="C69" t="s">
        <v>1162</v>
      </c>
      <c r="D69">
        <f>D64</f>
        <v>221</v>
      </c>
      <c r="E69" t="s">
        <v>1163</v>
      </c>
      <c r="F69">
        <f t="shared" si="2"/>
        <v>4</v>
      </c>
      <c r="G69" t="str">
        <f t="shared" si="3"/>
        <v>,"point":{"x":16,"y":20}}, {"id":</v>
      </c>
      <c r="H69">
        <f t="shared" si="12"/>
        <v>221</v>
      </c>
      <c r="I69" t="s">
        <v>1178</v>
      </c>
      <c r="J69">
        <f t="shared" si="4"/>
        <v>4</v>
      </c>
      <c r="K69" t="str">
        <f t="shared" si="5"/>
        <v>,"point":{"x":25,"y":37}}, {"id":</v>
      </c>
      <c r="L69">
        <f t="shared" si="11"/>
        <v>239</v>
      </c>
      <c r="M69" t="s">
        <v>1178</v>
      </c>
      <c r="N69">
        <f t="shared" si="7"/>
        <v>5</v>
      </c>
      <c r="O69" s="1" t="str">
        <f t="shared" si="8"/>
        <v>,"point":{"x":36,"y":37}}, {"id":</v>
      </c>
      <c r="P69" s="1">
        <f>P64+1</f>
        <v>269</v>
      </c>
      <c r="Q69" s="1" t="str">
        <f t="shared" si="9"/>
        <v/>
      </c>
      <c r="R69" s="1" t="str">
        <f t="shared" si="9"/>
        <v/>
      </c>
      <c r="S69" s="1" t="s">
        <v>1181</v>
      </c>
    </row>
    <row r="70" spans="1:19" x14ac:dyDescent="0.15">
      <c r="A70">
        <v>1409036</v>
      </c>
      <c r="B70" t="str">
        <f t="shared" si="0"/>
        <v>[{"id":222,"num":5,"point":{"x":16,"y":20}}, {"id":222, "num":4,"point":{"x":25,"y":37}}, {"id":240, "num":5,"point":{"x":33,"y":16}}]</v>
      </c>
      <c r="C70" t="s">
        <v>1162</v>
      </c>
      <c r="D70">
        <f>D64+1</f>
        <v>222</v>
      </c>
      <c r="E70" t="s">
        <v>1163</v>
      </c>
      <c r="F70">
        <f t="shared" si="2"/>
        <v>5</v>
      </c>
      <c r="G70" t="str">
        <f t="shared" si="3"/>
        <v>,"point":{"x":16,"y":20}}, {"id":</v>
      </c>
      <c r="H70">
        <f t="shared" si="12"/>
        <v>222</v>
      </c>
      <c r="I70" t="s">
        <v>1178</v>
      </c>
      <c r="J70">
        <f t="shared" si="4"/>
        <v>4</v>
      </c>
      <c r="K70" t="str">
        <f t="shared" si="5"/>
        <v>,"point":{"x":25,"y":37}}, {"id":</v>
      </c>
      <c r="L70">
        <f t="shared" si="11"/>
        <v>240</v>
      </c>
      <c r="M70" t="s">
        <v>1178</v>
      </c>
      <c r="N70">
        <f t="shared" si="7"/>
        <v>5</v>
      </c>
      <c r="O70" t="str">
        <f t="shared" si="8"/>
        <v>,"point":{"x":33,"y":16}}]</v>
      </c>
      <c r="Q70" t="str">
        <f t="shared" si="9"/>
        <v/>
      </c>
      <c r="R70" t="str">
        <f t="shared" si="9"/>
        <v/>
      </c>
      <c r="S70" t="str">
        <f t="shared" si="10"/>
        <v/>
      </c>
    </row>
    <row r="71" spans="1:19" x14ac:dyDescent="0.15">
      <c r="A71">
        <v>1409037</v>
      </c>
      <c r="B71" t="str">
        <f t="shared" si="0"/>
        <v>[{"id":222,"num":5,"point":{"x":25,"y":35}}, {"id":222, "num":5,"point":{"x":33,"y":33}}, {"id":240, "num":6,"point":{"x":20,"y":18}}]</v>
      </c>
      <c r="C71" t="s">
        <v>1162</v>
      </c>
      <c r="D71">
        <f>D64+1</f>
        <v>222</v>
      </c>
      <c r="E71" t="s">
        <v>1163</v>
      </c>
      <c r="F71">
        <f t="shared" si="2"/>
        <v>5</v>
      </c>
      <c r="G71" t="str">
        <f t="shared" si="3"/>
        <v>,"point":{"x":25,"y":35}}, {"id":</v>
      </c>
      <c r="H71">
        <f t="shared" si="12"/>
        <v>222</v>
      </c>
      <c r="I71" t="s">
        <v>1178</v>
      </c>
      <c r="J71">
        <f t="shared" si="4"/>
        <v>5</v>
      </c>
      <c r="K71" t="str">
        <f t="shared" si="5"/>
        <v>,"point":{"x":33,"y":33}}, {"id":</v>
      </c>
      <c r="L71">
        <f t="shared" si="11"/>
        <v>240</v>
      </c>
      <c r="M71" t="s">
        <v>1178</v>
      </c>
      <c r="N71">
        <f t="shared" si="7"/>
        <v>6</v>
      </c>
      <c r="O71" t="str">
        <f t="shared" si="8"/>
        <v>,"point":{"x":20,"y":18}}]</v>
      </c>
      <c r="Q71" t="str">
        <f t="shared" si="9"/>
        <v/>
      </c>
      <c r="R71" t="str">
        <f t="shared" si="9"/>
        <v/>
      </c>
      <c r="S71" t="str">
        <f t="shared" si="10"/>
        <v/>
      </c>
    </row>
    <row r="72" spans="1:19" x14ac:dyDescent="0.15">
      <c r="A72">
        <v>1409038</v>
      </c>
      <c r="B72" t="str">
        <f t="shared" si="0"/>
        <v>[{"id":223,"num":6,"point":{"x":25,"y":35}}, {"id":223, "num":5,"point":{"x":33,"y":33}}, {"id":240, "num":6,"point":{"x":20,"y":18}}]</v>
      </c>
      <c r="C72" t="s">
        <v>1162</v>
      </c>
      <c r="D72">
        <f>D64+2</f>
        <v>223</v>
      </c>
      <c r="E72" t="s">
        <v>1163</v>
      </c>
      <c r="F72">
        <f t="shared" si="2"/>
        <v>6</v>
      </c>
      <c r="G72" t="str">
        <f t="shared" si="3"/>
        <v>,"point":{"x":25,"y":35}}, {"id":</v>
      </c>
      <c r="H72">
        <f t="shared" si="12"/>
        <v>223</v>
      </c>
      <c r="I72" t="s">
        <v>1178</v>
      </c>
      <c r="J72">
        <f t="shared" si="4"/>
        <v>5</v>
      </c>
      <c r="K72" t="str">
        <f t="shared" si="5"/>
        <v>,"point":{"x":33,"y":33}}, {"id":</v>
      </c>
      <c r="L72">
        <f t="shared" si="11"/>
        <v>240</v>
      </c>
      <c r="M72" t="s">
        <v>1178</v>
      </c>
      <c r="N72">
        <f t="shared" si="7"/>
        <v>6</v>
      </c>
      <c r="O72" t="str">
        <f t="shared" si="8"/>
        <v>,"point":{"x":20,"y":18}}]</v>
      </c>
      <c r="Q72" t="str">
        <f t="shared" si="9"/>
        <v/>
      </c>
      <c r="R72" t="str">
        <f t="shared" si="9"/>
        <v/>
      </c>
      <c r="S72" t="str">
        <f t="shared" si="10"/>
        <v/>
      </c>
    </row>
    <row r="73" spans="1:19" x14ac:dyDescent="0.15">
      <c r="A73">
        <v>1409039</v>
      </c>
      <c r="B73" t="str">
        <f t="shared" si="0"/>
        <v>[{"id":224,"num":6,"point":{"x":15,"y":35}}, {"id":224, "num":6,"point":{"x":26,"y":39}}, {"id":240, "num":7,"point":{"x":36,"y":37}}]</v>
      </c>
      <c r="C73" t="s">
        <v>1162</v>
      </c>
      <c r="D73">
        <f>D64+3</f>
        <v>224</v>
      </c>
      <c r="E73" t="s">
        <v>1163</v>
      </c>
      <c r="F73">
        <f t="shared" si="2"/>
        <v>6</v>
      </c>
      <c r="G73" t="str">
        <f t="shared" si="3"/>
        <v>,"point":{"x":15,"y":35}}, {"id":</v>
      </c>
      <c r="H73">
        <f t="shared" si="12"/>
        <v>224</v>
      </c>
      <c r="I73" t="s">
        <v>1178</v>
      </c>
      <c r="J73">
        <f t="shared" si="4"/>
        <v>6</v>
      </c>
      <c r="K73" t="str">
        <f t="shared" si="5"/>
        <v>,"point":{"x":26,"y":39}}, {"id":</v>
      </c>
      <c r="L73">
        <f t="shared" si="11"/>
        <v>240</v>
      </c>
      <c r="M73" t="s">
        <v>1178</v>
      </c>
      <c r="N73">
        <f t="shared" si="7"/>
        <v>7</v>
      </c>
      <c r="O73" t="str">
        <f t="shared" si="8"/>
        <v>,"point":{"x":36,"y":37}}]</v>
      </c>
      <c r="Q73" t="str">
        <f t="shared" si="9"/>
        <v/>
      </c>
      <c r="R73" t="str">
        <f t="shared" si="9"/>
        <v/>
      </c>
      <c r="S73" t="str">
        <f t="shared" si="10"/>
        <v/>
      </c>
    </row>
    <row r="74" spans="1:19" s="1" customFormat="1" x14ac:dyDescent="0.15">
      <c r="A74" s="1">
        <v>1409040</v>
      </c>
      <c r="B74" t="str">
        <f t="shared" si="0"/>
        <v>[{"id":225,"num":6,"point":{"x":15,"y":35}}, {"id":225, "num":6,"point":{"x":26,"y":39}}, {"id":240, "num":7,"point":{"x":36,"y":37}}, {"id":270, "num":1,"point":{"x":25,"y":42}}]</v>
      </c>
      <c r="C74" s="1" t="s">
        <v>1162</v>
      </c>
      <c r="D74" s="1">
        <f>D64+4</f>
        <v>225</v>
      </c>
      <c r="E74" t="s">
        <v>1163</v>
      </c>
      <c r="F74">
        <f t="shared" si="2"/>
        <v>6</v>
      </c>
      <c r="G74" t="str">
        <f t="shared" si="3"/>
        <v>,"point":{"x":15,"y":35}}, {"id":</v>
      </c>
      <c r="H74">
        <f t="shared" si="12"/>
        <v>225</v>
      </c>
      <c r="I74" t="s">
        <v>1178</v>
      </c>
      <c r="J74">
        <f t="shared" si="4"/>
        <v>6</v>
      </c>
      <c r="K74" t="str">
        <f t="shared" si="5"/>
        <v>,"point":{"x":26,"y":39}}, {"id":</v>
      </c>
      <c r="L74">
        <f t="shared" si="11"/>
        <v>240</v>
      </c>
      <c r="M74" t="s">
        <v>1178</v>
      </c>
      <c r="N74">
        <f t="shared" si="7"/>
        <v>7</v>
      </c>
      <c r="O74" t="str">
        <f t="shared" si="8"/>
        <v>,"point":{"x":36,"y":37}}, {"id":</v>
      </c>
      <c r="P74" s="1">
        <f>P69+1</f>
        <v>270</v>
      </c>
      <c r="Q74" t="str">
        <f t="shared" si="9"/>
        <v>, "num":</v>
      </c>
      <c r="R74">
        <f t="shared" si="9"/>
        <v>1</v>
      </c>
      <c r="S74" t="str">
        <f t="shared" si="10"/>
        <v>,"point":{"x":25,"y":42}}]</v>
      </c>
    </row>
    <row r="75" spans="1:19" x14ac:dyDescent="0.15">
      <c r="A75">
        <v>1410001</v>
      </c>
      <c r="B75" t="str">
        <f t="shared" ref="B75:B106" si="13">CONCATENATE(C75,D75,E75,F75,G75,H75,I75,J75,K75,L75,M75,N75,O75,P75,Q75,R75,S75)</f>
        <v>[{"id":223,"num":2,"point":{"x":24,"y":37}}, {"id":223, "num":2,"point":{"x":15,"y":35}}, {"id":241, "num":3,"point":{"x":33,"y":33}}]</v>
      </c>
      <c r="C75" s="1" t="s">
        <v>1162</v>
      </c>
      <c r="D75" s="1">
        <f t="shared" ref="D75:D106" si="14">D65+4</f>
        <v>223</v>
      </c>
      <c r="E75" t="s">
        <v>1163</v>
      </c>
      <c r="F75">
        <f t="shared" ref="F75:F106" si="15">F65</f>
        <v>2</v>
      </c>
      <c r="G75" t="str">
        <f t="shared" ref="G75:G106" si="16">G65</f>
        <v>,"point":{"x":24,"y":37}}, {"id":</v>
      </c>
      <c r="H75">
        <f t="shared" ref="H75:H106" si="17">D75</f>
        <v>223</v>
      </c>
      <c r="I75" t="s">
        <v>1178</v>
      </c>
      <c r="J75">
        <f t="shared" ref="J75:J106" si="18">J65</f>
        <v>2</v>
      </c>
      <c r="K75" t="str">
        <f t="shared" ref="K75:K106" si="19">K65</f>
        <v>,"point":{"x":15,"y":35}}, {"id":</v>
      </c>
      <c r="L75">
        <f t="shared" ref="L75:L106" si="20">L70+1</f>
        <v>241</v>
      </c>
      <c r="M75" t="s">
        <v>1178</v>
      </c>
      <c r="N75">
        <f t="shared" ref="N75:N106" si="21">N65</f>
        <v>3</v>
      </c>
      <c r="O75" t="str">
        <f t="shared" ref="O75:O106" si="22">O65</f>
        <v>,"point":{"x":33,"y":33}}]</v>
      </c>
      <c r="Q75" t="str">
        <f t="shared" ref="Q75:Q106" si="23">IF(Q65=0,"",Q65)</f>
        <v/>
      </c>
      <c r="R75" t="str">
        <f t="shared" ref="R75:R106" si="24">IF(R65=0,"",R65)</f>
        <v/>
      </c>
      <c r="S75" t="str">
        <f t="shared" ref="S75:S106" si="25">IF(S65=0,"",S65)</f>
        <v/>
      </c>
    </row>
    <row r="76" spans="1:19" x14ac:dyDescent="0.15">
      <c r="A76">
        <v>1410002</v>
      </c>
      <c r="B76" t="str">
        <f t="shared" si="13"/>
        <v>[{"id":223,"num":3,"point":{"x":24,"y":37}}, {"id":223, "num":2,"point":{"x":15,"y":35}}, {"id":241, "num":3,"point":{"x":33,"y":33}}]</v>
      </c>
      <c r="C76" s="1" t="s">
        <v>1162</v>
      </c>
      <c r="D76" s="1">
        <f t="shared" si="14"/>
        <v>223</v>
      </c>
      <c r="E76" t="s">
        <v>1163</v>
      </c>
      <c r="F76">
        <f t="shared" si="15"/>
        <v>3</v>
      </c>
      <c r="G76" t="str">
        <f t="shared" si="16"/>
        <v>,"point":{"x":24,"y":37}}, {"id":</v>
      </c>
      <c r="H76">
        <f t="shared" si="17"/>
        <v>223</v>
      </c>
      <c r="I76" t="s">
        <v>1178</v>
      </c>
      <c r="J76">
        <f t="shared" si="18"/>
        <v>2</v>
      </c>
      <c r="K76" t="str">
        <f t="shared" si="19"/>
        <v>,"point":{"x":15,"y":35}}, {"id":</v>
      </c>
      <c r="L76">
        <f t="shared" si="20"/>
        <v>241</v>
      </c>
      <c r="M76" t="s">
        <v>1178</v>
      </c>
      <c r="N76">
        <f t="shared" si="21"/>
        <v>3</v>
      </c>
      <c r="O76" t="str">
        <f t="shared" si="22"/>
        <v>,"point":{"x":33,"y":33}}]</v>
      </c>
      <c r="Q76" t="str">
        <f t="shared" si="23"/>
        <v/>
      </c>
      <c r="R76" t="str">
        <f t="shared" si="24"/>
        <v/>
      </c>
      <c r="S76" t="str">
        <f t="shared" si="25"/>
        <v/>
      </c>
    </row>
    <row r="77" spans="1:19" x14ac:dyDescent="0.15">
      <c r="A77">
        <v>1410003</v>
      </c>
      <c r="B77" t="str">
        <f t="shared" si="13"/>
        <v>[{"id":224,"num":3,"point":{"x":16,"y":38}}, {"id":224, "num":3,"point":{"x":35,"y":35}}, {"id":241, "num":4,"point":{"x":23,"y":12}}]</v>
      </c>
      <c r="C77" s="1" t="s">
        <v>1162</v>
      </c>
      <c r="D77" s="1">
        <f t="shared" si="14"/>
        <v>224</v>
      </c>
      <c r="E77" t="s">
        <v>1163</v>
      </c>
      <c r="F77">
        <f t="shared" si="15"/>
        <v>3</v>
      </c>
      <c r="G77" t="str">
        <f t="shared" si="16"/>
        <v>,"point":{"x":16,"y":38}}, {"id":</v>
      </c>
      <c r="H77">
        <f t="shared" si="17"/>
        <v>224</v>
      </c>
      <c r="I77" t="s">
        <v>1178</v>
      </c>
      <c r="J77">
        <f t="shared" si="18"/>
        <v>3</v>
      </c>
      <c r="K77" t="str">
        <f t="shared" si="19"/>
        <v>,"point":{"x":35,"y":35}}, {"id":</v>
      </c>
      <c r="L77">
        <f t="shared" si="20"/>
        <v>241</v>
      </c>
      <c r="M77" t="s">
        <v>1178</v>
      </c>
      <c r="N77">
        <f t="shared" si="21"/>
        <v>4</v>
      </c>
      <c r="O77" t="str">
        <f t="shared" si="22"/>
        <v>,"point":{"x":23,"y":12}}]</v>
      </c>
      <c r="Q77" t="str">
        <f t="shared" si="23"/>
        <v/>
      </c>
      <c r="R77" t="str">
        <f t="shared" si="24"/>
        <v/>
      </c>
      <c r="S77" t="str">
        <f t="shared" si="25"/>
        <v/>
      </c>
    </row>
    <row r="78" spans="1:19" x14ac:dyDescent="0.15">
      <c r="A78">
        <v>1410004</v>
      </c>
      <c r="B78" t="str">
        <f t="shared" si="13"/>
        <v>[{"id":224,"num":4,"point":{"x":16,"y":38}}, {"id":224, "num":3,"point":{"x":35,"y":35}}, {"id":241, "num":4,"point":{"x":23,"y":12}}]</v>
      </c>
      <c r="C78" s="1" t="s">
        <v>1162</v>
      </c>
      <c r="D78" s="1">
        <f t="shared" si="14"/>
        <v>224</v>
      </c>
      <c r="E78" t="s">
        <v>1163</v>
      </c>
      <c r="F78">
        <f t="shared" si="15"/>
        <v>4</v>
      </c>
      <c r="G78" t="str">
        <f t="shared" si="16"/>
        <v>,"point":{"x":16,"y":38}}, {"id":</v>
      </c>
      <c r="H78">
        <f t="shared" si="17"/>
        <v>224</v>
      </c>
      <c r="I78" t="s">
        <v>1178</v>
      </c>
      <c r="J78">
        <f t="shared" si="18"/>
        <v>3</v>
      </c>
      <c r="K78" t="str">
        <f t="shared" si="19"/>
        <v>,"point":{"x":35,"y":35}}, {"id":</v>
      </c>
      <c r="L78">
        <f t="shared" si="20"/>
        <v>241</v>
      </c>
      <c r="M78" t="s">
        <v>1178</v>
      </c>
      <c r="N78">
        <f t="shared" si="21"/>
        <v>4</v>
      </c>
      <c r="O78" t="str">
        <f t="shared" si="22"/>
        <v>,"point":{"x":23,"y":12}}]</v>
      </c>
      <c r="Q78" t="str">
        <f t="shared" si="23"/>
        <v/>
      </c>
      <c r="R78" t="str">
        <f t="shared" si="24"/>
        <v/>
      </c>
      <c r="S78" t="str">
        <f t="shared" si="25"/>
        <v/>
      </c>
    </row>
    <row r="79" spans="1:19" x14ac:dyDescent="0.15">
      <c r="A79">
        <v>1410005</v>
      </c>
      <c r="B79" t="str">
        <f t="shared" si="13"/>
        <v>[{"id":225,"num":4,"point":{"x":16,"y":20}}, {"id":225, "num":4,"point":{"x":25,"y":37}}, {"id":241, "num":5,"point":{"x":36,"y":37}}, {"id":271,"point":{"x":25,"y":42}}]</v>
      </c>
      <c r="C79" s="1" t="s">
        <v>1162</v>
      </c>
      <c r="D79" s="1">
        <f t="shared" si="14"/>
        <v>225</v>
      </c>
      <c r="E79" t="s">
        <v>1163</v>
      </c>
      <c r="F79">
        <f t="shared" si="15"/>
        <v>4</v>
      </c>
      <c r="G79" t="str">
        <f t="shared" si="16"/>
        <v>,"point":{"x":16,"y":20}}, {"id":</v>
      </c>
      <c r="H79">
        <f t="shared" si="17"/>
        <v>225</v>
      </c>
      <c r="I79" t="s">
        <v>1178</v>
      </c>
      <c r="J79">
        <f t="shared" si="18"/>
        <v>4</v>
      </c>
      <c r="K79" t="str">
        <f t="shared" si="19"/>
        <v>,"point":{"x":25,"y":37}}, {"id":</v>
      </c>
      <c r="L79">
        <f t="shared" si="20"/>
        <v>241</v>
      </c>
      <c r="M79" t="s">
        <v>1178</v>
      </c>
      <c r="N79">
        <f t="shared" si="21"/>
        <v>5</v>
      </c>
      <c r="O79" t="str">
        <f t="shared" si="22"/>
        <v>,"point":{"x":36,"y":37}}, {"id":</v>
      </c>
      <c r="P79" s="1">
        <f>P74+1</f>
        <v>271</v>
      </c>
      <c r="Q79" t="str">
        <f t="shared" si="23"/>
        <v/>
      </c>
      <c r="R79" t="str">
        <f t="shared" si="24"/>
        <v/>
      </c>
      <c r="S79" t="str">
        <f t="shared" si="25"/>
        <v>,"point":{"x":25,"y":42}}]</v>
      </c>
    </row>
    <row r="80" spans="1:19" x14ac:dyDescent="0.15">
      <c r="A80">
        <v>1410006</v>
      </c>
      <c r="B80" t="str">
        <f t="shared" si="13"/>
        <v>[{"id":226,"num":5,"point":{"x":16,"y":20}}, {"id":226, "num":4,"point":{"x":25,"y":37}}, {"id":242, "num":5,"point":{"x":33,"y":16}}]</v>
      </c>
      <c r="C80" s="1" t="s">
        <v>1162</v>
      </c>
      <c r="D80" s="1">
        <f t="shared" si="14"/>
        <v>226</v>
      </c>
      <c r="E80" t="s">
        <v>1163</v>
      </c>
      <c r="F80">
        <f t="shared" si="15"/>
        <v>5</v>
      </c>
      <c r="G80" t="str">
        <f t="shared" si="16"/>
        <v>,"point":{"x":16,"y":20}}, {"id":</v>
      </c>
      <c r="H80">
        <f t="shared" si="17"/>
        <v>226</v>
      </c>
      <c r="I80" t="s">
        <v>1178</v>
      </c>
      <c r="J80">
        <f t="shared" si="18"/>
        <v>4</v>
      </c>
      <c r="K80" t="str">
        <f t="shared" si="19"/>
        <v>,"point":{"x":25,"y":37}}, {"id":</v>
      </c>
      <c r="L80">
        <f t="shared" si="20"/>
        <v>242</v>
      </c>
      <c r="M80" t="s">
        <v>1178</v>
      </c>
      <c r="N80">
        <f t="shared" si="21"/>
        <v>5</v>
      </c>
      <c r="O80" t="str">
        <f t="shared" si="22"/>
        <v>,"point":{"x":33,"y":16}}]</v>
      </c>
      <c r="Q80" t="str">
        <f t="shared" si="23"/>
        <v/>
      </c>
      <c r="R80" t="str">
        <f t="shared" si="24"/>
        <v/>
      </c>
      <c r="S80" t="str">
        <f t="shared" si="25"/>
        <v/>
      </c>
    </row>
    <row r="81" spans="1:19" x14ac:dyDescent="0.15">
      <c r="A81">
        <v>1410007</v>
      </c>
      <c r="B81" t="str">
        <f t="shared" si="13"/>
        <v>[{"id":226,"num":5,"point":{"x":25,"y":35}}, {"id":226, "num":5,"point":{"x":33,"y":33}}, {"id":242, "num":6,"point":{"x":20,"y":18}}]</v>
      </c>
      <c r="C81" s="1" t="s">
        <v>1162</v>
      </c>
      <c r="D81" s="1">
        <f t="shared" si="14"/>
        <v>226</v>
      </c>
      <c r="E81" t="s">
        <v>1163</v>
      </c>
      <c r="F81">
        <f t="shared" si="15"/>
        <v>5</v>
      </c>
      <c r="G81" t="str">
        <f t="shared" si="16"/>
        <v>,"point":{"x":25,"y":35}}, {"id":</v>
      </c>
      <c r="H81">
        <f t="shared" si="17"/>
        <v>226</v>
      </c>
      <c r="I81" t="s">
        <v>1178</v>
      </c>
      <c r="J81">
        <f t="shared" si="18"/>
        <v>5</v>
      </c>
      <c r="K81" t="str">
        <f t="shared" si="19"/>
        <v>,"point":{"x":33,"y":33}}, {"id":</v>
      </c>
      <c r="L81">
        <f t="shared" si="20"/>
        <v>242</v>
      </c>
      <c r="M81" t="s">
        <v>1178</v>
      </c>
      <c r="N81">
        <f t="shared" si="21"/>
        <v>6</v>
      </c>
      <c r="O81" t="str">
        <f t="shared" si="22"/>
        <v>,"point":{"x":20,"y":18}}]</v>
      </c>
      <c r="Q81" t="str">
        <f t="shared" si="23"/>
        <v/>
      </c>
      <c r="R81" t="str">
        <f t="shared" si="24"/>
        <v/>
      </c>
      <c r="S81" t="str">
        <f t="shared" si="25"/>
        <v/>
      </c>
    </row>
    <row r="82" spans="1:19" x14ac:dyDescent="0.15">
      <c r="A82">
        <v>1410008</v>
      </c>
      <c r="B82" t="str">
        <f t="shared" si="13"/>
        <v>[{"id":227,"num":6,"point":{"x":25,"y":35}}, {"id":227, "num":5,"point":{"x":33,"y":33}}, {"id":242, "num":6,"point":{"x":20,"y":18}}]</v>
      </c>
      <c r="C82" s="1" t="s">
        <v>1162</v>
      </c>
      <c r="D82" s="1">
        <f t="shared" si="14"/>
        <v>227</v>
      </c>
      <c r="E82" t="s">
        <v>1163</v>
      </c>
      <c r="F82">
        <f t="shared" si="15"/>
        <v>6</v>
      </c>
      <c r="G82" t="str">
        <f t="shared" si="16"/>
        <v>,"point":{"x":25,"y":35}}, {"id":</v>
      </c>
      <c r="H82">
        <f t="shared" si="17"/>
        <v>227</v>
      </c>
      <c r="I82" t="s">
        <v>1178</v>
      </c>
      <c r="J82">
        <f t="shared" si="18"/>
        <v>5</v>
      </c>
      <c r="K82" t="str">
        <f t="shared" si="19"/>
        <v>,"point":{"x":33,"y":33}}, {"id":</v>
      </c>
      <c r="L82">
        <f t="shared" si="20"/>
        <v>242</v>
      </c>
      <c r="M82" t="s">
        <v>1178</v>
      </c>
      <c r="N82">
        <f t="shared" si="21"/>
        <v>6</v>
      </c>
      <c r="O82" t="str">
        <f t="shared" si="22"/>
        <v>,"point":{"x":20,"y":18}}]</v>
      </c>
      <c r="Q82" t="str">
        <f t="shared" si="23"/>
        <v/>
      </c>
      <c r="R82" t="str">
        <f t="shared" si="24"/>
        <v/>
      </c>
      <c r="S82" t="str">
        <f t="shared" si="25"/>
        <v/>
      </c>
    </row>
    <row r="83" spans="1:19" x14ac:dyDescent="0.15">
      <c r="A83">
        <v>1410009</v>
      </c>
      <c r="B83" t="str">
        <f t="shared" si="13"/>
        <v>[{"id":228,"num":6,"point":{"x":15,"y":35}}, {"id":228, "num":6,"point":{"x":26,"y":39}}, {"id":242, "num":7,"point":{"x":36,"y":37}}]</v>
      </c>
      <c r="C83" s="1" t="s">
        <v>1162</v>
      </c>
      <c r="D83" s="1">
        <f t="shared" si="14"/>
        <v>228</v>
      </c>
      <c r="E83" t="s">
        <v>1163</v>
      </c>
      <c r="F83">
        <f t="shared" si="15"/>
        <v>6</v>
      </c>
      <c r="G83" t="str">
        <f t="shared" si="16"/>
        <v>,"point":{"x":15,"y":35}}, {"id":</v>
      </c>
      <c r="H83">
        <f t="shared" si="17"/>
        <v>228</v>
      </c>
      <c r="I83" t="s">
        <v>1178</v>
      </c>
      <c r="J83">
        <f t="shared" si="18"/>
        <v>6</v>
      </c>
      <c r="K83" t="str">
        <f t="shared" si="19"/>
        <v>,"point":{"x":26,"y":39}}, {"id":</v>
      </c>
      <c r="L83">
        <f t="shared" si="20"/>
        <v>242</v>
      </c>
      <c r="M83" t="s">
        <v>1178</v>
      </c>
      <c r="N83">
        <f t="shared" si="21"/>
        <v>7</v>
      </c>
      <c r="O83" t="str">
        <f t="shared" si="22"/>
        <v>,"point":{"x":36,"y":37}}]</v>
      </c>
      <c r="Q83" t="str">
        <f t="shared" si="23"/>
        <v/>
      </c>
      <c r="R83" t="str">
        <f t="shared" si="24"/>
        <v/>
      </c>
      <c r="S83" t="str">
        <f t="shared" si="25"/>
        <v/>
      </c>
    </row>
    <row r="84" spans="1:19" x14ac:dyDescent="0.15">
      <c r="A84">
        <v>1410010</v>
      </c>
      <c r="B84" t="str">
        <f t="shared" si="13"/>
        <v>[{"id":229,"num":6,"point":{"x":15,"y":35}}, {"id":229, "num":6,"point":{"x":26,"y":39}}, {"id":242, "num":7,"point":{"x":36,"y":37}}, {"id":272, "num":1,"point":{"x":25,"y":42}}]</v>
      </c>
      <c r="C84" s="1" t="s">
        <v>1162</v>
      </c>
      <c r="D84" s="1">
        <f t="shared" si="14"/>
        <v>229</v>
      </c>
      <c r="E84" t="s">
        <v>1163</v>
      </c>
      <c r="F84">
        <f t="shared" si="15"/>
        <v>6</v>
      </c>
      <c r="G84" t="str">
        <f t="shared" si="16"/>
        <v>,"point":{"x":15,"y":35}}, {"id":</v>
      </c>
      <c r="H84">
        <f t="shared" si="17"/>
        <v>229</v>
      </c>
      <c r="I84" t="s">
        <v>1178</v>
      </c>
      <c r="J84">
        <f t="shared" si="18"/>
        <v>6</v>
      </c>
      <c r="K84" t="str">
        <f t="shared" si="19"/>
        <v>,"point":{"x":26,"y":39}}, {"id":</v>
      </c>
      <c r="L84">
        <f t="shared" si="20"/>
        <v>242</v>
      </c>
      <c r="M84" t="s">
        <v>1178</v>
      </c>
      <c r="N84">
        <f t="shared" si="21"/>
        <v>7</v>
      </c>
      <c r="O84" t="str">
        <f t="shared" si="22"/>
        <v>,"point":{"x":36,"y":37}}, {"id":</v>
      </c>
      <c r="P84" s="1">
        <f>P79+1</f>
        <v>272</v>
      </c>
      <c r="Q84" t="str">
        <f t="shared" si="23"/>
        <v>, "num":</v>
      </c>
      <c r="R84">
        <f t="shared" si="24"/>
        <v>1</v>
      </c>
      <c r="S84" t="str">
        <f t="shared" si="25"/>
        <v>,"point":{"x":25,"y":42}}]</v>
      </c>
    </row>
    <row r="85" spans="1:19" x14ac:dyDescent="0.15">
      <c r="A85">
        <v>1410011</v>
      </c>
      <c r="B85" t="str">
        <f t="shared" si="13"/>
        <v>[{"id":227,"num":2,"point":{"x":24,"y":37}}, {"id":227, "num":2,"point":{"x":15,"y":35}}, {"id":243, "num":3,"point":{"x":33,"y":33}}]</v>
      </c>
      <c r="C85" s="1" t="s">
        <v>1162</v>
      </c>
      <c r="D85" s="1">
        <f t="shared" si="14"/>
        <v>227</v>
      </c>
      <c r="E85" t="s">
        <v>1163</v>
      </c>
      <c r="F85">
        <f t="shared" si="15"/>
        <v>2</v>
      </c>
      <c r="G85" t="str">
        <f t="shared" si="16"/>
        <v>,"point":{"x":24,"y":37}}, {"id":</v>
      </c>
      <c r="H85">
        <f t="shared" si="17"/>
        <v>227</v>
      </c>
      <c r="I85" t="s">
        <v>1178</v>
      </c>
      <c r="J85">
        <f t="shared" si="18"/>
        <v>2</v>
      </c>
      <c r="K85" t="str">
        <f t="shared" si="19"/>
        <v>,"point":{"x":15,"y":35}}, {"id":</v>
      </c>
      <c r="L85">
        <f t="shared" si="20"/>
        <v>243</v>
      </c>
      <c r="M85" t="s">
        <v>1178</v>
      </c>
      <c r="N85">
        <f t="shared" si="21"/>
        <v>3</v>
      </c>
      <c r="O85" t="str">
        <f t="shared" si="22"/>
        <v>,"point":{"x":33,"y":33}}]</v>
      </c>
      <c r="Q85" t="str">
        <f t="shared" si="23"/>
        <v/>
      </c>
      <c r="R85" t="str">
        <f t="shared" si="24"/>
        <v/>
      </c>
      <c r="S85" t="str">
        <f t="shared" si="25"/>
        <v/>
      </c>
    </row>
    <row r="86" spans="1:19" x14ac:dyDescent="0.15">
      <c r="A86">
        <v>1410012</v>
      </c>
      <c r="B86" t="str">
        <f t="shared" si="13"/>
        <v>[{"id":227,"num":3,"point":{"x":24,"y":37}}, {"id":227, "num":2,"point":{"x":15,"y":35}}, {"id":243, "num":3,"point":{"x":33,"y":33}}]</v>
      </c>
      <c r="C86" s="1" t="s">
        <v>1162</v>
      </c>
      <c r="D86" s="1">
        <f t="shared" si="14"/>
        <v>227</v>
      </c>
      <c r="E86" t="s">
        <v>1163</v>
      </c>
      <c r="F86">
        <f t="shared" si="15"/>
        <v>3</v>
      </c>
      <c r="G86" t="str">
        <f t="shared" si="16"/>
        <v>,"point":{"x":24,"y":37}}, {"id":</v>
      </c>
      <c r="H86">
        <f t="shared" si="17"/>
        <v>227</v>
      </c>
      <c r="I86" t="s">
        <v>1178</v>
      </c>
      <c r="J86">
        <f t="shared" si="18"/>
        <v>2</v>
      </c>
      <c r="K86" t="str">
        <f t="shared" si="19"/>
        <v>,"point":{"x":15,"y":35}}, {"id":</v>
      </c>
      <c r="L86">
        <f t="shared" si="20"/>
        <v>243</v>
      </c>
      <c r="M86" t="s">
        <v>1178</v>
      </c>
      <c r="N86">
        <f t="shared" si="21"/>
        <v>3</v>
      </c>
      <c r="O86" t="str">
        <f t="shared" si="22"/>
        <v>,"point":{"x":33,"y":33}}]</v>
      </c>
      <c r="Q86" t="str">
        <f t="shared" si="23"/>
        <v/>
      </c>
      <c r="R86" t="str">
        <f t="shared" si="24"/>
        <v/>
      </c>
      <c r="S86" t="str">
        <f t="shared" si="25"/>
        <v/>
      </c>
    </row>
    <row r="87" spans="1:19" x14ac:dyDescent="0.15">
      <c r="A87">
        <v>1410013</v>
      </c>
      <c r="B87" t="str">
        <f t="shared" si="13"/>
        <v>[{"id":228,"num":3,"point":{"x":16,"y":38}}, {"id":228, "num":3,"point":{"x":35,"y":35}}, {"id":243, "num":4,"point":{"x":23,"y":12}}]</v>
      </c>
      <c r="C87" s="1" t="s">
        <v>1162</v>
      </c>
      <c r="D87" s="1">
        <f t="shared" si="14"/>
        <v>228</v>
      </c>
      <c r="E87" t="s">
        <v>1163</v>
      </c>
      <c r="F87">
        <f t="shared" si="15"/>
        <v>3</v>
      </c>
      <c r="G87" t="str">
        <f t="shared" si="16"/>
        <v>,"point":{"x":16,"y":38}}, {"id":</v>
      </c>
      <c r="H87">
        <f t="shared" si="17"/>
        <v>228</v>
      </c>
      <c r="I87" t="s">
        <v>1178</v>
      </c>
      <c r="J87">
        <f t="shared" si="18"/>
        <v>3</v>
      </c>
      <c r="K87" t="str">
        <f t="shared" si="19"/>
        <v>,"point":{"x":35,"y":35}}, {"id":</v>
      </c>
      <c r="L87">
        <f t="shared" si="20"/>
        <v>243</v>
      </c>
      <c r="M87" t="s">
        <v>1178</v>
      </c>
      <c r="N87">
        <f t="shared" si="21"/>
        <v>4</v>
      </c>
      <c r="O87" t="str">
        <f t="shared" si="22"/>
        <v>,"point":{"x":23,"y":12}}]</v>
      </c>
      <c r="Q87" t="str">
        <f t="shared" si="23"/>
        <v/>
      </c>
      <c r="R87" t="str">
        <f t="shared" si="24"/>
        <v/>
      </c>
      <c r="S87" t="str">
        <f t="shared" si="25"/>
        <v/>
      </c>
    </row>
    <row r="88" spans="1:19" x14ac:dyDescent="0.15">
      <c r="A88">
        <v>1410014</v>
      </c>
      <c r="B88" t="str">
        <f t="shared" si="13"/>
        <v>[{"id":228,"num":4,"point":{"x":16,"y":38}}, {"id":228, "num":3,"point":{"x":35,"y":35}}, {"id":243, "num":4,"point":{"x":23,"y":12}}]</v>
      </c>
      <c r="C88" s="1" t="s">
        <v>1162</v>
      </c>
      <c r="D88" s="1">
        <f t="shared" si="14"/>
        <v>228</v>
      </c>
      <c r="E88" t="s">
        <v>1163</v>
      </c>
      <c r="F88">
        <f t="shared" si="15"/>
        <v>4</v>
      </c>
      <c r="G88" t="str">
        <f t="shared" si="16"/>
        <v>,"point":{"x":16,"y":38}}, {"id":</v>
      </c>
      <c r="H88">
        <f t="shared" si="17"/>
        <v>228</v>
      </c>
      <c r="I88" t="s">
        <v>1178</v>
      </c>
      <c r="J88">
        <f t="shared" si="18"/>
        <v>3</v>
      </c>
      <c r="K88" t="str">
        <f t="shared" si="19"/>
        <v>,"point":{"x":35,"y":35}}, {"id":</v>
      </c>
      <c r="L88">
        <f t="shared" si="20"/>
        <v>243</v>
      </c>
      <c r="M88" t="s">
        <v>1178</v>
      </c>
      <c r="N88">
        <f t="shared" si="21"/>
        <v>4</v>
      </c>
      <c r="O88" t="str">
        <f t="shared" si="22"/>
        <v>,"point":{"x":23,"y":12}}]</v>
      </c>
      <c r="Q88" t="str">
        <f t="shared" si="23"/>
        <v/>
      </c>
      <c r="R88" t="str">
        <f t="shared" si="24"/>
        <v/>
      </c>
      <c r="S88" t="str">
        <f t="shared" si="25"/>
        <v/>
      </c>
    </row>
    <row r="89" spans="1:19" x14ac:dyDescent="0.15">
      <c r="A89">
        <v>1410015</v>
      </c>
      <c r="B89" t="str">
        <f t="shared" si="13"/>
        <v>[{"id":229,"num":4,"point":{"x":16,"y":20}}, {"id":229, "num":4,"point":{"x":25,"y":37}}, {"id":243, "num":5,"point":{"x":36,"y":37}}, {"id":273,"point":{"x":25,"y":42}}]</v>
      </c>
      <c r="C89" s="1" t="s">
        <v>1162</v>
      </c>
      <c r="D89" s="1">
        <f t="shared" si="14"/>
        <v>229</v>
      </c>
      <c r="E89" t="s">
        <v>1163</v>
      </c>
      <c r="F89">
        <f t="shared" si="15"/>
        <v>4</v>
      </c>
      <c r="G89" t="str">
        <f t="shared" si="16"/>
        <v>,"point":{"x":16,"y":20}}, {"id":</v>
      </c>
      <c r="H89">
        <f t="shared" si="17"/>
        <v>229</v>
      </c>
      <c r="I89" t="s">
        <v>1178</v>
      </c>
      <c r="J89">
        <f t="shared" si="18"/>
        <v>4</v>
      </c>
      <c r="K89" t="str">
        <f t="shared" si="19"/>
        <v>,"point":{"x":25,"y":37}}, {"id":</v>
      </c>
      <c r="L89">
        <f t="shared" si="20"/>
        <v>243</v>
      </c>
      <c r="M89" t="s">
        <v>1178</v>
      </c>
      <c r="N89">
        <f t="shared" si="21"/>
        <v>5</v>
      </c>
      <c r="O89" t="str">
        <f t="shared" si="22"/>
        <v>,"point":{"x":36,"y":37}}, {"id":</v>
      </c>
      <c r="P89" s="1">
        <f>P84+1</f>
        <v>273</v>
      </c>
      <c r="Q89" t="str">
        <f t="shared" si="23"/>
        <v/>
      </c>
      <c r="R89" t="str">
        <f t="shared" si="24"/>
        <v/>
      </c>
      <c r="S89" t="str">
        <f t="shared" si="25"/>
        <v>,"point":{"x":25,"y":42}}]</v>
      </c>
    </row>
    <row r="90" spans="1:19" x14ac:dyDescent="0.15">
      <c r="A90">
        <v>1410016</v>
      </c>
      <c r="B90" t="str">
        <f t="shared" si="13"/>
        <v>[{"id":230,"num":5,"point":{"x":16,"y":20}}, {"id":230, "num":4,"point":{"x":25,"y":37}}, {"id":244, "num":5,"point":{"x":33,"y":16}}]</v>
      </c>
      <c r="C90" s="1" t="s">
        <v>1162</v>
      </c>
      <c r="D90" s="1">
        <f t="shared" si="14"/>
        <v>230</v>
      </c>
      <c r="E90" t="s">
        <v>1163</v>
      </c>
      <c r="F90">
        <f t="shared" si="15"/>
        <v>5</v>
      </c>
      <c r="G90" t="str">
        <f t="shared" si="16"/>
        <v>,"point":{"x":16,"y":20}}, {"id":</v>
      </c>
      <c r="H90">
        <f t="shared" si="17"/>
        <v>230</v>
      </c>
      <c r="I90" t="s">
        <v>1178</v>
      </c>
      <c r="J90">
        <f t="shared" si="18"/>
        <v>4</v>
      </c>
      <c r="K90" t="str">
        <f t="shared" si="19"/>
        <v>,"point":{"x":25,"y":37}}, {"id":</v>
      </c>
      <c r="L90">
        <f t="shared" si="20"/>
        <v>244</v>
      </c>
      <c r="M90" t="s">
        <v>1178</v>
      </c>
      <c r="N90">
        <f t="shared" si="21"/>
        <v>5</v>
      </c>
      <c r="O90" t="str">
        <f t="shared" si="22"/>
        <v>,"point":{"x":33,"y":16}}]</v>
      </c>
      <c r="Q90" t="str">
        <f t="shared" si="23"/>
        <v/>
      </c>
      <c r="R90" t="str">
        <f t="shared" si="24"/>
        <v/>
      </c>
      <c r="S90" t="str">
        <f t="shared" si="25"/>
        <v/>
      </c>
    </row>
    <row r="91" spans="1:19" x14ac:dyDescent="0.15">
      <c r="A91">
        <v>1410017</v>
      </c>
      <c r="B91" t="str">
        <f t="shared" si="13"/>
        <v>[{"id":230,"num":5,"point":{"x":25,"y":35}}, {"id":230, "num":5,"point":{"x":33,"y":33}}, {"id":244, "num":6,"point":{"x":20,"y":18}}]</v>
      </c>
      <c r="C91" s="1" t="s">
        <v>1162</v>
      </c>
      <c r="D91" s="1">
        <f t="shared" si="14"/>
        <v>230</v>
      </c>
      <c r="E91" t="s">
        <v>1163</v>
      </c>
      <c r="F91">
        <f t="shared" si="15"/>
        <v>5</v>
      </c>
      <c r="G91" t="str">
        <f t="shared" si="16"/>
        <v>,"point":{"x":25,"y":35}}, {"id":</v>
      </c>
      <c r="H91">
        <f t="shared" si="17"/>
        <v>230</v>
      </c>
      <c r="I91" t="s">
        <v>1178</v>
      </c>
      <c r="J91">
        <f t="shared" si="18"/>
        <v>5</v>
      </c>
      <c r="K91" t="str">
        <f t="shared" si="19"/>
        <v>,"point":{"x":33,"y":33}}, {"id":</v>
      </c>
      <c r="L91">
        <f t="shared" si="20"/>
        <v>244</v>
      </c>
      <c r="M91" t="s">
        <v>1178</v>
      </c>
      <c r="N91">
        <f t="shared" si="21"/>
        <v>6</v>
      </c>
      <c r="O91" t="str">
        <f t="shared" si="22"/>
        <v>,"point":{"x":20,"y":18}}]</v>
      </c>
      <c r="Q91" t="str">
        <f t="shared" si="23"/>
        <v/>
      </c>
      <c r="R91" t="str">
        <f t="shared" si="24"/>
        <v/>
      </c>
      <c r="S91" t="str">
        <f t="shared" si="25"/>
        <v/>
      </c>
    </row>
    <row r="92" spans="1:19" x14ac:dyDescent="0.15">
      <c r="A92">
        <v>1410018</v>
      </c>
      <c r="B92" t="str">
        <f t="shared" si="13"/>
        <v>[{"id":231,"num":6,"point":{"x":25,"y":35}}, {"id":231, "num":5,"point":{"x":33,"y":33}}, {"id":244, "num":6,"point":{"x":20,"y":18}}]</v>
      </c>
      <c r="C92" s="1" t="s">
        <v>1162</v>
      </c>
      <c r="D92" s="1">
        <f t="shared" si="14"/>
        <v>231</v>
      </c>
      <c r="E92" t="s">
        <v>1163</v>
      </c>
      <c r="F92">
        <f t="shared" si="15"/>
        <v>6</v>
      </c>
      <c r="G92" t="str">
        <f t="shared" si="16"/>
        <v>,"point":{"x":25,"y":35}}, {"id":</v>
      </c>
      <c r="H92">
        <f t="shared" si="17"/>
        <v>231</v>
      </c>
      <c r="I92" t="s">
        <v>1178</v>
      </c>
      <c r="J92">
        <f t="shared" si="18"/>
        <v>5</v>
      </c>
      <c r="K92" t="str">
        <f t="shared" si="19"/>
        <v>,"point":{"x":33,"y":33}}, {"id":</v>
      </c>
      <c r="L92">
        <f t="shared" si="20"/>
        <v>244</v>
      </c>
      <c r="M92" t="s">
        <v>1178</v>
      </c>
      <c r="N92">
        <f t="shared" si="21"/>
        <v>6</v>
      </c>
      <c r="O92" t="str">
        <f t="shared" si="22"/>
        <v>,"point":{"x":20,"y":18}}]</v>
      </c>
      <c r="Q92" t="str">
        <f t="shared" si="23"/>
        <v/>
      </c>
      <c r="R92" t="str">
        <f t="shared" si="24"/>
        <v/>
      </c>
      <c r="S92" t="str">
        <f t="shared" si="25"/>
        <v/>
      </c>
    </row>
    <row r="93" spans="1:19" x14ac:dyDescent="0.15">
      <c r="A93">
        <v>1410019</v>
      </c>
      <c r="B93" t="str">
        <f t="shared" si="13"/>
        <v>[{"id":232,"num":6,"point":{"x":15,"y":35}}, {"id":232, "num":6,"point":{"x":26,"y":39}}, {"id":244, "num":7,"point":{"x":36,"y":37}}]</v>
      </c>
      <c r="C93" s="1" t="s">
        <v>1162</v>
      </c>
      <c r="D93" s="1">
        <f t="shared" si="14"/>
        <v>232</v>
      </c>
      <c r="E93" t="s">
        <v>1163</v>
      </c>
      <c r="F93">
        <f t="shared" si="15"/>
        <v>6</v>
      </c>
      <c r="G93" t="str">
        <f t="shared" si="16"/>
        <v>,"point":{"x":15,"y":35}}, {"id":</v>
      </c>
      <c r="H93">
        <f t="shared" si="17"/>
        <v>232</v>
      </c>
      <c r="I93" t="s">
        <v>1178</v>
      </c>
      <c r="J93">
        <f t="shared" si="18"/>
        <v>6</v>
      </c>
      <c r="K93" t="str">
        <f t="shared" si="19"/>
        <v>,"point":{"x":26,"y":39}}, {"id":</v>
      </c>
      <c r="L93">
        <f t="shared" si="20"/>
        <v>244</v>
      </c>
      <c r="M93" t="s">
        <v>1178</v>
      </c>
      <c r="N93">
        <f t="shared" si="21"/>
        <v>7</v>
      </c>
      <c r="O93" t="str">
        <f t="shared" si="22"/>
        <v>,"point":{"x":36,"y":37}}]</v>
      </c>
      <c r="Q93" t="str">
        <f t="shared" si="23"/>
        <v/>
      </c>
      <c r="R93" t="str">
        <f t="shared" si="24"/>
        <v/>
      </c>
      <c r="S93" t="str">
        <f t="shared" si="25"/>
        <v/>
      </c>
    </row>
    <row r="94" spans="1:19" x14ac:dyDescent="0.15">
      <c r="A94">
        <v>1410020</v>
      </c>
      <c r="B94" t="str">
        <f t="shared" si="13"/>
        <v>[{"id":233,"num":6,"point":{"x":15,"y":35}}, {"id":233, "num":6,"point":{"x":26,"y":39}}, {"id":244, "num":7,"point":{"x":36,"y":37}}, {"id":274, "num":1,"point":{"x":25,"y":42}}]</v>
      </c>
      <c r="C94" s="1" t="s">
        <v>1162</v>
      </c>
      <c r="D94" s="1">
        <f t="shared" si="14"/>
        <v>233</v>
      </c>
      <c r="E94" t="s">
        <v>1163</v>
      </c>
      <c r="F94">
        <f t="shared" si="15"/>
        <v>6</v>
      </c>
      <c r="G94" t="str">
        <f t="shared" si="16"/>
        <v>,"point":{"x":15,"y":35}}, {"id":</v>
      </c>
      <c r="H94">
        <f t="shared" si="17"/>
        <v>233</v>
      </c>
      <c r="I94" t="s">
        <v>1178</v>
      </c>
      <c r="J94">
        <f t="shared" si="18"/>
        <v>6</v>
      </c>
      <c r="K94" t="str">
        <f t="shared" si="19"/>
        <v>,"point":{"x":26,"y":39}}, {"id":</v>
      </c>
      <c r="L94">
        <f t="shared" si="20"/>
        <v>244</v>
      </c>
      <c r="M94" t="s">
        <v>1178</v>
      </c>
      <c r="N94">
        <f t="shared" si="21"/>
        <v>7</v>
      </c>
      <c r="O94" t="str">
        <f t="shared" si="22"/>
        <v>,"point":{"x":36,"y":37}}, {"id":</v>
      </c>
      <c r="P94" s="1">
        <f>P89+1</f>
        <v>274</v>
      </c>
      <c r="Q94" t="str">
        <f t="shared" si="23"/>
        <v>, "num":</v>
      </c>
      <c r="R94">
        <f t="shared" si="24"/>
        <v>1</v>
      </c>
      <c r="S94" t="str">
        <f t="shared" si="25"/>
        <v>,"point":{"x":25,"y":42}}]</v>
      </c>
    </row>
    <row r="95" spans="1:19" x14ac:dyDescent="0.15">
      <c r="A95">
        <v>1410021</v>
      </c>
      <c r="B95" t="str">
        <f t="shared" si="13"/>
        <v>[{"id":231,"num":2,"point":{"x":24,"y":37}}, {"id":231, "num":2,"point":{"x":15,"y":35}}, {"id":245, "num":3,"point":{"x":33,"y":33}}]</v>
      </c>
      <c r="C95" s="1" t="s">
        <v>1162</v>
      </c>
      <c r="D95" s="1">
        <f t="shared" si="14"/>
        <v>231</v>
      </c>
      <c r="E95" t="s">
        <v>1163</v>
      </c>
      <c r="F95">
        <f t="shared" si="15"/>
        <v>2</v>
      </c>
      <c r="G95" t="str">
        <f t="shared" si="16"/>
        <v>,"point":{"x":24,"y":37}}, {"id":</v>
      </c>
      <c r="H95">
        <f t="shared" si="17"/>
        <v>231</v>
      </c>
      <c r="I95" t="s">
        <v>1178</v>
      </c>
      <c r="J95">
        <f t="shared" si="18"/>
        <v>2</v>
      </c>
      <c r="K95" t="str">
        <f t="shared" si="19"/>
        <v>,"point":{"x":15,"y":35}}, {"id":</v>
      </c>
      <c r="L95">
        <f t="shared" si="20"/>
        <v>245</v>
      </c>
      <c r="M95" t="s">
        <v>1178</v>
      </c>
      <c r="N95">
        <f t="shared" si="21"/>
        <v>3</v>
      </c>
      <c r="O95" t="str">
        <f t="shared" si="22"/>
        <v>,"point":{"x":33,"y":33}}]</v>
      </c>
      <c r="Q95" t="str">
        <f t="shared" si="23"/>
        <v/>
      </c>
      <c r="R95" t="str">
        <f t="shared" si="24"/>
        <v/>
      </c>
      <c r="S95" t="str">
        <f t="shared" si="25"/>
        <v/>
      </c>
    </row>
    <row r="96" spans="1:19" x14ac:dyDescent="0.15">
      <c r="A96">
        <v>1410022</v>
      </c>
      <c r="B96" t="str">
        <f t="shared" si="13"/>
        <v>[{"id":231,"num":3,"point":{"x":24,"y":37}}, {"id":231, "num":2,"point":{"x":15,"y":35}}, {"id":245, "num":3,"point":{"x":33,"y":33}}]</v>
      </c>
      <c r="C96" s="1" t="s">
        <v>1162</v>
      </c>
      <c r="D96" s="1">
        <f t="shared" si="14"/>
        <v>231</v>
      </c>
      <c r="E96" t="s">
        <v>1163</v>
      </c>
      <c r="F96">
        <f t="shared" si="15"/>
        <v>3</v>
      </c>
      <c r="G96" t="str">
        <f t="shared" si="16"/>
        <v>,"point":{"x":24,"y":37}}, {"id":</v>
      </c>
      <c r="H96">
        <f t="shared" si="17"/>
        <v>231</v>
      </c>
      <c r="I96" t="s">
        <v>1178</v>
      </c>
      <c r="J96">
        <f t="shared" si="18"/>
        <v>2</v>
      </c>
      <c r="K96" t="str">
        <f t="shared" si="19"/>
        <v>,"point":{"x":15,"y":35}}, {"id":</v>
      </c>
      <c r="L96">
        <f t="shared" si="20"/>
        <v>245</v>
      </c>
      <c r="M96" t="s">
        <v>1178</v>
      </c>
      <c r="N96">
        <f t="shared" si="21"/>
        <v>3</v>
      </c>
      <c r="O96" t="str">
        <f t="shared" si="22"/>
        <v>,"point":{"x":33,"y":33}}]</v>
      </c>
      <c r="Q96" t="str">
        <f t="shared" si="23"/>
        <v/>
      </c>
      <c r="R96" t="str">
        <f t="shared" si="24"/>
        <v/>
      </c>
      <c r="S96" t="str">
        <f t="shared" si="25"/>
        <v/>
      </c>
    </row>
    <row r="97" spans="1:19" x14ac:dyDescent="0.15">
      <c r="A97">
        <v>1410023</v>
      </c>
      <c r="B97" t="str">
        <f t="shared" si="13"/>
        <v>[{"id":232,"num":3,"point":{"x":16,"y":38}}, {"id":232, "num":3,"point":{"x":35,"y":35}}, {"id":245, "num":4,"point":{"x":23,"y":12}}]</v>
      </c>
      <c r="C97" s="1" t="s">
        <v>1162</v>
      </c>
      <c r="D97" s="1">
        <f t="shared" si="14"/>
        <v>232</v>
      </c>
      <c r="E97" t="s">
        <v>1163</v>
      </c>
      <c r="F97">
        <f t="shared" si="15"/>
        <v>3</v>
      </c>
      <c r="G97" t="str">
        <f t="shared" si="16"/>
        <v>,"point":{"x":16,"y":38}}, {"id":</v>
      </c>
      <c r="H97">
        <f t="shared" si="17"/>
        <v>232</v>
      </c>
      <c r="I97" t="s">
        <v>1178</v>
      </c>
      <c r="J97">
        <f t="shared" si="18"/>
        <v>3</v>
      </c>
      <c r="K97" t="str">
        <f t="shared" si="19"/>
        <v>,"point":{"x":35,"y":35}}, {"id":</v>
      </c>
      <c r="L97">
        <f t="shared" si="20"/>
        <v>245</v>
      </c>
      <c r="M97" t="s">
        <v>1178</v>
      </c>
      <c r="N97">
        <f t="shared" si="21"/>
        <v>4</v>
      </c>
      <c r="O97" t="str">
        <f t="shared" si="22"/>
        <v>,"point":{"x":23,"y":12}}]</v>
      </c>
      <c r="Q97" t="str">
        <f t="shared" si="23"/>
        <v/>
      </c>
      <c r="R97" t="str">
        <f t="shared" si="24"/>
        <v/>
      </c>
      <c r="S97" t="str">
        <f t="shared" si="25"/>
        <v/>
      </c>
    </row>
    <row r="98" spans="1:19" x14ac:dyDescent="0.15">
      <c r="A98">
        <v>1410024</v>
      </c>
      <c r="B98" t="str">
        <f t="shared" si="13"/>
        <v>[{"id":232,"num":4,"point":{"x":16,"y":38}}, {"id":232, "num":3,"point":{"x":35,"y":35}}, {"id":245, "num":4,"point":{"x":23,"y":12}}]</v>
      </c>
      <c r="C98" s="1" t="s">
        <v>1162</v>
      </c>
      <c r="D98" s="1">
        <f t="shared" si="14"/>
        <v>232</v>
      </c>
      <c r="E98" t="s">
        <v>1163</v>
      </c>
      <c r="F98">
        <f t="shared" si="15"/>
        <v>4</v>
      </c>
      <c r="G98" t="str">
        <f t="shared" si="16"/>
        <v>,"point":{"x":16,"y":38}}, {"id":</v>
      </c>
      <c r="H98">
        <f t="shared" si="17"/>
        <v>232</v>
      </c>
      <c r="I98" t="s">
        <v>1178</v>
      </c>
      <c r="J98">
        <f t="shared" si="18"/>
        <v>3</v>
      </c>
      <c r="K98" t="str">
        <f t="shared" si="19"/>
        <v>,"point":{"x":35,"y":35}}, {"id":</v>
      </c>
      <c r="L98">
        <f t="shared" si="20"/>
        <v>245</v>
      </c>
      <c r="M98" t="s">
        <v>1178</v>
      </c>
      <c r="N98">
        <f t="shared" si="21"/>
        <v>4</v>
      </c>
      <c r="O98" t="str">
        <f t="shared" si="22"/>
        <v>,"point":{"x":23,"y":12}}]</v>
      </c>
      <c r="Q98" t="str">
        <f t="shared" si="23"/>
        <v/>
      </c>
      <c r="R98" t="str">
        <f t="shared" si="24"/>
        <v/>
      </c>
      <c r="S98" t="str">
        <f t="shared" si="25"/>
        <v/>
      </c>
    </row>
    <row r="99" spans="1:19" x14ac:dyDescent="0.15">
      <c r="A99">
        <v>1410025</v>
      </c>
      <c r="B99" t="str">
        <f t="shared" si="13"/>
        <v>[{"id":233,"num":4,"point":{"x":16,"y":20}}, {"id":233, "num":4,"point":{"x":25,"y":37}}, {"id":245, "num":5,"point":{"x":36,"y":37}}, {"id":275,"point":{"x":25,"y":42}}]</v>
      </c>
      <c r="C99" s="1" t="s">
        <v>1162</v>
      </c>
      <c r="D99" s="1">
        <f t="shared" si="14"/>
        <v>233</v>
      </c>
      <c r="E99" t="s">
        <v>1163</v>
      </c>
      <c r="F99">
        <f t="shared" si="15"/>
        <v>4</v>
      </c>
      <c r="G99" t="str">
        <f t="shared" si="16"/>
        <v>,"point":{"x":16,"y":20}}, {"id":</v>
      </c>
      <c r="H99">
        <f t="shared" si="17"/>
        <v>233</v>
      </c>
      <c r="I99" t="s">
        <v>1178</v>
      </c>
      <c r="J99">
        <f t="shared" si="18"/>
        <v>4</v>
      </c>
      <c r="K99" t="str">
        <f t="shared" si="19"/>
        <v>,"point":{"x":25,"y":37}}, {"id":</v>
      </c>
      <c r="L99">
        <f t="shared" si="20"/>
        <v>245</v>
      </c>
      <c r="M99" t="s">
        <v>1178</v>
      </c>
      <c r="N99">
        <f t="shared" si="21"/>
        <v>5</v>
      </c>
      <c r="O99" t="str">
        <f t="shared" si="22"/>
        <v>,"point":{"x":36,"y":37}}, {"id":</v>
      </c>
      <c r="P99" s="1">
        <f>P94+1</f>
        <v>275</v>
      </c>
      <c r="Q99" t="str">
        <f t="shared" si="23"/>
        <v/>
      </c>
      <c r="R99" t="str">
        <f t="shared" si="24"/>
        <v/>
      </c>
      <c r="S99" t="str">
        <f t="shared" si="25"/>
        <v>,"point":{"x":25,"y":42}}]</v>
      </c>
    </row>
    <row r="100" spans="1:19" x14ac:dyDescent="0.15">
      <c r="A100">
        <v>1410026</v>
      </c>
      <c r="B100" t="str">
        <f t="shared" si="13"/>
        <v>[{"id":234,"num":5,"point":{"x":16,"y":20}}, {"id":234, "num":4,"point":{"x":25,"y":37}}, {"id":246, "num":5,"point":{"x":33,"y":16}}]</v>
      </c>
      <c r="C100" s="1" t="s">
        <v>1162</v>
      </c>
      <c r="D100" s="1">
        <f t="shared" si="14"/>
        <v>234</v>
      </c>
      <c r="E100" t="s">
        <v>1163</v>
      </c>
      <c r="F100">
        <f t="shared" si="15"/>
        <v>5</v>
      </c>
      <c r="G100" t="str">
        <f t="shared" si="16"/>
        <v>,"point":{"x":16,"y":20}}, {"id":</v>
      </c>
      <c r="H100">
        <f t="shared" si="17"/>
        <v>234</v>
      </c>
      <c r="I100" t="s">
        <v>1178</v>
      </c>
      <c r="J100">
        <f t="shared" si="18"/>
        <v>4</v>
      </c>
      <c r="K100" t="str">
        <f t="shared" si="19"/>
        <v>,"point":{"x":25,"y":37}}, {"id":</v>
      </c>
      <c r="L100">
        <f t="shared" si="20"/>
        <v>246</v>
      </c>
      <c r="M100" t="s">
        <v>1178</v>
      </c>
      <c r="N100">
        <f t="shared" si="21"/>
        <v>5</v>
      </c>
      <c r="O100" t="str">
        <f t="shared" si="22"/>
        <v>,"point":{"x":33,"y":16}}]</v>
      </c>
      <c r="Q100" t="str">
        <f t="shared" si="23"/>
        <v/>
      </c>
      <c r="R100" t="str">
        <f t="shared" si="24"/>
        <v/>
      </c>
      <c r="S100" t="str">
        <f t="shared" si="25"/>
        <v/>
      </c>
    </row>
    <row r="101" spans="1:19" x14ac:dyDescent="0.15">
      <c r="A101">
        <v>1410027</v>
      </c>
      <c r="B101" t="str">
        <f t="shared" si="13"/>
        <v>[{"id":234,"num":5,"point":{"x":25,"y":35}}, {"id":234, "num":5,"point":{"x":33,"y":33}}, {"id":246, "num":6,"point":{"x":20,"y":18}}]</v>
      </c>
      <c r="C101" s="1" t="s">
        <v>1162</v>
      </c>
      <c r="D101" s="1">
        <f t="shared" si="14"/>
        <v>234</v>
      </c>
      <c r="E101" t="s">
        <v>1163</v>
      </c>
      <c r="F101">
        <f t="shared" si="15"/>
        <v>5</v>
      </c>
      <c r="G101" t="str">
        <f t="shared" si="16"/>
        <v>,"point":{"x":25,"y":35}}, {"id":</v>
      </c>
      <c r="H101">
        <f t="shared" si="17"/>
        <v>234</v>
      </c>
      <c r="I101" t="s">
        <v>1178</v>
      </c>
      <c r="J101">
        <f t="shared" si="18"/>
        <v>5</v>
      </c>
      <c r="K101" t="str">
        <f t="shared" si="19"/>
        <v>,"point":{"x":33,"y":33}}, {"id":</v>
      </c>
      <c r="L101">
        <f t="shared" si="20"/>
        <v>246</v>
      </c>
      <c r="M101" t="s">
        <v>1178</v>
      </c>
      <c r="N101">
        <f t="shared" si="21"/>
        <v>6</v>
      </c>
      <c r="O101" t="str">
        <f t="shared" si="22"/>
        <v>,"point":{"x":20,"y":18}}]</v>
      </c>
      <c r="Q101" t="str">
        <f t="shared" si="23"/>
        <v/>
      </c>
      <c r="R101" t="str">
        <f t="shared" si="24"/>
        <v/>
      </c>
      <c r="S101" t="str">
        <f t="shared" si="25"/>
        <v/>
      </c>
    </row>
    <row r="102" spans="1:19" x14ac:dyDescent="0.15">
      <c r="A102">
        <v>1410028</v>
      </c>
      <c r="B102" t="str">
        <f t="shared" si="13"/>
        <v>[{"id":235,"num":6,"point":{"x":25,"y":35}}, {"id":235, "num":5,"point":{"x":33,"y":33}}, {"id":246, "num":6,"point":{"x":20,"y":18}}]</v>
      </c>
      <c r="C102" s="1" t="s">
        <v>1162</v>
      </c>
      <c r="D102" s="1">
        <f t="shared" si="14"/>
        <v>235</v>
      </c>
      <c r="E102" t="s">
        <v>1163</v>
      </c>
      <c r="F102">
        <f t="shared" si="15"/>
        <v>6</v>
      </c>
      <c r="G102" t="str">
        <f t="shared" si="16"/>
        <v>,"point":{"x":25,"y":35}}, {"id":</v>
      </c>
      <c r="H102">
        <f t="shared" si="17"/>
        <v>235</v>
      </c>
      <c r="I102" t="s">
        <v>1178</v>
      </c>
      <c r="J102">
        <f t="shared" si="18"/>
        <v>5</v>
      </c>
      <c r="K102" t="str">
        <f t="shared" si="19"/>
        <v>,"point":{"x":33,"y":33}}, {"id":</v>
      </c>
      <c r="L102">
        <f t="shared" si="20"/>
        <v>246</v>
      </c>
      <c r="M102" t="s">
        <v>1178</v>
      </c>
      <c r="N102">
        <f t="shared" si="21"/>
        <v>6</v>
      </c>
      <c r="O102" t="str">
        <f t="shared" si="22"/>
        <v>,"point":{"x":20,"y":18}}]</v>
      </c>
      <c r="Q102" t="str">
        <f t="shared" si="23"/>
        <v/>
      </c>
      <c r="R102" t="str">
        <f t="shared" si="24"/>
        <v/>
      </c>
      <c r="S102" t="str">
        <f t="shared" si="25"/>
        <v/>
      </c>
    </row>
    <row r="103" spans="1:19" x14ac:dyDescent="0.15">
      <c r="A103">
        <v>1410029</v>
      </c>
      <c r="B103" t="str">
        <f t="shared" si="13"/>
        <v>[{"id":236,"num":6,"point":{"x":15,"y":35}}, {"id":236, "num":6,"point":{"x":26,"y":39}}, {"id":246, "num":7,"point":{"x":36,"y":37}}]</v>
      </c>
      <c r="C103" s="1" t="s">
        <v>1162</v>
      </c>
      <c r="D103" s="1">
        <f t="shared" si="14"/>
        <v>236</v>
      </c>
      <c r="E103" t="s">
        <v>1163</v>
      </c>
      <c r="F103">
        <f t="shared" si="15"/>
        <v>6</v>
      </c>
      <c r="G103" t="str">
        <f t="shared" si="16"/>
        <v>,"point":{"x":15,"y":35}}, {"id":</v>
      </c>
      <c r="H103">
        <f t="shared" si="17"/>
        <v>236</v>
      </c>
      <c r="I103" t="s">
        <v>1178</v>
      </c>
      <c r="J103">
        <f t="shared" si="18"/>
        <v>6</v>
      </c>
      <c r="K103" t="str">
        <f t="shared" si="19"/>
        <v>,"point":{"x":26,"y":39}}, {"id":</v>
      </c>
      <c r="L103">
        <f t="shared" si="20"/>
        <v>246</v>
      </c>
      <c r="M103" t="s">
        <v>1178</v>
      </c>
      <c r="N103">
        <f t="shared" si="21"/>
        <v>7</v>
      </c>
      <c r="O103" t="str">
        <f t="shared" si="22"/>
        <v>,"point":{"x":36,"y":37}}]</v>
      </c>
      <c r="Q103" t="str">
        <f t="shared" si="23"/>
        <v/>
      </c>
      <c r="R103" t="str">
        <f t="shared" si="24"/>
        <v/>
      </c>
      <c r="S103" t="str">
        <f t="shared" si="25"/>
        <v/>
      </c>
    </row>
    <row r="104" spans="1:19" x14ac:dyDescent="0.15">
      <c r="A104">
        <v>1410030</v>
      </c>
      <c r="B104" t="str">
        <f t="shared" si="13"/>
        <v>[{"id":237,"num":6,"point":{"x":15,"y":35}}, {"id":237, "num":6,"point":{"x":26,"y":39}}, {"id":246, "num":7,"point":{"x":36,"y":37}}, {"id":276, "num":1,"point":{"x":25,"y":42}}]</v>
      </c>
      <c r="C104" s="1" t="s">
        <v>1162</v>
      </c>
      <c r="D104" s="1">
        <f t="shared" si="14"/>
        <v>237</v>
      </c>
      <c r="E104" t="s">
        <v>1163</v>
      </c>
      <c r="F104">
        <f t="shared" si="15"/>
        <v>6</v>
      </c>
      <c r="G104" t="str">
        <f t="shared" si="16"/>
        <v>,"point":{"x":15,"y":35}}, {"id":</v>
      </c>
      <c r="H104">
        <f t="shared" si="17"/>
        <v>237</v>
      </c>
      <c r="I104" t="s">
        <v>1178</v>
      </c>
      <c r="J104">
        <f t="shared" si="18"/>
        <v>6</v>
      </c>
      <c r="K104" t="str">
        <f t="shared" si="19"/>
        <v>,"point":{"x":26,"y":39}}, {"id":</v>
      </c>
      <c r="L104">
        <f t="shared" si="20"/>
        <v>246</v>
      </c>
      <c r="M104" t="s">
        <v>1178</v>
      </c>
      <c r="N104">
        <f t="shared" si="21"/>
        <v>7</v>
      </c>
      <c r="O104" t="str">
        <f t="shared" si="22"/>
        <v>,"point":{"x":36,"y":37}}, {"id":</v>
      </c>
      <c r="P104" s="1">
        <f>P99+1</f>
        <v>276</v>
      </c>
      <c r="Q104" t="str">
        <f t="shared" si="23"/>
        <v>, "num":</v>
      </c>
      <c r="R104">
        <f t="shared" si="24"/>
        <v>1</v>
      </c>
      <c r="S104" t="str">
        <f t="shared" si="25"/>
        <v>,"point":{"x":25,"y":42}}]</v>
      </c>
    </row>
    <row r="105" spans="1:19" x14ac:dyDescent="0.15">
      <c r="A105">
        <v>1410031</v>
      </c>
      <c r="B105" t="str">
        <f t="shared" si="13"/>
        <v>[{"id":235,"num":2,"point":{"x":24,"y":37}}, {"id":235, "num":2,"point":{"x":15,"y":35}}, {"id":247, "num":3,"point":{"x":33,"y":33}}]</v>
      </c>
      <c r="C105" s="1" t="s">
        <v>1162</v>
      </c>
      <c r="D105" s="1">
        <f t="shared" si="14"/>
        <v>235</v>
      </c>
      <c r="E105" t="s">
        <v>1163</v>
      </c>
      <c r="F105">
        <f t="shared" si="15"/>
        <v>2</v>
      </c>
      <c r="G105" t="str">
        <f t="shared" si="16"/>
        <v>,"point":{"x":24,"y":37}}, {"id":</v>
      </c>
      <c r="H105">
        <f t="shared" si="17"/>
        <v>235</v>
      </c>
      <c r="I105" t="s">
        <v>1178</v>
      </c>
      <c r="J105">
        <f t="shared" si="18"/>
        <v>2</v>
      </c>
      <c r="K105" t="str">
        <f t="shared" si="19"/>
        <v>,"point":{"x":15,"y":35}}, {"id":</v>
      </c>
      <c r="L105">
        <f t="shared" si="20"/>
        <v>247</v>
      </c>
      <c r="M105" t="s">
        <v>1178</v>
      </c>
      <c r="N105">
        <f t="shared" si="21"/>
        <v>3</v>
      </c>
      <c r="O105" t="str">
        <f t="shared" si="22"/>
        <v>,"point":{"x":33,"y":33}}]</v>
      </c>
      <c r="Q105" t="str">
        <f t="shared" si="23"/>
        <v/>
      </c>
      <c r="R105" t="str">
        <f t="shared" si="24"/>
        <v/>
      </c>
      <c r="S105" t="str">
        <f t="shared" si="25"/>
        <v/>
      </c>
    </row>
    <row r="106" spans="1:19" x14ac:dyDescent="0.15">
      <c r="A106">
        <v>1410032</v>
      </c>
      <c r="B106" t="str">
        <f t="shared" si="13"/>
        <v>[{"id":235,"num":3,"point":{"x":24,"y":37}}, {"id":235, "num":2,"point":{"x":15,"y":35}}, {"id":247, "num":3,"point":{"x":33,"y":33}}]</v>
      </c>
      <c r="C106" s="1" t="s">
        <v>1162</v>
      </c>
      <c r="D106" s="1">
        <f t="shared" si="14"/>
        <v>235</v>
      </c>
      <c r="E106" t="s">
        <v>1163</v>
      </c>
      <c r="F106">
        <f t="shared" si="15"/>
        <v>3</v>
      </c>
      <c r="G106" t="str">
        <f t="shared" si="16"/>
        <v>,"point":{"x":24,"y":37}}, {"id":</v>
      </c>
      <c r="H106">
        <f t="shared" si="17"/>
        <v>235</v>
      </c>
      <c r="I106" t="s">
        <v>1178</v>
      </c>
      <c r="J106">
        <f t="shared" si="18"/>
        <v>2</v>
      </c>
      <c r="K106" t="str">
        <f t="shared" si="19"/>
        <v>,"point":{"x":15,"y":35}}, {"id":</v>
      </c>
      <c r="L106">
        <f t="shared" si="20"/>
        <v>247</v>
      </c>
      <c r="M106" t="s">
        <v>1178</v>
      </c>
      <c r="N106">
        <f t="shared" si="21"/>
        <v>3</v>
      </c>
      <c r="O106" t="str">
        <f t="shared" si="22"/>
        <v>,"point":{"x":33,"y":33}}]</v>
      </c>
      <c r="Q106" t="str">
        <f t="shared" si="23"/>
        <v/>
      </c>
      <c r="R106" t="str">
        <f t="shared" si="24"/>
        <v/>
      </c>
      <c r="S106" t="str">
        <f t="shared" si="25"/>
        <v/>
      </c>
    </row>
    <row r="107" spans="1:19" x14ac:dyDescent="0.15">
      <c r="A107">
        <v>1410033</v>
      </c>
      <c r="B107" t="str">
        <f t="shared" ref="B107:B134" si="26">CONCATENATE(C107,D107,E107,F107,G107,H107,I107,J107,K107,L107,M107,N107,O107,P107,Q107,R107,S107)</f>
        <v>[{"id":236,"num":3,"point":{"x":16,"y":38}}, {"id":236, "num":3,"point":{"x":35,"y":35}}, {"id":247, "num":4,"point":{"x":23,"y":12}}]</v>
      </c>
      <c r="C107" s="1" t="s">
        <v>1162</v>
      </c>
      <c r="D107" s="1">
        <f t="shared" ref="D107:D134" si="27">D97+4</f>
        <v>236</v>
      </c>
      <c r="E107" t="s">
        <v>1163</v>
      </c>
      <c r="F107">
        <f t="shared" ref="F107:F134" si="28">F97</f>
        <v>3</v>
      </c>
      <c r="G107" t="str">
        <f t="shared" ref="G107:G134" si="29">G97</f>
        <v>,"point":{"x":16,"y":38}}, {"id":</v>
      </c>
      <c r="H107">
        <f t="shared" ref="H107:H134" si="30">D107</f>
        <v>236</v>
      </c>
      <c r="I107" t="s">
        <v>1178</v>
      </c>
      <c r="J107">
        <f t="shared" ref="J107:J134" si="31">J97</f>
        <v>3</v>
      </c>
      <c r="K107" t="str">
        <f t="shared" ref="K107:K134" si="32">K97</f>
        <v>,"point":{"x":35,"y":35}}, {"id":</v>
      </c>
      <c r="L107">
        <f t="shared" ref="L107:L134" si="33">L102+1</f>
        <v>247</v>
      </c>
      <c r="M107" t="s">
        <v>1178</v>
      </c>
      <c r="N107">
        <f t="shared" ref="N107:N134" si="34">N97</f>
        <v>4</v>
      </c>
      <c r="O107" t="str">
        <f t="shared" ref="O107:O134" si="35">O97</f>
        <v>,"point":{"x":23,"y":12}}]</v>
      </c>
      <c r="Q107" t="str">
        <f t="shared" ref="Q107:Q134" si="36">IF(Q97=0,"",Q97)</f>
        <v/>
      </c>
      <c r="R107" t="str">
        <f t="shared" ref="R107:R134" si="37">IF(R97=0,"",R97)</f>
        <v/>
      </c>
      <c r="S107" t="str">
        <f t="shared" ref="S107:S134" si="38">IF(S97=0,"",S97)</f>
        <v/>
      </c>
    </row>
    <row r="108" spans="1:19" x14ac:dyDescent="0.15">
      <c r="A108">
        <v>1410034</v>
      </c>
      <c r="B108" t="str">
        <f t="shared" si="26"/>
        <v>[{"id":236,"num":4,"point":{"x":16,"y":38}}, {"id":236, "num":3,"point":{"x":35,"y":35}}, {"id":247, "num":4,"point":{"x":23,"y":12}}]</v>
      </c>
      <c r="C108" s="1" t="s">
        <v>1162</v>
      </c>
      <c r="D108" s="1">
        <f t="shared" si="27"/>
        <v>236</v>
      </c>
      <c r="E108" t="s">
        <v>1163</v>
      </c>
      <c r="F108">
        <f t="shared" si="28"/>
        <v>4</v>
      </c>
      <c r="G108" t="str">
        <f t="shared" si="29"/>
        <v>,"point":{"x":16,"y":38}}, {"id":</v>
      </c>
      <c r="H108">
        <f t="shared" si="30"/>
        <v>236</v>
      </c>
      <c r="I108" t="s">
        <v>1178</v>
      </c>
      <c r="J108">
        <f t="shared" si="31"/>
        <v>3</v>
      </c>
      <c r="K108" t="str">
        <f t="shared" si="32"/>
        <v>,"point":{"x":35,"y":35}}, {"id":</v>
      </c>
      <c r="L108">
        <f t="shared" si="33"/>
        <v>247</v>
      </c>
      <c r="M108" t="s">
        <v>1178</v>
      </c>
      <c r="N108">
        <f t="shared" si="34"/>
        <v>4</v>
      </c>
      <c r="O108" t="str">
        <f t="shared" si="35"/>
        <v>,"point":{"x":23,"y":12}}]</v>
      </c>
      <c r="Q108" t="str">
        <f t="shared" si="36"/>
        <v/>
      </c>
      <c r="R108" t="str">
        <f t="shared" si="37"/>
        <v/>
      </c>
      <c r="S108" t="str">
        <f t="shared" si="38"/>
        <v/>
      </c>
    </row>
    <row r="109" spans="1:19" x14ac:dyDescent="0.15">
      <c r="A109">
        <v>1410035</v>
      </c>
      <c r="B109" t="str">
        <f t="shared" si="26"/>
        <v>[{"id":237,"num":4,"point":{"x":16,"y":20}}, {"id":237, "num":4,"point":{"x":25,"y":37}}, {"id":247, "num":5,"point":{"x":36,"y":37}}, {"id":277,"point":{"x":25,"y":42}}]</v>
      </c>
      <c r="C109" s="1" t="s">
        <v>1162</v>
      </c>
      <c r="D109" s="1">
        <f t="shared" si="27"/>
        <v>237</v>
      </c>
      <c r="E109" t="s">
        <v>1163</v>
      </c>
      <c r="F109">
        <f t="shared" si="28"/>
        <v>4</v>
      </c>
      <c r="G109" t="str">
        <f t="shared" si="29"/>
        <v>,"point":{"x":16,"y":20}}, {"id":</v>
      </c>
      <c r="H109">
        <f t="shared" si="30"/>
        <v>237</v>
      </c>
      <c r="I109" t="s">
        <v>1178</v>
      </c>
      <c r="J109">
        <f t="shared" si="31"/>
        <v>4</v>
      </c>
      <c r="K109" t="str">
        <f t="shared" si="32"/>
        <v>,"point":{"x":25,"y":37}}, {"id":</v>
      </c>
      <c r="L109">
        <f t="shared" si="33"/>
        <v>247</v>
      </c>
      <c r="M109" t="s">
        <v>1178</v>
      </c>
      <c r="N109">
        <f t="shared" si="34"/>
        <v>5</v>
      </c>
      <c r="O109" t="str">
        <f t="shared" si="35"/>
        <v>,"point":{"x":36,"y":37}}, {"id":</v>
      </c>
      <c r="P109" s="1">
        <f>P104+1</f>
        <v>277</v>
      </c>
      <c r="Q109" t="str">
        <f t="shared" si="36"/>
        <v/>
      </c>
      <c r="R109" t="str">
        <f t="shared" si="37"/>
        <v/>
      </c>
      <c r="S109" t="str">
        <f t="shared" si="38"/>
        <v>,"point":{"x":25,"y":42}}]</v>
      </c>
    </row>
    <row r="110" spans="1:19" x14ac:dyDescent="0.15">
      <c r="A110">
        <v>1410036</v>
      </c>
      <c r="B110" t="str">
        <f t="shared" si="26"/>
        <v>[{"id":238,"num":5,"point":{"x":16,"y":20}}, {"id":238, "num":4,"point":{"x":25,"y":37}}, {"id":248, "num":5,"point":{"x":33,"y":16}}]</v>
      </c>
      <c r="C110" s="1" t="s">
        <v>1162</v>
      </c>
      <c r="D110" s="1">
        <f t="shared" si="27"/>
        <v>238</v>
      </c>
      <c r="E110" t="s">
        <v>1163</v>
      </c>
      <c r="F110">
        <f t="shared" si="28"/>
        <v>5</v>
      </c>
      <c r="G110" t="str">
        <f t="shared" si="29"/>
        <v>,"point":{"x":16,"y":20}}, {"id":</v>
      </c>
      <c r="H110">
        <f t="shared" si="30"/>
        <v>238</v>
      </c>
      <c r="I110" t="s">
        <v>1178</v>
      </c>
      <c r="J110">
        <f t="shared" si="31"/>
        <v>4</v>
      </c>
      <c r="K110" t="str">
        <f t="shared" si="32"/>
        <v>,"point":{"x":25,"y":37}}, {"id":</v>
      </c>
      <c r="L110">
        <f t="shared" si="33"/>
        <v>248</v>
      </c>
      <c r="M110" t="s">
        <v>1178</v>
      </c>
      <c r="N110">
        <f t="shared" si="34"/>
        <v>5</v>
      </c>
      <c r="O110" t="str">
        <f t="shared" si="35"/>
        <v>,"point":{"x":33,"y":16}}]</v>
      </c>
      <c r="Q110" t="str">
        <f t="shared" si="36"/>
        <v/>
      </c>
      <c r="R110" t="str">
        <f t="shared" si="37"/>
        <v/>
      </c>
      <c r="S110" t="str">
        <f t="shared" si="38"/>
        <v/>
      </c>
    </row>
    <row r="111" spans="1:19" x14ac:dyDescent="0.15">
      <c r="A111">
        <v>1410037</v>
      </c>
      <c r="B111" t="str">
        <f t="shared" si="26"/>
        <v>[{"id":238,"num":5,"point":{"x":25,"y":35}}, {"id":238, "num":5,"point":{"x":33,"y":33}}, {"id":248, "num":6,"point":{"x":20,"y":18}}]</v>
      </c>
      <c r="C111" s="1" t="s">
        <v>1162</v>
      </c>
      <c r="D111" s="1">
        <f t="shared" si="27"/>
        <v>238</v>
      </c>
      <c r="E111" t="s">
        <v>1163</v>
      </c>
      <c r="F111">
        <f t="shared" si="28"/>
        <v>5</v>
      </c>
      <c r="G111" t="str">
        <f t="shared" si="29"/>
        <v>,"point":{"x":25,"y":35}}, {"id":</v>
      </c>
      <c r="H111">
        <f t="shared" si="30"/>
        <v>238</v>
      </c>
      <c r="I111" t="s">
        <v>1178</v>
      </c>
      <c r="J111">
        <f t="shared" si="31"/>
        <v>5</v>
      </c>
      <c r="K111" t="str">
        <f t="shared" si="32"/>
        <v>,"point":{"x":33,"y":33}}, {"id":</v>
      </c>
      <c r="L111">
        <f t="shared" si="33"/>
        <v>248</v>
      </c>
      <c r="M111" t="s">
        <v>1178</v>
      </c>
      <c r="N111">
        <f t="shared" si="34"/>
        <v>6</v>
      </c>
      <c r="O111" t="str">
        <f t="shared" si="35"/>
        <v>,"point":{"x":20,"y":18}}]</v>
      </c>
      <c r="Q111" t="str">
        <f t="shared" si="36"/>
        <v/>
      </c>
      <c r="R111" t="str">
        <f t="shared" si="37"/>
        <v/>
      </c>
      <c r="S111" t="str">
        <f t="shared" si="38"/>
        <v/>
      </c>
    </row>
    <row r="112" spans="1:19" x14ac:dyDescent="0.15">
      <c r="A112">
        <v>1410038</v>
      </c>
      <c r="B112" t="str">
        <f t="shared" si="26"/>
        <v>[{"id":239,"num":6,"point":{"x":25,"y":35}}, {"id":239, "num":5,"point":{"x":33,"y":33}}, {"id":248, "num":6,"point":{"x":20,"y":18}}]</v>
      </c>
      <c r="C112" s="1" t="s">
        <v>1162</v>
      </c>
      <c r="D112" s="1">
        <f t="shared" si="27"/>
        <v>239</v>
      </c>
      <c r="E112" t="s">
        <v>1163</v>
      </c>
      <c r="F112">
        <f t="shared" si="28"/>
        <v>6</v>
      </c>
      <c r="G112" t="str">
        <f t="shared" si="29"/>
        <v>,"point":{"x":25,"y":35}}, {"id":</v>
      </c>
      <c r="H112">
        <f t="shared" si="30"/>
        <v>239</v>
      </c>
      <c r="I112" t="s">
        <v>1178</v>
      </c>
      <c r="J112">
        <f t="shared" si="31"/>
        <v>5</v>
      </c>
      <c r="K112" t="str">
        <f t="shared" si="32"/>
        <v>,"point":{"x":33,"y":33}}, {"id":</v>
      </c>
      <c r="L112">
        <f t="shared" si="33"/>
        <v>248</v>
      </c>
      <c r="M112" t="s">
        <v>1178</v>
      </c>
      <c r="N112">
        <f t="shared" si="34"/>
        <v>6</v>
      </c>
      <c r="O112" t="str">
        <f t="shared" si="35"/>
        <v>,"point":{"x":20,"y":18}}]</v>
      </c>
      <c r="Q112" t="str">
        <f t="shared" si="36"/>
        <v/>
      </c>
      <c r="R112" t="str">
        <f t="shared" si="37"/>
        <v/>
      </c>
      <c r="S112" t="str">
        <f t="shared" si="38"/>
        <v/>
      </c>
    </row>
    <row r="113" spans="1:19" x14ac:dyDescent="0.15">
      <c r="A113">
        <v>1410039</v>
      </c>
      <c r="B113" t="str">
        <f t="shared" si="26"/>
        <v>[{"id":240,"num":6,"point":{"x":15,"y":35}}, {"id":240, "num":6,"point":{"x":26,"y":39}}, {"id":248, "num":7,"point":{"x":36,"y":37}}]</v>
      </c>
      <c r="C113" s="1" t="s">
        <v>1162</v>
      </c>
      <c r="D113" s="1">
        <f t="shared" si="27"/>
        <v>240</v>
      </c>
      <c r="E113" t="s">
        <v>1163</v>
      </c>
      <c r="F113">
        <f t="shared" si="28"/>
        <v>6</v>
      </c>
      <c r="G113" t="str">
        <f t="shared" si="29"/>
        <v>,"point":{"x":15,"y":35}}, {"id":</v>
      </c>
      <c r="H113">
        <f t="shared" si="30"/>
        <v>240</v>
      </c>
      <c r="I113" t="s">
        <v>1178</v>
      </c>
      <c r="J113">
        <f t="shared" si="31"/>
        <v>6</v>
      </c>
      <c r="K113" t="str">
        <f t="shared" si="32"/>
        <v>,"point":{"x":26,"y":39}}, {"id":</v>
      </c>
      <c r="L113">
        <f t="shared" si="33"/>
        <v>248</v>
      </c>
      <c r="M113" t="s">
        <v>1178</v>
      </c>
      <c r="N113">
        <f t="shared" si="34"/>
        <v>7</v>
      </c>
      <c r="O113" t="str">
        <f t="shared" si="35"/>
        <v>,"point":{"x":36,"y":37}}]</v>
      </c>
      <c r="Q113" t="str">
        <f t="shared" si="36"/>
        <v/>
      </c>
      <c r="R113" t="str">
        <f t="shared" si="37"/>
        <v/>
      </c>
      <c r="S113" t="str">
        <f t="shared" si="38"/>
        <v/>
      </c>
    </row>
    <row r="114" spans="1:19" x14ac:dyDescent="0.15">
      <c r="A114">
        <v>1410040</v>
      </c>
      <c r="B114" t="str">
        <f t="shared" si="26"/>
        <v>[{"id":241,"num":6,"point":{"x":15,"y":35}}, {"id":241, "num":6,"point":{"x":26,"y":39}}, {"id":248, "num":7,"point":{"x":36,"y":37}}, {"id":278, "num":1,"point":{"x":25,"y":42}}]</v>
      </c>
      <c r="C114" s="1" t="s">
        <v>1162</v>
      </c>
      <c r="D114" s="1">
        <f t="shared" si="27"/>
        <v>241</v>
      </c>
      <c r="E114" t="s">
        <v>1163</v>
      </c>
      <c r="F114">
        <f t="shared" si="28"/>
        <v>6</v>
      </c>
      <c r="G114" t="str">
        <f t="shared" si="29"/>
        <v>,"point":{"x":15,"y":35}}, {"id":</v>
      </c>
      <c r="H114">
        <f t="shared" si="30"/>
        <v>241</v>
      </c>
      <c r="I114" t="s">
        <v>1178</v>
      </c>
      <c r="J114">
        <f t="shared" si="31"/>
        <v>6</v>
      </c>
      <c r="K114" t="str">
        <f t="shared" si="32"/>
        <v>,"point":{"x":26,"y":39}}, {"id":</v>
      </c>
      <c r="L114">
        <f t="shared" si="33"/>
        <v>248</v>
      </c>
      <c r="M114" t="s">
        <v>1178</v>
      </c>
      <c r="N114">
        <f t="shared" si="34"/>
        <v>7</v>
      </c>
      <c r="O114" t="str">
        <f t="shared" si="35"/>
        <v>,"point":{"x":36,"y":37}}, {"id":</v>
      </c>
      <c r="P114" s="1">
        <f>P109+1</f>
        <v>278</v>
      </c>
      <c r="Q114" t="str">
        <f t="shared" si="36"/>
        <v>, "num":</v>
      </c>
      <c r="R114">
        <f t="shared" si="37"/>
        <v>1</v>
      </c>
      <c r="S114" t="str">
        <f t="shared" si="38"/>
        <v>,"point":{"x":25,"y":42}}]</v>
      </c>
    </row>
    <row r="115" spans="1:19" x14ac:dyDescent="0.15">
      <c r="A115">
        <v>1411001</v>
      </c>
      <c r="B115" t="str">
        <f t="shared" si="26"/>
        <v>[{"id":239,"num":2,"point":{"x":24,"y":37}}, {"id":239, "num":2,"point":{"x":15,"y":35}}, {"id":249, "num":3,"point":{"x":33,"y":33}}]</v>
      </c>
      <c r="C115" s="1" t="s">
        <v>1162</v>
      </c>
      <c r="D115" s="1">
        <f t="shared" si="27"/>
        <v>239</v>
      </c>
      <c r="E115" t="s">
        <v>1163</v>
      </c>
      <c r="F115">
        <f t="shared" si="28"/>
        <v>2</v>
      </c>
      <c r="G115" t="str">
        <f t="shared" si="29"/>
        <v>,"point":{"x":24,"y":37}}, {"id":</v>
      </c>
      <c r="H115">
        <f t="shared" si="30"/>
        <v>239</v>
      </c>
      <c r="I115" t="s">
        <v>1178</v>
      </c>
      <c r="J115">
        <f t="shared" si="31"/>
        <v>2</v>
      </c>
      <c r="K115" t="str">
        <f t="shared" si="32"/>
        <v>,"point":{"x":15,"y":35}}, {"id":</v>
      </c>
      <c r="L115">
        <f t="shared" si="33"/>
        <v>249</v>
      </c>
      <c r="M115" t="s">
        <v>1178</v>
      </c>
      <c r="N115">
        <f t="shared" si="34"/>
        <v>3</v>
      </c>
      <c r="O115" t="str">
        <f t="shared" si="35"/>
        <v>,"point":{"x":33,"y":33}}]</v>
      </c>
      <c r="Q115" t="str">
        <f t="shared" si="36"/>
        <v/>
      </c>
      <c r="R115" t="str">
        <f t="shared" si="37"/>
        <v/>
      </c>
      <c r="S115" t="str">
        <f t="shared" si="38"/>
        <v/>
      </c>
    </row>
    <row r="116" spans="1:19" x14ac:dyDescent="0.15">
      <c r="A116">
        <v>1411002</v>
      </c>
      <c r="B116" t="str">
        <f t="shared" si="26"/>
        <v>[{"id":239,"num":3,"point":{"x":24,"y":37}}, {"id":239, "num":2,"point":{"x":15,"y":35}}, {"id":249, "num":3,"point":{"x":33,"y":33}}]</v>
      </c>
      <c r="C116" s="1" t="s">
        <v>1162</v>
      </c>
      <c r="D116" s="1">
        <f t="shared" si="27"/>
        <v>239</v>
      </c>
      <c r="E116" t="s">
        <v>1163</v>
      </c>
      <c r="F116">
        <f t="shared" si="28"/>
        <v>3</v>
      </c>
      <c r="G116" t="str">
        <f t="shared" si="29"/>
        <v>,"point":{"x":24,"y":37}}, {"id":</v>
      </c>
      <c r="H116">
        <f t="shared" si="30"/>
        <v>239</v>
      </c>
      <c r="I116" t="s">
        <v>1178</v>
      </c>
      <c r="J116">
        <f t="shared" si="31"/>
        <v>2</v>
      </c>
      <c r="K116" t="str">
        <f t="shared" si="32"/>
        <v>,"point":{"x":15,"y":35}}, {"id":</v>
      </c>
      <c r="L116">
        <f t="shared" si="33"/>
        <v>249</v>
      </c>
      <c r="M116" t="s">
        <v>1178</v>
      </c>
      <c r="N116">
        <f t="shared" si="34"/>
        <v>3</v>
      </c>
      <c r="O116" t="str">
        <f t="shared" si="35"/>
        <v>,"point":{"x":33,"y":33}}]</v>
      </c>
      <c r="Q116" t="str">
        <f t="shared" si="36"/>
        <v/>
      </c>
      <c r="R116" t="str">
        <f t="shared" si="37"/>
        <v/>
      </c>
      <c r="S116" t="str">
        <f t="shared" si="38"/>
        <v/>
      </c>
    </row>
    <row r="117" spans="1:19" x14ac:dyDescent="0.15">
      <c r="A117">
        <v>1411003</v>
      </c>
      <c r="B117" t="str">
        <f t="shared" si="26"/>
        <v>[{"id":240,"num":3,"point":{"x":16,"y":38}}, {"id":240, "num":3,"point":{"x":35,"y":35}}, {"id":249, "num":4,"point":{"x":23,"y":12}}]</v>
      </c>
      <c r="C117" s="1" t="s">
        <v>1162</v>
      </c>
      <c r="D117" s="1">
        <f t="shared" si="27"/>
        <v>240</v>
      </c>
      <c r="E117" t="s">
        <v>1163</v>
      </c>
      <c r="F117">
        <f t="shared" si="28"/>
        <v>3</v>
      </c>
      <c r="G117" t="str">
        <f t="shared" si="29"/>
        <v>,"point":{"x":16,"y":38}}, {"id":</v>
      </c>
      <c r="H117">
        <f t="shared" si="30"/>
        <v>240</v>
      </c>
      <c r="I117" t="s">
        <v>1178</v>
      </c>
      <c r="J117">
        <f t="shared" si="31"/>
        <v>3</v>
      </c>
      <c r="K117" t="str">
        <f t="shared" si="32"/>
        <v>,"point":{"x":35,"y":35}}, {"id":</v>
      </c>
      <c r="L117">
        <f t="shared" si="33"/>
        <v>249</v>
      </c>
      <c r="M117" t="s">
        <v>1178</v>
      </c>
      <c r="N117">
        <f t="shared" si="34"/>
        <v>4</v>
      </c>
      <c r="O117" t="str">
        <f t="shared" si="35"/>
        <v>,"point":{"x":23,"y":12}}]</v>
      </c>
      <c r="Q117" t="str">
        <f t="shared" si="36"/>
        <v/>
      </c>
      <c r="R117" t="str">
        <f t="shared" si="37"/>
        <v/>
      </c>
      <c r="S117" t="str">
        <f t="shared" si="38"/>
        <v/>
      </c>
    </row>
    <row r="118" spans="1:19" x14ac:dyDescent="0.15">
      <c r="A118">
        <v>1411004</v>
      </c>
      <c r="B118" t="str">
        <f t="shared" si="26"/>
        <v>[{"id":240,"num":4,"point":{"x":16,"y":38}}, {"id":240, "num":3,"point":{"x":35,"y":35}}, {"id":249, "num":4,"point":{"x":23,"y":12}}]</v>
      </c>
      <c r="C118" s="1" t="s">
        <v>1162</v>
      </c>
      <c r="D118" s="1">
        <f t="shared" si="27"/>
        <v>240</v>
      </c>
      <c r="E118" t="s">
        <v>1163</v>
      </c>
      <c r="F118">
        <f t="shared" si="28"/>
        <v>4</v>
      </c>
      <c r="G118" t="str">
        <f t="shared" si="29"/>
        <v>,"point":{"x":16,"y":38}}, {"id":</v>
      </c>
      <c r="H118">
        <f t="shared" si="30"/>
        <v>240</v>
      </c>
      <c r="I118" t="s">
        <v>1178</v>
      </c>
      <c r="J118">
        <f t="shared" si="31"/>
        <v>3</v>
      </c>
      <c r="K118" t="str">
        <f t="shared" si="32"/>
        <v>,"point":{"x":35,"y":35}}, {"id":</v>
      </c>
      <c r="L118">
        <f t="shared" si="33"/>
        <v>249</v>
      </c>
      <c r="M118" t="s">
        <v>1178</v>
      </c>
      <c r="N118">
        <f t="shared" si="34"/>
        <v>4</v>
      </c>
      <c r="O118" t="str">
        <f t="shared" si="35"/>
        <v>,"point":{"x":23,"y":12}}]</v>
      </c>
      <c r="Q118" t="str">
        <f t="shared" si="36"/>
        <v/>
      </c>
      <c r="R118" t="str">
        <f t="shared" si="37"/>
        <v/>
      </c>
      <c r="S118" t="str">
        <f t="shared" si="38"/>
        <v/>
      </c>
    </row>
    <row r="119" spans="1:19" x14ac:dyDescent="0.15">
      <c r="A119">
        <v>1411005</v>
      </c>
      <c r="B119" t="str">
        <f t="shared" si="26"/>
        <v>[{"id":241,"num":4,"point":{"x":16,"y":20}}, {"id":241, "num":4,"point":{"x":25,"y":37}}, {"id":249, "num":5,"point":{"x":36,"y":37}}, {"id":279,"point":{"x":25,"y":42}}]</v>
      </c>
      <c r="C119" s="1" t="s">
        <v>1162</v>
      </c>
      <c r="D119" s="1">
        <f t="shared" si="27"/>
        <v>241</v>
      </c>
      <c r="E119" t="s">
        <v>1163</v>
      </c>
      <c r="F119">
        <f t="shared" si="28"/>
        <v>4</v>
      </c>
      <c r="G119" t="str">
        <f t="shared" si="29"/>
        <v>,"point":{"x":16,"y":20}}, {"id":</v>
      </c>
      <c r="H119">
        <f t="shared" si="30"/>
        <v>241</v>
      </c>
      <c r="I119" t="s">
        <v>1178</v>
      </c>
      <c r="J119">
        <f t="shared" si="31"/>
        <v>4</v>
      </c>
      <c r="K119" t="str">
        <f t="shared" si="32"/>
        <v>,"point":{"x":25,"y":37}}, {"id":</v>
      </c>
      <c r="L119">
        <f t="shared" si="33"/>
        <v>249</v>
      </c>
      <c r="M119" t="s">
        <v>1178</v>
      </c>
      <c r="N119">
        <f t="shared" si="34"/>
        <v>5</v>
      </c>
      <c r="O119" t="str">
        <f t="shared" si="35"/>
        <v>,"point":{"x":36,"y":37}}, {"id":</v>
      </c>
      <c r="P119" s="1">
        <f>P114+1</f>
        <v>279</v>
      </c>
      <c r="Q119" t="str">
        <f t="shared" si="36"/>
        <v/>
      </c>
      <c r="R119" t="str">
        <f t="shared" si="37"/>
        <v/>
      </c>
      <c r="S119" t="str">
        <f t="shared" si="38"/>
        <v>,"point":{"x":25,"y":42}}]</v>
      </c>
    </row>
    <row r="120" spans="1:19" x14ac:dyDescent="0.15">
      <c r="A120">
        <v>1411006</v>
      </c>
      <c r="B120" t="str">
        <f t="shared" si="26"/>
        <v>[{"id":242,"num":5,"point":{"x":16,"y":20}}, {"id":242, "num":4,"point":{"x":25,"y":37}}, {"id":250, "num":5,"point":{"x":33,"y":16}}]</v>
      </c>
      <c r="C120" s="1" t="s">
        <v>1162</v>
      </c>
      <c r="D120" s="1">
        <f t="shared" si="27"/>
        <v>242</v>
      </c>
      <c r="E120" t="s">
        <v>1163</v>
      </c>
      <c r="F120">
        <f t="shared" si="28"/>
        <v>5</v>
      </c>
      <c r="G120" t="str">
        <f t="shared" si="29"/>
        <v>,"point":{"x":16,"y":20}}, {"id":</v>
      </c>
      <c r="H120">
        <f t="shared" si="30"/>
        <v>242</v>
      </c>
      <c r="I120" t="s">
        <v>1178</v>
      </c>
      <c r="J120">
        <f t="shared" si="31"/>
        <v>4</v>
      </c>
      <c r="K120" t="str">
        <f t="shared" si="32"/>
        <v>,"point":{"x":25,"y":37}}, {"id":</v>
      </c>
      <c r="L120">
        <f t="shared" si="33"/>
        <v>250</v>
      </c>
      <c r="M120" t="s">
        <v>1178</v>
      </c>
      <c r="N120">
        <f t="shared" si="34"/>
        <v>5</v>
      </c>
      <c r="O120" t="str">
        <f t="shared" si="35"/>
        <v>,"point":{"x":33,"y":16}}]</v>
      </c>
      <c r="Q120" t="str">
        <f t="shared" si="36"/>
        <v/>
      </c>
      <c r="R120" t="str">
        <f t="shared" si="37"/>
        <v/>
      </c>
      <c r="S120" t="str">
        <f t="shared" si="38"/>
        <v/>
      </c>
    </row>
    <row r="121" spans="1:19" x14ac:dyDescent="0.15">
      <c r="A121">
        <v>1411007</v>
      </c>
      <c r="B121" t="str">
        <f t="shared" si="26"/>
        <v>[{"id":242,"num":5,"point":{"x":25,"y":35}}, {"id":242, "num":5,"point":{"x":33,"y":33}}, {"id":250, "num":6,"point":{"x":20,"y":18}}]</v>
      </c>
      <c r="C121" s="1" t="s">
        <v>1162</v>
      </c>
      <c r="D121" s="1">
        <f t="shared" si="27"/>
        <v>242</v>
      </c>
      <c r="E121" t="s">
        <v>1163</v>
      </c>
      <c r="F121">
        <f t="shared" si="28"/>
        <v>5</v>
      </c>
      <c r="G121" t="str">
        <f t="shared" si="29"/>
        <v>,"point":{"x":25,"y":35}}, {"id":</v>
      </c>
      <c r="H121">
        <f t="shared" si="30"/>
        <v>242</v>
      </c>
      <c r="I121" t="s">
        <v>1178</v>
      </c>
      <c r="J121">
        <f t="shared" si="31"/>
        <v>5</v>
      </c>
      <c r="K121" t="str">
        <f t="shared" si="32"/>
        <v>,"point":{"x":33,"y":33}}, {"id":</v>
      </c>
      <c r="L121">
        <f t="shared" si="33"/>
        <v>250</v>
      </c>
      <c r="M121" t="s">
        <v>1178</v>
      </c>
      <c r="N121">
        <f t="shared" si="34"/>
        <v>6</v>
      </c>
      <c r="O121" t="str">
        <f t="shared" si="35"/>
        <v>,"point":{"x":20,"y":18}}]</v>
      </c>
      <c r="Q121" t="str">
        <f t="shared" si="36"/>
        <v/>
      </c>
      <c r="R121" t="str">
        <f t="shared" si="37"/>
        <v/>
      </c>
      <c r="S121" t="str">
        <f t="shared" si="38"/>
        <v/>
      </c>
    </row>
    <row r="122" spans="1:19" x14ac:dyDescent="0.15">
      <c r="A122">
        <v>1411008</v>
      </c>
      <c r="B122" t="str">
        <f t="shared" si="26"/>
        <v>[{"id":243,"num":6,"point":{"x":25,"y":35}}, {"id":243, "num":5,"point":{"x":33,"y":33}}, {"id":250, "num":6,"point":{"x":20,"y":18}}]</v>
      </c>
      <c r="C122" s="1" t="s">
        <v>1162</v>
      </c>
      <c r="D122" s="1">
        <f t="shared" si="27"/>
        <v>243</v>
      </c>
      <c r="E122" t="s">
        <v>1163</v>
      </c>
      <c r="F122">
        <f t="shared" si="28"/>
        <v>6</v>
      </c>
      <c r="G122" t="str">
        <f t="shared" si="29"/>
        <v>,"point":{"x":25,"y":35}}, {"id":</v>
      </c>
      <c r="H122">
        <f t="shared" si="30"/>
        <v>243</v>
      </c>
      <c r="I122" t="s">
        <v>1178</v>
      </c>
      <c r="J122">
        <f t="shared" si="31"/>
        <v>5</v>
      </c>
      <c r="K122" t="str">
        <f t="shared" si="32"/>
        <v>,"point":{"x":33,"y":33}}, {"id":</v>
      </c>
      <c r="L122">
        <f t="shared" si="33"/>
        <v>250</v>
      </c>
      <c r="M122" t="s">
        <v>1178</v>
      </c>
      <c r="N122">
        <f t="shared" si="34"/>
        <v>6</v>
      </c>
      <c r="O122" t="str">
        <f t="shared" si="35"/>
        <v>,"point":{"x":20,"y":18}}]</v>
      </c>
      <c r="Q122" t="str">
        <f t="shared" si="36"/>
        <v/>
      </c>
      <c r="R122" t="str">
        <f t="shared" si="37"/>
        <v/>
      </c>
      <c r="S122" t="str">
        <f t="shared" si="38"/>
        <v/>
      </c>
    </row>
    <row r="123" spans="1:19" x14ac:dyDescent="0.15">
      <c r="A123">
        <v>1411009</v>
      </c>
      <c r="B123" t="str">
        <f t="shared" si="26"/>
        <v>[{"id":244,"num":6,"point":{"x":15,"y":35}}, {"id":244, "num":6,"point":{"x":26,"y":39}}, {"id":250, "num":7,"point":{"x":36,"y":37}}]</v>
      </c>
      <c r="C123" s="1" t="s">
        <v>1162</v>
      </c>
      <c r="D123" s="1">
        <f t="shared" si="27"/>
        <v>244</v>
      </c>
      <c r="E123" t="s">
        <v>1163</v>
      </c>
      <c r="F123">
        <f t="shared" si="28"/>
        <v>6</v>
      </c>
      <c r="G123" t="str">
        <f t="shared" si="29"/>
        <v>,"point":{"x":15,"y":35}}, {"id":</v>
      </c>
      <c r="H123">
        <f t="shared" si="30"/>
        <v>244</v>
      </c>
      <c r="I123" t="s">
        <v>1178</v>
      </c>
      <c r="J123">
        <f t="shared" si="31"/>
        <v>6</v>
      </c>
      <c r="K123" t="str">
        <f t="shared" si="32"/>
        <v>,"point":{"x":26,"y":39}}, {"id":</v>
      </c>
      <c r="L123">
        <f t="shared" si="33"/>
        <v>250</v>
      </c>
      <c r="M123" t="s">
        <v>1178</v>
      </c>
      <c r="N123">
        <f t="shared" si="34"/>
        <v>7</v>
      </c>
      <c r="O123" t="str">
        <f t="shared" si="35"/>
        <v>,"point":{"x":36,"y":37}}]</v>
      </c>
      <c r="Q123" t="str">
        <f t="shared" si="36"/>
        <v/>
      </c>
      <c r="R123" t="str">
        <f t="shared" si="37"/>
        <v/>
      </c>
      <c r="S123" t="str">
        <f t="shared" si="38"/>
        <v/>
      </c>
    </row>
    <row r="124" spans="1:19" x14ac:dyDescent="0.15">
      <c r="A124">
        <v>1411010</v>
      </c>
      <c r="B124" t="str">
        <f t="shared" si="26"/>
        <v>[{"id":245,"num":6,"point":{"x":15,"y":35}}, {"id":245, "num":6,"point":{"x":26,"y":39}}, {"id":250, "num":7,"point":{"x":36,"y":37}}, {"id":280, "num":1,"point":{"x":25,"y":42}}]</v>
      </c>
      <c r="C124" s="1" t="s">
        <v>1162</v>
      </c>
      <c r="D124" s="1">
        <f t="shared" si="27"/>
        <v>245</v>
      </c>
      <c r="E124" t="s">
        <v>1163</v>
      </c>
      <c r="F124">
        <f t="shared" si="28"/>
        <v>6</v>
      </c>
      <c r="G124" t="str">
        <f t="shared" si="29"/>
        <v>,"point":{"x":15,"y":35}}, {"id":</v>
      </c>
      <c r="H124">
        <f t="shared" si="30"/>
        <v>245</v>
      </c>
      <c r="I124" t="s">
        <v>1178</v>
      </c>
      <c r="J124">
        <f t="shared" si="31"/>
        <v>6</v>
      </c>
      <c r="K124" t="str">
        <f t="shared" si="32"/>
        <v>,"point":{"x":26,"y":39}}, {"id":</v>
      </c>
      <c r="L124">
        <f t="shared" si="33"/>
        <v>250</v>
      </c>
      <c r="M124" t="s">
        <v>1178</v>
      </c>
      <c r="N124">
        <f t="shared" si="34"/>
        <v>7</v>
      </c>
      <c r="O124" t="str">
        <f t="shared" si="35"/>
        <v>,"point":{"x":36,"y":37}}, {"id":</v>
      </c>
      <c r="P124" s="1">
        <f>P119+1</f>
        <v>280</v>
      </c>
      <c r="Q124" t="str">
        <f t="shared" si="36"/>
        <v>, "num":</v>
      </c>
      <c r="R124">
        <f t="shared" si="37"/>
        <v>1</v>
      </c>
      <c r="S124" t="str">
        <f t="shared" si="38"/>
        <v>,"point":{"x":25,"y":42}}]</v>
      </c>
    </row>
    <row r="125" spans="1:19" x14ac:dyDescent="0.15">
      <c r="A125">
        <v>1411011</v>
      </c>
      <c r="B125" t="str">
        <f t="shared" si="26"/>
        <v>[{"id":243,"num":2,"point":{"x":24,"y":37}}, {"id":243, "num":2,"point":{"x":15,"y":35}}, {"id":251, "num":3,"point":{"x":33,"y":33}}]</v>
      </c>
      <c r="C125" s="1" t="s">
        <v>1162</v>
      </c>
      <c r="D125" s="1">
        <f t="shared" si="27"/>
        <v>243</v>
      </c>
      <c r="E125" t="s">
        <v>1163</v>
      </c>
      <c r="F125">
        <f t="shared" si="28"/>
        <v>2</v>
      </c>
      <c r="G125" t="str">
        <f t="shared" si="29"/>
        <v>,"point":{"x":24,"y":37}}, {"id":</v>
      </c>
      <c r="H125">
        <f t="shared" si="30"/>
        <v>243</v>
      </c>
      <c r="I125" t="s">
        <v>1178</v>
      </c>
      <c r="J125">
        <f t="shared" si="31"/>
        <v>2</v>
      </c>
      <c r="K125" t="str">
        <f t="shared" si="32"/>
        <v>,"point":{"x":15,"y":35}}, {"id":</v>
      </c>
      <c r="L125">
        <f t="shared" si="33"/>
        <v>251</v>
      </c>
      <c r="M125" t="s">
        <v>1178</v>
      </c>
      <c r="N125">
        <f t="shared" si="34"/>
        <v>3</v>
      </c>
      <c r="O125" t="str">
        <f t="shared" si="35"/>
        <v>,"point":{"x":33,"y":33}}]</v>
      </c>
      <c r="Q125" t="str">
        <f t="shared" si="36"/>
        <v/>
      </c>
      <c r="R125" t="str">
        <f t="shared" si="37"/>
        <v/>
      </c>
      <c r="S125" t="str">
        <f t="shared" si="38"/>
        <v/>
      </c>
    </row>
    <row r="126" spans="1:19" x14ac:dyDescent="0.15">
      <c r="A126">
        <v>1411012</v>
      </c>
      <c r="B126" t="str">
        <f t="shared" si="26"/>
        <v>[{"id":243,"num":3,"point":{"x":24,"y":37}}, {"id":243, "num":2,"point":{"x":15,"y":35}}, {"id":251, "num":3,"point":{"x":33,"y":33}}]</v>
      </c>
      <c r="C126" s="1" t="s">
        <v>1162</v>
      </c>
      <c r="D126" s="1">
        <f t="shared" si="27"/>
        <v>243</v>
      </c>
      <c r="E126" t="s">
        <v>1163</v>
      </c>
      <c r="F126">
        <f t="shared" si="28"/>
        <v>3</v>
      </c>
      <c r="G126" t="str">
        <f t="shared" si="29"/>
        <v>,"point":{"x":24,"y":37}}, {"id":</v>
      </c>
      <c r="H126">
        <f t="shared" si="30"/>
        <v>243</v>
      </c>
      <c r="I126" t="s">
        <v>1178</v>
      </c>
      <c r="J126">
        <f t="shared" si="31"/>
        <v>2</v>
      </c>
      <c r="K126" t="str">
        <f t="shared" si="32"/>
        <v>,"point":{"x":15,"y":35}}, {"id":</v>
      </c>
      <c r="L126">
        <f t="shared" si="33"/>
        <v>251</v>
      </c>
      <c r="M126" t="s">
        <v>1178</v>
      </c>
      <c r="N126">
        <f t="shared" si="34"/>
        <v>3</v>
      </c>
      <c r="O126" t="str">
        <f t="shared" si="35"/>
        <v>,"point":{"x":33,"y":33}}]</v>
      </c>
      <c r="Q126" t="str">
        <f t="shared" si="36"/>
        <v/>
      </c>
      <c r="R126" t="str">
        <f t="shared" si="37"/>
        <v/>
      </c>
      <c r="S126" t="str">
        <f t="shared" si="38"/>
        <v/>
      </c>
    </row>
    <row r="127" spans="1:19" x14ac:dyDescent="0.15">
      <c r="A127">
        <v>1411013</v>
      </c>
      <c r="B127" t="str">
        <f t="shared" si="26"/>
        <v>[{"id":244,"num":3,"point":{"x":16,"y":38}}, {"id":244, "num":3,"point":{"x":35,"y":35}}, {"id":251, "num":4,"point":{"x":23,"y":12}}]</v>
      </c>
      <c r="C127" s="1" t="s">
        <v>1162</v>
      </c>
      <c r="D127" s="1">
        <f t="shared" si="27"/>
        <v>244</v>
      </c>
      <c r="E127" t="s">
        <v>1163</v>
      </c>
      <c r="F127">
        <f t="shared" si="28"/>
        <v>3</v>
      </c>
      <c r="G127" t="str">
        <f t="shared" si="29"/>
        <v>,"point":{"x":16,"y":38}}, {"id":</v>
      </c>
      <c r="H127">
        <f t="shared" si="30"/>
        <v>244</v>
      </c>
      <c r="I127" t="s">
        <v>1178</v>
      </c>
      <c r="J127">
        <f t="shared" si="31"/>
        <v>3</v>
      </c>
      <c r="K127" t="str">
        <f t="shared" si="32"/>
        <v>,"point":{"x":35,"y":35}}, {"id":</v>
      </c>
      <c r="L127">
        <f t="shared" si="33"/>
        <v>251</v>
      </c>
      <c r="M127" t="s">
        <v>1178</v>
      </c>
      <c r="N127">
        <f t="shared" si="34"/>
        <v>4</v>
      </c>
      <c r="O127" t="str">
        <f t="shared" si="35"/>
        <v>,"point":{"x":23,"y":12}}]</v>
      </c>
      <c r="Q127" t="str">
        <f t="shared" si="36"/>
        <v/>
      </c>
      <c r="R127" t="str">
        <f t="shared" si="37"/>
        <v/>
      </c>
      <c r="S127" t="str">
        <f t="shared" si="38"/>
        <v/>
      </c>
    </row>
    <row r="128" spans="1:19" x14ac:dyDescent="0.15">
      <c r="A128">
        <v>1411014</v>
      </c>
      <c r="B128" t="str">
        <f t="shared" si="26"/>
        <v>[{"id":244,"num":4,"point":{"x":16,"y":38}}, {"id":244, "num":3,"point":{"x":35,"y":35}}, {"id":251, "num":4,"point":{"x":23,"y":12}}]</v>
      </c>
      <c r="C128" s="1" t="s">
        <v>1162</v>
      </c>
      <c r="D128" s="1">
        <f t="shared" si="27"/>
        <v>244</v>
      </c>
      <c r="E128" t="s">
        <v>1163</v>
      </c>
      <c r="F128">
        <f t="shared" si="28"/>
        <v>4</v>
      </c>
      <c r="G128" t="str">
        <f t="shared" si="29"/>
        <v>,"point":{"x":16,"y":38}}, {"id":</v>
      </c>
      <c r="H128">
        <f t="shared" si="30"/>
        <v>244</v>
      </c>
      <c r="I128" t="s">
        <v>1178</v>
      </c>
      <c r="J128">
        <f t="shared" si="31"/>
        <v>3</v>
      </c>
      <c r="K128" t="str">
        <f t="shared" si="32"/>
        <v>,"point":{"x":35,"y":35}}, {"id":</v>
      </c>
      <c r="L128">
        <f t="shared" si="33"/>
        <v>251</v>
      </c>
      <c r="M128" t="s">
        <v>1178</v>
      </c>
      <c r="N128">
        <f t="shared" si="34"/>
        <v>4</v>
      </c>
      <c r="O128" t="str">
        <f t="shared" si="35"/>
        <v>,"point":{"x":23,"y":12}}]</v>
      </c>
      <c r="Q128" t="str">
        <f t="shared" si="36"/>
        <v/>
      </c>
      <c r="R128" t="str">
        <f t="shared" si="37"/>
        <v/>
      </c>
      <c r="S128" t="str">
        <f t="shared" si="38"/>
        <v/>
      </c>
    </row>
    <row r="129" spans="1:19" x14ac:dyDescent="0.15">
      <c r="A129">
        <v>1411015</v>
      </c>
      <c r="B129" t="str">
        <f t="shared" si="26"/>
        <v>[{"id":245,"num":4,"point":{"x":16,"y":20}}, {"id":245, "num":4,"point":{"x":25,"y":37}}, {"id":251, "num":5,"point":{"x":36,"y":37}}, {"id":281,"point":{"x":25,"y":42}}]</v>
      </c>
      <c r="C129" s="1" t="s">
        <v>1162</v>
      </c>
      <c r="D129" s="1">
        <f t="shared" si="27"/>
        <v>245</v>
      </c>
      <c r="E129" t="s">
        <v>1163</v>
      </c>
      <c r="F129">
        <f t="shared" si="28"/>
        <v>4</v>
      </c>
      <c r="G129" t="str">
        <f t="shared" si="29"/>
        <v>,"point":{"x":16,"y":20}}, {"id":</v>
      </c>
      <c r="H129">
        <f t="shared" si="30"/>
        <v>245</v>
      </c>
      <c r="I129" t="s">
        <v>1178</v>
      </c>
      <c r="J129">
        <f t="shared" si="31"/>
        <v>4</v>
      </c>
      <c r="K129" t="str">
        <f t="shared" si="32"/>
        <v>,"point":{"x":25,"y":37}}, {"id":</v>
      </c>
      <c r="L129">
        <f t="shared" si="33"/>
        <v>251</v>
      </c>
      <c r="M129" t="s">
        <v>1178</v>
      </c>
      <c r="N129">
        <f t="shared" si="34"/>
        <v>5</v>
      </c>
      <c r="O129" t="str">
        <f t="shared" si="35"/>
        <v>,"point":{"x":36,"y":37}}, {"id":</v>
      </c>
      <c r="P129" s="1">
        <f>P124+1</f>
        <v>281</v>
      </c>
      <c r="Q129" t="str">
        <f t="shared" si="36"/>
        <v/>
      </c>
      <c r="R129" t="str">
        <f t="shared" si="37"/>
        <v/>
      </c>
      <c r="S129" t="str">
        <f t="shared" si="38"/>
        <v>,"point":{"x":25,"y":42}}]</v>
      </c>
    </row>
    <row r="130" spans="1:19" x14ac:dyDescent="0.15">
      <c r="A130">
        <v>1411016</v>
      </c>
      <c r="B130" t="str">
        <f t="shared" si="26"/>
        <v>[{"id":246,"num":5,"point":{"x":16,"y":20}}, {"id":246, "num":4,"point":{"x":25,"y":37}}, {"id":252, "num":5,"point":{"x":33,"y":16}}]</v>
      </c>
      <c r="C130" s="1" t="s">
        <v>1162</v>
      </c>
      <c r="D130" s="1">
        <f t="shared" si="27"/>
        <v>246</v>
      </c>
      <c r="E130" t="s">
        <v>1163</v>
      </c>
      <c r="F130">
        <f t="shared" si="28"/>
        <v>5</v>
      </c>
      <c r="G130" t="str">
        <f t="shared" si="29"/>
        <v>,"point":{"x":16,"y":20}}, {"id":</v>
      </c>
      <c r="H130">
        <f t="shared" si="30"/>
        <v>246</v>
      </c>
      <c r="I130" t="s">
        <v>1178</v>
      </c>
      <c r="J130">
        <f t="shared" si="31"/>
        <v>4</v>
      </c>
      <c r="K130" t="str">
        <f t="shared" si="32"/>
        <v>,"point":{"x":25,"y":37}}, {"id":</v>
      </c>
      <c r="L130">
        <f t="shared" si="33"/>
        <v>252</v>
      </c>
      <c r="M130" t="s">
        <v>1178</v>
      </c>
      <c r="N130">
        <f t="shared" si="34"/>
        <v>5</v>
      </c>
      <c r="O130" t="str">
        <f t="shared" si="35"/>
        <v>,"point":{"x":33,"y":16}}]</v>
      </c>
      <c r="Q130" t="str">
        <f t="shared" si="36"/>
        <v/>
      </c>
      <c r="R130" t="str">
        <f t="shared" si="37"/>
        <v/>
      </c>
      <c r="S130" t="str">
        <f t="shared" si="38"/>
        <v/>
      </c>
    </row>
    <row r="131" spans="1:19" x14ac:dyDescent="0.15">
      <c r="A131">
        <v>1411017</v>
      </c>
      <c r="B131" t="str">
        <f t="shared" si="26"/>
        <v>[{"id":246,"num":5,"point":{"x":25,"y":35}}, {"id":246, "num":5,"point":{"x":33,"y":33}}, {"id":252, "num":6,"point":{"x":20,"y":18}}]</v>
      </c>
      <c r="C131" s="1" t="s">
        <v>1162</v>
      </c>
      <c r="D131" s="1">
        <f t="shared" si="27"/>
        <v>246</v>
      </c>
      <c r="E131" t="s">
        <v>1163</v>
      </c>
      <c r="F131">
        <f t="shared" si="28"/>
        <v>5</v>
      </c>
      <c r="G131" t="str">
        <f t="shared" si="29"/>
        <v>,"point":{"x":25,"y":35}}, {"id":</v>
      </c>
      <c r="H131">
        <f t="shared" si="30"/>
        <v>246</v>
      </c>
      <c r="I131" t="s">
        <v>1178</v>
      </c>
      <c r="J131">
        <f t="shared" si="31"/>
        <v>5</v>
      </c>
      <c r="K131" t="str">
        <f t="shared" si="32"/>
        <v>,"point":{"x":33,"y":33}}, {"id":</v>
      </c>
      <c r="L131">
        <f t="shared" si="33"/>
        <v>252</v>
      </c>
      <c r="M131" t="s">
        <v>1178</v>
      </c>
      <c r="N131">
        <f t="shared" si="34"/>
        <v>6</v>
      </c>
      <c r="O131" t="str">
        <f t="shared" si="35"/>
        <v>,"point":{"x":20,"y":18}}]</v>
      </c>
      <c r="Q131" t="str">
        <f t="shared" si="36"/>
        <v/>
      </c>
      <c r="R131" t="str">
        <f t="shared" si="37"/>
        <v/>
      </c>
      <c r="S131" t="str">
        <f t="shared" si="38"/>
        <v/>
      </c>
    </row>
    <row r="132" spans="1:19" x14ac:dyDescent="0.15">
      <c r="A132">
        <v>1411018</v>
      </c>
      <c r="B132" t="str">
        <f t="shared" si="26"/>
        <v>[{"id":247,"num":6,"point":{"x":25,"y":35}}, {"id":247, "num":5,"point":{"x":33,"y":33}}, {"id":252, "num":6,"point":{"x":20,"y":18}}]</v>
      </c>
      <c r="C132" s="1" t="s">
        <v>1162</v>
      </c>
      <c r="D132" s="1">
        <f t="shared" si="27"/>
        <v>247</v>
      </c>
      <c r="E132" t="s">
        <v>1163</v>
      </c>
      <c r="F132">
        <f t="shared" si="28"/>
        <v>6</v>
      </c>
      <c r="G132" t="str">
        <f t="shared" si="29"/>
        <v>,"point":{"x":25,"y":35}}, {"id":</v>
      </c>
      <c r="H132">
        <f t="shared" si="30"/>
        <v>247</v>
      </c>
      <c r="I132" t="s">
        <v>1178</v>
      </c>
      <c r="J132">
        <f t="shared" si="31"/>
        <v>5</v>
      </c>
      <c r="K132" t="str">
        <f t="shared" si="32"/>
        <v>,"point":{"x":33,"y":33}}, {"id":</v>
      </c>
      <c r="L132">
        <f t="shared" si="33"/>
        <v>252</v>
      </c>
      <c r="M132" t="s">
        <v>1178</v>
      </c>
      <c r="N132">
        <f t="shared" si="34"/>
        <v>6</v>
      </c>
      <c r="O132" t="str">
        <f t="shared" si="35"/>
        <v>,"point":{"x":20,"y":18}}]</v>
      </c>
      <c r="Q132" t="str">
        <f t="shared" si="36"/>
        <v/>
      </c>
      <c r="R132" t="str">
        <f t="shared" si="37"/>
        <v/>
      </c>
      <c r="S132" t="str">
        <f t="shared" si="38"/>
        <v/>
      </c>
    </row>
    <row r="133" spans="1:19" x14ac:dyDescent="0.15">
      <c r="A133">
        <v>1411019</v>
      </c>
      <c r="B133" t="str">
        <f t="shared" si="26"/>
        <v>[{"id":248,"num":6,"point":{"x":15,"y":35}}, {"id":248, "num":6,"point":{"x":26,"y":39}}, {"id":252, "num":7,"point":{"x":36,"y":37}}]</v>
      </c>
      <c r="C133" s="1" t="s">
        <v>1162</v>
      </c>
      <c r="D133" s="1">
        <f t="shared" si="27"/>
        <v>248</v>
      </c>
      <c r="E133" t="s">
        <v>1163</v>
      </c>
      <c r="F133">
        <f t="shared" si="28"/>
        <v>6</v>
      </c>
      <c r="G133" t="str">
        <f t="shared" si="29"/>
        <v>,"point":{"x":15,"y":35}}, {"id":</v>
      </c>
      <c r="H133">
        <f t="shared" si="30"/>
        <v>248</v>
      </c>
      <c r="I133" t="s">
        <v>1178</v>
      </c>
      <c r="J133">
        <f t="shared" si="31"/>
        <v>6</v>
      </c>
      <c r="K133" t="str">
        <f t="shared" si="32"/>
        <v>,"point":{"x":26,"y":39}}, {"id":</v>
      </c>
      <c r="L133">
        <f t="shared" si="33"/>
        <v>252</v>
      </c>
      <c r="M133" t="s">
        <v>1178</v>
      </c>
      <c r="N133">
        <f t="shared" si="34"/>
        <v>7</v>
      </c>
      <c r="O133" t="str">
        <f t="shared" si="35"/>
        <v>,"point":{"x":36,"y":37}}]</v>
      </c>
      <c r="Q133" t="str">
        <f t="shared" si="36"/>
        <v/>
      </c>
      <c r="R133" t="str">
        <f t="shared" si="37"/>
        <v/>
      </c>
      <c r="S133" t="str">
        <f t="shared" si="38"/>
        <v/>
      </c>
    </row>
    <row r="134" spans="1:19" x14ac:dyDescent="0.15">
      <c r="A134">
        <v>1411020</v>
      </c>
      <c r="B134" t="str">
        <f t="shared" si="26"/>
        <v>[{"id":249,"num":6,"point":{"x":15,"y":35}}, {"id":249, "num":6,"point":{"x":26,"y":39}}, {"id":252, "num":7,"point":{"x":36,"y":37}}, {"id":282, "num":1,"point":{"x":25,"y":42}}]</v>
      </c>
      <c r="C134" s="1" t="s">
        <v>1162</v>
      </c>
      <c r="D134" s="1">
        <f t="shared" si="27"/>
        <v>249</v>
      </c>
      <c r="E134" t="s">
        <v>1163</v>
      </c>
      <c r="F134">
        <f t="shared" si="28"/>
        <v>6</v>
      </c>
      <c r="G134" t="str">
        <f t="shared" si="29"/>
        <v>,"point":{"x":15,"y":35}}, {"id":</v>
      </c>
      <c r="H134">
        <f t="shared" si="30"/>
        <v>249</v>
      </c>
      <c r="I134" t="s">
        <v>1178</v>
      </c>
      <c r="J134">
        <f t="shared" si="31"/>
        <v>6</v>
      </c>
      <c r="K134" t="str">
        <f t="shared" si="32"/>
        <v>,"point":{"x":26,"y":39}}, {"id":</v>
      </c>
      <c r="L134">
        <f t="shared" si="33"/>
        <v>252</v>
      </c>
      <c r="M134" t="s">
        <v>1178</v>
      </c>
      <c r="N134">
        <f t="shared" si="34"/>
        <v>7</v>
      </c>
      <c r="O134" t="str">
        <f t="shared" si="35"/>
        <v>,"point":{"x":36,"y":37}}, {"id":</v>
      </c>
      <c r="P134" s="1">
        <f>P129+1</f>
        <v>282</v>
      </c>
      <c r="Q134" t="str">
        <f t="shared" si="36"/>
        <v>, "num":</v>
      </c>
      <c r="R134">
        <f t="shared" si="37"/>
        <v>1</v>
      </c>
      <c r="S134" t="str">
        <f t="shared" si="38"/>
        <v>,"point":{"x":25,"y":42}}]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1"/>
  <sheetViews>
    <sheetView workbookViewId="0">
      <selection activeCell="F47" sqref="F47"/>
    </sheetView>
  </sheetViews>
  <sheetFormatPr defaultColWidth="9" defaultRowHeight="13.5" x14ac:dyDescent="0.15"/>
  <cols>
    <col min="1" max="1" width="8.5" customWidth="1"/>
    <col min="2" max="2" width="37.125" customWidth="1"/>
    <col min="3" max="3" width="12.75" customWidth="1"/>
    <col min="4" max="4" width="38.25" customWidth="1"/>
    <col min="5" max="5" width="12.75" customWidth="1"/>
    <col min="6" max="6" width="36.125" customWidth="1"/>
    <col min="7" max="7" width="13.875" customWidth="1"/>
    <col min="8" max="8" width="28.25" customWidth="1"/>
  </cols>
  <sheetData>
    <row r="1" spans="2:8" x14ac:dyDescent="0.15">
      <c r="B1" t="s">
        <v>1177</v>
      </c>
      <c r="D1" t="s">
        <v>1179</v>
      </c>
      <c r="F1" t="s">
        <v>1180</v>
      </c>
      <c r="H1" t="s">
        <v>1181</v>
      </c>
    </row>
    <row r="2" spans="2:8" x14ac:dyDescent="0.15">
      <c r="B2" t="s">
        <v>1182</v>
      </c>
      <c r="D2" t="s">
        <v>1177</v>
      </c>
      <c r="F2" t="s">
        <v>1183</v>
      </c>
    </row>
    <row r="3" spans="2:8" x14ac:dyDescent="0.15">
      <c r="B3" t="s">
        <v>1182</v>
      </c>
      <c r="D3" t="s">
        <v>1177</v>
      </c>
      <c r="F3" t="s">
        <v>1183</v>
      </c>
    </row>
    <row r="4" spans="2:8" x14ac:dyDescent="0.15">
      <c r="B4" t="s">
        <v>1184</v>
      </c>
      <c r="D4" t="s">
        <v>1185</v>
      </c>
      <c r="F4" t="s">
        <v>1186</v>
      </c>
    </row>
    <row r="5" spans="2:8" x14ac:dyDescent="0.15">
      <c r="B5" t="s">
        <v>1184</v>
      </c>
      <c r="D5" t="s">
        <v>1185</v>
      </c>
      <c r="F5" t="s">
        <v>1186</v>
      </c>
    </row>
    <row r="6" spans="2:8" x14ac:dyDescent="0.15">
      <c r="B6" t="s">
        <v>1187</v>
      </c>
      <c r="D6" t="s">
        <v>1188</v>
      </c>
      <c r="F6" t="s">
        <v>1189</v>
      </c>
    </row>
    <row r="7" spans="2:8" x14ac:dyDescent="0.15">
      <c r="B7" t="s">
        <v>1187</v>
      </c>
      <c r="D7" t="s">
        <v>1188</v>
      </c>
      <c r="F7" t="s">
        <v>1189</v>
      </c>
    </row>
    <row r="8" spans="2:8" x14ac:dyDescent="0.15">
      <c r="B8" t="s">
        <v>1190</v>
      </c>
      <c r="D8" t="s">
        <v>1191</v>
      </c>
      <c r="F8" t="s">
        <v>1192</v>
      </c>
    </row>
    <row r="9" spans="2:8" x14ac:dyDescent="0.15">
      <c r="B9" t="s">
        <v>1190</v>
      </c>
      <c r="D9" t="s">
        <v>1191</v>
      </c>
      <c r="F9" t="s">
        <v>1192</v>
      </c>
    </row>
    <row r="10" spans="2:8" x14ac:dyDescent="0.15">
      <c r="B10" t="s">
        <v>1177</v>
      </c>
      <c r="D10" t="s">
        <v>1179</v>
      </c>
      <c r="F10" t="s">
        <v>1193</v>
      </c>
    </row>
    <row r="11" spans="2:8" x14ac:dyDescent="0.15">
      <c r="B11" t="s">
        <v>1177</v>
      </c>
      <c r="D11" t="s">
        <v>1179</v>
      </c>
      <c r="F11" t="s">
        <v>1180</v>
      </c>
      <c r="H11" t="s">
        <v>1181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"/>
  <sheetViews>
    <sheetView workbookViewId="0">
      <selection activeCell="AA20" sqref="AA20"/>
    </sheetView>
  </sheetViews>
  <sheetFormatPr defaultColWidth="9" defaultRowHeight="13.5" x14ac:dyDescent="0.15"/>
  <cols>
    <col min="28" max="28" width="68.25" bestFit="1" customWidth="1"/>
  </cols>
  <sheetData>
    <row r="1" spans="1:28" x14ac:dyDescent="0.15">
      <c r="A1">
        <v>1</v>
      </c>
      <c r="B1" t="s">
        <v>1013</v>
      </c>
      <c r="AA1" s="19">
        <v>1</v>
      </c>
      <c r="AB1" s="20" t="s">
        <v>1215</v>
      </c>
    </row>
    <row r="2" spans="1:28" x14ac:dyDescent="0.15">
      <c r="A2">
        <v>2</v>
      </c>
      <c r="B2" t="s">
        <v>1019</v>
      </c>
      <c r="AA2" s="19">
        <v>2</v>
      </c>
      <c r="AB2" s="20" t="s">
        <v>1216</v>
      </c>
    </row>
    <row r="3" spans="1:28" x14ac:dyDescent="0.15">
      <c r="A3">
        <v>3</v>
      </c>
      <c r="B3" t="s">
        <v>1024</v>
      </c>
      <c r="AA3" s="19">
        <v>3</v>
      </c>
      <c r="AB3" s="20" t="s">
        <v>1217</v>
      </c>
    </row>
    <row r="4" spans="1:28" x14ac:dyDescent="0.15">
      <c r="A4">
        <v>4</v>
      </c>
      <c r="B4" t="s">
        <v>1029</v>
      </c>
      <c r="AA4" s="19">
        <v>4</v>
      </c>
      <c r="AB4" s="20" t="s">
        <v>1218</v>
      </c>
    </row>
    <row r="5" spans="1:28" x14ac:dyDescent="0.15">
      <c r="A5">
        <v>5</v>
      </c>
      <c r="B5" t="s">
        <v>1034</v>
      </c>
      <c r="AA5" s="19">
        <v>5</v>
      </c>
      <c r="AB5" s="20" t="s">
        <v>1219</v>
      </c>
    </row>
    <row r="6" spans="1:28" x14ac:dyDescent="0.15">
      <c r="A6">
        <v>6</v>
      </c>
      <c r="B6" t="s">
        <v>1039</v>
      </c>
      <c r="AA6" s="19">
        <v>6</v>
      </c>
      <c r="AB6" s="20" t="s">
        <v>1220</v>
      </c>
    </row>
    <row r="7" spans="1:28" x14ac:dyDescent="0.15">
      <c r="A7">
        <v>7</v>
      </c>
      <c r="B7" t="s">
        <v>1043</v>
      </c>
      <c r="AA7" s="19">
        <v>7</v>
      </c>
      <c r="AB7" s="20" t="s">
        <v>1221</v>
      </c>
    </row>
    <row r="8" spans="1:28" x14ac:dyDescent="0.15">
      <c r="A8">
        <v>8</v>
      </c>
      <c r="B8" t="s">
        <v>1047</v>
      </c>
      <c r="AA8" s="19">
        <v>8</v>
      </c>
      <c r="AB8" s="20" t="s">
        <v>1222</v>
      </c>
    </row>
    <row r="9" spans="1:28" x14ac:dyDescent="0.15">
      <c r="A9">
        <v>9</v>
      </c>
      <c r="B9" t="s">
        <v>1052</v>
      </c>
      <c r="AA9" s="19">
        <v>9</v>
      </c>
      <c r="AB9" s="20" t="s">
        <v>1223</v>
      </c>
    </row>
    <row r="10" spans="1:28" x14ac:dyDescent="0.15">
      <c r="A10">
        <v>10</v>
      </c>
      <c r="B10" t="s">
        <v>1057</v>
      </c>
      <c r="AA10" s="19">
        <v>10</v>
      </c>
      <c r="AB10" s="20" t="s">
        <v>1224</v>
      </c>
    </row>
    <row r="11" spans="1:28" x14ac:dyDescent="0.15">
      <c r="A11">
        <v>11</v>
      </c>
      <c r="B11" t="s">
        <v>1062</v>
      </c>
      <c r="AA11" s="19">
        <v>11</v>
      </c>
      <c r="AB11" s="20" t="s">
        <v>1225</v>
      </c>
    </row>
    <row r="12" spans="1:28" x14ac:dyDescent="0.15">
      <c r="A12">
        <v>12</v>
      </c>
      <c r="B12" t="s">
        <v>1067</v>
      </c>
      <c r="AA12" s="19">
        <v>12</v>
      </c>
      <c r="AB12" s="20" t="s">
        <v>1225</v>
      </c>
    </row>
    <row r="13" spans="1:28" x14ac:dyDescent="0.15">
      <c r="A13">
        <v>13</v>
      </c>
      <c r="B13" t="s">
        <v>1072</v>
      </c>
      <c r="AA13" s="19">
        <v>13</v>
      </c>
      <c r="AB13" s="20" t="s">
        <v>1226</v>
      </c>
    </row>
    <row r="14" spans="1:28" x14ac:dyDescent="0.15">
      <c r="A14">
        <v>14</v>
      </c>
      <c r="B14" t="s">
        <v>1077</v>
      </c>
      <c r="AA14" s="19">
        <v>14</v>
      </c>
      <c r="AB14" s="20" t="s">
        <v>1226</v>
      </c>
    </row>
    <row r="15" spans="1:28" x14ac:dyDescent="0.15">
      <c r="A15">
        <v>15</v>
      </c>
      <c r="B15" t="s">
        <v>1082</v>
      </c>
      <c r="AA15" s="19">
        <v>15</v>
      </c>
      <c r="AB15" s="20" t="s">
        <v>1227</v>
      </c>
    </row>
    <row r="16" spans="1:28" x14ac:dyDescent="0.15">
      <c r="A16">
        <v>16</v>
      </c>
      <c r="B16" t="s">
        <v>1087</v>
      </c>
      <c r="AA16" s="19">
        <v>16</v>
      </c>
      <c r="AB16" s="20" t="s">
        <v>1227</v>
      </c>
    </row>
    <row r="17" spans="1:28" x14ac:dyDescent="0.15">
      <c r="A17">
        <v>17</v>
      </c>
      <c r="B17" t="s">
        <v>1092</v>
      </c>
      <c r="AA17" s="19">
        <v>17</v>
      </c>
      <c r="AB17" s="20" t="s">
        <v>1228</v>
      </c>
    </row>
    <row r="18" spans="1:28" x14ac:dyDescent="0.15">
      <c r="A18">
        <v>18</v>
      </c>
      <c r="B18" t="s">
        <v>1099</v>
      </c>
      <c r="AA18" s="19">
        <v>18</v>
      </c>
      <c r="AB18" s="20" t="s">
        <v>1228</v>
      </c>
    </row>
    <row r="19" spans="1:28" x14ac:dyDescent="0.15">
      <c r="A19">
        <v>19</v>
      </c>
      <c r="B19" t="s">
        <v>1106</v>
      </c>
      <c r="AA19" s="19">
        <v>19</v>
      </c>
      <c r="AB19" s="20" t="s">
        <v>1229</v>
      </c>
    </row>
    <row r="20" spans="1:28" x14ac:dyDescent="0.15">
      <c r="A20">
        <v>20</v>
      </c>
      <c r="B20" t="s">
        <v>1111</v>
      </c>
      <c r="AA20" s="19">
        <v>20</v>
      </c>
      <c r="AB20" s="20" t="s">
        <v>1229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战役结算奖励</vt:lpstr>
      <vt:lpstr>首领结算奖励</vt:lpstr>
      <vt:lpstr>试炼塔结算奖励</vt:lpstr>
      <vt:lpstr>遗迹结算奖励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m</dc:creator>
  <cp:lastModifiedBy>EDY</cp:lastModifiedBy>
  <dcterms:created xsi:type="dcterms:W3CDTF">2023-05-12T11:15:00Z</dcterms:created>
  <dcterms:modified xsi:type="dcterms:W3CDTF">2025-07-07T09:46:42Z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1315ADF1587046AF94C3D2A250A41FDE_12</vt:lpwstr>
  </property>
</Properties>
</file>